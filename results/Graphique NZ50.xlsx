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523" i="2" l="1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I526" i="2" l="1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L528" i="2" l="1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F507" i="2" l="1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L507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L510" i="2"/>
  <c r="AD510" i="2"/>
  <c r="V510" i="2"/>
  <c r="N510" i="2"/>
  <c r="F510" i="2"/>
  <c r="AH507" i="2"/>
  <c r="Z507" i="2"/>
  <c r="R507" i="2"/>
  <c r="J507" i="2"/>
  <c r="AL506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L509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L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L494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L481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E508" i="2" s="1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I508" i="2" s="1"/>
  <c r="AA481" i="2"/>
  <c r="AA508" i="2" s="1"/>
  <c r="S481" i="2"/>
  <c r="S508" i="2" s="1"/>
  <c r="K481" i="2"/>
  <c r="K508" i="2" s="1"/>
  <c r="D487" i="2"/>
  <c r="AL487" i="2"/>
  <c r="AD487" i="2"/>
  <c r="V487" i="2"/>
  <c r="N487" i="2"/>
  <c r="F487" i="2"/>
  <c r="AH481" i="2"/>
  <c r="Z481" i="2"/>
  <c r="R481" i="2"/>
  <c r="J481" i="2"/>
  <c r="AE476" i="2"/>
  <c r="AL453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L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L473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L472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L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L475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L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L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M508" i="2" l="1"/>
  <c r="P511" i="2"/>
  <c r="AL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AL508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L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AL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L283" i="2"/>
  <c r="E292" i="2" s="1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L282" i="2"/>
  <c r="E291" i="2" s="1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L279" i="2"/>
  <c r="E288" i="2" s="1"/>
  <c r="AD279" i="2"/>
  <c r="V279" i="2"/>
  <c r="N279" i="2"/>
  <c r="F279" i="2"/>
  <c r="AI285" i="2"/>
  <c r="AA285" i="2"/>
  <c r="S285" i="2"/>
  <c r="K285" i="2"/>
  <c r="AL284" i="2"/>
  <c r="E293" i="2" s="1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L281" i="2"/>
  <c r="E290" i="2" s="1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L285" i="2"/>
  <c r="E294" i="2" s="1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L280" i="2"/>
  <c r="E289" i="2" s="1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L198" i="2" l="1"/>
  <c r="E107" i="2"/>
  <c r="AL259" i="2"/>
  <c r="AD216" i="2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AL216" i="2"/>
  <c r="E226" i="2" s="1"/>
  <c r="AL220" i="2"/>
  <c r="E230" i="2" s="1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L87" i="2"/>
  <c r="AL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AL258" i="2"/>
  <c r="E110" i="2"/>
  <c r="E119" i="2"/>
  <c r="AL65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AL257" i="2"/>
  <c r="AL99" i="2"/>
  <c r="AL98" i="2" s="1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AL244" i="2"/>
  <c r="AL261" i="2"/>
  <c r="E108" i="2"/>
  <c r="E117" i="2"/>
  <c r="AL60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AL256" i="2"/>
  <c r="E114" i="2"/>
  <c r="E122" i="2"/>
  <c r="AL218" i="2"/>
  <c r="E228" i="2" s="1"/>
  <c r="AL217" i="2"/>
  <c r="E227" i="2" s="1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AL260" i="2"/>
  <c r="AL197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E111" i="2"/>
  <c r="E120" i="2"/>
  <c r="AL210" i="2"/>
  <c r="AL209" i="2" s="1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AL255" i="2"/>
  <c r="AL235" i="2"/>
  <c r="E109" i="2"/>
  <c r="E118" i="2"/>
  <c r="AL219" i="2"/>
  <c r="E229" i="2" s="1"/>
  <c r="AL223" i="2"/>
  <c r="E233" i="2" s="1"/>
  <c r="AL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E112" i="2"/>
  <c r="E121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L222" i="2"/>
  <c r="E232" i="2" s="1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E113" i="2"/>
  <c r="L221" i="2"/>
  <c r="AL254" i="2"/>
  <c r="L222" i="2"/>
  <c r="AA221" i="2"/>
  <c r="AL221" i="2"/>
  <c r="E231" i="2" s="1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<sst xmlns="http://schemas.openxmlformats.org/spreadsheetml/2006/main" count="400" uniqueCount="106">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</sst>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2.9225118781274435E-2</c:v>
                </c:pt>
                <c:pt idx="7">
                  <c:v>5.0580215157313355E-2</c:v>
                </c:pt>
                <c:pt idx="8">
                  <c:v>5.9778939448091671E-2</c:v>
                </c:pt>
                <c:pt idx="9">
                  <c:v>0.14685618965827746</c:v>
                </c:pt>
                <c:pt idx="10">
                  <c:v>0.31612890215195466</c:v>
                </c:pt>
                <c:pt idx="11">
                  <c:v>0.53959173411600703</c:v>
                </c:pt>
                <c:pt idx="12">
                  <c:v>0.80226313327946519</c:v>
                </c:pt>
                <c:pt idx="13">
                  <c:v>1.0739349691541145</c:v>
                </c:pt>
                <c:pt idx="14">
                  <c:v>1.3357265325683076</c:v>
                </c:pt>
                <c:pt idx="15">
                  <c:v>1.5790758619174192</c:v>
                </c:pt>
                <c:pt idx="16">
                  <c:v>1.7792017602471073</c:v>
                </c:pt>
                <c:pt idx="17">
                  <c:v>1.929896911976968</c:v>
                </c:pt>
                <c:pt idx="18">
                  <c:v>2.0440198451027873</c:v>
                </c:pt>
                <c:pt idx="19">
                  <c:v>2.133373292400075</c:v>
                </c:pt>
                <c:pt idx="20">
                  <c:v>2.2052311260556805</c:v>
                </c:pt>
                <c:pt idx="21">
                  <c:v>2.2599203151430958</c:v>
                </c:pt>
                <c:pt idx="22">
                  <c:v>2.2985997084652601</c:v>
                </c:pt>
                <c:pt idx="23">
                  <c:v>2.3239186209058094</c:v>
                </c:pt>
                <c:pt idx="24">
                  <c:v>2.3382130707591418</c:v>
                </c:pt>
                <c:pt idx="25">
                  <c:v>2.3438521652229078</c:v>
                </c:pt>
                <c:pt idx="26">
                  <c:v>2.3345755725213779</c:v>
                </c:pt>
                <c:pt idx="27">
                  <c:v>2.3084266089647443</c:v>
                </c:pt>
                <c:pt idx="28">
                  <c:v>2.2714511121747512</c:v>
                </c:pt>
                <c:pt idx="29">
                  <c:v>2.2303238794391493</c:v>
                </c:pt>
                <c:pt idx="30">
                  <c:v>2.1902459934347829</c:v>
                </c:pt>
                <c:pt idx="31">
                  <c:v>2.1533369960587527</c:v>
                </c:pt>
                <c:pt idx="32">
                  <c:v>2.1219259798680468</c:v>
                </c:pt>
                <c:pt idx="33">
                  <c:v>2.1029110398761004</c:v>
                </c:pt>
                <c:pt idx="34">
                  <c:v>2.1053366891703904</c:v>
                </c:pt>
                <c:pt idx="35">
                  <c:v>2.1401557586048527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4.3393776772291649E-9</c:v>
                </c:pt>
                <c:pt idx="4">
                  <c:v>0</c:v>
                </c:pt>
                <c:pt idx="5">
                  <c:v>4.1899647568273066E-9</c:v>
                </c:pt>
                <c:pt idx="6">
                  <c:v>5.2619148530291442E-3</c:v>
                </c:pt>
                <c:pt idx="7">
                  <c:v>-4.0345173521861719E-2</c:v>
                </c:pt>
                <c:pt idx="8">
                  <c:v>-9.6862610115736408E-2</c:v>
                </c:pt>
                <c:pt idx="9">
                  <c:v>-9.7053292248052078E-2</c:v>
                </c:pt>
                <c:pt idx="10">
                  <c:v>-6.5977628242263206E-2</c:v>
                </c:pt>
                <c:pt idx="11">
                  <c:v>-1.5253255673408451E-2</c:v>
                </c:pt>
                <c:pt idx="12">
                  <c:v>4.5114489957226077E-2</c:v>
                </c:pt>
                <c:pt idx="13">
                  <c:v>0.11203332821508891</c:v>
                </c:pt>
                <c:pt idx="14">
                  <c:v>0.18774564735309673</c:v>
                </c:pt>
                <c:pt idx="15">
                  <c:v>0.27336459248367806</c:v>
                </c:pt>
                <c:pt idx="16">
                  <c:v>0.35585589290295783</c:v>
                </c:pt>
                <c:pt idx="17">
                  <c:v>0.43395604062822513</c:v>
                </c:pt>
                <c:pt idx="18">
                  <c:v>0.50966813416707446</c:v>
                </c:pt>
                <c:pt idx="19">
                  <c:v>0.58618156256921827</c:v>
                </c:pt>
                <c:pt idx="20">
                  <c:v>0.66676914741666204</c:v>
                </c:pt>
                <c:pt idx="21">
                  <c:v>0.75328616841228091</c:v>
                </c:pt>
                <c:pt idx="22">
                  <c:v>0.84757261813650009</c:v>
                </c:pt>
                <c:pt idx="23">
                  <c:v>0.95140176780635788</c:v>
                </c:pt>
                <c:pt idx="24">
                  <c:v>1.0665618078840311</c:v>
                </c:pt>
                <c:pt idx="25">
                  <c:v>1.1954962764737351</c:v>
                </c:pt>
                <c:pt idx="26">
                  <c:v>1.3385487251072941</c:v>
                </c:pt>
                <c:pt idx="27">
                  <c:v>1.4960206273849275</c:v>
                </c:pt>
                <c:pt idx="28">
                  <c:v>1.6698943457489088</c:v>
                </c:pt>
                <c:pt idx="29">
                  <c:v>1.8636556868202183</c:v>
                </c:pt>
                <c:pt idx="30">
                  <c:v>2.0819744560385161</c:v>
                </c:pt>
                <c:pt idx="31">
                  <c:v>2.3304363119799545</c:v>
                </c:pt>
                <c:pt idx="32">
                  <c:v>2.6164796232690288</c:v>
                </c:pt>
                <c:pt idx="33">
                  <c:v>2.9512133696435736</c:v>
                </c:pt>
                <c:pt idx="34">
                  <c:v>3.350959886892082</c:v>
                </c:pt>
                <c:pt idx="35">
                  <c:v>3.8400739412897047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#\ ##0.0</c:formatCode>
                <c:ptCount val="36"/>
                <c:pt idx="0">
                  <c:v>0</c:v>
                </c:pt>
                <c:pt idx="1">
                  <c:v>-4.4833500198915822E-9</c:v>
                </c:pt>
                <c:pt idx="2">
                  <c:v>-4.4127732930403357E-9</c:v>
                </c:pt>
                <c:pt idx="3">
                  <c:v>-4.3393827289323538E-9</c:v>
                </c:pt>
                <c:pt idx="4">
                  <c:v>-1.2794811600503211E-8</c:v>
                </c:pt>
                <c:pt idx="5">
                  <c:v>-1.2569896709362283E-8</c:v>
                </c:pt>
                <c:pt idx="6">
                  <c:v>-8.0353861280557624E-3</c:v>
                </c:pt>
                <c:pt idx="7">
                  <c:v>-0.16589097149322188</c:v>
                </c:pt>
                <c:pt idx="8">
                  <c:v>-0.28477865503707905</c:v>
                </c:pt>
                <c:pt idx="9">
                  <c:v>-0.17400689772584171</c:v>
                </c:pt>
                <c:pt idx="10">
                  <c:v>-0.15155046514255452</c:v>
                </c:pt>
                <c:pt idx="11">
                  <c:v>-0.21900966180094483</c:v>
                </c:pt>
                <c:pt idx="12">
                  <c:v>-0.36217669335714953</c:v>
                </c:pt>
                <c:pt idx="13">
                  <c:v>-0.53817342509514066</c:v>
                </c:pt>
                <c:pt idx="14">
                  <c:v>-0.71047985027008898</c:v>
                </c:pt>
                <c:pt idx="15">
                  <c:v>-0.87253540080351011</c:v>
                </c:pt>
                <c:pt idx="16">
                  <c:v>-1.0385596232666863</c:v>
                </c:pt>
                <c:pt idx="17">
                  <c:v>-1.191408908802704</c:v>
                </c:pt>
                <c:pt idx="18">
                  <c:v>-1.3377300067613456</c:v>
                </c:pt>
                <c:pt idx="19">
                  <c:v>-1.4816229581676867</c:v>
                </c:pt>
                <c:pt idx="20">
                  <c:v>-1.6247683969651443</c:v>
                </c:pt>
                <c:pt idx="21">
                  <c:v>-1.7644056169306466</c:v>
                </c:pt>
                <c:pt idx="22">
                  <c:v>-1.8991362338025619</c:v>
                </c:pt>
                <c:pt idx="23">
                  <c:v>-2.02949378862795</c:v>
                </c:pt>
                <c:pt idx="24">
                  <c:v>-2.1559286245026712</c:v>
                </c:pt>
                <c:pt idx="25">
                  <c:v>-2.2802027156913081</c:v>
                </c:pt>
                <c:pt idx="26">
                  <c:v>-2.3936173833992127</c:v>
                </c:pt>
                <c:pt idx="27">
                  <c:v>-2.4947918101980187</c:v>
                </c:pt>
                <c:pt idx="28">
                  <c:v>-2.5875998950544679</c:v>
                </c:pt>
                <c:pt idx="29">
                  <c:v>-2.6767166424865794</c:v>
                </c:pt>
                <c:pt idx="30">
                  <c:v>-2.7668038410491587</c:v>
                </c:pt>
                <c:pt idx="31">
                  <c:v>-2.861060056878479</c:v>
                </c:pt>
                <c:pt idx="32">
                  <c:v>-2.9639614614361491</c:v>
                </c:pt>
                <c:pt idx="33">
                  <c:v>-3.0856275506105915</c:v>
                </c:pt>
                <c:pt idx="34">
                  <c:v>-3.2401492764274513</c:v>
                </c:pt>
                <c:pt idx="35">
                  <c:v>-3.4467550666782412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-6.1644800375404429E-9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2.798226162479267E-2</c:v>
                      </c:pt>
                      <c:pt idx="7">
                        <c:v>-0.21743509031737496</c:v>
                      </c:pt>
                      <c:pt idx="8">
                        <c:v>-0.43868980647734368</c:v>
                      </c:pt>
                      <c:pt idx="9">
                        <c:v>-0.20566382621648449</c:v>
                      </c:pt>
                      <c:pt idx="10">
                        <c:v>3.8832121188647761E-2</c:v>
                      </c:pt>
                      <c:pt idx="11">
                        <c:v>0.24809441446058678</c:v>
                      </c:pt>
                      <c:pt idx="12">
                        <c:v>0.41280093398470274</c:v>
                      </c:pt>
                      <c:pt idx="13">
                        <c:v>0.55195245249572977</c:v>
                      </c:pt>
                      <c:pt idx="14">
                        <c:v>0.69479511820942363</c:v>
                      </c:pt>
                      <c:pt idx="15">
                        <c:v>0.84154858905991503</c:v>
                      </c:pt>
                      <c:pt idx="16">
                        <c:v>0.93207066461673538</c:v>
                      </c:pt>
                      <c:pt idx="17">
                        <c:v>0.97930067189759828</c:v>
                      </c:pt>
                      <c:pt idx="18">
                        <c:v>0.99111111132172969</c:v>
                      </c:pt>
                      <c:pt idx="19">
                        <c:v>0.97900573959381898</c:v>
                      </c:pt>
                      <c:pt idx="20">
                        <c:v>0.95253647806832209</c:v>
                      </c:pt>
                      <c:pt idx="21">
                        <c:v>0.91795258887470421</c:v>
                      </c:pt>
                      <c:pt idx="22">
                        <c:v>0.88016736964733333</c:v>
                      </c:pt>
                      <c:pt idx="23">
                        <c:v>0.8433337698836807</c:v>
                      </c:pt>
                      <c:pt idx="24">
                        <c:v>0.8113286356308036</c:v>
                      </c:pt>
                      <c:pt idx="25">
                        <c:v>0.78666215858507194</c:v>
                      </c:pt>
                      <c:pt idx="26">
                        <c:v>0.7738613688534679</c:v>
                      </c:pt>
                      <c:pt idx="27">
                        <c:v>0.77192501300304972</c:v>
                      </c:pt>
                      <c:pt idx="28">
                        <c:v>0.78402715705641057</c:v>
                      </c:pt>
                      <c:pt idx="29">
                        <c:v>0.81464814925731321</c:v>
                      </c:pt>
                      <c:pt idx="30">
                        <c:v>0.86777573963228161</c:v>
                      </c:pt>
                      <c:pt idx="31">
                        <c:v>0.94646455425555498</c:v>
                      </c:pt>
                      <c:pt idx="32">
                        <c:v>1.0538629188955539</c:v>
                      </c:pt>
                      <c:pt idx="33">
                        <c:v>1.1943606380804273</c:v>
                      </c:pt>
                      <c:pt idx="34">
                        <c:v>1.374327083457727</c:v>
                      </c:pt>
                      <c:pt idx="35">
                        <c:v>1.6026741447201287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4.4833487150658156E-10</c:v>
                      </c:pt>
                      <c:pt idx="2">
                        <c:v>8.8255542918011358E-10</c:v>
                      </c:pt>
                      <c:pt idx="3">
                        <c:v>1.3018138083390684E-9</c:v>
                      </c:pt>
                      <c:pt idx="4">
                        <c:v>1.7059750869438073E-9</c:v>
                      </c:pt>
                      <c:pt idx="5">
                        <c:v>2.5139789760404027E-9</c:v>
                      </c:pt>
                      <c:pt idx="6">
                        <c:v>7.2892850146234357E-3</c:v>
                      </c:pt>
                      <c:pt idx="7">
                        <c:v>-4.966432986799358E-2</c:v>
                      </c:pt>
                      <c:pt idx="8">
                        <c:v>-8.8609412930934273E-2</c:v>
                      </c:pt>
                      <c:pt idx="9">
                        <c:v>-9.7962469470296548E-2</c:v>
                      </c:pt>
                      <c:pt idx="10">
                        <c:v>-8.9020453639083383E-2</c:v>
                      </c:pt>
                      <c:pt idx="11">
                        <c:v>-5.1127265390929044E-2</c:v>
                      </c:pt>
                      <c:pt idx="12">
                        <c:v>-8.1382860592386485E-3</c:v>
                      </c:pt>
                      <c:pt idx="13">
                        <c:v>2.7491472480141711E-2</c:v>
                      </c:pt>
                      <c:pt idx="14">
                        <c:v>5.3361581298563075E-2</c:v>
                      </c:pt>
                      <c:pt idx="15">
                        <c:v>7.1026020330391099E-2</c:v>
                      </c:pt>
                      <c:pt idx="16">
                        <c:v>6.6287277542660394E-2</c:v>
                      </c:pt>
                      <c:pt idx="17">
                        <c:v>5.2074133958039809E-2</c:v>
                      </c:pt>
                      <c:pt idx="18">
                        <c:v>3.7894739765194994E-2</c:v>
                      </c:pt>
                      <c:pt idx="19">
                        <c:v>2.7511329503952759E-2</c:v>
                      </c:pt>
                      <c:pt idx="20">
                        <c:v>2.1345315160636875E-2</c:v>
                      </c:pt>
                      <c:pt idx="21">
                        <c:v>1.8520189472215589E-2</c:v>
                      </c:pt>
                      <c:pt idx="22">
                        <c:v>1.7870376971095114E-2</c:v>
                      </c:pt>
                      <c:pt idx="23">
                        <c:v>1.8743048180181313E-2</c:v>
                      </c:pt>
                      <c:pt idx="24">
                        <c:v>2.0707504113632275E-2</c:v>
                      </c:pt>
                      <c:pt idx="25">
                        <c:v>2.3238184388898759E-2</c:v>
                      </c:pt>
                      <c:pt idx="26">
                        <c:v>2.5816416935166547E-2</c:v>
                      </c:pt>
                      <c:pt idx="27">
                        <c:v>2.8023318993263605E-2</c:v>
                      </c:pt>
                      <c:pt idx="28">
                        <c:v>3.0481191535583738E-2</c:v>
                      </c:pt>
                      <c:pt idx="29">
                        <c:v>3.3779589777695594E-2</c:v>
                      </c:pt>
                      <c:pt idx="30">
                        <c:v>3.8200078646671284E-2</c:v>
                      </c:pt>
                      <c:pt idx="31">
                        <c:v>4.374982328543086E-2</c:v>
                      </c:pt>
                      <c:pt idx="32">
                        <c:v>5.0541852953668802E-2</c:v>
                      </c:pt>
                      <c:pt idx="33">
                        <c:v>5.9162055615531263E-2</c:v>
                      </c:pt>
                      <c:pt idx="34">
                        <c:v>7.0327602476037449E-2</c:v>
                      </c:pt>
                      <c:pt idx="35">
                        <c:v>8.4748563501460664E-2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4.189966151812996E-8</c:v>
                </c:pt>
                <c:pt idx="6">
                  <c:v>2.6451680448857928E-2</c:v>
                </c:pt>
                <c:pt idx="7">
                  <c:v>-0.15565591366692999</c:v>
                </c:pt>
                <c:pt idx="8">
                  <c:v>-0.32186234162195904</c:v>
                </c:pt>
                <c:pt idx="9">
                  <c:v>-0.12420399640338253</c:v>
                </c:pt>
                <c:pt idx="10">
                  <c:v>9.8600801079706812E-2</c:v>
                </c:pt>
                <c:pt idx="11">
                  <c:v>0.30532883553020529</c:v>
                </c:pt>
                <c:pt idx="12">
                  <c:v>0.48520094102038058</c:v>
                </c:pt>
                <c:pt idx="13">
                  <c:v>0.64779487227404342</c:v>
                </c:pt>
                <c:pt idx="14">
                  <c:v>0.81299232965130752</c:v>
                </c:pt>
                <c:pt idx="15">
                  <c:v>0.97990508546070831</c:v>
                </c:pt>
                <c:pt idx="16">
                  <c:v>1.096498022914405</c:v>
                </c:pt>
                <c:pt idx="17">
                  <c:v>1.1724440438024786</c:v>
                </c:pt>
                <c:pt idx="18">
                  <c:v>1.2159579893547878</c:v>
                </c:pt>
                <c:pt idx="19">
                  <c:v>1.2379319034204972</c:v>
                </c:pt>
                <c:pt idx="20">
                  <c:v>1.2472318505114766</c:v>
                </c:pt>
                <c:pt idx="21">
                  <c:v>1.2488008570635589</c:v>
                </c:pt>
                <c:pt idx="22">
                  <c:v>1.2470361271508912</c:v>
                </c:pt>
                <c:pt idx="23">
                  <c:v>1.2458265970272109</c:v>
                </c:pt>
                <c:pt idx="24">
                  <c:v>1.2488462631096375</c:v>
                </c:pt>
                <c:pt idx="25">
                  <c:v>1.2591457289297781</c:v>
                </c:pt>
                <c:pt idx="26">
                  <c:v>1.2795069228018541</c:v>
                </c:pt>
                <c:pt idx="27">
                  <c:v>1.3096553926756238</c:v>
                </c:pt>
                <c:pt idx="28">
                  <c:v>1.3537455737539839</c:v>
                </c:pt>
                <c:pt idx="29">
                  <c:v>1.4172629264254111</c:v>
                </c:pt>
                <c:pt idx="30">
                  <c:v>1.5054165799928132</c:v>
                </c:pt>
                <c:pt idx="31">
                  <c:v>1.6227132461245075</c:v>
                </c:pt>
                <c:pt idx="32">
                  <c:v>1.7744441417009149</c:v>
                </c:pt>
                <c:pt idx="33">
                  <c:v>1.9684968828021843</c:v>
                </c:pt>
                <c:pt idx="34">
                  <c:v>2.2161472996350184</c:v>
                </c:pt>
                <c:pt idx="35">
                  <c:v>2.5334746559109611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1.8946655471911544</c:v>
                </c:pt>
                <c:pt idx="2">
                  <c:v>1.8597589983630813</c:v>
                </c:pt>
                <c:pt idx="3">
                  <c:v>1.927605322175685</c:v>
                </c:pt>
                <c:pt idx="4">
                  <c:v>1.7501357633631365</c:v>
                </c:pt>
                <c:pt idx="5">
                  <c:v>1.727507257428007</c:v>
                </c:pt>
                <c:pt idx="6">
                  <c:v>1.8091964912787528</c:v>
                </c:pt>
                <c:pt idx="7">
                  <c:v>1.8630043508713001</c:v>
                </c:pt>
                <c:pt idx="8">
                  <c:v>1.8962229949970544</c:v>
                </c:pt>
                <c:pt idx="9">
                  <c:v>1.9113676265937851</c:v>
                </c:pt>
                <c:pt idx="10">
                  <c:v>1.9133442837773629</c:v>
                </c:pt>
                <c:pt idx="11">
                  <c:v>1.8937713650924337</c:v>
                </c:pt>
                <c:pt idx="12">
                  <c:v>1.8501114555335985</c:v>
                </c:pt>
                <c:pt idx="13">
                  <c:v>1.7793735971053382</c:v>
                </c:pt>
                <c:pt idx="14">
                  <c:v>1.6956305855532205</c:v>
                </c:pt>
                <c:pt idx="15">
                  <c:v>1.6086375379622986</c:v>
                </c:pt>
                <c:pt idx="16">
                  <c:v>1.4400244292267717</c:v>
                </c:pt>
                <c:pt idx="17">
                  <c:v>1.300602391263439</c:v>
                </c:pt>
                <c:pt idx="18">
                  <c:v>1.1911513742415725</c:v>
                </c:pt>
                <c:pt idx="19">
                  <c:v>1.1133624073009551</c:v>
                </c:pt>
                <c:pt idx="20">
                  <c:v>1.0676149743315655</c:v>
                </c:pt>
                <c:pt idx="21">
                  <c:v>1.0468749957484702</c:v>
                </c:pt>
                <c:pt idx="22">
                  <c:v>1.0530686364333297</c:v>
                </c:pt>
                <c:pt idx="23">
                  <c:v>1.0871207762282564</c:v>
                </c:pt>
                <c:pt idx="24">
                  <c:v>1.1520494188806518</c:v>
                </c:pt>
                <c:pt idx="25">
                  <c:v>1.2489861345652997</c:v>
                </c:pt>
                <c:pt idx="26">
                  <c:v>1.3665039617474894</c:v>
                </c:pt>
                <c:pt idx="27">
                  <c:v>1.5018406018010744</c:v>
                </c:pt>
                <c:pt idx="28">
                  <c:v>1.6512648682515563</c:v>
                </c:pt>
                <c:pt idx="29">
                  <c:v>1.8012334485592918</c:v>
                </c:pt>
                <c:pt idx="30">
                  <c:v>1.9472859285082356</c:v>
                </c:pt>
                <c:pt idx="31">
                  <c:v>2.0844297008438817</c:v>
                </c:pt>
                <c:pt idx="32">
                  <c:v>2.2089984830750753</c:v>
                </c:pt>
                <c:pt idx="33">
                  <c:v>2.3180968634056498</c:v>
                </c:pt>
                <c:pt idx="34">
                  <c:v>2.4090995908005564</c:v>
                </c:pt>
                <c:pt idx="35">
                  <c:v>2.4798762719157263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1.8946655471911544</c:v>
                </c:pt>
                <c:pt idx="2">
                  <c:v>1.8597589983630813</c:v>
                </c:pt>
                <c:pt idx="3">
                  <c:v>1.927605418338918</c:v>
                </c:pt>
                <c:pt idx="4">
                  <c:v>1.7501356673673252</c:v>
                </c:pt>
                <c:pt idx="5">
                  <c:v>1.7275073501499039</c:v>
                </c:pt>
                <c:pt idx="6">
                  <c:v>1.723935197411075</c:v>
                </c:pt>
                <c:pt idx="7">
                  <c:v>2.68047656670094</c:v>
                </c:pt>
                <c:pt idx="8">
                  <c:v>2.569098983654694</c:v>
                </c:pt>
                <c:pt idx="9">
                  <c:v>2.6960174218253918</c:v>
                </c:pt>
                <c:pt idx="10">
                  <c:v>2.8204752805687017</c:v>
                </c:pt>
                <c:pt idx="11">
                  <c:v>2.6214014753898063</c:v>
                </c:pt>
                <c:pt idx="12">
                  <c:v>2.5185379787364237</c:v>
                </c:pt>
                <c:pt idx="13">
                  <c:v>2.3933324059829619</c:v>
                </c:pt>
                <c:pt idx="14">
                  <c:v>2.2523597976570775</c:v>
                </c:pt>
                <c:pt idx="15">
                  <c:v>2.1019431872766559</c:v>
                </c:pt>
                <c:pt idx="16">
                  <c:v>2.042109546344939</c:v>
                </c:pt>
                <c:pt idx="17">
                  <c:v>1.9178349111558912</c:v>
                </c:pt>
                <c:pt idx="18">
                  <c:v>1.788914063505187</c:v>
                </c:pt>
                <c:pt idx="19">
                  <c:v>1.6697759505480025</c:v>
                </c:pt>
                <c:pt idx="20">
                  <c:v>1.5687617862098824</c:v>
                </c:pt>
                <c:pt idx="21">
                  <c:v>1.4888528839714921</c:v>
                </c:pt>
                <c:pt idx="22">
                  <c:v>1.4317481585927938</c:v>
                </c:pt>
                <c:pt idx="23">
                  <c:v>1.3928330504936026</c:v>
                </c:pt>
                <c:pt idx="24">
                  <c:v>1.378294276346792</c:v>
                </c:pt>
                <c:pt idx="25">
                  <c:v>1.3926946757556014</c:v>
                </c:pt>
                <c:pt idx="26">
                  <c:v>1.4470513725096223</c:v>
                </c:pt>
                <c:pt idx="27">
                  <c:v>1.5377286116006417</c:v>
                </c:pt>
                <c:pt idx="28">
                  <c:v>1.6392977837553779</c:v>
                </c:pt>
                <c:pt idx="29">
                  <c:v>1.7449244151420018</c:v>
                </c:pt>
                <c:pt idx="30">
                  <c:v>1.8539378453059419</c:v>
                </c:pt>
                <c:pt idx="31">
                  <c:v>1.9718395392913646</c:v>
                </c:pt>
                <c:pt idx="32">
                  <c:v>2.0972550944447832</c:v>
                </c:pt>
                <c:pt idx="33">
                  <c:v>2.2190194540532726</c:v>
                </c:pt>
                <c:pt idx="34">
                  <c:v>2.3382134570948843</c:v>
                </c:pt>
                <c:pt idx="35">
                  <c:v>2.4581401013669568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348.0186405</c:v>
                </c:pt>
                <c:pt idx="1">
                  <c:v>347.12999430000002</c:v>
                </c:pt>
                <c:pt idx="2">
                  <c:v>345.9605952</c:v>
                </c:pt>
                <c:pt idx="3">
                  <c:v>344.35910669999998</c:v>
                </c:pt>
                <c:pt idx="4">
                  <c:v>344.5774715</c:v>
                </c:pt>
                <c:pt idx="5">
                  <c:v>346.16872840000002</c:v>
                </c:pt>
                <c:pt idx="6">
                  <c:v>347.92632329999998</c:v>
                </c:pt>
                <c:pt idx="7">
                  <c:v>349.72034289999999</c:v>
                </c:pt>
                <c:pt idx="8">
                  <c:v>351.50164360000002</c:v>
                </c:pt>
                <c:pt idx="9">
                  <c:v>353.28982330000002</c:v>
                </c:pt>
                <c:pt idx="10">
                  <c:v>355.24887619999998</c:v>
                </c:pt>
                <c:pt idx="11">
                  <c:v>357.20530939999998</c:v>
                </c:pt>
                <c:pt idx="12">
                  <c:v>359.11797109999998</c:v>
                </c:pt>
                <c:pt idx="13">
                  <c:v>360.80939890000002</c:v>
                </c:pt>
                <c:pt idx="14">
                  <c:v>362.35975730000001</c:v>
                </c:pt>
                <c:pt idx="15">
                  <c:v>363.87801560000003</c:v>
                </c:pt>
                <c:pt idx="16">
                  <c:v>365.97578479999999</c:v>
                </c:pt>
                <c:pt idx="17">
                  <c:v>368.67938429999998</c:v>
                </c:pt>
                <c:pt idx="18">
                  <c:v>371.98520710000003</c:v>
                </c:pt>
                <c:pt idx="19">
                  <c:v>375.86559579999999</c:v>
                </c:pt>
                <c:pt idx="20">
                  <c:v>380.21485749999999</c:v>
                </c:pt>
                <c:pt idx="21">
                  <c:v>385.15684909999999</c:v>
                </c:pt>
                <c:pt idx="22">
                  <c:v>390.70405970000002</c:v>
                </c:pt>
                <c:pt idx="23">
                  <c:v>396.88048500000002</c:v>
                </c:pt>
                <c:pt idx="24">
                  <c:v>403.68621189999999</c:v>
                </c:pt>
                <c:pt idx="25">
                  <c:v>410.86503329999999</c:v>
                </c:pt>
                <c:pt idx="26">
                  <c:v>418.67284890000002</c:v>
                </c:pt>
                <c:pt idx="27">
                  <c:v>427.1388177</c:v>
                </c:pt>
                <c:pt idx="28">
                  <c:v>436.27647080000003</c:v>
                </c:pt>
                <c:pt idx="29">
                  <c:v>446.02465369999999</c:v>
                </c:pt>
                <c:pt idx="30">
                  <c:v>456.27840359999999</c:v>
                </c:pt>
                <c:pt idx="31">
                  <c:v>466.93267020000002</c:v>
                </c:pt>
                <c:pt idx="32">
                  <c:v>477.8952453</c:v>
                </c:pt>
                <c:pt idx="33">
                  <c:v>489.07739299999997</c:v>
                </c:pt>
                <c:pt idx="34">
                  <c:v>500.38850439999999</c:v>
                </c:pt>
                <c:pt idx="35">
                  <c:v>511.73421080000003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348.01866310000003</c:v>
                </c:pt>
                <c:pt idx="1">
                  <c:v>347.13001630000002</c:v>
                </c:pt>
                <c:pt idx="2">
                  <c:v>345.96061659999998</c:v>
                </c:pt>
                <c:pt idx="3">
                  <c:v>344.35912739999998</c:v>
                </c:pt>
                <c:pt idx="4">
                  <c:v>344.57749189999998</c:v>
                </c:pt>
                <c:pt idx="5">
                  <c:v>346.16874860000001</c:v>
                </c:pt>
                <c:pt idx="6">
                  <c:v>348.70130710000001</c:v>
                </c:pt>
                <c:pt idx="7">
                  <c:v>337.30918020000001</c:v>
                </c:pt>
                <c:pt idx="8">
                  <c:v>325.61488789999999</c:v>
                </c:pt>
                <c:pt idx="9">
                  <c:v>315.10348670000002</c:v>
                </c:pt>
                <c:pt idx="10">
                  <c:v>305.28161669999997</c:v>
                </c:pt>
                <c:pt idx="11">
                  <c:v>296.7859393</c:v>
                </c:pt>
                <c:pt idx="12">
                  <c:v>289.0922127</c:v>
                </c:pt>
                <c:pt idx="13">
                  <c:v>281.82070520000002</c:v>
                </c:pt>
                <c:pt idx="14">
                  <c:v>274.91570100000001</c:v>
                </c:pt>
                <c:pt idx="15">
                  <c:v>268.32461380000001</c:v>
                </c:pt>
                <c:pt idx="16">
                  <c:v>261.59106459999998</c:v>
                </c:pt>
                <c:pt idx="17">
                  <c:v>254.86074819999999</c:v>
                </c:pt>
                <c:pt idx="18">
                  <c:v>248.2264586</c:v>
                </c:pt>
                <c:pt idx="19">
                  <c:v>241.73864309999999</c:v>
                </c:pt>
                <c:pt idx="20">
                  <c:v>235.37436500000001</c:v>
                </c:pt>
                <c:pt idx="21">
                  <c:v>229.237133</c:v>
                </c:pt>
                <c:pt idx="22">
                  <c:v>223.32188439999999</c:v>
                </c:pt>
                <c:pt idx="23">
                  <c:v>217.60745349999999</c:v>
                </c:pt>
                <c:pt idx="24">
                  <c:v>212.0539058</c:v>
                </c:pt>
                <c:pt idx="25">
                  <c:v>206.48555350000001</c:v>
                </c:pt>
                <c:pt idx="26">
                  <c:v>201.0132648</c:v>
                </c:pt>
                <c:pt idx="27">
                  <c:v>195.6176111</c:v>
                </c:pt>
                <c:pt idx="28">
                  <c:v>190.2404037</c:v>
                </c:pt>
                <c:pt idx="29">
                  <c:v>184.77860390000001</c:v>
                </c:pt>
                <c:pt idx="30">
                  <c:v>179.11036469999999</c:v>
                </c:pt>
                <c:pt idx="31">
                  <c:v>173.12295700000001</c:v>
                </c:pt>
                <c:pt idx="32">
                  <c:v>166.70855589999999</c:v>
                </c:pt>
                <c:pt idx="33">
                  <c:v>159.7428702</c:v>
                </c:pt>
                <c:pt idx="34">
                  <c:v>152.0770368</c:v>
                </c:pt>
                <c:pt idx="35">
                  <c:v>143.5138044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118.3749048</c:v>
                </c:pt>
                <c:pt idx="2">
                  <c:v>117.1349348</c:v>
                </c:pt>
                <c:pt idx="3">
                  <c:v>115.9255994</c:v>
                </c:pt>
                <c:pt idx="4">
                  <c:v>115.35153750000001</c:v>
                </c:pt>
                <c:pt idx="5">
                  <c:v>115.169391</c:v>
                </c:pt>
                <c:pt idx="6">
                  <c:v>114.939714</c:v>
                </c:pt>
                <c:pt idx="7">
                  <c:v>114.7019439</c:v>
                </c:pt>
                <c:pt idx="8">
                  <c:v>114.4740307</c:v>
                </c:pt>
                <c:pt idx="9">
                  <c:v>114.2691679</c:v>
                </c:pt>
                <c:pt idx="10">
                  <c:v>114.1311142</c:v>
                </c:pt>
                <c:pt idx="11">
                  <c:v>113.9983428</c:v>
                </c:pt>
                <c:pt idx="12">
                  <c:v>113.87726019999999</c:v>
                </c:pt>
                <c:pt idx="13">
                  <c:v>113.77051729999999</c:v>
                </c:pt>
                <c:pt idx="14">
                  <c:v>113.674621</c:v>
                </c:pt>
                <c:pt idx="15">
                  <c:v>113.5831357</c:v>
                </c:pt>
                <c:pt idx="16">
                  <c:v>113.6596541</c:v>
                </c:pt>
                <c:pt idx="17">
                  <c:v>113.82774089999999</c:v>
                </c:pt>
                <c:pt idx="18">
                  <c:v>114.0399778</c:v>
                </c:pt>
                <c:pt idx="19">
                  <c:v>114.2679752</c:v>
                </c:pt>
                <c:pt idx="20">
                  <c:v>114.47063799999999</c:v>
                </c:pt>
                <c:pt idx="21">
                  <c:v>114.68242739999999</c:v>
                </c:pt>
                <c:pt idx="22">
                  <c:v>114.9056582</c:v>
                </c:pt>
                <c:pt idx="23">
                  <c:v>115.1507569</c:v>
                </c:pt>
                <c:pt idx="24">
                  <c:v>115.421949</c:v>
                </c:pt>
                <c:pt idx="25">
                  <c:v>115.6454178</c:v>
                </c:pt>
                <c:pt idx="26">
                  <c:v>115.89281750000001</c:v>
                </c:pt>
                <c:pt idx="27">
                  <c:v>116.1630311</c:v>
                </c:pt>
                <c:pt idx="28">
                  <c:v>116.457621</c:v>
                </c:pt>
                <c:pt idx="29">
                  <c:v>116.78006670000001</c:v>
                </c:pt>
                <c:pt idx="30">
                  <c:v>117.13215030000001</c:v>
                </c:pt>
                <c:pt idx="31">
                  <c:v>117.51071880000001</c:v>
                </c:pt>
                <c:pt idx="32">
                  <c:v>117.91002349999999</c:v>
                </c:pt>
                <c:pt idx="33">
                  <c:v>118.3231294</c:v>
                </c:pt>
                <c:pt idx="34">
                  <c:v>118.7418685</c:v>
                </c:pt>
                <c:pt idx="35">
                  <c:v>119.1570694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118.3749116</c:v>
                </c:pt>
                <c:pt idx="2">
                  <c:v>117.13494129999999</c:v>
                </c:pt>
                <c:pt idx="3">
                  <c:v>115.92560570000001</c:v>
                </c:pt>
                <c:pt idx="4">
                  <c:v>115.3515438</c:v>
                </c:pt>
                <c:pt idx="5">
                  <c:v>115.16939720000001</c:v>
                </c:pt>
                <c:pt idx="6">
                  <c:v>115.2068263</c:v>
                </c:pt>
                <c:pt idx="7">
                  <c:v>110.6811704</c:v>
                </c:pt>
                <c:pt idx="8">
                  <c:v>106.1878014</c:v>
                </c:pt>
                <c:pt idx="9">
                  <c:v>101.6806292</c:v>
                </c:pt>
                <c:pt idx="10">
                  <c:v>97.184057449999997</c:v>
                </c:pt>
                <c:pt idx="11">
                  <c:v>92.996080770000006</c:v>
                </c:pt>
                <c:pt idx="12">
                  <c:v>89.029547890000003</c:v>
                </c:pt>
                <c:pt idx="13">
                  <c:v>85.255311410000004</c:v>
                </c:pt>
                <c:pt idx="14">
                  <c:v>81.646300749999995</c:v>
                </c:pt>
                <c:pt idx="15">
                  <c:v>78.17163687</c:v>
                </c:pt>
                <c:pt idx="16">
                  <c:v>74.686761610000005</c:v>
                </c:pt>
                <c:pt idx="17">
                  <c:v>71.22572418</c:v>
                </c:pt>
                <c:pt idx="18">
                  <c:v>67.797809869999995</c:v>
                </c:pt>
                <c:pt idx="19">
                  <c:v>64.407723379999993</c:v>
                </c:pt>
                <c:pt idx="20">
                  <c:v>61.042861709999997</c:v>
                </c:pt>
                <c:pt idx="21">
                  <c:v>57.733684750000002</c:v>
                </c:pt>
                <c:pt idx="22">
                  <c:v>54.471931320000003</c:v>
                </c:pt>
                <c:pt idx="23">
                  <c:v>51.254453439999999</c:v>
                </c:pt>
                <c:pt idx="24">
                  <c:v>48.080268119999999</c:v>
                </c:pt>
                <c:pt idx="25">
                  <c:v>44.909883000000001</c:v>
                </c:pt>
                <c:pt idx="26">
                  <c:v>41.783227750000002</c:v>
                </c:pt>
                <c:pt idx="27">
                  <c:v>38.6948273</c:v>
                </c:pt>
                <c:pt idx="28">
                  <c:v>35.639473160000001</c:v>
                </c:pt>
                <c:pt idx="29">
                  <c:v>32.61149116</c:v>
                </c:pt>
                <c:pt idx="30">
                  <c:v>29.60417739</c:v>
                </c:pt>
                <c:pt idx="31">
                  <c:v>26.609871989999998</c:v>
                </c:pt>
                <c:pt idx="32">
                  <c:v>23.62049983</c:v>
                </c:pt>
                <c:pt idx="33">
                  <c:v>20.628019340000002</c:v>
                </c:pt>
                <c:pt idx="34">
                  <c:v>17.624318299999999</c:v>
                </c:pt>
                <c:pt idx="35">
                  <c:v>14.600667639999999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228.5281699944</c:v>
                      </c:pt>
                      <c:pt idx="1">
                        <c:v>228.75510473380001</c:v>
                      </c:pt>
                      <c:pt idx="2">
                        <c:v>228.82567526560001</c:v>
                      </c:pt>
                      <c:pt idx="3">
                        <c:v>228.4335217579</c:v>
                      </c:pt>
                      <c:pt idx="4">
                        <c:v>229.22594806869998</c:v>
                      </c:pt>
                      <c:pt idx="5">
                        <c:v>230.99935138519999</c:v>
                      </c:pt>
                      <c:pt idx="6">
                        <c:v>233.4944808011</c:v>
                      </c:pt>
                      <c:pt idx="7">
                        <c:v>226.62800972830001</c:v>
                      </c:pt>
                      <c:pt idx="8">
                        <c:v>219.42708651620001</c:v>
                      </c:pt>
                      <c:pt idx="9">
                        <c:v>213.42285748449999</c:v>
                      </c:pt>
                      <c:pt idx="10">
                        <c:v>208.09755925019999</c:v>
                      </c:pt>
                      <c:pt idx="11">
                        <c:v>203.78985853090001</c:v>
                      </c:pt>
                      <c:pt idx="12">
                        <c:v>200.06266483550002</c:v>
                      </c:pt>
                      <c:pt idx="13">
                        <c:v>196.56539377570002</c:v>
                      </c:pt>
                      <c:pt idx="14">
                        <c:v>193.26940024859999</c:v>
                      </c:pt>
                      <c:pt idx="15">
                        <c:v>190.1529769441</c:v>
                      </c:pt>
                      <c:pt idx="16">
                        <c:v>186.90430305910002</c:v>
                      </c:pt>
                      <c:pt idx="17">
                        <c:v>183.63502406430001</c:v>
                      </c:pt>
                      <c:pt idx="18">
                        <c:v>180.42864868230001</c:v>
                      </c:pt>
                      <c:pt idx="19">
                        <c:v>177.33091975080001</c:v>
                      </c:pt>
                      <c:pt idx="20">
                        <c:v>174.3315032086</c:v>
                      </c:pt>
                      <c:pt idx="21">
                        <c:v>171.5034482332</c:v>
                      </c:pt>
                      <c:pt idx="22">
                        <c:v>168.84995306510001</c:v>
                      </c:pt>
                      <c:pt idx="23">
                        <c:v>166.35299999060001</c:v>
                      </c:pt>
                      <c:pt idx="24">
                        <c:v>163.9736376159</c:v>
                      </c:pt>
                      <c:pt idx="25">
                        <c:v>161.57567054629999</c:v>
                      </c:pt>
                      <c:pt idx="26">
                        <c:v>159.23003705540003</c:v>
                      </c:pt>
                      <c:pt idx="27">
                        <c:v>156.92278375109998</c:v>
                      </c:pt>
                      <c:pt idx="28">
                        <c:v>154.6009305794</c:v>
                      </c:pt>
                      <c:pt idx="29">
                        <c:v>152.1671127402</c:v>
                      </c:pt>
                      <c:pt idx="30">
                        <c:v>149.5061872853</c:v>
                      </c:pt>
                      <c:pt idx="31">
                        <c:v>146.51308507210001</c:v>
                      </c:pt>
                      <c:pt idx="32">
                        <c:v>143.08805602590002</c:v>
                      </c:pt>
                      <c:pt idx="33">
                        <c:v>139.11485084180001</c:v>
                      </c:pt>
                      <c:pt idx="34">
                        <c:v>134.45271850189999</c:v>
                      </c:pt>
                      <c:pt idx="35">
                        <c:v>128.9131367526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228.52815449439998</c:v>
                      </c:pt>
                      <c:pt idx="1">
                        <c:v>228.7550895338</c:v>
                      </c:pt>
                      <c:pt idx="2">
                        <c:v>228.82566036560002</c:v>
                      </c:pt>
                      <c:pt idx="3">
                        <c:v>228.43350736789998</c:v>
                      </c:pt>
                      <c:pt idx="4">
                        <c:v>229.22593396869999</c:v>
                      </c:pt>
                      <c:pt idx="5">
                        <c:v>230.99933738519999</c:v>
                      </c:pt>
                      <c:pt idx="6">
                        <c:v>232.98660920560002</c:v>
                      </c:pt>
                      <c:pt idx="7">
                        <c:v>235.01839898100002</c:v>
                      </c:pt>
                      <c:pt idx="8">
                        <c:v>237.02761295720001</c:v>
                      </c:pt>
                      <c:pt idx="9">
                        <c:v>239.0206554191</c:v>
                      </c:pt>
                      <c:pt idx="10">
                        <c:v>241.11776196420001</c:v>
                      </c:pt>
                      <c:pt idx="11">
                        <c:v>243.20696650849999</c:v>
                      </c:pt>
                      <c:pt idx="12">
                        <c:v>245.24071089980001</c:v>
                      </c:pt>
                      <c:pt idx="13">
                        <c:v>247.03888163709999</c:v>
                      </c:pt>
                      <c:pt idx="14">
                        <c:v>248.68513630470002</c:v>
                      </c:pt>
                      <c:pt idx="15">
                        <c:v>250.2948798795</c:v>
                      </c:pt>
                      <c:pt idx="16">
                        <c:v>252.31613075039999</c:v>
                      </c:pt>
                      <c:pt idx="17">
                        <c:v>254.85164334040002</c:v>
                      </c:pt>
                      <c:pt idx="18">
                        <c:v>257.94522929969997</c:v>
                      </c:pt>
                      <c:pt idx="19">
                        <c:v>261.59762058770002</c:v>
                      </c:pt>
                      <c:pt idx="20">
                        <c:v>265.74421952400002</c:v>
                      </c:pt>
                      <c:pt idx="21">
                        <c:v>270.47442166500002</c:v>
                      </c:pt>
                      <c:pt idx="22">
                        <c:v>275.79840143780001</c:v>
                      </c:pt>
                      <c:pt idx="23">
                        <c:v>281.7297281287</c:v>
                      </c:pt>
                      <c:pt idx="24">
                        <c:v>288.26426298539997</c:v>
                      </c:pt>
                      <c:pt idx="25">
                        <c:v>295.21961548230001</c:v>
                      </c:pt>
                      <c:pt idx="26">
                        <c:v>302.78003133129999</c:v>
                      </c:pt>
                      <c:pt idx="27">
                        <c:v>310.97578663950003</c:v>
                      </c:pt>
                      <c:pt idx="28">
                        <c:v>319.81884975200001</c:v>
                      </c:pt>
                      <c:pt idx="29">
                        <c:v>329.24458698579997</c:v>
                      </c:pt>
                      <c:pt idx="30">
                        <c:v>339.1462532969</c:v>
                      </c:pt>
                      <c:pt idx="31">
                        <c:v>349.42195140260003</c:v>
                      </c:pt>
                      <c:pt idx="32">
                        <c:v>359.98522190699998</c:v>
                      </c:pt>
                      <c:pt idx="33">
                        <c:v>370.75426363950004</c:v>
                      </c:pt>
                      <c:pt idx="34">
                        <c:v>381.6466358294</c:v>
                      </c:pt>
                      <c:pt idx="35">
                        <c:v>392.57714142909998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6.1845112585886993E-12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4.3797741098325395E-5</c:v>
                </c:pt>
                <c:pt idx="7">
                  <c:v>-1.1113923610095106E-3</c:v>
                </c:pt>
                <c:pt idx="8">
                  <c:v>-2.3990856331545956E-3</c:v>
                </c:pt>
                <c:pt idx="9">
                  <c:v>-3.4741334315644204E-3</c:v>
                </c:pt>
                <c:pt idx="10">
                  <c:v>-4.4647229643635751E-3</c:v>
                </c:pt>
                <c:pt idx="11">
                  <c:v>-5.226881595908197E-3</c:v>
                </c:pt>
                <c:pt idx="12">
                  <c:v>-5.8404334733633788E-3</c:v>
                </c:pt>
                <c:pt idx="13">
                  <c:v>-6.3404828936651494E-3</c:v>
                </c:pt>
                <c:pt idx="14">
                  <c:v>-6.7474706465705378E-3</c:v>
                </c:pt>
                <c:pt idx="15">
                  <c:v>-7.0850935467431791E-3</c:v>
                </c:pt>
                <c:pt idx="16">
                  <c:v>-7.493772144984116E-3</c:v>
                </c:pt>
                <c:pt idx="17">
                  <c:v>-7.9708225928784397E-3</c:v>
                </c:pt>
                <c:pt idx="18">
                  <c:v>-8.4991175492547012E-3</c:v>
                </c:pt>
                <c:pt idx="19">
                  <c:v>-9.0604489925144305E-3</c:v>
                </c:pt>
                <c:pt idx="20">
                  <c:v>-9.6405656116606651E-3</c:v>
                </c:pt>
                <c:pt idx="21">
                  <c:v>-1.0224570120694196E-2</c:v>
                </c:pt>
                <c:pt idx="22">
                  <c:v>-1.0803977810775526E-2</c:v>
                </c:pt>
                <c:pt idx="23">
                  <c:v>-1.1373258137714906E-2</c:v>
                </c:pt>
                <c:pt idx="24">
                  <c:v>-1.192804399855288E-2</c:v>
                </c:pt>
                <c:pt idx="25">
                  <c:v>-1.2470051556414428E-2</c:v>
                </c:pt>
                <c:pt idx="26">
                  <c:v>-1.2992757485725129E-2</c:v>
                </c:pt>
                <c:pt idx="27">
                  <c:v>-1.3491491391425772E-2</c:v>
                </c:pt>
                <c:pt idx="28">
                  <c:v>-1.3966245865799851E-2</c:v>
                </c:pt>
                <c:pt idx="29">
                  <c:v>-1.4415265038495223E-2</c:v>
                </c:pt>
                <c:pt idx="30">
                  <c:v>-1.4835670192754323E-2</c:v>
                </c:pt>
                <c:pt idx="31">
                  <c:v>-1.522406884318687E-2</c:v>
                </c:pt>
                <c:pt idx="32">
                  <c:v>-1.5577174430478952E-2</c:v>
                </c:pt>
                <c:pt idx="33">
                  <c:v>-1.5892419367170112E-2</c:v>
                </c:pt>
                <c:pt idx="34">
                  <c:v>-1.6165679315833039E-2</c:v>
                </c:pt>
                <c:pt idx="35">
                  <c:v>-1.6389538723439515E-2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0</c:v>
                </c:pt>
                <c:pt idx="1">
                  <c:v>6.1728279760909291E-11</c:v>
                </c:pt>
                <c:pt idx="2">
                  <c:v>6.1039868021464101E-11</c:v>
                </c:pt>
                <c:pt idx="3">
                  <c:v>6.0997555424055395E-11</c:v>
                </c:pt>
                <c:pt idx="4">
                  <c:v>1.221327749887802E-10</c:v>
                </c:pt>
                <c:pt idx="5">
                  <c:v>1.8231056927044184E-10</c:v>
                </c:pt>
                <c:pt idx="6">
                  <c:v>1.8795652138070673E-4</c:v>
                </c:pt>
                <c:pt idx="7">
                  <c:v>-3.1500191024668544E-3</c:v>
                </c:pt>
                <c:pt idx="8">
                  <c:v>-7.2348994263808667E-3</c:v>
                </c:pt>
                <c:pt idx="9">
                  <c:v>-1.060438115745979E-2</c:v>
                </c:pt>
                <c:pt idx="10">
                  <c:v>-1.375981817533593E-2</c:v>
                </c:pt>
                <c:pt idx="11">
                  <c:v>-1.6174512479532391E-2</c:v>
                </c:pt>
                <c:pt idx="12">
                  <c:v>-1.7986767564750136E-2</c:v>
                </c:pt>
                <c:pt idx="13">
                  <c:v>-1.9281503351571406E-2</c:v>
                </c:pt>
                <c:pt idx="14">
                  <c:v>-2.0108420695742403E-2</c:v>
                </c:pt>
                <c:pt idx="15">
                  <c:v>-2.0558702383894938E-2</c:v>
                </c:pt>
                <c:pt idx="16">
                  <c:v>-2.1145333228312694E-2</c:v>
                </c:pt>
                <c:pt idx="17">
                  <c:v>-2.1980262609793556E-2</c:v>
                </c:pt>
                <c:pt idx="18">
                  <c:v>-2.3021241907971571E-2</c:v>
                </c:pt>
                <c:pt idx="19">
                  <c:v>-2.4180975256755138E-2</c:v>
                </c:pt>
                <c:pt idx="20">
                  <c:v>-2.5371925551973148E-2</c:v>
                </c:pt>
                <c:pt idx="21">
                  <c:v>-2.6510461489281517E-2</c:v>
                </c:pt>
                <c:pt idx="22">
                  <c:v>-2.7542850722291835E-2</c:v>
                </c:pt>
                <c:pt idx="23">
                  <c:v>-2.8430079824302262E-2</c:v>
                </c:pt>
                <c:pt idx="24">
                  <c:v>-2.9138574488739119E-2</c:v>
                </c:pt>
                <c:pt idx="25">
                  <c:v>-2.9645943143126959E-2</c:v>
                </c:pt>
                <c:pt idx="26">
                  <c:v>-2.9898402411771861E-2</c:v>
                </c:pt>
                <c:pt idx="27">
                  <c:v>-2.9839475661842793E-2</c:v>
                </c:pt>
                <c:pt idx="28">
                  <c:v>-2.9429592553202662E-2</c:v>
                </c:pt>
                <c:pt idx="29">
                  <c:v>-2.8626161401829772E-2</c:v>
                </c:pt>
                <c:pt idx="30">
                  <c:v>-2.7374077433737442E-2</c:v>
                </c:pt>
                <c:pt idx="31">
                  <c:v>-2.5589672736355835E-2</c:v>
                </c:pt>
                <c:pt idx="32">
                  <c:v>-2.3154125942681816E-2</c:v>
                </c:pt>
                <c:pt idx="33">
                  <c:v>-1.991026578444478E-2</c:v>
                </c:pt>
                <c:pt idx="34">
                  <c:v>-1.5628584686685806E-2</c:v>
                </c:pt>
                <c:pt idx="35">
                  <c:v>-9.9513825844536209E-3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-4.9476085674350404E-10</c:v>
                </c:pt>
                <c:pt idx="1">
                  <c:v>-1.6049351422019102E-9</c:v>
                </c:pt>
                <c:pt idx="2">
                  <c:v>-2.5895704040852605E-9</c:v>
                </c:pt>
                <c:pt idx="3">
                  <c:v>-3.6968192444372507E-9</c:v>
                </c:pt>
                <c:pt idx="4">
                  <c:v>-4.2347515147140746E-9</c:v>
                </c:pt>
                <c:pt idx="5">
                  <c:v>-4.5120340773228661E-9</c:v>
                </c:pt>
                <c:pt idx="6">
                  <c:v>1.8048578406906325E-3</c:v>
                </c:pt>
                <c:pt idx="7">
                  <c:v>-2.9094103321752837E-3</c:v>
                </c:pt>
                <c:pt idx="8">
                  <c:v>-7.1773194404561053E-3</c:v>
                </c:pt>
                <c:pt idx="9">
                  <c:v>-1.0075707003008876E-2</c:v>
                </c:pt>
                <c:pt idx="10">
                  <c:v>-1.213197414023057E-2</c:v>
                </c:pt>
                <c:pt idx="11">
                  <c:v>-1.2455025009230923E-2</c:v>
                </c:pt>
                <c:pt idx="12">
                  <c:v>-1.1844583803685188E-2</c:v>
                </c:pt>
                <c:pt idx="13">
                  <c:v>-1.0680655977441294E-2</c:v>
                </c:pt>
                <c:pt idx="14">
                  <c:v>-9.1286843094564481E-3</c:v>
                </c:pt>
                <c:pt idx="15">
                  <c:v>-7.2935388994830666E-3</c:v>
                </c:pt>
                <c:pt idx="16">
                  <c:v>-6.7298291507523452E-3</c:v>
                </c:pt>
                <c:pt idx="17">
                  <c:v>-6.8109056727073038E-3</c:v>
                </c:pt>
                <c:pt idx="18">
                  <c:v>-7.1820928661911112E-3</c:v>
                </c:pt>
                <c:pt idx="19">
                  <c:v>-7.6392271981619358E-3</c:v>
                </c:pt>
                <c:pt idx="20">
                  <c:v>-8.0588064858325894E-3</c:v>
                </c:pt>
                <c:pt idx="21">
                  <c:v>-8.3605245882876298E-3</c:v>
                </c:pt>
                <c:pt idx="22">
                  <c:v>-8.5242605032027803E-3</c:v>
                </c:pt>
                <c:pt idx="23">
                  <c:v>-8.5388525962754192E-3</c:v>
                </c:pt>
                <c:pt idx="24">
                  <c:v>-8.3754936709058252E-3</c:v>
                </c:pt>
                <c:pt idx="25">
                  <c:v>-8.0005831375645018E-3</c:v>
                </c:pt>
                <c:pt idx="26">
                  <c:v>-7.3766928388166262E-3</c:v>
                </c:pt>
                <c:pt idx="27">
                  <c:v>-6.4453888722335369E-3</c:v>
                </c:pt>
                <c:pt idx="28">
                  <c:v>-5.1631937525005297E-3</c:v>
                </c:pt>
                <c:pt idx="29">
                  <c:v>-3.4814566280626166E-3</c:v>
                </c:pt>
                <c:pt idx="30">
                  <c:v>-1.3338988192175734E-3</c:v>
                </c:pt>
                <c:pt idx="31">
                  <c:v>1.3772762744751743E-3</c:v>
                </c:pt>
                <c:pt idx="32">
                  <c:v>4.7855830658680917E-3</c:v>
                </c:pt>
                <c:pt idx="33">
                  <c:v>9.0723549181420185E-3</c:v>
                </c:pt>
                <c:pt idx="34">
                  <c:v>1.4502785738837187E-2</c:v>
                </c:pt>
                <c:pt idx="35">
                  <c:v>2.1489444524979032E-2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6.1845112585886994E-11</c:v>
                </c:pt>
                <c:pt idx="1">
                  <c:v>6.1728279760909291E-11</c:v>
                </c:pt>
                <c:pt idx="2">
                  <c:v>6.1656443407926955E-11</c:v>
                </c:pt>
                <c:pt idx="3">
                  <c:v>1.2322731836303971E-10</c:v>
                </c:pt>
                <c:pt idx="4">
                  <c:v>1.2274643082841695E-10</c:v>
                </c:pt>
                <c:pt idx="5">
                  <c:v>6.097343816103656E-11</c:v>
                </c:pt>
                <c:pt idx="6">
                  <c:v>-1.1534323848236475E-4</c:v>
                </c:pt>
                <c:pt idx="7">
                  <c:v>1.5279486014247404E-3</c:v>
                </c:pt>
                <c:pt idx="8">
                  <c:v>2.4977286728916606E-3</c:v>
                </c:pt>
                <c:pt idx="9">
                  <c:v>3.5034845546189652E-3</c:v>
                </c:pt>
                <c:pt idx="10">
                  <c:v>4.0190692806617292E-3</c:v>
                </c:pt>
                <c:pt idx="11">
                  <c:v>3.3739149935638228E-3</c:v>
                </c:pt>
                <c:pt idx="12">
                  <c:v>2.2182879432704984E-3</c:v>
                </c:pt>
                <c:pt idx="13">
                  <c:v>9.4864875959449089E-4</c:v>
                </c:pt>
                <c:pt idx="14">
                  <c:v>-2.1703005700410356E-4</c:v>
                </c:pt>
                <c:pt idx="15">
                  <c:v>-1.2222229620173102E-3</c:v>
                </c:pt>
                <c:pt idx="16">
                  <c:v>-1.738358040193214E-3</c:v>
                </c:pt>
                <c:pt idx="17">
                  <c:v>-2.1076518454239204E-3</c:v>
                </c:pt>
                <c:pt idx="18">
                  <c:v>-2.4909639194219783E-3</c:v>
                </c:pt>
                <c:pt idx="19">
                  <c:v>-2.9439162131990795E-3</c:v>
                </c:pt>
                <c:pt idx="20">
                  <c:v>-3.4684361986645671E-3</c:v>
                </c:pt>
                <c:pt idx="21">
                  <c:v>-4.0301281328861483E-3</c:v>
                </c:pt>
                <c:pt idx="22">
                  <c:v>-4.6031199255770257E-3</c:v>
                </c:pt>
                <c:pt idx="23">
                  <c:v>-5.1742248070523753E-3</c:v>
                </c:pt>
                <c:pt idx="24">
                  <c:v>-5.7258943797574343E-3</c:v>
                </c:pt>
                <c:pt idx="25">
                  <c:v>-6.24449389093828E-3</c:v>
                </c:pt>
                <c:pt idx="26">
                  <c:v>-6.6843007931965768E-3</c:v>
                </c:pt>
                <c:pt idx="27">
                  <c:v>-6.9942204074400164E-3</c:v>
                </c:pt>
                <c:pt idx="28">
                  <c:v>-7.1623545411930323E-3</c:v>
                </c:pt>
                <c:pt idx="29">
                  <c:v>-7.1829257731827294E-3</c:v>
                </c:pt>
                <c:pt idx="30">
                  <c:v>-7.047946862805324E-3</c:v>
                </c:pt>
                <c:pt idx="31">
                  <c:v>-6.7354687061930213E-3</c:v>
                </c:pt>
                <c:pt idx="32">
                  <c:v>-6.2142282028460581E-3</c:v>
                </c:pt>
                <c:pt idx="33">
                  <c:v>-5.4570306092260644E-3</c:v>
                </c:pt>
                <c:pt idx="34">
                  <c:v>-4.4244481795572728E-3</c:v>
                </c:pt>
                <c:pt idx="35">
                  <c:v>-3.047098050682406E-3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-6.1844892867927723E-12</c:v>
                </c:pt>
                <c:pt idx="1">
                  <c:v>-4.3209773902347933E-11</c:v>
                </c:pt>
                <c:pt idx="2">
                  <c:v>-8.0153354525537867E-11</c:v>
                </c:pt>
                <c:pt idx="3">
                  <c:v>-1.2938868428119169E-10</c:v>
                </c:pt>
                <c:pt idx="4">
                  <c:v>-1.5957031646865324E-10</c:v>
                </c:pt>
                <c:pt idx="5">
                  <c:v>-1.8901763663709835E-10</c:v>
                </c:pt>
                <c:pt idx="6">
                  <c:v>9.4382312040586951E-5</c:v>
                </c:pt>
                <c:pt idx="7">
                  <c:v>-1.6213585518975251E-3</c:v>
                </c:pt>
                <c:pt idx="8">
                  <c:v>-3.6519415914957102E-3</c:v>
                </c:pt>
                <c:pt idx="9">
                  <c:v>-5.3215595556733285E-3</c:v>
                </c:pt>
                <c:pt idx="10">
                  <c:v>-7.025025804287946E-3</c:v>
                </c:pt>
                <c:pt idx="11">
                  <c:v>-8.5097292603451748E-3</c:v>
                </c:pt>
                <c:pt idx="12">
                  <c:v>-9.8223100426501186E-3</c:v>
                </c:pt>
                <c:pt idx="13">
                  <c:v>-1.0945585552215196E-2</c:v>
                </c:pt>
                <c:pt idx="14">
                  <c:v>-1.1859547863532695E-2</c:v>
                </c:pt>
                <c:pt idx="15">
                  <c:v>-1.2588448903637457E-2</c:v>
                </c:pt>
                <c:pt idx="16">
                  <c:v>-1.3347064031658548E-2</c:v>
                </c:pt>
                <c:pt idx="17">
                  <c:v>-1.4185772009282754E-2</c:v>
                </c:pt>
                <c:pt idx="18">
                  <c:v>-1.5091928394032858E-2</c:v>
                </c:pt>
                <c:pt idx="19">
                  <c:v>-1.6033062164025128E-2</c:v>
                </c:pt>
                <c:pt idx="20">
                  <c:v>-1.6978198329510044E-2</c:v>
                </c:pt>
                <c:pt idx="21">
                  <c:v>-1.7893973088120921E-2</c:v>
                </c:pt>
                <c:pt idx="22">
                  <c:v>-1.8759840490950884E-2</c:v>
                </c:pt>
                <c:pt idx="23">
                  <c:v>-1.9565229801912068E-2</c:v>
                </c:pt>
                <c:pt idx="24">
                  <c:v>-2.0299097156308069E-2</c:v>
                </c:pt>
                <c:pt idx="25">
                  <c:v>-2.0956655287102617E-2</c:v>
                </c:pt>
                <c:pt idx="26">
                  <c:v>-2.1522884043380427E-2</c:v>
                </c:pt>
                <c:pt idx="27">
                  <c:v>-2.1973643722563219E-2</c:v>
                </c:pt>
                <c:pt idx="28">
                  <c:v>-2.2307434253176033E-2</c:v>
                </c:pt>
                <c:pt idx="29">
                  <c:v>-2.2527211738023085E-2</c:v>
                </c:pt>
                <c:pt idx="30">
                  <c:v>-2.2635297600840678E-2</c:v>
                </c:pt>
                <c:pt idx="31">
                  <c:v>-2.262788542791911E-2</c:v>
                </c:pt>
                <c:pt idx="32">
                  <c:v>-2.2499461096740139E-2</c:v>
                </c:pt>
                <c:pt idx="33">
                  <c:v>-2.2246446311426089E-2</c:v>
                </c:pt>
                <c:pt idx="34">
                  <c:v>-2.1860313318037474E-2</c:v>
                </c:pt>
                <c:pt idx="35">
                  <c:v>-2.1323283056538127E-2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0</c:v>
                </c:pt>
                <c:pt idx="1">
                  <c:v>-1.8518483413387798E-9</c:v>
                </c:pt>
                <c:pt idx="2">
                  <c:v>-2.4662575315304025E-9</c:v>
                </c:pt>
                <c:pt idx="3">
                  <c:v>-3.0806827089335798E-9</c:v>
                </c:pt>
                <c:pt idx="4">
                  <c:v>-4.2961246782269313E-9</c:v>
                </c:pt>
                <c:pt idx="5">
                  <c:v>-4.2681402856459272E-9</c:v>
                </c:pt>
                <c:pt idx="6">
                  <c:v>2.0156514748197463E-3</c:v>
                </c:pt>
                <c:pt idx="7">
                  <c:v>-7.2642316293053399E-3</c:v>
                </c:pt>
                <c:pt idx="8">
                  <c:v>-1.7965517607741899E-2</c:v>
                </c:pt>
                <c:pt idx="9">
                  <c:v>-2.5972296684722118E-2</c:v>
                </c:pt>
                <c:pt idx="10">
                  <c:v>-3.3362471994537457E-2</c:v>
                </c:pt>
                <c:pt idx="11">
                  <c:v>-3.8992233405512278E-2</c:v>
                </c:pt>
                <c:pt idx="12">
                  <c:v>-4.3275806954612417E-2</c:v>
                </c:pt>
                <c:pt idx="13">
                  <c:v>-4.6299578892698978E-2</c:v>
                </c:pt>
                <c:pt idx="14">
                  <c:v>-4.80611537666088E-2</c:v>
                </c:pt>
                <c:pt idx="15">
                  <c:v>-4.8748006987613501E-2</c:v>
                </c:pt>
                <c:pt idx="16">
                  <c:v>-5.0454356404216805E-2</c:v>
                </c:pt>
                <c:pt idx="17">
                  <c:v>-5.3055414533564771E-2</c:v>
                </c:pt>
                <c:pt idx="18">
                  <c:v>-5.6285344597462372E-2</c:v>
                </c:pt>
                <c:pt idx="19">
                  <c:v>-5.9857629957849601E-2</c:v>
                </c:pt>
                <c:pt idx="20">
                  <c:v>-6.3517931989180321E-2</c:v>
                </c:pt>
                <c:pt idx="21">
                  <c:v>-6.7019657793619514E-2</c:v>
                </c:pt>
                <c:pt idx="22">
                  <c:v>-7.023404955687873E-2</c:v>
                </c:pt>
                <c:pt idx="23">
                  <c:v>-7.3081645100170789E-2</c:v>
                </c:pt>
                <c:pt idx="24">
                  <c:v>-7.5467103503643385E-2</c:v>
                </c:pt>
                <c:pt idx="25">
                  <c:v>-7.7317726872238812E-2</c:v>
                </c:pt>
                <c:pt idx="26">
                  <c:v>-7.847503765403796E-2</c:v>
                </c:pt>
                <c:pt idx="27">
                  <c:v>-7.8744220123265207E-2</c:v>
                </c:pt>
                <c:pt idx="28">
                  <c:v>-7.8028820995198589E-2</c:v>
                </c:pt>
                <c:pt idx="29">
                  <c:v>-7.6233020324687151E-2</c:v>
                </c:pt>
                <c:pt idx="30">
                  <c:v>-7.3226890936024636E-2</c:v>
                </c:pt>
                <c:pt idx="31">
                  <c:v>-6.8799819463449152E-2</c:v>
                </c:pt>
                <c:pt idx="32">
                  <c:v>-6.2659406269955364E-2</c:v>
                </c:pt>
                <c:pt idx="33">
                  <c:v>-5.4433806760781245E-2</c:v>
                </c:pt>
                <c:pt idx="34">
                  <c:v>-4.3576239522340576E-2</c:v>
                </c:pt>
                <c:pt idx="35">
                  <c:v>-2.9221857885615377E-2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-7.1198422305510116E-10</c:v>
                </c:pt>
                <c:pt idx="2">
                  <c:v>-1.1315953885098625E-9</c:v>
                </c:pt>
                <c:pt idx="3">
                  <c:v>-1.6153961511944794E-9</c:v>
                </c:pt>
                <c:pt idx="4">
                  <c:v>-1.7420516540880537E-9</c:v>
                </c:pt>
                <c:pt idx="5">
                  <c:v>-1.7262809830870173E-9</c:v>
                </c:pt>
                <c:pt idx="6">
                  <c:v>9.8931610670525581E-4</c:v>
                </c:pt>
                <c:pt idx="7">
                  <c:v>-1.4282856112892255E-3</c:v>
                </c:pt>
                <c:pt idx="8">
                  <c:v>-4.0565507039651456E-3</c:v>
                </c:pt>
                <c:pt idx="9">
                  <c:v>-7.0271939690746575E-3</c:v>
                </c:pt>
                <c:pt idx="10">
                  <c:v>-1.0365828261922682E-2</c:v>
                </c:pt>
                <c:pt idx="11">
                  <c:v>-1.3247875192256054E-2</c:v>
                </c:pt>
                <c:pt idx="12">
                  <c:v>-1.5588047622201145E-2</c:v>
                </c:pt>
                <c:pt idx="13">
                  <c:v>-1.7352502819962697E-2</c:v>
                </c:pt>
                <c:pt idx="14">
                  <c:v>-1.8569535358795821E-2</c:v>
                </c:pt>
                <c:pt idx="15">
                  <c:v>-1.9305382506483674E-2</c:v>
                </c:pt>
                <c:pt idx="16">
                  <c:v>-2.0476940820931974E-2</c:v>
                </c:pt>
                <c:pt idx="17">
                  <c:v>-2.184752568424601E-2</c:v>
                </c:pt>
                <c:pt idx="18">
                  <c:v>-2.3261369456814261E-2</c:v>
                </c:pt>
                <c:pt idx="19">
                  <c:v>-2.4599418058598929E-2</c:v>
                </c:pt>
                <c:pt idx="20">
                  <c:v>-2.5782322169856896E-2</c:v>
                </c:pt>
                <c:pt idx="21">
                  <c:v>-2.6744261143767527E-2</c:v>
                </c:pt>
                <c:pt idx="22">
                  <c:v>-2.7511492621152378E-2</c:v>
                </c:pt>
                <c:pt idx="23">
                  <c:v>-2.8111282032984929E-2</c:v>
                </c:pt>
                <c:pt idx="24">
                  <c:v>-2.853383156455579E-2</c:v>
                </c:pt>
                <c:pt idx="25">
                  <c:v>-2.8775827213133844E-2</c:v>
                </c:pt>
                <c:pt idx="26">
                  <c:v>-2.8800358983610157E-2</c:v>
                </c:pt>
                <c:pt idx="27">
                  <c:v>-2.8603757509060967E-2</c:v>
                </c:pt>
                <c:pt idx="28">
                  <c:v>-2.8189299462718517E-2</c:v>
                </c:pt>
                <c:pt idx="29">
                  <c:v>-2.7571849323256938E-2</c:v>
                </c:pt>
                <c:pt idx="30">
                  <c:v>-2.6768367715963512E-2</c:v>
                </c:pt>
                <c:pt idx="31">
                  <c:v>-2.5787972403291962E-2</c:v>
                </c:pt>
                <c:pt idx="32">
                  <c:v>-2.4635354814405947E-2</c:v>
                </c:pt>
                <c:pt idx="33">
                  <c:v>-2.3304776711928609E-2</c:v>
                </c:pt>
                <c:pt idx="34">
                  <c:v>-2.1776785239048628E-2</c:v>
                </c:pt>
                <c:pt idx="35">
                  <c:v>-2.0014597404443665E-2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7.1734962029435488E-10</c:v>
                </c:pt>
                <c:pt idx="1">
                  <c:v>0</c:v>
                </c:pt>
                <c:pt idx="2">
                  <c:v>-7.0724704872088771E-10</c:v>
                </c:pt>
                <c:pt idx="3">
                  <c:v>-7.0234611797694157E-10</c:v>
                </c:pt>
                <c:pt idx="4">
                  <c:v>-1.3936414420994495E-9</c:v>
                </c:pt>
                <c:pt idx="5">
                  <c:v>-2.0715372582065912E-9</c:v>
                </c:pt>
                <c:pt idx="6">
                  <c:v>1.5822829494361683E-3</c:v>
                </c:pt>
                <c:pt idx="7">
                  <c:v>-4.7008458206838329E-3</c:v>
                </c:pt>
                <c:pt idx="8">
                  <c:v>-1.0976565775546124E-2</c:v>
                </c:pt>
                <c:pt idx="9">
                  <c:v>-1.0859012663129849E-2</c:v>
                </c:pt>
                <c:pt idx="10">
                  <c:v>-8.7064936444938967E-3</c:v>
                </c:pt>
                <c:pt idx="11">
                  <c:v>-4.5533827159113293E-3</c:v>
                </c:pt>
                <c:pt idx="12">
                  <c:v>1.0866475304683021E-3</c:v>
                </c:pt>
                <c:pt idx="13">
                  <c:v>8.298718948847969E-3</c:v>
                </c:pt>
                <c:pt idx="14">
                  <c:v>1.7445602816868043E-2</c:v>
                </c:pt>
                <c:pt idx="15">
                  <c:v>2.8516897563752554E-2</c:v>
                </c:pt>
                <c:pt idx="16">
                  <c:v>3.9250726817640344E-2</c:v>
                </c:pt>
                <c:pt idx="17">
                  <c:v>4.9885223077904904E-2</c:v>
                </c:pt>
                <c:pt idx="18">
                  <c:v>6.067843442444517E-2</c:v>
                </c:pt>
                <c:pt idx="19">
                  <c:v>7.2050948781591781E-2</c:v>
                </c:pt>
                <c:pt idx="20">
                  <c:v>8.4505658599281233E-2</c:v>
                </c:pt>
                <c:pt idx="21">
                  <c:v>9.8619117416340427E-2</c:v>
                </c:pt>
                <c:pt idx="22">
                  <c:v>0.11497037765189921</c:v>
                </c:pt>
                <c:pt idx="23">
                  <c:v>0.13409860161705398</c:v>
                </c:pt>
                <c:pt idx="24">
                  <c:v>0.15659353219188288</c:v>
                </c:pt>
                <c:pt idx="25">
                  <c:v>0.18311230889822572</c:v>
                </c:pt>
                <c:pt idx="26">
                  <c:v>0.21476957451461715</c:v>
                </c:pt>
                <c:pt idx="27">
                  <c:v>0.25267471294685634</c:v>
                </c:pt>
                <c:pt idx="28">
                  <c:v>0.29810631363756207</c:v>
                </c:pt>
                <c:pt idx="29">
                  <c:v>0.35266653683687949</c:v>
                </c:pt>
                <c:pt idx="30">
                  <c:v>0.41844905795402138</c:v>
                </c:pt>
                <c:pt idx="31">
                  <c:v>0.49834163660540215</c:v>
                </c:pt>
                <c:pt idx="32">
                  <c:v>0.59636644725514898</c:v>
                </c:pt>
                <c:pt idx="33">
                  <c:v>0.71813184271296249</c:v>
                </c:pt>
                <c:pt idx="34">
                  <c:v>0.87183054186494457</c:v>
                </c:pt>
                <c:pt idx="35">
                  <c:v>1.0699567145565132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-7.1734941641137608E-10</c:v>
                </c:pt>
                <c:pt idx="1">
                  <c:v>7.1198422305510116E-10</c:v>
                </c:pt>
                <c:pt idx="2">
                  <c:v>1.4144942984534885E-9</c:v>
                </c:pt>
                <c:pt idx="3">
                  <c:v>2.8093846715265511E-9</c:v>
                </c:pt>
                <c:pt idx="4">
                  <c:v>3.4144212855832212E-9</c:v>
                </c:pt>
                <c:pt idx="5">
                  <c:v>4.0740231240104696E-9</c:v>
                </c:pt>
                <c:pt idx="6">
                  <c:v>-2.4445484084553554E-3</c:v>
                </c:pt>
                <c:pt idx="7">
                  <c:v>1.3912877569191203E-2</c:v>
                </c:pt>
                <c:pt idx="8">
                  <c:v>3.1547561149336656E-2</c:v>
                </c:pt>
                <c:pt idx="9">
                  <c:v>4.7173756950877339E-2</c:v>
                </c:pt>
                <c:pt idx="10">
                  <c:v>6.1377962067216796E-2</c:v>
                </c:pt>
                <c:pt idx="11">
                  <c:v>7.2754381839529217E-2</c:v>
                </c:pt>
                <c:pt idx="12">
                  <c:v>8.2139436246017897E-2</c:v>
                </c:pt>
                <c:pt idx="13">
                  <c:v>8.9987070478183828E-2</c:v>
                </c:pt>
                <c:pt idx="14">
                  <c:v>9.6647365068700156E-2</c:v>
                </c:pt>
                <c:pt idx="15">
                  <c:v>0.10240738503493649</c:v>
                </c:pt>
                <c:pt idx="16">
                  <c:v>0.10886479873291197</c:v>
                </c:pt>
                <c:pt idx="17">
                  <c:v>0.11656147268002882</c:v>
                </c:pt>
                <c:pt idx="18">
                  <c:v>0.12504598535297468</c:v>
                </c:pt>
                <c:pt idx="19">
                  <c:v>0.13394695694334247</c:v>
                </c:pt>
                <c:pt idx="20">
                  <c:v>0.14297467060974986</c:v>
                </c:pt>
                <c:pt idx="21">
                  <c:v>0.15187590697575115</c:v>
                </c:pt>
                <c:pt idx="22">
                  <c:v>0.16050533481896861</c:v>
                </c:pt>
                <c:pt idx="23">
                  <c:v>0.1687420007608714</c:v>
                </c:pt>
                <c:pt idx="24">
                  <c:v>0.17646536381771627</c:v>
                </c:pt>
                <c:pt idx="25">
                  <c:v>0.18360296649082994</c:v>
                </c:pt>
                <c:pt idx="26">
                  <c:v>0.19023494660331128</c:v>
                </c:pt>
                <c:pt idx="27">
                  <c:v>0.19599831511263727</c:v>
                </c:pt>
                <c:pt idx="28">
                  <c:v>0.20075812785798153</c:v>
                </c:pt>
                <c:pt idx="29">
                  <c:v>0.20435424097280835</c:v>
                </c:pt>
                <c:pt idx="30">
                  <c:v>0.20657685757274655</c:v>
                </c:pt>
                <c:pt idx="31">
                  <c:v>0.20713908937367978</c:v>
                </c:pt>
                <c:pt idx="32">
                  <c:v>0.20563616678304425</c:v>
                </c:pt>
                <c:pt idx="33">
                  <c:v>0.20147374792405404</c:v>
                </c:pt>
                <c:pt idx="34">
                  <c:v>0.19376987458366374</c:v>
                </c:pt>
                <c:pt idx="35">
                  <c:v>0.18117318070071423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0</c:v>
                </c:pt>
                <c:pt idx="1">
                  <c:v>7.1198447137987841E-10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1.2705051092853914E-4</c:v>
                </c:pt>
                <c:pt idx="7">
                  <c:v>7.7837460695298066E-3</c:v>
                </c:pt>
                <c:pt idx="8">
                  <c:v>1.6514444267853756E-2</c:v>
                </c:pt>
                <c:pt idx="9">
                  <c:v>2.9287550053443079E-2</c:v>
                </c:pt>
                <c:pt idx="10">
                  <c:v>4.2305639307925746E-2</c:v>
                </c:pt>
                <c:pt idx="11">
                  <c:v>5.4953124061207337E-2</c:v>
                </c:pt>
                <c:pt idx="12">
                  <c:v>6.7638036539914737E-2</c:v>
                </c:pt>
                <c:pt idx="13">
                  <c:v>8.0933286352323108E-2</c:v>
                </c:pt>
                <c:pt idx="14">
                  <c:v>9.5523432653061402E-2</c:v>
                </c:pt>
                <c:pt idx="15">
                  <c:v>0.11161890021744902</c:v>
                </c:pt>
                <c:pt idx="16">
                  <c:v>0.1276385841087242</c:v>
                </c:pt>
                <c:pt idx="17">
                  <c:v>0.14459916964304842</c:v>
                </c:pt>
                <c:pt idx="18">
                  <c:v>0.16246305080779133</c:v>
                </c:pt>
                <c:pt idx="19">
                  <c:v>0.18139848754589361</c:v>
                </c:pt>
                <c:pt idx="20">
                  <c:v>0.20169800662268855</c:v>
                </c:pt>
                <c:pt idx="21">
                  <c:v>0.22375076289604645</c:v>
                </c:pt>
                <c:pt idx="22">
                  <c:v>0.24796421938678836</c:v>
                </c:pt>
                <c:pt idx="23">
                  <c:v>0.27472931988927241</c:v>
                </c:pt>
                <c:pt idx="24">
                  <c:v>0.30452506366107213</c:v>
                </c:pt>
                <c:pt idx="25">
                  <c:v>0.33793944828596123</c:v>
                </c:pt>
                <c:pt idx="26">
                  <c:v>0.37620416267431644</c:v>
                </c:pt>
                <c:pt idx="27">
                  <c:v>0.42006927060337396</c:v>
                </c:pt>
                <c:pt idx="28">
                  <c:v>0.47067514198097338</c:v>
                </c:pt>
                <c:pt idx="29">
                  <c:v>0.52944892929838105</c:v>
                </c:pt>
                <c:pt idx="30">
                  <c:v>0.59825754805902953</c:v>
                </c:pt>
                <c:pt idx="31">
                  <c:v>0.67969275352722924</c:v>
                </c:pt>
                <c:pt idx="32">
                  <c:v>0.77736725965132059</c:v>
                </c:pt>
                <c:pt idx="33">
                  <c:v>0.89630081406453055</c:v>
                </c:pt>
                <c:pt idx="34">
                  <c:v>1.0438236311640616</c:v>
                </c:pt>
                <c:pt idx="35">
                  <c:v>1.2311152977191071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2.6924997876407011E-11</c:v>
                </c:pt>
                <c:pt idx="1">
                  <c:v>3.3406911541623555E-11</c:v>
                </c:pt>
                <c:pt idx="2">
                  <c:v>2.6548239319032327E-11</c:v>
                </c:pt>
                <c:pt idx="3">
                  <c:v>1.9773246884211523E-11</c:v>
                </c:pt>
                <c:pt idx="4">
                  <c:v>2.6157151285730114E-11</c:v>
                </c:pt>
                <c:pt idx="5">
                  <c:v>2.5921587618227453E-11</c:v>
                </c:pt>
                <c:pt idx="6">
                  <c:v>2.2118413864404326E-5</c:v>
                </c:pt>
                <c:pt idx="7">
                  <c:v>-5.5765547543351753E-4</c:v>
                </c:pt>
                <c:pt idx="8">
                  <c:v>-1.1996316278513599E-3</c:v>
                </c:pt>
                <c:pt idx="9">
                  <c:v>-1.7433148163650792E-3</c:v>
                </c:pt>
                <c:pt idx="10">
                  <c:v>-2.2423419719670525E-3</c:v>
                </c:pt>
                <c:pt idx="11">
                  <c:v>-2.6397250416075623E-3</c:v>
                </c:pt>
                <c:pt idx="12">
                  <c:v>-2.9737376788879625E-3</c:v>
                </c:pt>
                <c:pt idx="13">
                  <c:v>-3.264498630966544E-3</c:v>
                </c:pt>
                <c:pt idx="14">
                  <c:v>-3.5215014922211452E-3</c:v>
                </c:pt>
                <c:pt idx="15">
                  <c:v>-3.7543252819165745E-3</c:v>
                </c:pt>
                <c:pt idx="16">
                  <c:v>-4.0296619845603962E-3</c:v>
                </c:pt>
                <c:pt idx="17">
                  <c:v>-4.3365575744586009E-3</c:v>
                </c:pt>
                <c:pt idx="18">
                  <c:v>-4.6648910779566325E-3</c:v>
                </c:pt>
                <c:pt idx="19">
                  <c:v>-5.0060262449525836E-3</c:v>
                </c:pt>
                <c:pt idx="20">
                  <c:v>-5.3538018413530133E-3</c:v>
                </c:pt>
                <c:pt idx="21">
                  <c:v>-5.7020893689609222E-3</c:v>
                </c:pt>
                <c:pt idx="22">
                  <c:v>-6.0476466194792937E-3</c:v>
                </c:pt>
                <c:pt idx="23">
                  <c:v>-6.3882006261250035E-3</c:v>
                </c:pt>
                <c:pt idx="24">
                  <c:v>-6.7220744212786211E-3</c:v>
                </c:pt>
                <c:pt idx="25">
                  <c:v>-7.050341383049912E-3</c:v>
                </c:pt>
                <c:pt idx="26">
                  <c:v>-7.3676401262821722E-3</c:v>
                </c:pt>
                <c:pt idx="27">
                  <c:v>-7.6744170133967596E-3</c:v>
                </c:pt>
                <c:pt idx="28">
                  <c:v>-7.9704546325886708E-3</c:v>
                </c:pt>
                <c:pt idx="29">
                  <c:v>-8.2548900813474747E-3</c:v>
                </c:pt>
                <c:pt idx="30">
                  <c:v>-8.526086218077095E-3</c:v>
                </c:pt>
                <c:pt idx="31">
                  <c:v>-8.7814526684271768E-3</c:v>
                </c:pt>
                <c:pt idx="32">
                  <c:v>-9.0172955748153046E-3</c:v>
                </c:pt>
                <c:pt idx="33">
                  <c:v>-9.2284344710082834E-3</c:v>
                </c:pt>
                <c:pt idx="34">
                  <c:v>-9.406500858821238E-3</c:v>
                </c:pt>
                <c:pt idx="35">
                  <c:v>-9.5365610916335278E-3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5.0655658519054695E-9</c:v>
                </c:pt>
                <c:pt idx="1">
                  <c:v>8.6858001459797198E-11</c:v>
                </c:pt>
                <c:pt idx="2">
                  <c:v>8.6281801366426352E-11</c:v>
                </c:pt>
                <c:pt idx="3">
                  <c:v>8.5683999582904403E-11</c:v>
                </c:pt>
                <c:pt idx="4">
                  <c:v>9.1550039664150758E-11</c:v>
                </c:pt>
                <c:pt idx="5">
                  <c:v>1.6200991757764133E-10</c:v>
                </c:pt>
                <c:pt idx="6">
                  <c:v>9.8428252895295607E-5</c:v>
                </c:pt>
                <c:pt idx="7">
                  <c:v>-4.2525297680898134E-4</c:v>
                </c:pt>
                <c:pt idx="8">
                  <c:v>-8.4762824618730059E-4</c:v>
                </c:pt>
                <c:pt idx="9">
                  <c:v>-5.7926181049296123E-4</c:v>
                </c:pt>
                <c:pt idx="10">
                  <c:v>-5.3747339535709978E-5</c:v>
                </c:pt>
                <c:pt idx="11">
                  <c:v>9.9162318952940916E-4</c:v>
                </c:pt>
                <c:pt idx="12">
                  <c:v>2.4770751367679898E-3</c:v>
                </c:pt>
                <c:pt idx="13">
                  <c:v>4.3652373092040028E-3</c:v>
                </c:pt>
                <c:pt idx="14">
                  <c:v>6.636061817706769E-3</c:v>
                </c:pt>
                <c:pt idx="15">
                  <c:v>9.2352795190366894E-3</c:v>
                </c:pt>
                <c:pt idx="16">
                  <c:v>1.1819765826913253E-2</c:v>
                </c:pt>
                <c:pt idx="17">
                  <c:v>1.4316650711768892E-2</c:v>
                </c:pt>
                <c:pt idx="18">
                  <c:v>1.6742431373624824E-2</c:v>
                </c:pt>
                <c:pt idx="19">
                  <c:v>1.9146782449051703E-2</c:v>
                </c:pt>
                <c:pt idx="20">
                  <c:v>2.1590690142376752E-2</c:v>
                </c:pt>
                <c:pt idx="21">
                  <c:v>2.4110382562852029E-2</c:v>
                </c:pt>
                <c:pt idx="22">
                  <c:v>2.6741726625303774E-2</c:v>
                </c:pt>
                <c:pt idx="23">
                  <c:v>2.9508034096735886E-2</c:v>
                </c:pt>
                <c:pt idx="24">
                  <c:v>3.2431356495273241E-2</c:v>
                </c:pt>
                <c:pt idx="25">
                  <c:v>3.5561798148437025E-2</c:v>
                </c:pt>
                <c:pt idx="26">
                  <c:v>3.8904990140031522E-2</c:v>
                </c:pt>
                <c:pt idx="27">
                  <c:v>4.2501648358642667E-2</c:v>
                </c:pt>
                <c:pt idx="28">
                  <c:v>4.6386256920726739E-2</c:v>
                </c:pt>
                <c:pt idx="29">
                  <c:v>5.0605864708230267E-2</c:v>
                </c:pt>
                <c:pt idx="30">
                  <c:v>5.5221422691071394E-2</c:v>
                </c:pt>
                <c:pt idx="31">
                  <c:v>6.0314017918629226E-2</c:v>
                </c:pt>
                <c:pt idx="32">
                  <c:v>6.598833476653547E-2</c:v>
                </c:pt>
                <c:pt idx="33">
                  <c:v>7.2374140911289589E-2</c:v>
                </c:pt>
                <c:pt idx="34">
                  <c:v>7.9650437263423052E-2</c:v>
                </c:pt>
                <c:pt idx="35">
                  <c:v>8.8084509075368009E-2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1.1200799433448503E-8</c:v>
                </c:pt>
                <c:pt idx="1">
                  <c:v>1.0797113873155884E-8</c:v>
                </c:pt>
                <c:pt idx="2">
                  <c:v>1.0539650137211696E-8</c:v>
                </c:pt>
                <c:pt idx="3">
                  <c:v>1.0334816183455631E-8</c:v>
                </c:pt>
                <c:pt idx="4">
                  <c:v>1.0286300037146125E-8</c:v>
                </c:pt>
                <c:pt idx="5">
                  <c:v>1.0258468586981488E-8</c:v>
                </c:pt>
                <c:pt idx="6">
                  <c:v>9.9695462581232325E-5</c:v>
                </c:pt>
                <c:pt idx="7">
                  <c:v>-8.3979330262001404E-4</c:v>
                </c:pt>
                <c:pt idx="8">
                  <c:v>-1.4380947594077749E-3</c:v>
                </c:pt>
                <c:pt idx="9">
                  <c:v>-2.0463403402364039E-3</c:v>
                </c:pt>
                <c:pt idx="10">
                  <c:v>-2.5803083341772617E-3</c:v>
                </c:pt>
                <c:pt idx="11">
                  <c:v>-2.960518064254809E-3</c:v>
                </c:pt>
                <c:pt idx="12">
                  <c:v>-3.3278005752864956E-3</c:v>
                </c:pt>
                <c:pt idx="13">
                  <c:v>-3.7412771604349295E-3</c:v>
                </c:pt>
                <c:pt idx="14">
                  <c:v>-4.216354412752382E-3</c:v>
                </c:pt>
                <c:pt idx="15">
                  <c:v>-4.7410004023431627E-3</c:v>
                </c:pt>
                <c:pt idx="16">
                  <c:v>-5.389497457522068E-3</c:v>
                </c:pt>
                <c:pt idx="17">
                  <c:v>-6.0116547274905096E-3</c:v>
                </c:pt>
                <c:pt idx="18">
                  <c:v>-6.5651785964663716E-3</c:v>
                </c:pt>
                <c:pt idx="19">
                  <c:v>-7.0472310874777708E-3</c:v>
                </c:pt>
                <c:pt idx="20">
                  <c:v>-7.4684320065348609E-3</c:v>
                </c:pt>
                <c:pt idx="21">
                  <c:v>-7.8409660482040202E-3</c:v>
                </c:pt>
                <c:pt idx="22">
                  <c:v>-8.1916907540688973E-3</c:v>
                </c:pt>
                <c:pt idx="23">
                  <c:v>-8.5404220882578808E-3</c:v>
                </c:pt>
                <c:pt idx="24">
                  <c:v>-8.8959878821613398E-3</c:v>
                </c:pt>
                <c:pt idx="25">
                  <c:v>-9.2651916237227461E-3</c:v>
                </c:pt>
                <c:pt idx="26">
                  <c:v>-9.6499260793954881E-3</c:v>
                </c:pt>
                <c:pt idx="27">
                  <c:v>-1.0061831867196358E-2</c:v>
                </c:pt>
                <c:pt idx="28">
                  <c:v>-1.0510633853869404E-2</c:v>
                </c:pt>
                <c:pt idx="29">
                  <c:v>-1.1013535317258833E-2</c:v>
                </c:pt>
                <c:pt idx="30">
                  <c:v>-1.1594282690745427E-2</c:v>
                </c:pt>
                <c:pt idx="31">
                  <c:v>-1.2281733884254338E-2</c:v>
                </c:pt>
                <c:pt idx="32">
                  <c:v>-1.3113074543954511E-2</c:v>
                </c:pt>
                <c:pt idx="33">
                  <c:v>-1.4136818430460595E-2</c:v>
                </c:pt>
                <c:pt idx="34">
                  <c:v>-1.5421161348289969E-2</c:v>
                </c:pt>
                <c:pt idx="35">
                  <c:v>-1.7068087416774451E-2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4.2213048765878908E-9</c:v>
                </c:pt>
                <c:pt idx="1">
                  <c:v>6.6813829017506716E-11</c:v>
                </c:pt>
                <c:pt idx="2">
                  <c:v>6.6370598297580819E-11</c:v>
                </c:pt>
                <c:pt idx="3">
                  <c:v>1.3182164589474349E-10</c:v>
                </c:pt>
                <c:pt idx="4">
                  <c:v>6.5392885474393391E-11</c:v>
                </c:pt>
                <c:pt idx="5">
                  <c:v>6.4803976240254693E-11</c:v>
                </c:pt>
                <c:pt idx="6">
                  <c:v>-1.2648645463998712E-4</c:v>
                </c:pt>
                <c:pt idx="7">
                  <c:v>9.2362293408209586E-3</c:v>
                </c:pt>
                <c:pt idx="8">
                  <c:v>1.9668972373702121E-2</c:v>
                </c:pt>
                <c:pt idx="9">
                  <c:v>3.226067325035966E-2</c:v>
                </c:pt>
                <c:pt idx="10">
                  <c:v>4.4825808878682045E-2</c:v>
                </c:pt>
                <c:pt idx="11">
                  <c:v>5.6166640880792248E-2</c:v>
                </c:pt>
                <c:pt idx="12">
                  <c:v>6.6968709363176185E-2</c:v>
                </c:pt>
                <c:pt idx="13">
                  <c:v>7.7856723422482954E-2</c:v>
                </c:pt>
                <c:pt idx="14">
                  <c:v>8.9428331081437107E-2</c:v>
                </c:pt>
                <c:pt idx="15">
                  <c:v>0.10194642337333239</c:v>
                </c:pt>
                <c:pt idx="16">
                  <c:v>0.11505979510784062</c:v>
                </c:pt>
                <c:pt idx="17">
                  <c:v>0.12934002469138819</c:v>
                </c:pt>
                <c:pt idx="18">
                  <c:v>0.14469184246783565</c:v>
                </c:pt>
                <c:pt idx="19">
                  <c:v>0.16118858693199731</c:v>
                </c:pt>
                <c:pt idx="20">
                  <c:v>0.17902701242326169</c:v>
                </c:pt>
                <c:pt idx="21">
                  <c:v>0.19852232992668159</c:v>
                </c:pt>
                <c:pt idx="22">
                  <c:v>0.22004103903857616</c:v>
                </c:pt>
                <c:pt idx="23">
                  <c:v>0.24394931929758437</c:v>
                </c:pt>
                <c:pt idx="24">
                  <c:v>0.2706904640663223</c:v>
                </c:pt>
                <c:pt idx="25">
                  <c:v>0.30079988443223415</c:v>
                </c:pt>
                <c:pt idx="26">
                  <c:v>0.33533946639350332</c:v>
                </c:pt>
                <c:pt idx="27">
                  <c:v>0.37513576243732499</c:v>
                </c:pt>
                <c:pt idx="28">
                  <c:v>0.4212982192839213</c:v>
                </c:pt>
                <c:pt idx="29">
                  <c:v>0.47521377808786086</c:v>
                </c:pt>
                <c:pt idx="30">
                  <c:v>0.5386963897613356</c:v>
                </c:pt>
                <c:pt idx="31">
                  <c:v>0.61426394138401319</c:v>
                </c:pt>
                <c:pt idx="32">
                  <c:v>0.7054381744812821</c:v>
                </c:pt>
                <c:pt idx="33">
                  <c:v>0.81713108483609598</c:v>
                </c:pt>
                <c:pt idx="34">
                  <c:v>0.95652308120124274</c:v>
                </c:pt>
                <c:pt idx="35">
                  <c:v>1.134568984261233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-3.8983077373478467E-11</c:v>
                </c:pt>
                <c:pt idx="1">
                  <c:v>2.0044172442290482E-11</c:v>
                </c:pt>
                <c:pt idx="2">
                  <c:v>-9.2918790457470558E-11</c:v>
                </c:pt>
                <c:pt idx="3">
                  <c:v>-1.3182164589474349E-11</c:v>
                </c:pt>
                <c:pt idx="4">
                  <c:v>-5.2314308379514714E-11</c:v>
                </c:pt>
                <c:pt idx="5">
                  <c:v>-2.0737267792282424E-10</c:v>
                </c:pt>
                <c:pt idx="6">
                  <c:v>5.4463811774899488E-5</c:v>
                </c:pt>
                <c:pt idx="7">
                  <c:v>-1.571356096712398E-3</c:v>
                </c:pt>
                <c:pt idx="8">
                  <c:v>-3.3583106708791458E-3</c:v>
                </c:pt>
                <c:pt idx="9">
                  <c:v>-3.969668072819843E-3</c:v>
                </c:pt>
                <c:pt idx="10">
                  <c:v>-4.6059858714429924E-3</c:v>
                </c:pt>
                <c:pt idx="11">
                  <c:v>-5.15999845040312E-3</c:v>
                </c:pt>
                <c:pt idx="12">
                  <c:v>-5.669079240107117E-3</c:v>
                </c:pt>
                <c:pt idx="13">
                  <c:v>-6.080073045895089E-3</c:v>
                </c:pt>
                <c:pt idx="14">
                  <c:v>-6.2563239492485654E-3</c:v>
                </c:pt>
                <c:pt idx="15">
                  <c:v>-6.1866932562568457E-3</c:v>
                </c:pt>
                <c:pt idx="16">
                  <c:v>-6.5942877764225581E-3</c:v>
                </c:pt>
                <c:pt idx="17">
                  <c:v>-7.0583828252182013E-3</c:v>
                </c:pt>
                <c:pt idx="18">
                  <c:v>-7.5755608686866585E-3</c:v>
                </c:pt>
                <c:pt idx="19">
                  <c:v>-8.1085762175141778E-3</c:v>
                </c:pt>
                <c:pt idx="20">
                  <c:v>-8.6152433607627789E-3</c:v>
                </c:pt>
                <c:pt idx="21">
                  <c:v>-9.0496210431215748E-3</c:v>
                </c:pt>
                <c:pt idx="22">
                  <c:v>-9.3756054939794879E-3</c:v>
                </c:pt>
                <c:pt idx="23">
                  <c:v>-9.5660333655100821E-3</c:v>
                </c:pt>
                <c:pt idx="24">
                  <c:v>-9.5886231958446557E-3</c:v>
                </c:pt>
                <c:pt idx="25">
                  <c:v>-9.4120822192344349E-3</c:v>
                </c:pt>
                <c:pt idx="26">
                  <c:v>-8.8497736586919812E-3</c:v>
                </c:pt>
                <c:pt idx="27">
                  <c:v>-7.9750252292673535E-3</c:v>
                </c:pt>
                <c:pt idx="28">
                  <c:v>-6.7442847143556455E-3</c:v>
                </c:pt>
                <c:pt idx="29">
                  <c:v>-5.1082466671041448E-3</c:v>
                </c:pt>
                <c:pt idx="30">
                  <c:v>-3.0013872814205777E-3</c:v>
                </c:pt>
                <c:pt idx="31">
                  <c:v>-3.2673356322578351E-4</c:v>
                </c:pt>
                <c:pt idx="32">
                  <c:v>3.0505368880533886E-3</c:v>
                </c:pt>
                <c:pt idx="33">
                  <c:v>7.3163364061066436E-3</c:v>
                </c:pt>
                <c:pt idx="34">
                  <c:v>1.274500169828614E-2</c:v>
                </c:pt>
                <c:pt idx="35">
                  <c:v>1.9755196172707868E-2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1.1443124448007325E-8</c:v>
                </c:pt>
                <c:pt idx="1">
                  <c:v>1.069021160482464E-8</c:v>
                </c:pt>
                <c:pt idx="2">
                  <c:v>1.0619294776859078E-8</c:v>
                </c:pt>
                <c:pt idx="3">
                  <c:v>1.0545730955158206E-8</c:v>
                </c:pt>
                <c:pt idx="4">
                  <c:v>1.0462860799975715E-8</c:v>
                </c:pt>
                <c:pt idx="5">
                  <c:v>1.0368635505741963E-8</c:v>
                </c:pt>
                <c:pt idx="6">
                  <c:v>1.48219364533686E-4</c:v>
                </c:pt>
                <c:pt idx="7">
                  <c:v>5.8421716544476698E-3</c:v>
                </c:pt>
                <c:pt idx="8">
                  <c:v>1.2825307264349828E-2</c:v>
                </c:pt>
                <c:pt idx="9">
                  <c:v>2.3922088496809879E-2</c:v>
                </c:pt>
                <c:pt idx="10">
                  <c:v>3.5343424874938689E-2</c:v>
                </c:pt>
                <c:pt idx="11">
                  <c:v>4.6398022349467549E-2</c:v>
                </c:pt>
                <c:pt idx="12">
                  <c:v>5.7475167047907227E-2</c:v>
                </c:pt>
                <c:pt idx="13">
                  <c:v>6.9136112295054009E-2</c:v>
                </c:pt>
                <c:pt idx="14">
                  <c:v>8.2070213133859093E-2</c:v>
                </c:pt>
                <c:pt idx="15">
                  <c:v>9.649968432817313E-2</c:v>
                </c:pt>
                <c:pt idx="16">
                  <c:v>0.1108661136521194</c:v>
                </c:pt>
                <c:pt idx="17">
                  <c:v>0.12625008024133044</c:v>
                </c:pt>
                <c:pt idx="18">
                  <c:v>0.14262864348534565</c:v>
                </c:pt>
                <c:pt idx="19">
                  <c:v>0.16017353563090286</c:v>
                </c:pt>
                <c:pt idx="20">
                  <c:v>0.17918022507813536</c:v>
                </c:pt>
                <c:pt idx="21">
                  <c:v>0.20004003618588273</c:v>
                </c:pt>
                <c:pt idx="22">
                  <c:v>0.22316782298446269</c:v>
                </c:pt>
                <c:pt idx="23">
                  <c:v>0.24896269707356455</c:v>
                </c:pt>
                <c:pt idx="24">
                  <c:v>0.27791513470808904</c:v>
                </c:pt>
                <c:pt idx="25">
                  <c:v>0.31063406750104638</c:v>
                </c:pt>
                <c:pt idx="26">
                  <c:v>0.34837711650311998</c:v>
                </c:pt>
                <c:pt idx="27">
                  <c:v>0.39192613659199371</c:v>
                </c:pt>
                <c:pt idx="28">
                  <c:v>0.4424591029301721</c:v>
                </c:pt>
                <c:pt idx="29">
                  <c:v>0.50144297079198585</c:v>
                </c:pt>
                <c:pt idx="30">
                  <c:v>0.57079605578830428</c:v>
                </c:pt>
                <c:pt idx="31">
                  <c:v>0.65318803904865064</c:v>
                </c:pt>
                <c:pt idx="32">
                  <c:v>0.7523466758184556</c:v>
                </c:pt>
                <c:pt idx="33">
                  <c:v>0.87345630938601526</c:v>
                </c:pt>
                <c:pt idx="34">
                  <c:v>1.0240908576788805</c:v>
                </c:pt>
                <c:pt idx="35">
                  <c:v>1.2158040407157293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8.5373482410000001</c:v>
                </c:pt>
                <c:pt idx="2">
                  <c:v>14.69205081</c:v>
                </c:pt>
                <c:pt idx="3">
                  <c:v>21.391993230000001</c:v>
                </c:pt>
                <c:pt idx="4">
                  <c:v>28.50384549</c:v>
                </c:pt>
                <c:pt idx="5">
                  <c:v>35.432173519999999</c:v>
                </c:pt>
                <c:pt idx="6">
                  <c:v>42.026715369999998</c:v>
                </c:pt>
                <c:pt idx="7">
                  <c:v>48.455513850000003</c:v>
                </c:pt>
                <c:pt idx="8">
                  <c:v>54.885775889999998</c:v>
                </c:pt>
                <c:pt idx="9">
                  <c:v>61.465849230000003</c:v>
                </c:pt>
                <c:pt idx="10">
                  <c:v>68.36174939</c:v>
                </c:pt>
                <c:pt idx="11">
                  <c:v>75.609314670000003</c:v>
                </c:pt>
                <c:pt idx="12">
                  <c:v>83.345109789999995</c:v>
                </c:pt>
                <c:pt idx="13">
                  <c:v>91.280268480000004</c:v>
                </c:pt>
                <c:pt idx="14">
                  <c:v>99.270168630000001</c:v>
                </c:pt>
                <c:pt idx="15">
                  <c:v>107.24626499999999</c:v>
                </c:pt>
                <c:pt idx="16">
                  <c:v>115.17981229999999</c:v>
                </c:pt>
                <c:pt idx="17">
                  <c:v>123.0446321</c:v>
                </c:pt>
                <c:pt idx="18">
                  <c:v>130.79547099999999</c:v>
                </c:pt>
                <c:pt idx="19">
                  <c:v>138.383701</c:v>
                </c:pt>
                <c:pt idx="20">
                  <c:v>145.74041399999999</c:v>
                </c:pt>
                <c:pt idx="21">
                  <c:v>152.87494530000001</c:v>
                </c:pt>
                <c:pt idx="22">
                  <c:v>159.3717815</c:v>
                </c:pt>
                <c:pt idx="23">
                  <c:v>164.9566604</c:v>
                </c:pt>
                <c:pt idx="24">
                  <c:v>169.805262</c:v>
                </c:pt>
                <c:pt idx="25">
                  <c:v>174.0917728</c:v>
                </c:pt>
                <c:pt idx="26">
                  <c:v>178.10063629999999</c:v>
                </c:pt>
                <c:pt idx="27">
                  <c:v>181.89811309999999</c:v>
                </c:pt>
                <c:pt idx="28">
                  <c:v>185.54526849999999</c:v>
                </c:pt>
                <c:pt idx="29">
                  <c:v>189.0804851</c:v>
                </c:pt>
                <c:pt idx="30">
                  <c:v>192.53231940000001</c:v>
                </c:pt>
                <c:pt idx="31">
                  <c:v>195.9251089</c:v>
                </c:pt>
                <c:pt idx="32">
                  <c:v>199.28097099999999</c:v>
                </c:pt>
                <c:pt idx="33">
                  <c:v>202.62055789999999</c:v>
                </c:pt>
                <c:pt idx="34">
                  <c:v>205.96333920000001</c:v>
                </c:pt>
                <c:pt idx="35">
                  <c:v>209.32762579999999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75.130066909999996</c:v>
                </c:pt>
                <c:pt idx="2">
                  <c:v>80.746061440000005</c:v>
                </c:pt>
                <c:pt idx="3">
                  <c:v>85.701617549999995</c:v>
                </c:pt>
                <c:pt idx="4">
                  <c:v>90.337252410000005</c:v>
                </c:pt>
                <c:pt idx="5">
                  <c:v>94.778735800000007</c:v>
                </c:pt>
                <c:pt idx="6">
                  <c:v>98.504765480000003</c:v>
                </c:pt>
                <c:pt idx="7">
                  <c:v>102.20557549999999</c:v>
                </c:pt>
                <c:pt idx="8">
                  <c:v>105.92260760000001</c:v>
                </c:pt>
                <c:pt idx="9">
                  <c:v>109.68460090000001</c:v>
                </c:pt>
                <c:pt idx="10">
                  <c:v>114.55535930000001</c:v>
                </c:pt>
                <c:pt idx="11">
                  <c:v>118.48853130000001</c:v>
                </c:pt>
                <c:pt idx="12">
                  <c:v>122.5418722</c:v>
                </c:pt>
                <c:pt idx="13">
                  <c:v>126.6341358</c:v>
                </c:pt>
                <c:pt idx="14">
                  <c:v>130.72461440000001</c:v>
                </c:pt>
                <c:pt idx="15">
                  <c:v>134.79531940000001</c:v>
                </c:pt>
                <c:pt idx="16">
                  <c:v>138.84792959999999</c:v>
                </c:pt>
                <c:pt idx="17">
                  <c:v>142.90222410000001</c:v>
                </c:pt>
                <c:pt idx="18">
                  <c:v>146.9695777</c:v>
                </c:pt>
                <c:pt idx="19">
                  <c:v>151.05602619999999</c:v>
                </c:pt>
                <c:pt idx="20">
                  <c:v>154.47776189999999</c:v>
                </c:pt>
                <c:pt idx="21">
                  <c:v>158.60515459999999</c:v>
                </c:pt>
                <c:pt idx="22">
                  <c:v>162.6288174</c:v>
                </c:pt>
                <c:pt idx="23">
                  <c:v>166.43884639999999</c:v>
                </c:pt>
                <c:pt idx="24">
                  <c:v>170.0745421</c:v>
                </c:pt>
                <c:pt idx="25">
                  <c:v>171.7334869</c:v>
                </c:pt>
                <c:pt idx="26">
                  <c:v>174.33577880000001</c:v>
                </c:pt>
                <c:pt idx="27">
                  <c:v>176.92210449999999</c:v>
                </c:pt>
                <c:pt idx="28">
                  <c:v>179.51154389999999</c:v>
                </c:pt>
                <c:pt idx="29">
                  <c:v>182.11359770000001</c:v>
                </c:pt>
                <c:pt idx="30">
                  <c:v>184.7312526</c:v>
                </c:pt>
                <c:pt idx="31">
                  <c:v>187.3630114</c:v>
                </c:pt>
                <c:pt idx="32">
                  <c:v>190.0045983</c:v>
                </c:pt>
                <c:pt idx="33">
                  <c:v>192.650305</c:v>
                </c:pt>
                <c:pt idx="34">
                  <c:v>195.29412740000001</c:v>
                </c:pt>
                <c:pt idx="35">
                  <c:v>197.93084339999999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422.13433900000001</c:v>
                </c:pt>
                <c:pt idx="2">
                  <c:v>435.39236929999998</c:v>
                </c:pt>
                <c:pt idx="3">
                  <c:v>447.441913</c:v>
                </c:pt>
                <c:pt idx="4">
                  <c:v>458.88957149999999</c:v>
                </c:pt>
                <c:pt idx="5">
                  <c:v>469.94269839999998</c:v>
                </c:pt>
                <c:pt idx="6">
                  <c:v>479.05933110000001</c:v>
                </c:pt>
                <c:pt idx="7">
                  <c:v>488.1260097</c:v>
                </c:pt>
                <c:pt idx="8">
                  <c:v>497.23102770000003</c:v>
                </c:pt>
                <c:pt idx="9">
                  <c:v>506.43719709999999</c:v>
                </c:pt>
                <c:pt idx="10">
                  <c:v>518.71588380000003</c:v>
                </c:pt>
                <c:pt idx="11">
                  <c:v>528.3058906</c:v>
                </c:pt>
                <c:pt idx="12">
                  <c:v>538.16179829999999</c:v>
                </c:pt>
                <c:pt idx="13">
                  <c:v>548.0918451</c:v>
                </c:pt>
                <c:pt idx="14">
                  <c:v>558.00247039999999</c:v>
                </c:pt>
                <c:pt idx="15">
                  <c:v>567.85416959999998</c:v>
                </c:pt>
                <c:pt idx="16">
                  <c:v>577.65909450000004</c:v>
                </c:pt>
                <c:pt idx="17">
                  <c:v>587.48683310000001</c:v>
                </c:pt>
                <c:pt idx="18">
                  <c:v>597.37869609999996</c:v>
                </c:pt>
                <c:pt idx="19">
                  <c:v>607.35416610000004</c:v>
                </c:pt>
                <c:pt idx="20">
                  <c:v>615.49039440000001</c:v>
                </c:pt>
                <c:pt idx="21">
                  <c:v>625.62904579999997</c:v>
                </c:pt>
                <c:pt idx="22">
                  <c:v>635.52436160000002</c:v>
                </c:pt>
                <c:pt idx="23">
                  <c:v>644.87844299999995</c:v>
                </c:pt>
                <c:pt idx="24">
                  <c:v>653.77078559999995</c:v>
                </c:pt>
                <c:pt idx="25">
                  <c:v>657.10752909999997</c:v>
                </c:pt>
                <c:pt idx="26">
                  <c:v>663.06372260000001</c:v>
                </c:pt>
                <c:pt idx="27">
                  <c:v>668.93310459999998</c:v>
                </c:pt>
                <c:pt idx="28">
                  <c:v>674.76330929999995</c:v>
                </c:pt>
                <c:pt idx="29">
                  <c:v>680.58081849999996</c:v>
                </c:pt>
                <c:pt idx="30">
                  <c:v>686.39942599999995</c:v>
                </c:pt>
                <c:pt idx="31">
                  <c:v>692.22501390000002</c:v>
                </c:pt>
                <c:pt idx="32">
                  <c:v>698.05875140000001</c:v>
                </c:pt>
                <c:pt idx="33">
                  <c:v>703.89930370000002</c:v>
                </c:pt>
                <c:pt idx="34">
                  <c:v>709.74456599999996</c:v>
                </c:pt>
                <c:pt idx="35">
                  <c:v>715.59327470000005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951.24267350000002</c:v>
                </c:pt>
                <c:pt idx="2">
                  <c:v>950.15262700000005</c:v>
                </c:pt>
                <c:pt idx="3">
                  <c:v>950.18990989999998</c:v>
                </c:pt>
                <c:pt idx="4">
                  <c:v>950.9681521</c:v>
                </c:pt>
                <c:pt idx="5">
                  <c:v>951.42001219999997</c:v>
                </c:pt>
                <c:pt idx="6">
                  <c:v>951.28782590000003</c:v>
                </c:pt>
                <c:pt idx="7">
                  <c:v>950.46086530000002</c:v>
                </c:pt>
                <c:pt idx="8">
                  <c:v>948.97830999999996</c:v>
                </c:pt>
                <c:pt idx="9">
                  <c:v>946.8772937</c:v>
                </c:pt>
                <c:pt idx="10">
                  <c:v>944.15133820000005</c:v>
                </c:pt>
                <c:pt idx="11">
                  <c:v>940.75105150000002</c:v>
                </c:pt>
                <c:pt idx="12">
                  <c:v>936.61526830000003</c:v>
                </c:pt>
                <c:pt idx="13">
                  <c:v>932.25176380000005</c:v>
                </c:pt>
                <c:pt idx="14">
                  <c:v>927.87090000000001</c:v>
                </c:pt>
                <c:pt idx="15">
                  <c:v>923.54761380000002</c:v>
                </c:pt>
                <c:pt idx="16">
                  <c:v>919.26486850000003</c:v>
                </c:pt>
                <c:pt idx="17">
                  <c:v>914.94023240000001</c:v>
                </c:pt>
                <c:pt idx="18">
                  <c:v>910.54951510000001</c:v>
                </c:pt>
                <c:pt idx="19">
                  <c:v>906.09887730000003</c:v>
                </c:pt>
                <c:pt idx="20">
                  <c:v>901.61007900000004</c:v>
                </c:pt>
                <c:pt idx="21">
                  <c:v>897.13155589999997</c:v>
                </c:pt>
                <c:pt idx="22">
                  <c:v>893.37638300000003</c:v>
                </c:pt>
                <c:pt idx="23">
                  <c:v>890.84594000000004</c:v>
                </c:pt>
                <c:pt idx="24">
                  <c:v>889.18772239999998</c:v>
                </c:pt>
                <c:pt idx="25">
                  <c:v>887.96656700000005</c:v>
                </c:pt>
                <c:pt idx="26">
                  <c:v>886.92074579999996</c:v>
                </c:pt>
                <c:pt idx="27">
                  <c:v>885.92886469999996</c:v>
                </c:pt>
                <c:pt idx="28">
                  <c:v>884.94155179999996</c:v>
                </c:pt>
                <c:pt idx="29">
                  <c:v>883.94050990000005</c:v>
                </c:pt>
                <c:pt idx="30">
                  <c:v>882.91931390000002</c:v>
                </c:pt>
                <c:pt idx="31">
                  <c:v>881.87607939999998</c:v>
                </c:pt>
                <c:pt idx="32">
                  <c:v>880.81064490000006</c:v>
                </c:pt>
                <c:pt idx="33">
                  <c:v>879.72322510000004</c:v>
                </c:pt>
                <c:pt idx="34">
                  <c:v>878.61340600000005</c:v>
                </c:pt>
                <c:pt idx="35">
                  <c:v>877.47905920000005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866.9890891</c:v>
                </c:pt>
                <c:pt idx="2">
                  <c:v>855.83697510000002</c:v>
                </c:pt>
                <c:pt idx="3">
                  <c:v>844.89793870000005</c:v>
                </c:pt>
                <c:pt idx="4">
                  <c:v>833.74052589999997</c:v>
                </c:pt>
                <c:pt idx="5">
                  <c:v>823.70473730000003</c:v>
                </c:pt>
                <c:pt idx="6">
                  <c:v>814.85592999999994</c:v>
                </c:pt>
                <c:pt idx="7">
                  <c:v>806.93246620000002</c:v>
                </c:pt>
                <c:pt idx="8">
                  <c:v>799.59545360000004</c:v>
                </c:pt>
                <c:pt idx="9">
                  <c:v>792.56999059999998</c:v>
                </c:pt>
                <c:pt idx="10">
                  <c:v>785.65769799999998</c:v>
                </c:pt>
                <c:pt idx="11">
                  <c:v>778.71304220000002</c:v>
                </c:pt>
                <c:pt idx="12">
                  <c:v>771.63083080000001</c:v>
                </c:pt>
                <c:pt idx="13">
                  <c:v>764.46838760000003</c:v>
                </c:pt>
                <c:pt idx="14">
                  <c:v>757.29645410000001</c:v>
                </c:pt>
                <c:pt idx="15">
                  <c:v>750.1670752</c:v>
                </c:pt>
                <c:pt idx="16">
                  <c:v>743.11364549999996</c:v>
                </c:pt>
                <c:pt idx="17">
                  <c:v>736.15938189999997</c:v>
                </c:pt>
                <c:pt idx="18">
                  <c:v>729.320108</c:v>
                </c:pt>
                <c:pt idx="19">
                  <c:v>722.60971789999996</c:v>
                </c:pt>
                <c:pt idx="20">
                  <c:v>716.03604099999995</c:v>
                </c:pt>
                <c:pt idx="21">
                  <c:v>709.60277259999998</c:v>
                </c:pt>
                <c:pt idx="22">
                  <c:v>703.4322545</c:v>
                </c:pt>
                <c:pt idx="23">
                  <c:v>697.70457080000006</c:v>
                </c:pt>
                <c:pt idx="24">
                  <c:v>692.47796760000006</c:v>
                </c:pt>
                <c:pt idx="25">
                  <c:v>687.69686109999998</c:v>
                </c:pt>
                <c:pt idx="26">
                  <c:v>683.25961059999997</c:v>
                </c:pt>
                <c:pt idx="27">
                  <c:v>679.06876399999999</c:v>
                </c:pt>
                <c:pt idx="28">
                  <c:v>675.0482121</c:v>
                </c:pt>
                <c:pt idx="29">
                  <c:v>671.14450820000002</c:v>
                </c:pt>
                <c:pt idx="30">
                  <c:v>667.3216496</c:v>
                </c:pt>
                <c:pt idx="31">
                  <c:v>663.55573709999999</c:v>
                </c:pt>
                <c:pt idx="32">
                  <c:v>659.83069120000005</c:v>
                </c:pt>
                <c:pt idx="33">
                  <c:v>656.13513409999996</c:v>
                </c:pt>
                <c:pt idx="34">
                  <c:v>652.46013689999995</c:v>
                </c:pt>
                <c:pt idx="35">
                  <c:v>648.79755050000006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137.96769699999999</c:v>
                </c:pt>
                <c:pt idx="2">
                  <c:v>136.10651720000001</c:v>
                </c:pt>
                <c:pt idx="3">
                  <c:v>134.27016879999999</c:v>
                </c:pt>
                <c:pt idx="4">
                  <c:v>132.4628103</c:v>
                </c:pt>
                <c:pt idx="5">
                  <c:v>130.67505310000001</c:v>
                </c:pt>
                <c:pt idx="6">
                  <c:v>128.91107120000001</c:v>
                </c:pt>
                <c:pt idx="7">
                  <c:v>127.1815747</c:v>
                </c:pt>
                <c:pt idx="8">
                  <c:v>125.4897055</c:v>
                </c:pt>
                <c:pt idx="9">
                  <c:v>123.8338332</c:v>
                </c:pt>
                <c:pt idx="10">
                  <c:v>122.2103398</c:v>
                </c:pt>
                <c:pt idx="11">
                  <c:v>120.6154051</c:v>
                </c:pt>
                <c:pt idx="12">
                  <c:v>119.045445</c:v>
                </c:pt>
                <c:pt idx="13">
                  <c:v>117.4974864</c:v>
                </c:pt>
                <c:pt idx="14">
                  <c:v>115.96951660000001</c:v>
                </c:pt>
                <c:pt idx="15">
                  <c:v>114.46074299999999</c:v>
                </c:pt>
                <c:pt idx="16">
                  <c:v>112.96982939999999</c:v>
                </c:pt>
                <c:pt idx="17">
                  <c:v>111.49284350000001</c:v>
                </c:pt>
                <c:pt idx="18">
                  <c:v>110.03066990000001</c:v>
                </c:pt>
                <c:pt idx="19">
                  <c:v>108.5863676</c:v>
                </c:pt>
                <c:pt idx="20">
                  <c:v>107.1633945</c:v>
                </c:pt>
                <c:pt idx="21">
                  <c:v>105.7646396</c:v>
                </c:pt>
                <c:pt idx="22">
                  <c:v>104.39198210000001</c:v>
                </c:pt>
                <c:pt idx="23">
                  <c:v>103.0463178</c:v>
                </c:pt>
                <c:pt idx="24">
                  <c:v>101.72773979999999</c:v>
                </c:pt>
                <c:pt idx="25">
                  <c:v>100.43574460000001</c:v>
                </c:pt>
                <c:pt idx="26">
                  <c:v>99.169250570000003</c:v>
                </c:pt>
                <c:pt idx="27">
                  <c:v>97.926618110000007</c:v>
                </c:pt>
                <c:pt idx="28">
                  <c:v>96.705781459999997</c:v>
                </c:pt>
                <c:pt idx="29">
                  <c:v>95.504345580000006</c:v>
                </c:pt>
                <c:pt idx="30">
                  <c:v>94.319620799999996</c:v>
                </c:pt>
                <c:pt idx="31">
                  <c:v>93.148873929999993</c:v>
                </c:pt>
                <c:pt idx="32">
                  <c:v>91.989519490000006</c:v>
                </c:pt>
                <c:pt idx="33">
                  <c:v>90.839272510000001</c:v>
                </c:pt>
                <c:pt idx="34">
                  <c:v>89.696251360000005</c:v>
                </c:pt>
                <c:pt idx="35">
                  <c:v>88.559021259999994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3.7251598189999999</c:v>
                </c:pt>
                <c:pt idx="2">
                  <c:v>3.5815059109999998</c:v>
                </c:pt>
                <c:pt idx="3">
                  <c:v>3.4434435900000002</c:v>
                </c:pt>
                <c:pt idx="4">
                  <c:v>3.3110556619999998</c:v>
                </c:pt>
                <c:pt idx="5">
                  <c:v>3.1835897609999999</c:v>
                </c:pt>
                <c:pt idx="6">
                  <c:v>3.0611505449999998</c:v>
                </c:pt>
                <c:pt idx="7">
                  <c:v>2.9438434870000001</c:v>
                </c:pt>
                <c:pt idx="8">
                  <c:v>2.8313970639999999</c:v>
                </c:pt>
                <c:pt idx="9">
                  <c:v>2.7234110949999999</c:v>
                </c:pt>
                <c:pt idx="10">
                  <c:v>2.619513172</c:v>
                </c:pt>
                <c:pt idx="11">
                  <c:v>2.519421876</c:v>
                </c:pt>
                <c:pt idx="12">
                  <c:v>2.4229280059999998</c:v>
                </c:pt>
                <c:pt idx="13">
                  <c:v>2.3298813439999999</c:v>
                </c:pt>
                <c:pt idx="14">
                  <c:v>2.2401839350000001</c:v>
                </c:pt>
                <c:pt idx="15">
                  <c:v>2.1537876919999999</c:v>
                </c:pt>
                <c:pt idx="16">
                  <c:v>2.0706883290000002</c:v>
                </c:pt>
                <c:pt idx="17">
                  <c:v>1.990947713</c:v>
                </c:pt>
                <c:pt idx="18">
                  <c:v>1.914719284</c:v>
                </c:pt>
                <c:pt idx="19">
                  <c:v>1.8421029760000001</c:v>
                </c:pt>
                <c:pt idx="20">
                  <c:v>1.7731060320000001</c:v>
                </c:pt>
                <c:pt idx="21">
                  <c:v>1.7076457140000001</c:v>
                </c:pt>
                <c:pt idx="22">
                  <c:v>1.6455709140000001</c:v>
                </c:pt>
                <c:pt idx="23">
                  <c:v>1.5866923989999999</c:v>
                </c:pt>
                <c:pt idx="24">
                  <c:v>1.530804716</c:v>
                </c:pt>
                <c:pt idx="25">
                  <c:v>1.4777005219999999</c:v>
                </c:pt>
                <c:pt idx="26">
                  <c:v>1.4271722570000001</c:v>
                </c:pt>
                <c:pt idx="27">
                  <c:v>1.3790110900000001</c:v>
                </c:pt>
                <c:pt idx="28">
                  <c:v>1.3330115140000001</c:v>
                </c:pt>
                <c:pt idx="29">
                  <c:v>1.28897416</c:v>
                </c:pt>
                <c:pt idx="30">
                  <c:v>1.246705945</c:v>
                </c:pt>
                <c:pt idx="31">
                  <c:v>1.206028694</c:v>
                </c:pt>
                <c:pt idx="32">
                  <c:v>1.1667846690000001</c:v>
                </c:pt>
                <c:pt idx="33">
                  <c:v>1.1288398500000001</c:v>
                </c:pt>
                <c:pt idx="34">
                  <c:v>1.092084979</c:v>
                </c:pt>
                <c:pt idx="35">
                  <c:v>1.056434614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8.5373483500000003</c:v>
                </c:pt>
                <c:pt idx="2">
                  <c:v>14.69205107</c:v>
                </c:pt>
                <c:pt idx="3">
                  <c:v>21.391993660000001</c:v>
                </c:pt>
                <c:pt idx="4">
                  <c:v>28.503846119999999</c:v>
                </c:pt>
                <c:pt idx="5">
                  <c:v>35.432174349999997</c:v>
                </c:pt>
                <c:pt idx="6">
                  <c:v>41.982731899999997</c:v>
                </c:pt>
                <c:pt idx="7">
                  <c:v>48.793801909999999</c:v>
                </c:pt>
                <c:pt idx="8">
                  <c:v>61.06705367</c:v>
                </c:pt>
                <c:pt idx="9">
                  <c:v>80.353474160000005</c:v>
                </c:pt>
                <c:pt idx="10">
                  <c:v>107.3697387</c:v>
                </c:pt>
                <c:pt idx="11">
                  <c:v>140.68911869999999</c:v>
                </c:pt>
                <c:pt idx="12">
                  <c:v>175.22674839999999</c:v>
                </c:pt>
                <c:pt idx="13">
                  <c:v>208.3850683</c:v>
                </c:pt>
                <c:pt idx="14">
                  <c:v>239.09270979999999</c:v>
                </c:pt>
                <c:pt idx="15">
                  <c:v>267.09817409999999</c:v>
                </c:pt>
                <c:pt idx="16">
                  <c:v>292.95611760000003</c:v>
                </c:pt>
                <c:pt idx="17">
                  <c:v>318.23906529999999</c:v>
                </c:pt>
                <c:pt idx="18">
                  <c:v>343.5208677</c:v>
                </c:pt>
                <c:pt idx="19">
                  <c:v>368.86657639999999</c:v>
                </c:pt>
                <c:pt idx="20">
                  <c:v>394.05935169999998</c:v>
                </c:pt>
                <c:pt idx="21">
                  <c:v>418.8507275</c:v>
                </c:pt>
                <c:pt idx="22">
                  <c:v>442.88857510000003</c:v>
                </c:pt>
                <c:pt idx="23">
                  <c:v>465.86060950000001</c:v>
                </c:pt>
                <c:pt idx="24">
                  <c:v>487.51352709999998</c:v>
                </c:pt>
                <c:pt idx="25">
                  <c:v>507.59572029999998</c:v>
                </c:pt>
                <c:pt idx="26">
                  <c:v>526.11339169999997</c:v>
                </c:pt>
                <c:pt idx="27">
                  <c:v>543.00086739999995</c:v>
                </c:pt>
                <c:pt idx="28">
                  <c:v>558.30284919999997</c:v>
                </c:pt>
                <c:pt idx="29">
                  <c:v>572.12537810000003</c:v>
                </c:pt>
                <c:pt idx="30">
                  <c:v>584.60849410000003</c:v>
                </c:pt>
                <c:pt idx="31">
                  <c:v>595.90173519999996</c:v>
                </c:pt>
                <c:pt idx="32">
                  <c:v>606.1495688</c:v>
                </c:pt>
                <c:pt idx="33">
                  <c:v>615.48671460000003</c:v>
                </c:pt>
                <c:pt idx="34">
                  <c:v>624.03703410000003</c:v>
                </c:pt>
                <c:pt idx="35">
                  <c:v>631.91072910000003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75.130066929999998</c:v>
                </c:pt>
                <c:pt idx="2">
                  <c:v>80.746061499999996</c:v>
                </c:pt>
                <c:pt idx="3">
                  <c:v>85.701617639999995</c:v>
                </c:pt>
                <c:pt idx="4">
                  <c:v>90.337252530000001</c:v>
                </c:pt>
                <c:pt idx="5">
                  <c:v>94.77873597</c:v>
                </c:pt>
                <c:pt idx="6">
                  <c:v>98.501493730000007</c:v>
                </c:pt>
                <c:pt idx="7">
                  <c:v>102.1508388</c:v>
                </c:pt>
                <c:pt idx="8">
                  <c:v>106.29103379999999</c:v>
                </c:pt>
                <c:pt idx="9">
                  <c:v>110.9436041</c:v>
                </c:pt>
                <c:pt idx="10">
                  <c:v>117.2289174</c:v>
                </c:pt>
                <c:pt idx="11">
                  <c:v>123.01618449999999</c:v>
                </c:pt>
                <c:pt idx="12">
                  <c:v>128.8126446</c:v>
                </c:pt>
                <c:pt idx="13">
                  <c:v>134.3792938</c:v>
                </c:pt>
                <c:pt idx="14">
                  <c:v>139.63404209999999</c:v>
                </c:pt>
                <c:pt idx="15">
                  <c:v>144.57455469999999</c:v>
                </c:pt>
                <c:pt idx="16">
                  <c:v>149.271545</c:v>
                </c:pt>
                <c:pt idx="17">
                  <c:v>153.88735980000001</c:v>
                </c:pt>
                <c:pt idx="18">
                  <c:v>158.49073469999999</c:v>
                </c:pt>
                <c:pt idx="19">
                  <c:v>163.0994681</c:v>
                </c:pt>
                <c:pt idx="20">
                  <c:v>167.0170492</c:v>
                </c:pt>
                <c:pt idx="21">
                  <c:v>171.59035729999999</c:v>
                </c:pt>
                <c:pt idx="22">
                  <c:v>176.11053029999999</c:v>
                </c:pt>
                <c:pt idx="23">
                  <c:v>180.55079939999999</c:v>
                </c:pt>
                <c:pt idx="24">
                  <c:v>184.8885659</c:v>
                </c:pt>
                <c:pt idx="25">
                  <c:v>187.23143569999999</c:v>
                </c:pt>
                <c:pt idx="26">
                  <c:v>190.42747979999999</c:v>
                </c:pt>
                <c:pt idx="27">
                  <c:v>193.48282589999999</c:v>
                </c:pt>
                <c:pt idx="28">
                  <c:v>196.3999839</c:v>
                </c:pt>
                <c:pt idx="29">
                  <c:v>199.1866</c:v>
                </c:pt>
                <c:pt idx="30">
                  <c:v>201.85326090000001</c:v>
                </c:pt>
                <c:pt idx="31">
                  <c:v>204.4116239</c:v>
                </c:pt>
                <c:pt idx="32">
                  <c:v>206.87327619999999</c:v>
                </c:pt>
                <c:pt idx="33">
                  <c:v>209.2492647</c:v>
                </c:pt>
                <c:pt idx="34">
                  <c:v>211.5501333</c:v>
                </c:pt>
                <c:pt idx="35">
                  <c:v>213.78586000000001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422.13433900000001</c:v>
                </c:pt>
                <c:pt idx="2">
                  <c:v>435.39236940000001</c:v>
                </c:pt>
                <c:pt idx="3">
                  <c:v>447.44191310000002</c:v>
                </c:pt>
                <c:pt idx="4">
                  <c:v>458.88957169999998</c:v>
                </c:pt>
                <c:pt idx="5">
                  <c:v>469.94269850000001</c:v>
                </c:pt>
                <c:pt idx="6">
                  <c:v>479.0531009</c:v>
                </c:pt>
                <c:pt idx="7">
                  <c:v>488.02614080000001</c:v>
                </c:pt>
                <c:pt idx="8">
                  <c:v>497.90821549999998</c:v>
                </c:pt>
                <c:pt idx="9">
                  <c:v>508.00506100000001</c:v>
                </c:pt>
                <c:pt idx="10">
                  <c:v>520.63793310000005</c:v>
                </c:pt>
                <c:pt idx="11">
                  <c:v>529.69444139999996</c:v>
                </c:pt>
                <c:pt idx="12">
                  <c:v>538.24935270000003</c:v>
                </c:pt>
                <c:pt idx="13">
                  <c:v>546.51797339999996</c:v>
                </c:pt>
                <c:pt idx="14">
                  <c:v>554.6337284</c:v>
                </c:pt>
                <c:pt idx="15">
                  <c:v>562.66224980000004</c:v>
                </c:pt>
                <c:pt idx="16">
                  <c:v>570.62171090000004</c:v>
                </c:pt>
                <c:pt idx="17">
                  <c:v>578.47892730000001</c:v>
                </c:pt>
                <c:pt idx="18">
                  <c:v>586.20415349999996</c:v>
                </c:pt>
                <c:pt idx="19">
                  <c:v>593.78542230000005</c:v>
                </c:pt>
                <c:pt idx="20">
                  <c:v>599.2987723</c:v>
                </c:pt>
                <c:pt idx="21">
                  <c:v>606.61614340000006</c:v>
                </c:pt>
                <c:pt idx="22">
                  <c:v>613.83507669999995</c:v>
                </c:pt>
                <c:pt idx="23">
                  <c:v>620.98152640000001</c:v>
                </c:pt>
                <c:pt idx="24">
                  <c:v>628.08066329999997</c:v>
                </c:pt>
                <c:pt idx="25">
                  <c:v>629.88913339999999</c:v>
                </c:pt>
                <c:pt idx="26">
                  <c:v>634.47425269999997</c:v>
                </c:pt>
                <c:pt idx="27">
                  <c:v>639.05758279999998</c:v>
                </c:pt>
                <c:pt idx="28">
                  <c:v>643.64924229999997</c:v>
                </c:pt>
                <c:pt idx="29">
                  <c:v>648.25558079999996</c:v>
                </c:pt>
                <c:pt idx="30">
                  <c:v>652.88035560000003</c:v>
                </c:pt>
                <c:pt idx="31">
                  <c:v>657.52575049999996</c:v>
                </c:pt>
                <c:pt idx="32">
                  <c:v>662.19308530000001</c:v>
                </c:pt>
                <c:pt idx="33">
                  <c:v>666.88326519999998</c:v>
                </c:pt>
                <c:pt idx="34">
                  <c:v>671.5968355</c:v>
                </c:pt>
                <c:pt idx="35">
                  <c:v>676.33414779999998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951.24267320000001</c:v>
                </c:pt>
                <c:pt idx="2">
                  <c:v>950.1526265</c:v>
                </c:pt>
                <c:pt idx="3">
                  <c:v>950.18990880000001</c:v>
                </c:pt>
                <c:pt idx="4">
                  <c:v>950.96815049999998</c:v>
                </c:pt>
                <c:pt idx="5">
                  <c:v>951.42001000000005</c:v>
                </c:pt>
                <c:pt idx="6">
                  <c:v>951.35751170000003</c:v>
                </c:pt>
                <c:pt idx="7">
                  <c:v>951.95562259999997</c:v>
                </c:pt>
                <c:pt idx="8">
                  <c:v>963.35311160000003</c:v>
                </c:pt>
                <c:pt idx="9">
                  <c:v>985.73959279999997</c:v>
                </c:pt>
                <c:pt idx="10">
                  <c:v>1013.916782</c:v>
                </c:pt>
                <c:pt idx="11">
                  <c:v>1041.477545</c:v>
                </c:pt>
                <c:pt idx="12">
                  <c:v>1065.1625039999999</c:v>
                </c:pt>
                <c:pt idx="13">
                  <c:v>1084.774175</c:v>
                </c:pt>
                <c:pt idx="14">
                  <c:v>1101.020156</c:v>
                </c:pt>
                <c:pt idx="15">
                  <c:v>1114.63049</c:v>
                </c:pt>
                <c:pt idx="16">
                  <c:v>1126.1636920000001</c:v>
                </c:pt>
                <c:pt idx="17">
                  <c:v>1135.7427769999999</c:v>
                </c:pt>
                <c:pt idx="18">
                  <c:v>1143.004342</c:v>
                </c:pt>
                <c:pt idx="19">
                  <c:v>1147.7328580000001</c:v>
                </c:pt>
                <c:pt idx="20">
                  <c:v>1149.983467</c:v>
                </c:pt>
                <c:pt idx="21">
                  <c:v>1150.0290419999999</c:v>
                </c:pt>
                <c:pt idx="22">
                  <c:v>1148.2700339999999</c:v>
                </c:pt>
                <c:pt idx="23">
                  <c:v>1145.1639929999999</c:v>
                </c:pt>
                <c:pt idx="24">
                  <c:v>1141.1523420000001</c:v>
                </c:pt>
                <c:pt idx="25">
                  <c:v>1136.620122</c:v>
                </c:pt>
                <c:pt idx="26">
                  <c:v>1131.8765550000001</c:v>
                </c:pt>
                <c:pt idx="27">
                  <c:v>1127.1482860000001</c:v>
                </c:pt>
                <c:pt idx="28">
                  <c:v>1122.577509</c:v>
                </c:pt>
                <c:pt idx="29">
                  <c:v>1118.2322859999999</c:v>
                </c:pt>
                <c:pt idx="30">
                  <c:v>1114.13049</c:v>
                </c:pt>
                <c:pt idx="31">
                  <c:v>1110.26223</c:v>
                </c:pt>
                <c:pt idx="32">
                  <c:v>1106.6045260000001</c:v>
                </c:pt>
                <c:pt idx="33">
                  <c:v>1103.128297</c:v>
                </c:pt>
                <c:pt idx="34">
                  <c:v>1099.801479</c:v>
                </c:pt>
                <c:pt idx="35">
                  <c:v>1096.5925070000001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866.98908919999997</c:v>
                </c:pt>
                <c:pt idx="2">
                  <c:v>855.83697519999998</c:v>
                </c:pt>
                <c:pt idx="3">
                  <c:v>844.89793910000003</c:v>
                </c:pt>
                <c:pt idx="4">
                  <c:v>833.74052659999995</c:v>
                </c:pt>
                <c:pt idx="5">
                  <c:v>823.70473819999995</c:v>
                </c:pt>
                <c:pt idx="6">
                  <c:v>814.84197359999996</c:v>
                </c:pt>
                <c:pt idx="7">
                  <c:v>805.25567320000005</c:v>
                </c:pt>
                <c:pt idx="8">
                  <c:v>777.94036040000003</c:v>
                </c:pt>
                <c:pt idx="9">
                  <c:v>731.86710879999998</c:v>
                </c:pt>
                <c:pt idx="10">
                  <c:v>672.10026549999998</c:v>
                </c:pt>
                <c:pt idx="11">
                  <c:v>606.77343499999995</c:v>
                </c:pt>
                <c:pt idx="12">
                  <c:v>544.65994130000001</c:v>
                </c:pt>
                <c:pt idx="13">
                  <c:v>488.58014159999999</c:v>
                </c:pt>
                <c:pt idx="14">
                  <c:v>438.83650569999998</c:v>
                </c:pt>
                <c:pt idx="15">
                  <c:v>394.87512020000003</c:v>
                </c:pt>
                <c:pt idx="16">
                  <c:v>355.48250480000002</c:v>
                </c:pt>
                <c:pt idx="17">
                  <c:v>318.82309070000002</c:v>
                </c:pt>
                <c:pt idx="18">
                  <c:v>284.64504099999999</c:v>
                </c:pt>
                <c:pt idx="19">
                  <c:v>253.09280749999999</c:v>
                </c:pt>
                <c:pt idx="20">
                  <c:v>224.30516180000001</c:v>
                </c:pt>
                <c:pt idx="21">
                  <c:v>198.31310350000001</c:v>
                </c:pt>
                <c:pt idx="22">
                  <c:v>175.04332690000001</c:v>
                </c:pt>
                <c:pt idx="23">
                  <c:v>154.3489573</c:v>
                </c:pt>
                <c:pt idx="24">
                  <c:v>136.0375047</c:v>
                </c:pt>
                <c:pt idx="25">
                  <c:v>119.89633379999999</c:v>
                </c:pt>
                <c:pt idx="26">
                  <c:v>105.7085469</c:v>
                </c:pt>
                <c:pt idx="27">
                  <c:v>93.264616270000005</c:v>
                </c:pt>
                <c:pt idx="28">
                  <c:v>82.364934059999996</c:v>
                </c:pt>
                <c:pt idx="29">
                  <c:v>72.822835999999995</c:v>
                </c:pt>
                <c:pt idx="30">
                  <c:v>64.468741989999998</c:v>
                </c:pt>
                <c:pt idx="31">
                  <c:v>57.15238145</c:v>
                </c:pt>
                <c:pt idx="32">
                  <c:v>50.74251142</c:v>
                </c:pt>
                <c:pt idx="33">
                  <c:v>45.1246206</c:v>
                </c:pt>
                <c:pt idx="34">
                  <c:v>40.199088629999999</c:v>
                </c:pt>
                <c:pt idx="35">
                  <c:v>35.880311140000003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137.96769699999999</c:v>
                </c:pt>
                <c:pt idx="2">
                  <c:v>136.10651730000001</c:v>
                </c:pt>
                <c:pt idx="3">
                  <c:v>134.27016879999999</c:v>
                </c:pt>
                <c:pt idx="4">
                  <c:v>132.4628103</c:v>
                </c:pt>
                <c:pt idx="5">
                  <c:v>130.67505320000001</c:v>
                </c:pt>
                <c:pt idx="6">
                  <c:v>128.90884740000001</c:v>
                </c:pt>
                <c:pt idx="7">
                  <c:v>127.1793322</c:v>
                </c:pt>
                <c:pt idx="8">
                  <c:v>125.5384652</c:v>
                </c:pt>
                <c:pt idx="9">
                  <c:v>123.9503089</c:v>
                </c:pt>
                <c:pt idx="10">
                  <c:v>122.38476900000001</c:v>
                </c:pt>
                <c:pt idx="11">
                  <c:v>120.8158707</c:v>
                </c:pt>
                <c:pt idx="12">
                  <c:v>119.2126281</c:v>
                </c:pt>
                <c:pt idx="13">
                  <c:v>117.5731242</c:v>
                </c:pt>
                <c:pt idx="14">
                  <c:v>115.9066128</c:v>
                </c:pt>
                <c:pt idx="15">
                  <c:v>114.22456270000001</c:v>
                </c:pt>
                <c:pt idx="16">
                  <c:v>112.5379423</c:v>
                </c:pt>
                <c:pt idx="17">
                  <c:v>110.85720600000001</c:v>
                </c:pt>
                <c:pt idx="18">
                  <c:v>109.1848755</c:v>
                </c:pt>
                <c:pt idx="19">
                  <c:v>107.5214265</c:v>
                </c:pt>
                <c:pt idx="20">
                  <c:v>105.867923</c:v>
                </c:pt>
                <c:pt idx="21">
                  <c:v>104.2265726</c:v>
                </c:pt>
                <c:pt idx="22">
                  <c:v>102.60026190000001</c:v>
                </c:pt>
                <c:pt idx="23">
                  <c:v>100.99161290000001</c:v>
                </c:pt>
                <c:pt idx="24">
                  <c:v>99.402635360000005</c:v>
                </c:pt>
                <c:pt idx="25">
                  <c:v>97.834840959999994</c:v>
                </c:pt>
                <c:pt idx="26">
                  <c:v>96.289364090000007</c:v>
                </c:pt>
                <c:pt idx="27">
                  <c:v>94.767174760000003</c:v>
                </c:pt>
                <c:pt idx="28">
                  <c:v>93.268515339999993</c:v>
                </c:pt>
                <c:pt idx="29">
                  <c:v>91.792150179999993</c:v>
                </c:pt>
                <c:pt idx="30">
                  <c:v>90.33562603</c:v>
                </c:pt>
                <c:pt idx="31">
                  <c:v>88.895952309999998</c:v>
                </c:pt>
                <c:pt idx="32">
                  <c:v>87.470187240000001</c:v>
                </c:pt>
                <c:pt idx="33">
                  <c:v>86.055443949999997</c:v>
                </c:pt>
                <c:pt idx="34">
                  <c:v>84.648643919999998</c:v>
                </c:pt>
                <c:pt idx="35">
                  <c:v>83.246598890000001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3.7251598189999999</c:v>
                </c:pt>
                <c:pt idx="2">
                  <c:v>3.5815059109999998</c:v>
                </c:pt>
                <c:pt idx="3">
                  <c:v>3.4434435909999999</c:v>
                </c:pt>
                <c:pt idx="4">
                  <c:v>3.311055664</c:v>
                </c:pt>
                <c:pt idx="5">
                  <c:v>3.1835897630000001</c:v>
                </c:pt>
                <c:pt idx="6">
                  <c:v>3.0611304750000001</c:v>
                </c:pt>
                <c:pt idx="7">
                  <c:v>2.944439284</c:v>
                </c:pt>
                <c:pt idx="8">
                  <c:v>2.8360374429999999</c:v>
                </c:pt>
                <c:pt idx="9">
                  <c:v>2.7330260009999998</c:v>
                </c:pt>
                <c:pt idx="10">
                  <c:v>2.6334755689999998</c:v>
                </c:pt>
                <c:pt idx="11">
                  <c:v>2.536061218</c:v>
                </c:pt>
                <c:pt idx="12">
                  <c:v>2.439433298</c:v>
                </c:pt>
                <c:pt idx="13">
                  <c:v>2.3439921130000001</c:v>
                </c:pt>
                <c:pt idx="14">
                  <c:v>2.250553338</c:v>
                </c:pt>
                <c:pt idx="15">
                  <c:v>2.159822449</c:v>
                </c:pt>
                <c:pt idx="16">
                  <c:v>2.0723550400000001</c:v>
                </c:pt>
                <c:pt idx="17">
                  <c:v>1.988668307</c:v>
                </c:pt>
                <c:pt idx="18">
                  <c:v>1.908742916</c:v>
                </c:pt>
                <c:pt idx="19">
                  <c:v>1.832399973</c:v>
                </c:pt>
                <c:pt idx="20">
                  <c:v>1.759465711</c:v>
                </c:pt>
                <c:pt idx="21">
                  <c:v>1.6898126449999999</c:v>
                </c:pt>
                <c:pt idx="22">
                  <c:v>1.6233461119999999</c:v>
                </c:pt>
                <c:pt idx="23">
                  <c:v>1.5599721719999999</c:v>
                </c:pt>
                <c:pt idx="24">
                  <c:v>1.4995857669999999</c:v>
                </c:pt>
                <c:pt idx="25">
                  <c:v>1.4420754570000001</c:v>
                </c:pt>
                <c:pt idx="26">
                  <c:v>1.387326885</c:v>
                </c:pt>
                <c:pt idx="27">
                  <c:v>1.3352271330000001</c:v>
                </c:pt>
                <c:pt idx="28">
                  <c:v>1.28564477</c:v>
                </c:pt>
                <c:pt idx="29">
                  <c:v>1.2384082620000001</c:v>
                </c:pt>
                <c:pt idx="30">
                  <c:v>1.1933196230000001</c:v>
                </c:pt>
                <c:pt idx="31">
                  <c:v>1.15017952</c:v>
                </c:pt>
                <c:pt idx="32">
                  <c:v>1.1088056449999999</c:v>
                </c:pt>
                <c:pt idx="33">
                  <c:v>1.069031397</c:v>
                </c:pt>
                <c:pt idx="34">
                  <c:v>1.0306977980000001</c:v>
                </c:pt>
                <c:pt idx="35">
                  <c:v>0.99365589170000002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7152.3092869474003</c:v>
                </c:pt>
                <c:pt idx="2">
                  <c:v>7255.4507319373997</c:v>
                </c:pt>
                <c:pt idx="3">
                  <c:v>7394.3019234223993</c:v>
                </c:pt>
                <c:pt idx="4">
                  <c:v>7562.4358430390012</c:v>
                </c:pt>
                <c:pt idx="5">
                  <c:v>7749.3584332075998</c:v>
                </c:pt>
                <c:pt idx="6">
                  <c:v>7942.5645335888003</c:v>
                </c:pt>
                <c:pt idx="7">
                  <c:v>8136.9553373228</c:v>
                </c:pt>
                <c:pt idx="8">
                  <c:v>8331.0612596837</c:v>
                </c:pt>
                <c:pt idx="9">
                  <c:v>8524.8686751488021</c:v>
                </c:pt>
                <c:pt idx="10">
                  <c:v>8720.341358977701</c:v>
                </c:pt>
                <c:pt idx="11">
                  <c:v>8915.9839104326002</c:v>
                </c:pt>
                <c:pt idx="12">
                  <c:v>9111.8129300635992</c:v>
                </c:pt>
                <c:pt idx="13">
                  <c:v>9306.6128486901998</c:v>
                </c:pt>
                <c:pt idx="14">
                  <c:v>9498.8413828904995</c:v>
                </c:pt>
                <c:pt idx="15">
                  <c:v>9687.1930751833988</c:v>
                </c:pt>
                <c:pt idx="16">
                  <c:v>9875.7981540456021</c:v>
                </c:pt>
                <c:pt idx="17">
                  <c:v>10065.088146521501</c:v>
                </c:pt>
                <c:pt idx="18">
                  <c:v>10253.8672638838</c:v>
                </c:pt>
                <c:pt idx="19">
                  <c:v>10440.9834606573</c:v>
                </c:pt>
                <c:pt idx="20">
                  <c:v>10624.689665202901</c:v>
                </c:pt>
                <c:pt idx="21">
                  <c:v>10806.8001881247</c:v>
                </c:pt>
                <c:pt idx="22">
                  <c:v>10988.217673357301</c:v>
                </c:pt>
                <c:pt idx="23">
                  <c:v>11170.298952501</c:v>
                </c:pt>
                <c:pt idx="24">
                  <c:v>11354.473798016999</c:v>
                </c:pt>
                <c:pt idx="25">
                  <c:v>11538.734921211999</c:v>
                </c:pt>
                <c:pt idx="26">
                  <c:v>11727.320972571999</c:v>
                </c:pt>
                <c:pt idx="27">
                  <c:v>11922.225199297</c:v>
                </c:pt>
                <c:pt idx="28">
                  <c:v>12125.54381702</c:v>
                </c:pt>
                <c:pt idx="29">
                  <c:v>12339.209629796</c:v>
                </c:pt>
                <c:pt idx="30">
                  <c:v>12564.522720169</c:v>
                </c:pt>
                <c:pt idx="31">
                  <c:v>12802.052063926998</c:v>
                </c:pt>
                <c:pt idx="32">
                  <c:v>13051.729572453001</c:v>
                </c:pt>
                <c:pt idx="33">
                  <c:v>13312.96379265</c:v>
                </c:pt>
                <c:pt idx="34">
                  <c:v>13584.748713499999</c:v>
                </c:pt>
                <c:pt idx="35">
                  <c:v>13865.747163784001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8194.9441513409001</c:v>
                </c:pt>
                <c:pt idx="2">
                  <c:v>8188.9422328428</c:v>
                </c:pt>
                <c:pt idx="3">
                  <c:v>8224.0384927099003</c:v>
                </c:pt>
                <c:pt idx="4">
                  <c:v>8293.3352173312014</c:v>
                </c:pt>
                <c:pt idx="5">
                  <c:v>8386.3477843659002</c:v>
                </c:pt>
                <c:pt idx="6">
                  <c:v>8490.6138324221993</c:v>
                </c:pt>
                <c:pt idx="7">
                  <c:v>8600.6587538161002</c:v>
                </c:pt>
                <c:pt idx="8">
                  <c:v>8714.5075522006991</c:v>
                </c:pt>
                <c:pt idx="9">
                  <c:v>8831.6514718683993</c:v>
                </c:pt>
                <c:pt idx="10">
                  <c:v>8953.5288672563001</c:v>
                </c:pt>
                <c:pt idx="11">
                  <c:v>9078.4018560263994</c:v>
                </c:pt>
                <c:pt idx="12">
                  <c:v>9206.0422170564998</c:v>
                </c:pt>
                <c:pt idx="13">
                  <c:v>9335.1373898101992</c:v>
                </c:pt>
                <c:pt idx="14">
                  <c:v>9464.1176885130008</c:v>
                </c:pt>
                <c:pt idx="15">
                  <c:v>9591.6567001784006</c:v>
                </c:pt>
                <c:pt idx="16">
                  <c:v>9721.5718091504023</c:v>
                </c:pt>
                <c:pt idx="17">
                  <c:v>9854.3340437028</c:v>
                </c:pt>
                <c:pt idx="18">
                  <c:v>9988.8468002609006</c:v>
                </c:pt>
                <c:pt idx="19">
                  <c:v>10123.959395383499</c:v>
                </c:pt>
                <c:pt idx="20">
                  <c:v>10257.8857728158</c:v>
                </c:pt>
                <c:pt idx="21">
                  <c:v>10392.0742070746</c:v>
                </c:pt>
                <c:pt idx="22">
                  <c:v>10527.0886340671</c:v>
                </c:pt>
                <c:pt idx="23">
                  <c:v>10663.883277576901</c:v>
                </c:pt>
                <c:pt idx="24">
                  <c:v>10803.449094814199</c:v>
                </c:pt>
                <c:pt idx="25">
                  <c:v>10943.595085329</c:v>
                </c:pt>
                <c:pt idx="26">
                  <c:v>11087.847414711001</c:v>
                </c:pt>
                <c:pt idx="27">
                  <c:v>11237.650367804999</c:v>
                </c:pt>
                <c:pt idx="28">
                  <c:v>11394.527226468999</c:v>
                </c:pt>
                <c:pt idx="29">
                  <c:v>11559.853853443001</c:v>
                </c:pt>
                <c:pt idx="30">
                  <c:v>11734.441599151998</c:v>
                </c:pt>
                <c:pt idx="31">
                  <c:v>11918.456512483001</c:v>
                </c:pt>
                <c:pt idx="32">
                  <c:v>12111.512693151</c:v>
                </c:pt>
                <c:pt idx="33">
                  <c:v>12312.782366382</c:v>
                </c:pt>
                <c:pt idx="34">
                  <c:v>12521.101404124</c:v>
                </c:pt>
                <c:pt idx="35">
                  <c:v>12735.051971178998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6656.6716304816</c:v>
                </c:pt>
                <c:pt idx="2">
                  <c:v>6574.7957543664006</c:v>
                </c:pt>
                <c:pt idx="3">
                  <c:v>6526.4876611420996</c:v>
                </c:pt>
                <c:pt idx="4">
                  <c:v>6506.4446232806995</c:v>
                </c:pt>
                <c:pt idx="5">
                  <c:v>6507.1003991126991</c:v>
                </c:pt>
                <c:pt idx="6">
                  <c:v>6519.4906108968999</c:v>
                </c:pt>
                <c:pt idx="7">
                  <c:v>6539.4074068346999</c:v>
                </c:pt>
                <c:pt idx="8">
                  <c:v>6565.0786912899002</c:v>
                </c:pt>
                <c:pt idx="9">
                  <c:v>6595.7962471786996</c:v>
                </c:pt>
                <c:pt idx="10">
                  <c:v>6632.2348526592004</c:v>
                </c:pt>
                <c:pt idx="11">
                  <c:v>6672.9697951937997</c:v>
                </c:pt>
                <c:pt idx="12">
                  <c:v>6717.6611514459</c:v>
                </c:pt>
                <c:pt idx="13">
                  <c:v>6765.2848517027996</c:v>
                </c:pt>
                <c:pt idx="14">
                  <c:v>6814.6769021133996</c:v>
                </c:pt>
                <c:pt idx="15">
                  <c:v>6864.8528511699997</c:v>
                </c:pt>
                <c:pt idx="16">
                  <c:v>6918.3384504253008</c:v>
                </c:pt>
                <c:pt idx="17">
                  <c:v>6975.4776081609998</c:v>
                </c:pt>
                <c:pt idx="18">
                  <c:v>7035.5269184993995</c:v>
                </c:pt>
                <c:pt idx="19">
                  <c:v>7097.6444216737</c:v>
                </c:pt>
                <c:pt idx="20">
                  <c:v>7160.5085888053</c:v>
                </c:pt>
                <c:pt idx="21">
                  <c:v>7224.9174699053001</c:v>
                </c:pt>
                <c:pt idx="22">
                  <c:v>7291.0535193126998</c:v>
                </c:pt>
                <c:pt idx="23">
                  <c:v>7359.3419098909999</c:v>
                </c:pt>
                <c:pt idx="24">
                  <c:v>7430.2144735355996</c:v>
                </c:pt>
                <c:pt idx="25">
                  <c:v>7501.9806894773001</c:v>
                </c:pt>
                <c:pt idx="26">
                  <c:v>7576.7287021628008</c:v>
                </c:pt>
                <c:pt idx="27">
                  <c:v>7655.1579192675999</c:v>
                </c:pt>
                <c:pt idx="28">
                  <c:v>7738.0140841230004</c:v>
                </c:pt>
                <c:pt idx="29">
                  <c:v>7825.9514250572993</c:v>
                </c:pt>
                <c:pt idx="30">
                  <c:v>7919.2654697460994</c:v>
                </c:pt>
                <c:pt idx="31">
                  <c:v>8017.8456805183996</c:v>
                </c:pt>
                <c:pt idx="32">
                  <c:v>8121.2416083438002</c:v>
                </c:pt>
                <c:pt idx="33">
                  <c:v>8228.7391662600985</c:v>
                </c:pt>
                <c:pt idx="34">
                  <c:v>8339.4336132877015</c:v>
                </c:pt>
                <c:pt idx="35">
                  <c:v>8452.2874429183012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4060.8380360147994</c:v>
                </c:pt>
                <c:pt idx="2">
                  <c:v>3984.0056995323002</c:v>
                </c:pt>
                <c:pt idx="3">
                  <c:v>3926.2140826719997</c:v>
                </c:pt>
                <c:pt idx="4">
                  <c:v>3884.1704291792998</c:v>
                </c:pt>
                <c:pt idx="5">
                  <c:v>3853.5993961746999</c:v>
                </c:pt>
                <c:pt idx="6">
                  <c:v>3829.4915964961001</c:v>
                </c:pt>
                <c:pt idx="7">
                  <c:v>3809.3829362709002</c:v>
                </c:pt>
                <c:pt idx="8">
                  <c:v>3792.1558007533999</c:v>
                </c:pt>
                <c:pt idx="9">
                  <c:v>3777.3103712199995</c:v>
                </c:pt>
                <c:pt idx="10">
                  <c:v>3765.1056938136999</c:v>
                </c:pt>
                <c:pt idx="11">
                  <c:v>3754.7819396970999</c:v>
                </c:pt>
                <c:pt idx="12">
                  <c:v>3746.2046595064999</c:v>
                </c:pt>
                <c:pt idx="13">
                  <c:v>3738.9513984439</c:v>
                </c:pt>
                <c:pt idx="14">
                  <c:v>3732.5603365308002</c:v>
                </c:pt>
                <c:pt idx="15">
                  <c:v>3726.6591541548</c:v>
                </c:pt>
                <c:pt idx="16">
                  <c:v>3722.6261469688998</c:v>
                </c:pt>
                <c:pt idx="17">
                  <c:v>3720.8026041442004</c:v>
                </c:pt>
                <c:pt idx="18">
                  <c:v>3720.9427498366995</c:v>
                </c:pt>
                <c:pt idx="19">
                  <c:v>3722.6704758790997</c:v>
                </c:pt>
                <c:pt idx="20">
                  <c:v>3725.3029949242</c:v>
                </c:pt>
                <c:pt idx="21">
                  <c:v>3729.1087755564004</c:v>
                </c:pt>
                <c:pt idx="22">
                  <c:v>3734.0133698885998</c:v>
                </c:pt>
                <c:pt idx="23">
                  <c:v>3740.0161071092998</c:v>
                </c:pt>
                <c:pt idx="24">
                  <c:v>3747.0734255276002</c:v>
                </c:pt>
                <c:pt idx="25">
                  <c:v>3754.120447242</c:v>
                </c:pt>
                <c:pt idx="26">
                  <c:v>3761.8187598595</c:v>
                </c:pt>
                <c:pt idx="27">
                  <c:v>3770.1655282888</c:v>
                </c:pt>
                <c:pt idx="28">
                  <c:v>3779.1697134108003</c:v>
                </c:pt>
                <c:pt idx="29">
                  <c:v>3788.8159183269004</c:v>
                </c:pt>
                <c:pt idx="30">
                  <c:v>3798.9583878389999</c:v>
                </c:pt>
                <c:pt idx="31">
                  <c:v>3809.3104253734996</c:v>
                </c:pt>
                <c:pt idx="32">
                  <c:v>3819.4820663654004</c:v>
                </c:pt>
                <c:pt idx="33">
                  <c:v>3829.0196501892001</c:v>
                </c:pt>
                <c:pt idx="34">
                  <c:v>3837.4425483877999</c:v>
                </c:pt>
                <c:pt idx="35">
                  <c:v>3844.2719702853001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2446.6033170465998</c:v>
                </c:pt>
                <c:pt idx="2">
                  <c:v>2401.9268100454001</c:v>
                </c:pt>
                <c:pt idx="3">
                  <c:v>2367.6770499363997</c:v>
                </c:pt>
                <c:pt idx="4">
                  <c:v>2341.7744701930001</c:v>
                </c:pt>
                <c:pt idx="5">
                  <c:v>2321.6754317233999</c:v>
                </c:pt>
                <c:pt idx="6">
                  <c:v>2304.3963455632002</c:v>
                </c:pt>
                <c:pt idx="7">
                  <c:v>2288.4626680348001</c:v>
                </c:pt>
                <c:pt idx="8">
                  <c:v>2273.2200405871004</c:v>
                </c:pt>
                <c:pt idx="9">
                  <c:v>2258.4031796487002</c:v>
                </c:pt>
                <c:pt idx="10">
                  <c:v>2244.2039953198</c:v>
                </c:pt>
                <c:pt idx="11">
                  <c:v>2230.2550255950005</c:v>
                </c:pt>
                <c:pt idx="12">
                  <c:v>2216.5763786471002</c:v>
                </c:pt>
                <c:pt idx="13">
                  <c:v>2203.0471037567004</c:v>
                </c:pt>
                <c:pt idx="14">
                  <c:v>2189.5316495682996</c:v>
                </c:pt>
                <c:pt idx="15">
                  <c:v>2175.9365869489998</c:v>
                </c:pt>
                <c:pt idx="16">
                  <c:v>2163.1388358312001</c:v>
                </c:pt>
                <c:pt idx="17">
                  <c:v>2151.4522725841002</c:v>
                </c:pt>
                <c:pt idx="18">
                  <c:v>2140.8335547119996</c:v>
                </c:pt>
                <c:pt idx="19">
                  <c:v>2131.1219935479999</c:v>
                </c:pt>
                <c:pt idx="20">
                  <c:v>2121.9501272225998</c:v>
                </c:pt>
                <c:pt idx="21">
                  <c:v>2113.4288702676004</c:v>
                </c:pt>
                <c:pt idx="22">
                  <c:v>2105.4604494478999</c:v>
                </c:pt>
                <c:pt idx="23">
                  <c:v>2097.9665849694998</c:v>
                </c:pt>
                <c:pt idx="24">
                  <c:v>2090.8255804467999</c:v>
                </c:pt>
                <c:pt idx="25">
                  <c:v>2083.3685415922</c:v>
                </c:pt>
                <c:pt idx="26">
                  <c:v>2075.8181381398999</c:v>
                </c:pt>
                <c:pt idx="27">
                  <c:v>2068.0468979685998</c:v>
                </c:pt>
                <c:pt idx="28">
                  <c:v>2059.9358788218001</c:v>
                </c:pt>
                <c:pt idx="29">
                  <c:v>2051.3691191216999</c:v>
                </c:pt>
                <c:pt idx="30">
                  <c:v>2042.1866267881001</c:v>
                </c:pt>
                <c:pt idx="31">
                  <c:v>2032.1835456829001</c:v>
                </c:pt>
                <c:pt idx="32">
                  <c:v>2021.1318506564999</c:v>
                </c:pt>
                <c:pt idx="33">
                  <c:v>2008.8013064733002</c:v>
                </c:pt>
                <c:pt idx="34">
                  <c:v>1994.9778963290998</c:v>
                </c:pt>
                <c:pt idx="35">
                  <c:v>1979.4773344066998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1212.6423993738001</c:v>
                </c:pt>
                <c:pt idx="2">
                  <c:v>1186.4603410683001</c:v>
                </c:pt>
                <c:pt idx="3">
                  <c:v>1163.9737103289001</c:v>
                </c:pt>
                <c:pt idx="4">
                  <c:v>1144.0786962748</c:v>
                </c:pt>
                <c:pt idx="5">
                  <c:v>1125.6420098412</c:v>
                </c:pt>
                <c:pt idx="6">
                  <c:v>1107.3792044592999</c:v>
                </c:pt>
                <c:pt idx="7">
                  <c:v>1088.6845656901</c:v>
                </c:pt>
                <c:pt idx="8">
                  <c:v>1069.3417770279</c:v>
                </c:pt>
                <c:pt idx="9">
                  <c:v>1049.3281935072002</c:v>
                </c:pt>
                <c:pt idx="10">
                  <c:v>1028.8176174118</c:v>
                </c:pt>
                <c:pt idx="11">
                  <c:v>1007.7967644544001</c:v>
                </c:pt>
                <c:pt idx="12">
                  <c:v>986.42589407690002</c:v>
                </c:pt>
                <c:pt idx="13">
                  <c:v>964.82963180029992</c:v>
                </c:pt>
                <c:pt idx="14">
                  <c:v>943.12444340319996</c:v>
                </c:pt>
                <c:pt idx="15">
                  <c:v>921.42132294449993</c:v>
                </c:pt>
                <c:pt idx="16">
                  <c:v>900.13963927690008</c:v>
                </c:pt>
                <c:pt idx="17">
                  <c:v>879.50214869110005</c:v>
                </c:pt>
                <c:pt idx="18">
                  <c:v>859.57504949029999</c:v>
                </c:pt>
                <c:pt idx="19">
                  <c:v>840.34136709680001</c:v>
                </c:pt>
                <c:pt idx="20">
                  <c:v>821.68184363640012</c:v>
                </c:pt>
                <c:pt idx="21">
                  <c:v>803.59198673289995</c:v>
                </c:pt>
                <c:pt idx="22">
                  <c:v>785.98374884509997</c:v>
                </c:pt>
                <c:pt idx="23">
                  <c:v>768.75976133530003</c:v>
                </c:pt>
                <c:pt idx="24">
                  <c:v>751.79608406509988</c:v>
                </c:pt>
                <c:pt idx="25">
                  <c:v>734.81428657180004</c:v>
                </c:pt>
                <c:pt idx="26">
                  <c:v>717.78035716570002</c:v>
                </c:pt>
                <c:pt idx="27">
                  <c:v>700.57422528400002</c:v>
                </c:pt>
                <c:pt idx="28">
                  <c:v>683.09402307660002</c:v>
                </c:pt>
                <c:pt idx="29">
                  <c:v>665.26556492780003</c:v>
                </c:pt>
                <c:pt idx="30">
                  <c:v>647.03420722089993</c:v>
                </c:pt>
                <c:pt idx="31">
                  <c:v>628.36497450609988</c:v>
                </c:pt>
                <c:pt idx="32">
                  <c:v>609.2458150983</c:v>
                </c:pt>
                <c:pt idx="33">
                  <c:v>589.68887708219995</c:v>
                </c:pt>
                <c:pt idx="34">
                  <c:v>569.73017038039995</c:v>
                </c:pt>
                <c:pt idx="35">
                  <c:v>549.42748787670007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2187.2078363297001</c:v>
                </c:pt>
                <c:pt idx="2">
                  <c:v>2141.3531434918004</c:v>
                </c:pt>
                <c:pt idx="3">
                  <c:v>2099.5926434972002</c:v>
                </c:pt>
                <c:pt idx="4">
                  <c:v>2059.8869303576002</c:v>
                </c:pt>
                <c:pt idx="5">
                  <c:v>2020.4312457199999</c:v>
                </c:pt>
                <c:pt idx="6">
                  <c:v>1979.2239804172</c:v>
                </c:pt>
                <c:pt idx="7">
                  <c:v>1935.4565758566</c:v>
                </c:pt>
                <c:pt idx="8">
                  <c:v>1889.0258182302</c:v>
                </c:pt>
                <c:pt idx="9">
                  <c:v>1840.1798077666999</c:v>
                </c:pt>
                <c:pt idx="10">
                  <c:v>1789.4813362632999</c:v>
                </c:pt>
                <c:pt idx="11">
                  <c:v>1737.2214006867998</c:v>
                </c:pt>
                <c:pt idx="12">
                  <c:v>1683.9598958559</c:v>
                </c:pt>
                <c:pt idx="13">
                  <c:v>1630.1924708444001</c:v>
                </c:pt>
                <c:pt idx="14">
                  <c:v>1576.3677335909999</c:v>
                </c:pt>
                <c:pt idx="15">
                  <c:v>1522.8740989457999</c:v>
                </c:pt>
                <c:pt idx="16">
                  <c:v>1470.4724203655001</c:v>
                </c:pt>
                <c:pt idx="17">
                  <c:v>1419.6241838125</c:v>
                </c:pt>
                <c:pt idx="18">
                  <c:v>1370.521181395</c:v>
                </c:pt>
                <c:pt idx="19">
                  <c:v>1323.1852974679998</c:v>
                </c:pt>
                <c:pt idx="20">
                  <c:v>1277.4609756661</c:v>
                </c:pt>
                <c:pt idx="21">
                  <c:v>1233.3003463453999</c:v>
                </c:pt>
                <c:pt idx="22">
                  <c:v>1190.5323412820001</c:v>
                </c:pt>
                <c:pt idx="23">
                  <c:v>1148.9636895596</c:v>
                </c:pt>
                <c:pt idx="24">
                  <c:v>1108.3631367192997</c:v>
                </c:pt>
                <c:pt idx="25">
                  <c:v>1068.3303202599</c:v>
                </c:pt>
                <c:pt idx="26">
                  <c:v>1028.7549297621001</c:v>
                </c:pt>
                <c:pt idx="27">
                  <c:v>989.45248373149991</c:v>
                </c:pt>
                <c:pt idx="28">
                  <c:v>950.28721690120005</c:v>
                </c:pt>
                <c:pt idx="29">
                  <c:v>911.18848112079991</c:v>
                </c:pt>
                <c:pt idx="30">
                  <c:v>872.13979475600001</c:v>
                </c:pt>
                <c:pt idx="31">
                  <c:v>833.17265626410006</c:v>
                </c:pt>
                <c:pt idx="32">
                  <c:v>794.36141848140005</c:v>
                </c:pt>
                <c:pt idx="33">
                  <c:v>755.81533218700008</c:v>
                </c:pt>
                <c:pt idx="34">
                  <c:v>717.66931035010009</c:v>
                </c:pt>
                <c:pt idx="35">
                  <c:v>680.0739907981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7152.3092869474003</c:v>
                </c:pt>
                <c:pt idx="2">
                  <c:v>7255.4507319373997</c:v>
                </c:pt>
                <c:pt idx="3">
                  <c:v>7394.3019234223993</c:v>
                </c:pt>
                <c:pt idx="4">
                  <c:v>7562.4358450191003</c:v>
                </c:pt>
                <c:pt idx="5">
                  <c:v>7749.3584361777002</c:v>
                </c:pt>
                <c:pt idx="6">
                  <c:v>7945.5293902339999</c:v>
                </c:pt>
                <c:pt idx="7">
                  <c:v>8117.8473674017005</c:v>
                </c:pt>
                <c:pt idx="8">
                  <c:v>8287.4936537410995</c:v>
                </c:pt>
                <c:pt idx="9">
                  <c:v>8464.2312868913996</c:v>
                </c:pt>
                <c:pt idx="10">
                  <c:v>8652.5977329698999</c:v>
                </c:pt>
                <c:pt idx="11">
                  <c:v>8860.9780300771999</c:v>
                </c:pt>
                <c:pt idx="12">
                  <c:v>9084.2738269859001</c:v>
                </c:pt>
                <c:pt idx="13">
                  <c:v>9315.5283225078001</c:v>
                </c:pt>
                <c:pt idx="14">
                  <c:v>9549.2653950553995</c:v>
                </c:pt>
                <c:pt idx="15">
                  <c:v>9781.7239912619007</c:v>
                </c:pt>
                <c:pt idx="16">
                  <c:v>10006.8577177115</c:v>
                </c:pt>
                <c:pt idx="17">
                  <c:v>10225.986792483302</c:v>
                </c:pt>
                <c:pt idx="18">
                  <c:v>10440.585929156101</c:v>
                </c:pt>
                <c:pt idx="19">
                  <c:v>10651.727286073501</c:v>
                </c:pt>
                <c:pt idx="20">
                  <c:v>10859.0556543986</c:v>
                </c:pt>
                <c:pt idx="21">
                  <c:v>11065.2213695593</c:v>
                </c:pt>
                <c:pt idx="22">
                  <c:v>11271.481266033199</c:v>
                </c:pt>
                <c:pt idx="23">
                  <c:v>11479.482434804002</c:v>
                </c:pt>
                <c:pt idx="24">
                  <c:v>11690.852509135002</c:v>
                </c:pt>
                <c:pt idx="25">
                  <c:v>11903.457268521001</c:v>
                </c:pt>
                <c:pt idx="26">
                  <c:v>12121.434496329</c:v>
                </c:pt>
                <c:pt idx="27">
                  <c:v>12346.558792819</c:v>
                </c:pt>
                <c:pt idx="28">
                  <c:v>12581.342785462</c:v>
                </c:pt>
                <c:pt idx="29">
                  <c:v>12828.388455828999</c:v>
                </c:pt>
                <c:pt idx="30">
                  <c:v>13089.702434726001</c:v>
                </c:pt>
                <c:pt idx="31">
                  <c:v>13366.515426962</c:v>
                </c:pt>
                <c:pt idx="32">
                  <c:v>13659.588955515999</c:v>
                </c:pt>
                <c:pt idx="33">
                  <c:v>13969.697425266999</c:v>
                </c:pt>
                <c:pt idx="34">
                  <c:v>14297.692072960001</c:v>
                </c:pt>
                <c:pt idx="35">
                  <c:v>14644.567050037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8194.9441513409001</c:v>
                </c:pt>
                <c:pt idx="2">
                  <c:v>8188.9422338429004</c:v>
                </c:pt>
                <c:pt idx="3">
                  <c:v>8224.038493699898</c:v>
                </c:pt>
                <c:pt idx="4">
                  <c:v>8293.335218321301</c:v>
                </c:pt>
                <c:pt idx="5">
                  <c:v>8386.3477863360986</c:v>
                </c:pt>
                <c:pt idx="6">
                  <c:v>8493.4774789003004</c:v>
                </c:pt>
                <c:pt idx="7">
                  <c:v>8582.1640185428987</c:v>
                </c:pt>
                <c:pt idx="8">
                  <c:v>8670.9474764049992</c:v>
                </c:pt>
                <c:pt idx="9">
                  <c:v>8768.5452612819008</c:v>
                </c:pt>
                <c:pt idx="10">
                  <c:v>8878.7970664699988</c:v>
                </c:pt>
                <c:pt idx="11">
                  <c:v>9009.4868208488988</c:v>
                </c:pt>
                <c:pt idx="12">
                  <c:v>9156.2617402477008</c:v>
                </c:pt>
                <c:pt idx="13">
                  <c:v>9312.8629286153991</c:v>
                </c:pt>
                <c:pt idx="14">
                  <c:v>9474.3026239932005</c:v>
                </c:pt>
                <c:pt idx="15">
                  <c:v>9637.1119986438007</c:v>
                </c:pt>
                <c:pt idx="16">
                  <c:v>9795.5702652366999</c:v>
                </c:pt>
                <c:pt idx="17">
                  <c:v>9950.6303286349994</c:v>
                </c:pt>
                <c:pt idx="18">
                  <c:v>10103.5136746972</c:v>
                </c:pt>
                <c:pt idx="19">
                  <c:v>10255.109529080701</c:v>
                </c:pt>
                <c:pt idx="20">
                  <c:v>10404.995482348801</c:v>
                </c:pt>
                <c:pt idx="21">
                  <c:v>10555.470932889699</c:v>
                </c:pt>
                <c:pt idx="22">
                  <c:v>10707.526452987799</c:v>
                </c:pt>
                <c:pt idx="23">
                  <c:v>10862.477845437101</c:v>
                </c:pt>
                <c:pt idx="24">
                  <c:v>11021.589314652601</c:v>
                </c:pt>
                <c:pt idx="25">
                  <c:v>11182.682558391101</c:v>
                </c:pt>
                <c:pt idx="26">
                  <c:v>11349.2190398353</c:v>
                </c:pt>
                <c:pt idx="27">
                  <c:v>11522.4587050389</c:v>
                </c:pt>
                <c:pt idx="28">
                  <c:v>11704.290656097101</c:v>
                </c:pt>
                <c:pt idx="29">
                  <c:v>11896.681183661</c:v>
                </c:pt>
                <c:pt idx="30">
                  <c:v>12101.066723163</c:v>
                </c:pt>
                <c:pt idx="31">
                  <c:v>12318.188052891999</c:v>
                </c:pt>
                <c:pt idx="32">
                  <c:v>12548.357638456999</c:v>
                </c:pt>
                <c:pt idx="33">
                  <c:v>12791.893746149999</c:v>
                </c:pt>
                <c:pt idx="34">
                  <c:v>13049.180585866001</c:v>
                </c:pt>
                <c:pt idx="35">
                  <c:v>13320.718545128002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6656.6716304716001</c:v>
                </c:pt>
                <c:pt idx="2">
                  <c:v>6574.7957543665007</c:v>
                </c:pt>
                <c:pt idx="3">
                  <c:v>6526.4876621321</c:v>
                </c:pt>
                <c:pt idx="4">
                  <c:v>6506.4446242708</c:v>
                </c:pt>
                <c:pt idx="5">
                  <c:v>6507.1004000827998</c:v>
                </c:pt>
                <c:pt idx="6">
                  <c:v>6521.4842437415</c:v>
                </c:pt>
                <c:pt idx="7">
                  <c:v>6526.5066819774993</c:v>
                </c:pt>
                <c:pt idx="8">
                  <c:v>6533.7774864221001</c:v>
                </c:pt>
                <c:pt idx="9">
                  <c:v>6548.8788496265997</c:v>
                </c:pt>
                <c:pt idx="10">
                  <c:v>6574.1156112686003</c:v>
                </c:pt>
                <c:pt idx="11">
                  <c:v>6614.6867163216002</c:v>
                </c:pt>
                <c:pt idx="12">
                  <c:v>6667.9172240152993</c:v>
                </c:pt>
                <c:pt idx="13">
                  <c:v>6729.7316203285</c:v>
                </c:pt>
                <c:pt idx="14">
                  <c:v>6796.8343107007004</c:v>
                </c:pt>
                <c:pt idx="15">
                  <c:v>6866.8969132826996</c:v>
                </c:pt>
                <c:pt idx="16">
                  <c:v>6935.9967328031998</c:v>
                </c:pt>
                <c:pt idx="17">
                  <c:v>7004.5719316768</c:v>
                </c:pt>
                <c:pt idx="18">
                  <c:v>7073.3240549701004</c:v>
                </c:pt>
                <c:pt idx="19">
                  <c:v>7142.7605147517006</c:v>
                </c:pt>
                <c:pt idx="20">
                  <c:v>7212.5203916257997</c:v>
                </c:pt>
                <c:pt idx="21">
                  <c:v>7284.0222951341002</c:v>
                </c:pt>
                <c:pt idx="22">
                  <c:v>7357.8002278167005</c:v>
                </c:pt>
                <c:pt idx="23">
                  <c:v>7434.5837928437995</c:v>
                </c:pt>
                <c:pt idx="24">
                  <c:v>7515.0484988823</c:v>
                </c:pt>
                <c:pt idx="25">
                  <c:v>7597.5985387148994</c:v>
                </c:pt>
                <c:pt idx="26">
                  <c:v>7684.3005115871001</c:v>
                </c:pt>
                <c:pt idx="27">
                  <c:v>7775.7453526215004</c:v>
                </c:pt>
                <c:pt idx="28">
                  <c:v>7872.9136080431999</c:v>
                </c:pt>
                <c:pt idx="29">
                  <c:v>7976.8377953853005</c:v>
                </c:pt>
                <c:pt idx="30">
                  <c:v>8088.2141930567004</c:v>
                </c:pt>
                <c:pt idx="31">
                  <c:v>8207.2930420984994</c:v>
                </c:pt>
                <c:pt idx="32">
                  <c:v>8334.0470246203004</c:v>
                </c:pt>
                <c:pt idx="33">
                  <c:v>8468.4537912419</c:v>
                </c:pt>
                <c:pt idx="34">
                  <c:v>8610.5369948385014</c:v>
                </c:pt>
                <c:pt idx="35">
                  <c:v>8760.3935232513995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4060.8380360147994</c:v>
                </c:pt>
                <c:pt idx="2">
                  <c:v>3984.0056995333002</c:v>
                </c:pt>
                <c:pt idx="3">
                  <c:v>3926.2140836721001</c:v>
                </c:pt>
                <c:pt idx="4">
                  <c:v>3884.1704301793998</c:v>
                </c:pt>
                <c:pt idx="5">
                  <c:v>3853.5993971647999</c:v>
                </c:pt>
                <c:pt idx="6">
                  <c:v>3830.5837445425004</c:v>
                </c:pt>
                <c:pt idx="7">
                  <c:v>3802.3696014546999</c:v>
                </c:pt>
                <c:pt idx="8">
                  <c:v>3774.3534749855003</c:v>
                </c:pt>
                <c:pt idx="9">
                  <c:v>3749.2847310276002</c:v>
                </c:pt>
                <c:pt idx="10">
                  <c:v>3728.1760265133998</c:v>
                </c:pt>
                <c:pt idx="11">
                  <c:v>3713.6523260195004</c:v>
                </c:pt>
                <c:pt idx="12">
                  <c:v>3704.6582056487</c:v>
                </c:pt>
                <c:pt idx="13">
                  <c:v>3699.4386711273</c:v>
                </c:pt>
                <c:pt idx="14">
                  <c:v>3696.6196866308005</c:v>
                </c:pt>
                <c:pt idx="15">
                  <c:v>3695.2785581082003</c:v>
                </c:pt>
                <c:pt idx="16">
                  <c:v>3693.6598421627</c:v>
                </c:pt>
                <c:pt idx="17">
                  <c:v>3692.0042199351001</c:v>
                </c:pt>
                <c:pt idx="18">
                  <c:v>3690.7118802261002</c:v>
                </c:pt>
                <c:pt idx="19">
                  <c:v>3690.0804999367001</c:v>
                </c:pt>
                <c:pt idx="20">
                  <c:v>3689.9696637641</c:v>
                </c:pt>
                <c:pt idx="21">
                  <c:v>3691.0206673591997</c:v>
                </c:pt>
                <c:pt idx="22">
                  <c:v>3693.4159408297</c:v>
                </c:pt>
                <c:pt idx="23">
                  <c:v>3697.3888434642004</c:v>
                </c:pt>
                <c:pt idx="24">
                  <c:v>3703.1066996587001</c:v>
                </c:pt>
                <c:pt idx="25">
                  <c:v>3709.6776858291</c:v>
                </c:pt>
                <c:pt idx="26">
                  <c:v>3717.8143870467002</c:v>
                </c:pt>
                <c:pt idx="27">
                  <c:v>3727.5080460259001</c:v>
                </c:pt>
                <c:pt idx="28">
                  <c:v>3738.9005772501</c:v>
                </c:pt>
                <c:pt idx="29">
                  <c:v>3752.1785730064998</c:v>
                </c:pt>
                <c:pt idx="30">
                  <c:v>3767.4145850520999</c:v>
                </c:pt>
                <c:pt idx="31">
                  <c:v>3784.5152677379001</c:v>
                </c:pt>
                <c:pt idx="32">
                  <c:v>3803.2878969709</c:v>
                </c:pt>
                <c:pt idx="33">
                  <c:v>3823.5694387194999</c:v>
                </c:pt>
                <c:pt idx="34">
                  <c:v>3845.2511087411999</c:v>
                </c:pt>
                <c:pt idx="35">
                  <c:v>3868.2858701012001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2446.6033170465998</c:v>
                </c:pt>
                <c:pt idx="2">
                  <c:v>2401.9268100454001</c:v>
                </c:pt>
                <c:pt idx="3">
                  <c:v>2367.6770499353997</c:v>
                </c:pt>
                <c:pt idx="4">
                  <c:v>2341.7744701921001</c:v>
                </c:pt>
                <c:pt idx="5">
                  <c:v>2321.6754317205</c:v>
                </c:pt>
                <c:pt idx="6">
                  <c:v>2305.0612638219</c:v>
                </c:pt>
                <c:pt idx="7">
                  <c:v>2284.2222197244</c:v>
                </c:pt>
                <c:pt idx="8">
                  <c:v>2262.0511472598005</c:v>
                </c:pt>
                <c:pt idx="9">
                  <c:v>2240.1807442201002</c:v>
                </c:pt>
                <c:pt idx="10">
                  <c:v>2219.2222521418998</c:v>
                </c:pt>
                <c:pt idx="11">
                  <c:v>2200.7758900286995</c:v>
                </c:pt>
                <c:pt idx="12">
                  <c:v>2184.4966573308002</c:v>
                </c:pt>
                <c:pt idx="13">
                  <c:v>2169.6281826449003</c:v>
                </c:pt>
                <c:pt idx="14">
                  <c:v>2155.6055061247998</c:v>
                </c:pt>
                <c:pt idx="15">
                  <c:v>2142.0858843041001</c:v>
                </c:pt>
                <c:pt idx="16">
                  <c:v>2128.2363054433004</c:v>
                </c:pt>
                <c:pt idx="17">
                  <c:v>2114.2471952481001</c:v>
                </c:pt>
                <c:pt idx="18">
                  <c:v>2100.4002114289001</c:v>
                </c:pt>
                <c:pt idx="19">
                  <c:v>2086.9091938672</c:v>
                </c:pt>
                <c:pt idx="20">
                  <c:v>2073.7364702501</c:v>
                </c:pt>
                <c:pt idx="21">
                  <c:v>2061.2248758367</c:v>
                </c:pt>
                <c:pt idx="22">
                  <c:v>2049.4516647965002</c:v>
                </c:pt>
                <c:pt idx="23">
                  <c:v>2038.4984516371001</c:v>
                </c:pt>
                <c:pt idx="24">
                  <c:v>2028.3908840239999</c:v>
                </c:pt>
                <c:pt idx="25">
                  <c:v>2018.6033085338001</c:v>
                </c:pt>
                <c:pt idx="26">
                  <c:v>2009.3952290842999</c:v>
                </c:pt>
                <c:pt idx="27">
                  <c:v>2000.6394140141001</c:v>
                </c:pt>
                <c:pt idx="28">
                  <c:v>1992.2747164931</c:v>
                </c:pt>
                <c:pt idx="29">
                  <c:v>1984.2725220518998</c:v>
                </c:pt>
                <c:pt idx="30">
                  <c:v>1976.5640561808</c:v>
                </c:pt>
                <c:pt idx="31">
                  <c:v>1969.0138796480001</c:v>
                </c:pt>
                <c:pt idx="32">
                  <c:v>1961.4493891193999</c:v>
                </c:pt>
                <c:pt idx="33">
                  <c:v>1953.7241910186999</c:v>
                </c:pt>
                <c:pt idx="34">
                  <c:v>1945.7306310707002</c:v>
                </c:pt>
                <c:pt idx="35">
                  <c:v>1937.3995156812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1212.6423993738001</c:v>
                </c:pt>
                <c:pt idx="2">
                  <c:v>1186.4603410683001</c:v>
                </c:pt>
                <c:pt idx="3">
                  <c:v>1163.9737103289001</c:v>
                </c:pt>
                <c:pt idx="4">
                  <c:v>1144.0786962748</c:v>
                </c:pt>
                <c:pt idx="5">
                  <c:v>1125.6420098402</c:v>
                </c:pt>
                <c:pt idx="6">
                  <c:v>1107.6801276190001</c:v>
                </c:pt>
                <c:pt idx="7">
                  <c:v>1086.8322087018998</c:v>
                </c:pt>
                <c:pt idx="8">
                  <c:v>1064.1323046820003</c:v>
                </c:pt>
                <c:pt idx="9">
                  <c:v>1040.3454101771999</c:v>
                </c:pt>
                <c:pt idx="10">
                  <c:v>1015.8060579480999</c:v>
                </c:pt>
                <c:pt idx="11">
                  <c:v>991.25963997229996</c:v>
                </c:pt>
                <c:pt idx="12">
                  <c:v>966.84497690750004</c:v>
                </c:pt>
                <c:pt idx="13">
                  <c:v>942.55494022599999</c:v>
                </c:pt>
                <c:pt idx="14">
                  <c:v>918.42984063890003</c:v>
                </c:pt>
                <c:pt idx="15">
                  <c:v>894.55057331599994</c:v>
                </c:pt>
                <c:pt idx="16">
                  <c:v>870.8060088064999</c:v>
                </c:pt>
                <c:pt idx="17">
                  <c:v>847.34704967300001</c:v>
                </c:pt>
                <c:pt idx="18">
                  <c:v>824.33443014220006</c:v>
                </c:pt>
                <c:pt idx="19">
                  <c:v>801.88334815669998</c:v>
                </c:pt>
                <c:pt idx="20">
                  <c:v>780.01085611780002</c:v>
                </c:pt>
                <c:pt idx="21">
                  <c:v>758.81095703059998</c:v>
                </c:pt>
                <c:pt idx="22">
                  <c:v>738.28033188589995</c:v>
                </c:pt>
                <c:pt idx="23">
                  <c:v>718.39912260170001</c:v>
                </c:pt>
                <c:pt idx="24">
                  <c:v>699.11713176369994</c:v>
                </c:pt>
                <c:pt idx="25">
                  <c:v>680.23917665479996</c:v>
                </c:pt>
                <c:pt idx="26">
                  <c:v>661.75102602359993</c:v>
                </c:pt>
                <c:pt idx="27">
                  <c:v>643.53538878820007</c:v>
                </c:pt>
                <c:pt idx="28">
                  <c:v>625.49608868619998</c:v>
                </c:pt>
                <c:pt idx="29">
                  <c:v>607.56495228450001</c:v>
                </c:pt>
                <c:pt idx="30">
                  <c:v>589.68790044620005</c:v>
                </c:pt>
                <c:pt idx="31">
                  <c:v>571.81653568720003</c:v>
                </c:pt>
                <c:pt idx="32">
                  <c:v>553.91111588980004</c:v>
                </c:pt>
                <c:pt idx="33">
                  <c:v>535.9528054287</c:v>
                </c:pt>
                <c:pt idx="34">
                  <c:v>517.94443483910004</c:v>
                </c:pt>
                <c:pt idx="35">
                  <c:v>499.90620036680002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2187.2078363297001</c:v>
                </c:pt>
                <c:pt idx="2">
                  <c:v>2141.3531434908004</c:v>
                </c:pt>
                <c:pt idx="3">
                  <c:v>2099.5926434962003</c:v>
                </c:pt>
                <c:pt idx="4">
                  <c:v>2059.8869303546003</c:v>
                </c:pt>
                <c:pt idx="5">
                  <c:v>2020.4312457159999</c:v>
                </c:pt>
                <c:pt idx="6">
                  <c:v>1979.7546124901</c:v>
                </c:pt>
                <c:pt idx="7">
                  <c:v>1932.2908081740002</c:v>
                </c:pt>
                <c:pt idx="8">
                  <c:v>1879.7322624112001</c:v>
                </c:pt>
                <c:pt idx="9">
                  <c:v>1823.6836604553</c:v>
                </c:pt>
                <c:pt idx="10">
                  <c:v>1765.0304893786999</c:v>
                </c:pt>
                <c:pt idx="11">
                  <c:v>1705.2984088573</c:v>
                </c:pt>
                <c:pt idx="12">
                  <c:v>1645.1931037306001</c:v>
                </c:pt>
                <c:pt idx="13">
                  <c:v>1585.1528207884999</c:v>
                </c:pt>
                <c:pt idx="14">
                  <c:v>1525.6062211574999</c:v>
                </c:pt>
                <c:pt idx="15">
                  <c:v>1466.9529406476001</c:v>
                </c:pt>
                <c:pt idx="16">
                  <c:v>1409.2680440313</c:v>
                </c:pt>
                <c:pt idx="17">
                  <c:v>1352.8729202258</c:v>
                </c:pt>
                <c:pt idx="18">
                  <c:v>1298.0610918262998</c:v>
                </c:pt>
                <c:pt idx="19">
                  <c:v>1245.0290496494999</c:v>
                </c:pt>
                <c:pt idx="20">
                  <c:v>1193.8206684716999</c:v>
                </c:pt>
                <c:pt idx="21">
                  <c:v>1144.5327567414001</c:v>
                </c:pt>
                <c:pt idx="22">
                  <c:v>1097.125517879</c:v>
                </c:pt>
                <c:pt idx="23">
                  <c:v>1051.5241456591</c:v>
                </c:pt>
                <c:pt idx="24">
                  <c:v>1007.6091663079001</c:v>
                </c:pt>
                <c:pt idx="25">
                  <c:v>965.10875475650005</c:v>
                </c:pt>
                <c:pt idx="26">
                  <c:v>923.93326928639999</c:v>
                </c:pt>
                <c:pt idx="27">
                  <c:v>883.89117296840004</c:v>
                </c:pt>
                <c:pt idx="28">
                  <c:v>844.82777695360005</c:v>
                </c:pt>
                <c:pt idx="29">
                  <c:v>806.64177320140004</c:v>
                </c:pt>
                <c:pt idx="30">
                  <c:v>769.27038896900001</c:v>
                </c:pt>
                <c:pt idx="31">
                  <c:v>732.67599644740005</c:v>
                </c:pt>
                <c:pt idx="32">
                  <c:v>696.84309291859995</c:v>
                </c:pt>
                <c:pt idx="33">
                  <c:v>661.7847741992</c:v>
                </c:pt>
                <c:pt idx="34">
                  <c:v>627.53859898439998</c:v>
                </c:pt>
                <c:pt idx="35">
                  <c:v>594.15753904990004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31846.407179999998</c:v>
                </c:pt>
                <c:pt idx="2">
                  <c:v>31648.242030000001</c:v>
                </c:pt>
                <c:pt idx="3">
                  <c:v>31596.227709999999</c:v>
                </c:pt>
                <c:pt idx="4">
                  <c:v>31663.112730000001</c:v>
                </c:pt>
                <c:pt idx="5">
                  <c:v>31810.955089999999</c:v>
                </c:pt>
                <c:pt idx="6">
                  <c:v>32005.276620000001</c:v>
                </c:pt>
                <c:pt idx="7">
                  <c:v>32128.17137</c:v>
                </c:pt>
                <c:pt idx="8">
                  <c:v>32237.637269999999</c:v>
                </c:pt>
                <c:pt idx="9">
                  <c:v>32360.6273</c:v>
                </c:pt>
                <c:pt idx="10">
                  <c:v>32506.312180000001</c:v>
                </c:pt>
                <c:pt idx="11">
                  <c:v>32698.95004</c:v>
                </c:pt>
                <c:pt idx="12">
                  <c:v>32925.862760000004</c:v>
                </c:pt>
                <c:pt idx="13">
                  <c:v>33168.13983</c:v>
                </c:pt>
                <c:pt idx="14">
                  <c:v>33411.081230000003</c:v>
                </c:pt>
                <c:pt idx="15">
                  <c:v>33644.806109999998</c:v>
                </c:pt>
                <c:pt idx="16">
                  <c:v>33851.64806</c:v>
                </c:pt>
                <c:pt idx="17">
                  <c:v>34034.31439</c:v>
                </c:pt>
                <c:pt idx="18">
                  <c:v>34196.539109999998</c:v>
                </c:pt>
                <c:pt idx="19">
                  <c:v>34340.955750000001</c:v>
                </c:pt>
                <c:pt idx="20">
                  <c:v>34466.048439999999</c:v>
                </c:pt>
                <c:pt idx="21">
                  <c:v>34578.300309999999</c:v>
                </c:pt>
                <c:pt idx="22">
                  <c:v>34679.920469999997</c:v>
                </c:pt>
                <c:pt idx="23">
                  <c:v>34773.821080000002</c:v>
                </c:pt>
                <c:pt idx="24">
                  <c:v>34862.480179999999</c:v>
                </c:pt>
                <c:pt idx="25">
                  <c:v>34938.34448</c:v>
                </c:pt>
                <c:pt idx="26">
                  <c:v>35009.76513</c:v>
                </c:pt>
                <c:pt idx="27">
                  <c:v>35078.42267</c:v>
                </c:pt>
                <c:pt idx="28">
                  <c:v>35147.499369999998</c:v>
                </c:pt>
                <c:pt idx="29">
                  <c:v>35220.220659999999</c:v>
                </c:pt>
                <c:pt idx="30">
                  <c:v>35298.2399</c:v>
                </c:pt>
                <c:pt idx="31">
                  <c:v>35381.248119999997</c:v>
                </c:pt>
                <c:pt idx="32">
                  <c:v>35467.734270000001</c:v>
                </c:pt>
                <c:pt idx="33">
                  <c:v>35556.155989999999</c:v>
                </c:pt>
                <c:pt idx="34">
                  <c:v>35645.092219999999</c:v>
                </c:pt>
                <c:pt idx="35">
                  <c:v>35733.333030000002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1.990292951</c:v>
                </c:pt>
                <c:pt idx="2">
                  <c:v>2.057457689</c:v>
                </c:pt>
                <c:pt idx="3">
                  <c:v>2.1314073379999998</c:v>
                </c:pt>
                <c:pt idx="4">
                  <c:v>2.210383926</c:v>
                </c:pt>
                <c:pt idx="5">
                  <c:v>2.291663067</c:v>
                </c:pt>
                <c:pt idx="6">
                  <c:v>2.3727335890000001</c:v>
                </c:pt>
                <c:pt idx="7">
                  <c:v>2.4440070079999998</c:v>
                </c:pt>
                <c:pt idx="8">
                  <c:v>2.5105011319999999</c:v>
                </c:pt>
                <c:pt idx="9">
                  <c:v>2.5746912160000002</c:v>
                </c:pt>
                <c:pt idx="10">
                  <c:v>2.6375801239999999</c:v>
                </c:pt>
                <c:pt idx="11">
                  <c:v>2.701435504</c:v>
                </c:pt>
                <c:pt idx="12">
                  <c:v>2.7654388179999998</c:v>
                </c:pt>
                <c:pt idx="13">
                  <c:v>2.8282162149999999</c:v>
                </c:pt>
                <c:pt idx="14">
                  <c:v>2.8887098</c:v>
                </c:pt>
                <c:pt idx="15">
                  <c:v>2.946236554</c:v>
                </c:pt>
                <c:pt idx="16">
                  <c:v>2.9994374750000001</c:v>
                </c:pt>
                <c:pt idx="17">
                  <c:v>3.0486346169999998</c:v>
                </c:pt>
                <c:pt idx="18">
                  <c:v>3.0942338569999999</c:v>
                </c:pt>
                <c:pt idx="19">
                  <c:v>3.1365476659999998</c:v>
                </c:pt>
                <c:pt idx="20">
                  <c:v>3.1755376069999999</c:v>
                </c:pt>
                <c:pt idx="21">
                  <c:v>3.2118297409999998</c:v>
                </c:pt>
                <c:pt idx="22">
                  <c:v>3.245694319</c:v>
                </c:pt>
                <c:pt idx="23">
                  <c:v>3.2774582080000001</c:v>
                </c:pt>
                <c:pt idx="24">
                  <c:v>3.307410414</c:v>
                </c:pt>
                <c:pt idx="25">
                  <c:v>3.3349953409999999</c:v>
                </c:pt>
                <c:pt idx="26">
                  <c:v>3.3609788819999999</c:v>
                </c:pt>
                <c:pt idx="27">
                  <c:v>3.3855732559999998</c:v>
                </c:pt>
                <c:pt idx="28">
                  <c:v>3.4091145649999999</c:v>
                </c:pt>
                <c:pt idx="29">
                  <c:v>3.4319423389999999</c:v>
                </c:pt>
                <c:pt idx="30">
                  <c:v>3.4542639039999998</c:v>
                </c:pt>
                <c:pt idx="31">
                  <c:v>3.4761195740000002</c:v>
                </c:pt>
                <c:pt idx="32">
                  <c:v>3.497444142</c:v>
                </c:pt>
                <c:pt idx="33">
                  <c:v>3.5181639649999998</c:v>
                </c:pt>
                <c:pt idx="34">
                  <c:v>3.5382101100000001</c:v>
                </c:pt>
                <c:pt idx="35">
                  <c:v>3.5575263960000001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62.819187579999998</c:v>
                </c:pt>
                <c:pt idx="2">
                  <c:v>82.635225599999998</c:v>
                </c:pt>
                <c:pt idx="3">
                  <c:v>103.9264514</c:v>
                </c:pt>
                <c:pt idx="4">
                  <c:v>126.80310470000001</c:v>
                </c:pt>
                <c:pt idx="5">
                  <c:v>150.90795199999999</c:v>
                </c:pt>
                <c:pt idx="6">
                  <c:v>175.9215088</c:v>
                </c:pt>
                <c:pt idx="7">
                  <c:v>201.61753300000001</c:v>
                </c:pt>
                <c:pt idx="8">
                  <c:v>232.34003079999999</c:v>
                </c:pt>
                <c:pt idx="9">
                  <c:v>271.94795449999998</c:v>
                </c:pt>
                <c:pt idx="10">
                  <c:v>324.79548060000002</c:v>
                </c:pt>
                <c:pt idx="11">
                  <c:v>394.48635519999999</c:v>
                </c:pt>
                <c:pt idx="12">
                  <c:v>481.0175395</c:v>
                </c:pt>
                <c:pt idx="13">
                  <c:v>583.92944120000004</c:v>
                </c:pt>
                <c:pt idx="14">
                  <c:v>702.69364540000004</c:v>
                </c:pt>
                <c:pt idx="15">
                  <c:v>836.84850800000004</c:v>
                </c:pt>
                <c:pt idx="16">
                  <c:v>985.74742030000004</c:v>
                </c:pt>
                <c:pt idx="17">
                  <c:v>1150.297409</c:v>
                </c:pt>
                <c:pt idx="18">
                  <c:v>1331.2979270000001</c:v>
                </c:pt>
                <c:pt idx="19">
                  <c:v>1529.4071220000001</c:v>
                </c:pt>
                <c:pt idx="20">
                  <c:v>1744.8852159999999</c:v>
                </c:pt>
                <c:pt idx="21">
                  <c:v>1978.7917190000001</c:v>
                </c:pt>
                <c:pt idx="22">
                  <c:v>2231.9152370000002</c:v>
                </c:pt>
                <c:pt idx="23">
                  <c:v>2505.2560990000002</c:v>
                </c:pt>
                <c:pt idx="24">
                  <c:v>2799.9266189999998</c:v>
                </c:pt>
                <c:pt idx="25">
                  <c:v>3115.6878059999999</c:v>
                </c:pt>
                <c:pt idx="26">
                  <c:v>3454.7218480000001</c:v>
                </c:pt>
                <c:pt idx="27">
                  <c:v>3818.5286270000001</c:v>
                </c:pt>
                <c:pt idx="28">
                  <c:v>4209.1377329999996</c:v>
                </c:pt>
                <c:pt idx="29">
                  <c:v>4628.9126630000001</c:v>
                </c:pt>
                <c:pt idx="30">
                  <c:v>5080.2261189999999</c:v>
                </c:pt>
                <c:pt idx="31">
                  <c:v>5565.2939740000002</c:v>
                </c:pt>
                <c:pt idx="32">
                  <c:v>6086.2534070000002</c:v>
                </c:pt>
                <c:pt idx="33">
                  <c:v>6645.4020179999998</c:v>
                </c:pt>
                <c:pt idx="34">
                  <c:v>7245.2439949999998</c:v>
                </c:pt>
                <c:pt idx="35">
                  <c:v>7888.5376919999999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31911.216659999998</c:v>
                      </c:pt>
                      <c:pt idx="2">
                        <c:v>31732.934720000001</c:v>
                      </c:pt>
                      <c:pt idx="3">
                        <c:v>31702.28557</c:v>
                      </c:pt>
                      <c:pt idx="4">
                        <c:v>31792.126219999998</c:v>
                      </c:pt>
                      <c:pt idx="5">
                        <c:v>31964.154709999999</c:v>
                      </c:pt>
                      <c:pt idx="6">
                        <c:v>32183.57087</c:v>
                      </c:pt>
                      <c:pt idx="7">
                        <c:v>32332.232909999999</c:v>
                      </c:pt>
                      <c:pt idx="8">
                        <c:v>32472.487809999999</c:v>
                      </c:pt>
                      <c:pt idx="9">
                        <c:v>32635.149949999999</c:v>
                      </c:pt>
                      <c:pt idx="10">
                        <c:v>32833.745239999997</c:v>
                      </c:pt>
                      <c:pt idx="11">
                        <c:v>33096.137840000003</c:v>
                      </c:pt>
                      <c:pt idx="12">
                        <c:v>33409.64574</c:v>
                      </c:pt>
                      <c:pt idx="13">
                        <c:v>33754.897490000003</c:v>
                      </c:pt>
                      <c:pt idx="14">
                        <c:v>34116.663589999996</c:v>
                      </c:pt>
                      <c:pt idx="15">
                        <c:v>34484.600870000002</c:v>
                      </c:pt>
                      <c:pt idx="16">
                        <c:v>34840.394919999999</c:v>
                      </c:pt>
                      <c:pt idx="17">
                        <c:v>35187.660450000003</c:v>
                      </c:pt>
                      <c:pt idx="18">
                        <c:v>35530.931279999997</c:v>
                      </c:pt>
                      <c:pt idx="19">
                        <c:v>35873.49944</c:v>
                      </c:pt>
                      <c:pt idx="20">
                        <c:v>36214.109199999999</c:v>
                      </c:pt>
                      <c:pt idx="21">
                        <c:v>36560.303870000003</c:v>
                      </c:pt>
                      <c:pt idx="22">
                        <c:v>36915.081420000002</c:v>
                      </c:pt>
                      <c:pt idx="23">
                        <c:v>37282.354650000001</c:v>
                      </c:pt>
                      <c:pt idx="24">
                        <c:v>37665.714229999998</c:v>
                      </c:pt>
                      <c:pt idx="25">
                        <c:v>38057.367299999998</c:v>
                      </c:pt>
                      <c:pt idx="26">
                        <c:v>38467.847979999999</c:v>
                      </c:pt>
                      <c:pt idx="27">
                        <c:v>38900.336900000002</c:v>
                      </c:pt>
                      <c:pt idx="28">
                        <c:v>39360.046240000003</c:v>
                      </c:pt>
                      <c:pt idx="29">
                        <c:v>39852.565289999999</c:v>
                      </c:pt>
                      <c:pt idx="30">
                        <c:v>40381.920310000001</c:v>
                      </c:pt>
                      <c:pt idx="31">
                        <c:v>40950.018239999998</c:v>
                      </c:pt>
                      <c:pt idx="32">
                        <c:v>41557.48515</c:v>
                      </c:pt>
                      <c:pt idx="33">
                        <c:v>42205.076200000003</c:v>
                      </c:pt>
                      <c:pt idx="34">
                        <c:v>42893.874450000003</c:v>
                      </c:pt>
                      <c:pt idx="35">
                        <c:v>43625.428269999997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31846.407179999998</c:v>
                </c:pt>
                <c:pt idx="2">
                  <c:v>31648.242030000001</c:v>
                </c:pt>
                <c:pt idx="3">
                  <c:v>31596.227699999999</c:v>
                </c:pt>
                <c:pt idx="4">
                  <c:v>31663.112720000001</c:v>
                </c:pt>
                <c:pt idx="5">
                  <c:v>31810.955089999999</c:v>
                </c:pt>
                <c:pt idx="6">
                  <c:v>31994.922859999999</c:v>
                </c:pt>
                <c:pt idx="7">
                  <c:v>32194.828699999998</c:v>
                </c:pt>
                <c:pt idx="8">
                  <c:v>32403.05286</c:v>
                </c:pt>
                <c:pt idx="9">
                  <c:v>32617.374459999999</c:v>
                </c:pt>
                <c:pt idx="10">
                  <c:v>32842.462780000002</c:v>
                </c:pt>
                <c:pt idx="11">
                  <c:v>33072.342199999999</c:v>
                </c:pt>
                <c:pt idx="12">
                  <c:v>33306.521719999997</c:v>
                </c:pt>
                <c:pt idx="13">
                  <c:v>33541.054100000001</c:v>
                </c:pt>
                <c:pt idx="14">
                  <c:v>33771.202120000002</c:v>
                </c:pt>
                <c:pt idx="15">
                  <c:v>33992.964390000001</c:v>
                </c:pt>
                <c:pt idx="16">
                  <c:v>34219.569960000001</c:v>
                </c:pt>
                <c:pt idx="17">
                  <c:v>34453.40812</c:v>
                </c:pt>
                <c:pt idx="18">
                  <c:v>34691.436119999998</c:v>
                </c:pt>
                <c:pt idx="19">
                  <c:v>34930.011250000003</c:v>
                </c:pt>
                <c:pt idx="20">
                  <c:v>35163.030290000002</c:v>
                </c:pt>
                <c:pt idx="21">
                  <c:v>35394.533990000004</c:v>
                </c:pt>
                <c:pt idx="22">
                  <c:v>35625.400679999999</c:v>
                </c:pt>
                <c:pt idx="23">
                  <c:v>35857.521139999997</c:v>
                </c:pt>
                <c:pt idx="24">
                  <c:v>36092.655550000003</c:v>
                </c:pt>
                <c:pt idx="25">
                  <c:v>36322.35456</c:v>
                </c:pt>
                <c:pt idx="26">
                  <c:v>36556.102129999999</c:v>
                </c:pt>
                <c:pt idx="27">
                  <c:v>36796.680930000002</c:v>
                </c:pt>
                <c:pt idx="28">
                  <c:v>37047.049769999998</c:v>
                </c:pt>
                <c:pt idx="29">
                  <c:v>37309.729420000003</c:v>
                </c:pt>
                <c:pt idx="30">
                  <c:v>37585.568010000003</c:v>
                </c:pt>
                <c:pt idx="31">
                  <c:v>37873.541530000002</c:v>
                </c:pt>
                <c:pt idx="32">
                  <c:v>38171.077310000001</c:v>
                </c:pt>
                <c:pt idx="33">
                  <c:v>38474.414380000002</c:v>
                </c:pt>
                <c:pt idx="34">
                  <c:v>38778.940459999998</c:v>
                </c:pt>
                <c:pt idx="35">
                  <c:v>39079.453049999996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1.990292951</c:v>
                </c:pt>
                <c:pt idx="2">
                  <c:v>2.057457688</c:v>
                </c:pt>
                <c:pt idx="3">
                  <c:v>2.1314073379999998</c:v>
                </c:pt>
                <c:pt idx="4">
                  <c:v>2.210383926</c:v>
                </c:pt>
                <c:pt idx="5">
                  <c:v>2.291663067</c:v>
                </c:pt>
                <c:pt idx="6">
                  <c:v>2.3718637600000001</c:v>
                </c:pt>
                <c:pt idx="7">
                  <c:v>2.4495936299999999</c:v>
                </c:pt>
                <c:pt idx="8">
                  <c:v>2.5244711629999999</c:v>
                </c:pt>
                <c:pt idx="9">
                  <c:v>2.5965424349999999</c:v>
                </c:pt>
                <c:pt idx="10">
                  <c:v>2.6664149699999999</c:v>
                </c:pt>
                <c:pt idx="11">
                  <c:v>2.7337945640000001</c:v>
                </c:pt>
                <c:pt idx="12">
                  <c:v>2.7988271</c:v>
                </c:pt>
                <c:pt idx="13">
                  <c:v>2.8613557699999999</c:v>
                </c:pt>
                <c:pt idx="14">
                  <c:v>2.9211413949999998</c:v>
                </c:pt>
                <c:pt idx="15">
                  <c:v>2.977990589</c:v>
                </c:pt>
                <c:pt idx="16">
                  <c:v>3.033143441</c:v>
                </c:pt>
                <c:pt idx="17">
                  <c:v>3.0869383629999998</c:v>
                </c:pt>
                <c:pt idx="18">
                  <c:v>3.139251888</c:v>
                </c:pt>
                <c:pt idx="19">
                  <c:v>3.1898979660000002</c:v>
                </c:pt>
                <c:pt idx="20">
                  <c:v>3.238471654</c:v>
                </c:pt>
                <c:pt idx="21">
                  <c:v>3.2854056169999999</c:v>
                </c:pt>
                <c:pt idx="22">
                  <c:v>3.330866221</c:v>
                </c:pt>
                <c:pt idx="23">
                  <c:v>3.3751002329999999</c:v>
                </c:pt>
                <c:pt idx="24">
                  <c:v>3.4183403860000001</c:v>
                </c:pt>
                <c:pt idx="25">
                  <c:v>3.4599586630000001</c:v>
                </c:pt>
                <c:pt idx="26">
                  <c:v>3.5008176519999998</c:v>
                </c:pt>
                <c:pt idx="27">
                  <c:v>3.5412250520000002</c:v>
                </c:pt>
                <c:pt idx="28">
                  <c:v>3.581502322</c:v>
                </c:pt>
                <c:pt idx="29">
                  <c:v>3.6219333730000001</c:v>
                </c:pt>
                <c:pt idx="30">
                  <c:v>3.6626603310000001</c:v>
                </c:pt>
                <c:pt idx="31">
                  <c:v>3.703664705</c:v>
                </c:pt>
                <c:pt idx="32">
                  <c:v>3.7447923589999998</c:v>
                </c:pt>
                <c:pt idx="33">
                  <c:v>3.785782143</c:v>
                </c:pt>
                <c:pt idx="34">
                  <c:v>3.8262931189999998</c:v>
                </c:pt>
                <c:pt idx="35">
                  <c:v>3.8659259179999999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62.819187579999998</c:v>
                </c:pt>
                <c:pt idx="2">
                  <c:v>82.635225599999998</c:v>
                </c:pt>
                <c:pt idx="3">
                  <c:v>103.9264514</c:v>
                </c:pt>
                <c:pt idx="4">
                  <c:v>126.80310470000001</c:v>
                </c:pt>
                <c:pt idx="5">
                  <c:v>150.90795209999999</c:v>
                </c:pt>
                <c:pt idx="6">
                  <c:v>175.86537910000001</c:v>
                </c:pt>
                <c:pt idx="7">
                  <c:v>201.72995420000001</c:v>
                </c:pt>
                <c:pt idx="8">
                  <c:v>228.8136106</c:v>
                </c:pt>
                <c:pt idx="9">
                  <c:v>257.56693890000003</c:v>
                </c:pt>
                <c:pt idx="10">
                  <c:v>288.58452770000002</c:v>
                </c:pt>
                <c:pt idx="11">
                  <c:v>322.3346995</c:v>
                </c:pt>
                <c:pt idx="12">
                  <c:v>359.3625783</c:v>
                </c:pt>
                <c:pt idx="13">
                  <c:v>400.14023739999999</c:v>
                </c:pt>
                <c:pt idx="14">
                  <c:v>445.09687050000002</c:v>
                </c:pt>
                <c:pt idx="15">
                  <c:v>494.65141080000001</c:v>
                </c:pt>
                <c:pt idx="16">
                  <c:v>549.48235529999999</c:v>
                </c:pt>
                <c:pt idx="17">
                  <c:v>609.78595080000002</c:v>
                </c:pt>
                <c:pt idx="18">
                  <c:v>675.53814639999996</c:v>
                </c:pt>
                <c:pt idx="19">
                  <c:v>746.70526050000001</c:v>
                </c:pt>
                <c:pt idx="20">
                  <c:v>823.21120329999997</c:v>
                </c:pt>
                <c:pt idx="21">
                  <c:v>905.40243880000003</c:v>
                </c:pt>
                <c:pt idx="22">
                  <c:v>993.61819930000001</c:v>
                </c:pt>
                <c:pt idx="23">
                  <c:v>1088.3340450000001</c:v>
                </c:pt>
                <c:pt idx="24">
                  <c:v>1190.121707</c:v>
                </c:pt>
                <c:pt idx="25">
                  <c:v>1299.129768</c:v>
                </c:pt>
                <c:pt idx="26">
                  <c:v>1416.4663210000001</c:v>
                </c:pt>
                <c:pt idx="27">
                  <c:v>1543.0504679999999</c:v>
                </c:pt>
                <c:pt idx="28">
                  <c:v>1679.9406939999999</c:v>
                </c:pt>
                <c:pt idx="29">
                  <c:v>1828.302631</c:v>
                </c:pt>
                <c:pt idx="30">
                  <c:v>1989.3181279999999</c:v>
                </c:pt>
                <c:pt idx="31">
                  <c:v>2164.1406649999999</c:v>
                </c:pt>
                <c:pt idx="32">
                  <c:v>2353.8829230000001</c:v>
                </c:pt>
                <c:pt idx="33">
                  <c:v>2559.610326</c:v>
                </c:pt>
                <c:pt idx="34">
                  <c:v>2782.336898</c:v>
                </c:pt>
                <c:pt idx="35">
                  <c:v>3023.0183950000001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31911.216659999998</c:v>
                      </c:pt>
                      <c:pt idx="2">
                        <c:v>31732.934720000001</c:v>
                      </c:pt>
                      <c:pt idx="3">
                        <c:v>31702.28557</c:v>
                      </c:pt>
                      <c:pt idx="4">
                        <c:v>31792.126209999999</c:v>
                      </c:pt>
                      <c:pt idx="5">
                        <c:v>31964.154699999999</c:v>
                      </c:pt>
                      <c:pt idx="6">
                        <c:v>32173.160110000001</c:v>
                      </c:pt>
                      <c:pt idx="7">
                        <c:v>32399.008249999999</c:v>
                      </c:pt>
                      <c:pt idx="8">
                        <c:v>32634.390940000001</c:v>
                      </c:pt>
                      <c:pt idx="9">
                        <c:v>32877.537949999998</c:v>
                      </c:pt>
                      <c:pt idx="10">
                        <c:v>33133.71372</c:v>
                      </c:pt>
                      <c:pt idx="11">
                        <c:v>33397.410689999997</c:v>
                      </c:pt>
                      <c:pt idx="12">
                        <c:v>33668.683129999998</c:v>
                      </c:pt>
                      <c:pt idx="13">
                        <c:v>33944.055690000001</c:v>
                      </c:pt>
                      <c:pt idx="14">
                        <c:v>34219.220130000002</c:v>
                      </c:pt>
                      <c:pt idx="15">
                        <c:v>34490.593789999999</c:v>
                      </c:pt>
                      <c:pt idx="16">
                        <c:v>34772.085460000002</c:v>
                      </c:pt>
                      <c:pt idx="17">
                        <c:v>35066.281009999999</c:v>
                      </c:pt>
                      <c:pt idx="18">
                        <c:v>35370.113519999999</c:v>
                      </c:pt>
                      <c:pt idx="19">
                        <c:v>35679.906410000003</c:v>
                      </c:pt>
                      <c:pt idx="20">
                        <c:v>35989.47997</c:v>
                      </c:pt>
                      <c:pt idx="21">
                        <c:v>36303.221839999998</c:v>
                      </c:pt>
                      <c:pt idx="22">
                        <c:v>36622.349739999998</c:v>
                      </c:pt>
                      <c:pt idx="23">
                        <c:v>36949.230280000003</c:v>
                      </c:pt>
                      <c:pt idx="24">
                        <c:v>37286.195590000003</c:v>
                      </c:pt>
                      <c:pt idx="25">
                        <c:v>37624.944280000003</c:v>
                      </c:pt>
                      <c:pt idx="26">
                        <c:v>37976.069259999997</c:v>
                      </c:pt>
                      <c:pt idx="27">
                        <c:v>38343.27261</c:v>
                      </c:pt>
                      <c:pt idx="28">
                        <c:v>38730.571960000001</c:v>
                      </c:pt>
                      <c:pt idx="29">
                        <c:v>39141.653980000003</c:v>
                      </c:pt>
                      <c:pt idx="30">
                        <c:v>39578.548790000001</c:v>
                      </c:pt>
                      <c:pt idx="31">
                        <c:v>40041.385849999999</c:v>
                      </c:pt>
                      <c:pt idx="32">
                        <c:v>40528.705009999998</c:v>
                      </c:pt>
                      <c:pt idx="33">
                        <c:v>41037.810469999997</c:v>
                      </c:pt>
                      <c:pt idx="34">
                        <c:v>41565.103629999998</c:v>
                      </c:pt>
                      <c:pt idx="35">
                        <c:v>42106.337339999998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2.6894121000000268</c:v>
                </c:pt>
                <c:pt idx="1">
                  <c:v>-2.3248829000000342</c:v>
                </c:pt>
                <c:pt idx="2">
                  <c:v>-3.4042115999999396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61.405753000000004</c:v>
                </c:pt>
                <c:pt idx="1">
                  <c:v>146.34570200000053</c:v>
                </c:pt>
                <c:pt idx="2">
                  <c:v>594.03290399999969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-2.7050338999999894</c:v>
                </c:pt>
                <c:pt idx="1">
                  <c:v>-9.7644522000000507</c:v>
                </c:pt>
                <c:pt idx="2">
                  <c:v>13.466126000000031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282.65234000000055</c:v>
                </c:pt>
                <c:pt idx="1">
                  <c:v>326.8119200000001</c:v>
                </c:pt>
                <c:pt idx="2">
                  <c:v>651.87812000000122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-1.8903247065999977</c:v>
                </c:pt>
                <c:pt idx="1">
                  <c:v>-4.0405474235999996</c:v>
                </c:pt>
                <c:pt idx="2">
                  <c:v>-6.6304359563999959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14.160524426599999</c:v>
                </c:pt>
                <c:pt idx="1">
                  <c:v>32.554738813600004</c:v>
                </c:pt>
                <c:pt idx="2">
                  <c:v>60.566537136399994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28.907209140000006</c:v>
                </c:pt>
                <c:pt idx="1">
                  <c:v>87.365946839999992</c:v>
                </c:pt>
                <c:pt idx="2">
                  <c:v>344.57533249000005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385.21988000000056</c:v>
                </c:pt>
                <c:pt idx="1">
                  <c:v>576.94843000000037</c:v>
                </c:pt>
                <c:pt idx="2">
                  <c:v>1654.4843699999983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3.5857064021423124E-4</c:v>
                </c:pt>
                <c:pt idx="1">
                  <c:v>6.7250084988613697E-4</c:v>
                </c:pt>
                <c:pt idx="2">
                  <c:v>4.1755227478102157E-4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4.0114381646437734E-3</c:v>
                </c:pt>
                <c:pt idx="1">
                  <c:v>2.698347015909542E-2</c:v>
                </c:pt>
                <c:pt idx="2">
                  <c:v>9.4340183742346775E-2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7.7003832651389623E-4</c:v>
                </c:pt>
                <c:pt idx="1">
                  <c:v>1.4532505953995961E-3</c:v>
                </c:pt>
                <c:pt idx="2">
                  <c:v>2.2423705334091246E-3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4.2670220462757988E-3</c:v>
                </c:pt>
                <c:pt idx="1">
                  <c:v>1.14678507912571E-2</c:v>
                </c:pt>
                <c:pt idx="2">
                  <c:v>2.0251972197675213E-2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1.6297534242415904E-5</c:v>
                </c:pt>
                <c:pt idx="1">
                  <c:v>4.0955958634901441E-4</c:v>
                </c:pt>
                <c:pt idx="2">
                  <c:v>1.081160582705724E-3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2.7180245069852878E-3</c:v>
                </c:pt>
                <c:pt idx="1">
                  <c:v>9.1570250421667276E-3</c:v>
                </c:pt>
                <c:pt idx="2">
                  <c:v>3.4226064397257595E-2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1.2141391137109103E-2</c:v>
                </c:pt>
                <c:pt idx="1">
                  <c:v>5.0143656966503025E-2</c:v>
                </c:pt>
                <c:pt idx="2">
                  <c:v>0.15255930342252699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15.161853579300001</c:v>
                </c:pt>
                <c:pt idx="1">
                  <c:v>10.750742633</c:v>
                </c:pt>
                <c:pt idx="2">
                  <c:v>6.7572921747000008</c:v>
                </c:pt>
                <c:pt idx="3">
                  <c:v>1.6301781918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8.4438744089999993</c:v>
                </c:pt>
                <c:pt idx="1">
                  <c:v>5.813724391</c:v>
                </c:pt>
                <c:pt idx="2">
                  <c:v>4.1499484549999996</c:v>
                </c:pt>
                <c:pt idx="3">
                  <c:v>2.555740031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19.797557743999999</c:v>
                </c:pt>
                <c:pt idx="1">
                  <c:v>20.392791770000002</c:v>
                </c:pt>
                <c:pt idx="2">
                  <c:v>23.081396612999999</c:v>
                </c:pt>
                <c:pt idx="3">
                  <c:v>30.532471018000003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14.667756539999999</c:v>
                </c:pt>
                <c:pt idx="1">
                  <c:v>14.435484369999999</c:v>
                </c:pt>
                <c:pt idx="2">
                  <c:v>14.55742994</c:v>
                </c:pt>
                <c:pt idx="3">
                  <c:v>16.09247697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19.541721160000002</c:v>
                </c:pt>
                <c:pt idx="1">
                  <c:v>15.52252315</c:v>
                </c:pt>
                <c:pt idx="2">
                  <c:v>14.56302062</c:v>
                </c:pt>
                <c:pt idx="3">
                  <c:v>16.383259349999999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14.345648665900001</c:v>
                </c:pt>
                <c:pt idx="1">
                  <c:v>7.5629790160999999</c:v>
                </c:pt>
                <c:pt idx="2">
                  <c:v>5.2078629485000008</c:v>
                </c:pt>
                <c:pt idx="3">
                  <c:v>3.6633373439999999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18.44205977</c:v>
                </c:pt>
                <c:pt idx="1">
                  <c:v>14.49511193</c:v>
                </c:pt>
                <c:pt idx="2">
                  <c:v>9.142874291</c:v>
                </c:pt>
                <c:pt idx="3">
                  <c:v>1.852994823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20.650154860000001</c:v>
                </c:pt>
                <c:pt idx="1">
                  <c:v>17.29555628</c:v>
                </c:pt>
                <c:pt idx="2">
                  <c:v>12.65373851</c:v>
                </c:pt>
                <c:pt idx="3">
                  <c:v>5.6894440680000002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6.03263675</c:v>
                </c:pt>
                <c:pt idx="1">
                  <c:v>5.2378393179999998</c:v>
                </c:pt>
                <c:pt idx="2">
                  <c:v>3.7339766996999999</c:v>
                </c:pt>
                <c:pt idx="3">
                  <c:v>1.4179517770999999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45.494539885999998</c:v>
                </c:pt>
                <c:pt idx="1">
                  <c:v>27.866616323000002</c:v>
                </c:pt>
                <c:pt idx="2">
                  <c:v>20.104809024999998</c:v>
                </c:pt>
                <c:pt idx="3">
                  <c:v>12.641633958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22.142415052</c:v>
                </c:pt>
                <c:pt idx="1">
                  <c:v>25.240537728499998</c:v>
                </c:pt>
                <c:pt idx="2">
                  <c:v>23.985803513800001</c:v>
                </c:pt>
                <c:pt idx="3">
                  <c:v>13.313558478499999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26.279132964000002</c:v>
                </c:pt>
                <c:pt idx="1">
                  <c:v>25.539070022000001</c:v>
                </c:pt>
                <c:pt idx="2">
                  <c:v>23.637517734999996</c:v>
                </c:pt>
                <c:pt idx="3">
                  <c:v>23.140090753399999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0</c:v>
                </c:pt>
                <c:pt idx="1">
                  <c:v>-1.1214917883251019E-11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1.8079782115876242E-10</c:v>
                </c:pt>
                <c:pt idx="6">
                  <c:v>-3.0898594857187156E-4</c:v>
                </c:pt>
                <c:pt idx="7">
                  <c:v>3.6435842415656339E-3</c:v>
                </c:pt>
                <c:pt idx="8">
                  <c:v>8.2679821961153532E-3</c:v>
                </c:pt>
                <c:pt idx="9">
                  <c:v>9.3228819274173702E-3</c:v>
                </c:pt>
                <c:pt idx="10">
                  <c:v>1.0691614461329824E-2</c:v>
                </c:pt>
                <c:pt idx="11">
                  <c:v>1.2656336848952288E-2</c:v>
                </c:pt>
                <c:pt idx="12">
                  <c:v>1.5108213919165836E-2</c:v>
                </c:pt>
                <c:pt idx="13">
                  <c:v>1.7696387485543585E-2</c:v>
                </c:pt>
                <c:pt idx="14">
                  <c:v>2.0109851915578902E-2</c:v>
                </c:pt>
                <c:pt idx="15">
                  <c:v>2.2361641796462273E-2</c:v>
                </c:pt>
                <c:pt idx="16">
                  <c:v>2.4971859049353062E-2</c:v>
                </c:pt>
                <c:pt idx="17">
                  <c:v>2.820170496799479E-2</c:v>
                </c:pt>
                <c:pt idx="18">
                  <c:v>3.2011065466428512E-2</c:v>
                </c:pt>
                <c:pt idx="19">
                  <c:v>3.624859450469331E-2</c:v>
                </c:pt>
                <c:pt idx="20">
                  <c:v>4.0749945552966738E-2</c:v>
                </c:pt>
                <c:pt idx="21">
                  <c:v>4.5365207904084714E-2</c:v>
                </c:pt>
                <c:pt idx="22">
                  <c:v>4.9962362088019852E-2</c:v>
                </c:pt>
                <c:pt idx="23">
                  <c:v>5.4424368580792581E-2</c:v>
                </c:pt>
                <c:pt idx="24">
                  <c:v>5.8641868503262362E-2</c:v>
                </c:pt>
                <c:pt idx="25">
                  <c:v>6.2527366381016636E-2</c:v>
                </c:pt>
                <c:pt idx="26">
                  <c:v>6.6123328776776402E-2</c:v>
                </c:pt>
                <c:pt idx="27">
                  <c:v>6.9171536581287718E-2</c:v>
                </c:pt>
                <c:pt idx="28">
                  <c:v>7.1543105473682367E-2</c:v>
                </c:pt>
                <c:pt idx="29">
                  <c:v>7.3114058436931861E-2</c:v>
                </c:pt>
                <c:pt idx="30">
                  <c:v>7.3774989919054512E-2</c:v>
                </c:pt>
                <c:pt idx="31">
                  <c:v>7.3429377633414061E-2</c:v>
                </c:pt>
                <c:pt idx="32">
                  <c:v>7.1977704811357235E-2</c:v>
                </c:pt>
                <c:pt idx="33">
                  <c:v>6.9305833052490495E-2</c:v>
                </c:pt>
                <c:pt idx="34">
                  <c:v>6.5273662644252051E-2</c:v>
                </c:pt>
                <c:pt idx="35">
                  <c:v>5.969889132665207E-2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-2.0430324099152131E-12</c:v>
                </c:pt>
                <c:pt idx="1">
                  <c:v>1.8091972364686626E-11</c:v>
                </c:pt>
                <c:pt idx="2">
                  <c:v>7.613398800287996E-11</c:v>
                </c:pt>
                <c:pt idx="3">
                  <c:v>-5.5466631287970358E-11</c:v>
                </c:pt>
                <c:pt idx="4">
                  <c:v>8.3506312975600849E-11</c:v>
                </c:pt>
                <c:pt idx="5">
                  <c:v>1.2330736431920286E-10</c:v>
                </c:pt>
                <c:pt idx="6">
                  <c:v>-2.9582613582268547E-4</c:v>
                </c:pt>
                <c:pt idx="7">
                  <c:v>4.0126383573206859E-3</c:v>
                </c:pt>
                <c:pt idx="8">
                  <c:v>7.8451676783466429E-3</c:v>
                </c:pt>
                <c:pt idx="9">
                  <c:v>5.7402417246337212E-3</c:v>
                </c:pt>
                <c:pt idx="10">
                  <c:v>3.47854681389137E-3</c:v>
                </c:pt>
                <c:pt idx="11">
                  <c:v>1.6630882774171241E-3</c:v>
                </c:pt>
                <c:pt idx="12">
                  <c:v>6.2341109019614649E-4</c:v>
                </c:pt>
                <c:pt idx="13">
                  <c:v>4.8870565977132685E-5</c:v>
                </c:pt>
                <c:pt idx="14">
                  <c:v>-5.1125173572741378E-4</c:v>
                </c:pt>
                <c:pt idx="15">
                  <c:v>-1.0892645569865467E-3</c:v>
                </c:pt>
                <c:pt idx="16">
                  <c:v>-9.0723037774798065E-4</c:v>
                </c:pt>
                <c:pt idx="17">
                  <c:v>-1.3458296336699149E-4</c:v>
                </c:pt>
                <c:pt idx="18">
                  <c:v>1.1050093521074444E-3</c:v>
                </c:pt>
                <c:pt idx="19">
                  <c:v>2.6719976171720727E-3</c:v>
                </c:pt>
                <c:pt idx="20">
                  <c:v>4.4508062983983354E-3</c:v>
                </c:pt>
                <c:pt idx="21">
                  <c:v>6.3518664046655626E-3</c:v>
                </c:pt>
                <c:pt idx="22">
                  <c:v>8.3184643950919845E-3</c:v>
                </c:pt>
                <c:pt idx="23">
                  <c:v>1.0320582274399692E-2</c:v>
                </c:pt>
                <c:pt idx="24">
                  <c:v>1.2334504077120334E-2</c:v>
                </c:pt>
                <c:pt idx="25">
                  <c:v>1.4351720618706931E-2</c:v>
                </c:pt>
                <c:pt idx="26">
                  <c:v>1.6318253001887051E-2</c:v>
                </c:pt>
                <c:pt idx="27">
                  <c:v>1.8233537998109117E-2</c:v>
                </c:pt>
                <c:pt idx="28">
                  <c:v>2.0095097839698095E-2</c:v>
                </c:pt>
                <c:pt idx="29">
                  <c:v>2.1871104097912486E-2</c:v>
                </c:pt>
                <c:pt idx="30">
                  <c:v>2.351605409367763E-2</c:v>
                </c:pt>
                <c:pt idx="31">
                  <c:v>2.4969259546715472E-2</c:v>
                </c:pt>
                <c:pt idx="32">
                  <c:v>2.615461359644633E-2</c:v>
                </c:pt>
                <c:pt idx="33">
                  <c:v>2.6979781414410597E-2</c:v>
                </c:pt>
                <c:pt idx="34">
                  <c:v>2.7300282067617143E-2</c:v>
                </c:pt>
                <c:pt idx="35">
                  <c:v>2.6885589303128565E-2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-8.0299100702063697E-12</c:v>
                </c:pt>
                <c:pt idx="3">
                  <c:v>-7.9106721173616279E-12</c:v>
                </c:pt>
                <c:pt idx="4">
                  <c:v>0</c:v>
                </c:pt>
                <c:pt idx="5">
                  <c:v>-8.4297124836041348E-11</c:v>
                </c:pt>
                <c:pt idx="6">
                  <c:v>-2.6613511890849484E-4</c:v>
                </c:pt>
                <c:pt idx="7">
                  <c:v>3.9222384657919829E-3</c:v>
                </c:pt>
                <c:pt idx="8">
                  <c:v>7.6893939997872973E-3</c:v>
                </c:pt>
                <c:pt idx="9">
                  <c:v>5.7364931388559359E-3</c:v>
                </c:pt>
                <c:pt idx="10">
                  <c:v>3.7671831614904949E-3</c:v>
                </c:pt>
                <c:pt idx="11">
                  <c:v>2.3555532271917201E-3</c:v>
                </c:pt>
                <c:pt idx="12">
                  <c:v>2.1190631580316754E-3</c:v>
                </c:pt>
                <c:pt idx="13">
                  <c:v>2.8446655511618069E-3</c:v>
                </c:pt>
                <c:pt idx="14">
                  <c:v>4.0989499707941857E-3</c:v>
                </c:pt>
                <c:pt idx="15">
                  <c:v>5.8057569803939835E-3</c:v>
                </c:pt>
                <c:pt idx="16">
                  <c:v>8.4008094687002544E-3</c:v>
                </c:pt>
                <c:pt idx="17">
                  <c:v>1.179654366835603E-2</c:v>
                </c:pt>
                <c:pt idx="18">
                  <c:v>1.5761039227578877E-2</c:v>
                </c:pt>
                <c:pt idx="19">
                  <c:v>2.0079416509630299E-2</c:v>
                </c:pt>
                <c:pt idx="20">
                  <c:v>2.4565772432159072E-2</c:v>
                </c:pt>
                <c:pt idx="21">
                  <c:v>2.9044698741500063E-2</c:v>
                </c:pt>
                <c:pt idx="22">
                  <c:v>3.3379360457289176E-2</c:v>
                </c:pt>
                <c:pt idx="23">
                  <c:v>3.7537821228117885E-2</c:v>
                </c:pt>
                <c:pt idx="24">
                  <c:v>4.1507528844867414E-2</c:v>
                </c:pt>
                <c:pt idx="25">
                  <c:v>4.5254464962048324E-2</c:v>
                </c:pt>
                <c:pt idx="26">
                  <c:v>4.8556093193974359E-2</c:v>
                </c:pt>
                <c:pt idx="27">
                  <c:v>5.1184800148094345E-2</c:v>
                </c:pt>
                <c:pt idx="28">
                  <c:v>5.3146637975015176E-2</c:v>
                </c:pt>
                <c:pt idx="29">
                  <c:v>5.4479888155898548E-2</c:v>
                </c:pt>
                <c:pt idx="30">
                  <c:v>5.5205157725757514E-2</c:v>
                </c:pt>
                <c:pt idx="31">
                  <c:v>5.5237801247159046E-2</c:v>
                </c:pt>
                <c:pt idx="32">
                  <c:v>5.444777587867411E-2</c:v>
                </c:pt>
                <c:pt idx="33">
                  <c:v>5.2788821993379864E-2</c:v>
                </c:pt>
                <c:pt idx="34">
                  <c:v>5.0210588626994124E-2</c:v>
                </c:pt>
                <c:pt idx="35">
                  <c:v>4.6618065616530924E-2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-3.6671732317472561E-10</c:v>
                </c:pt>
                <c:pt idx="5">
                  <c:v>0</c:v>
                </c:pt>
                <c:pt idx="6">
                  <c:v>-2.1222261571440804E-4</c:v>
                </c:pt>
                <c:pt idx="7">
                  <c:v>1.0233540371429317E-3</c:v>
                </c:pt>
                <c:pt idx="8">
                  <c:v>2.1039178979993522E-3</c:v>
                </c:pt>
                <c:pt idx="9">
                  <c:v>3.4553277112214786E-5</c:v>
                </c:pt>
                <c:pt idx="10">
                  <c:v>-2.5502247187985105E-3</c:v>
                </c:pt>
                <c:pt idx="11">
                  <c:v>-4.8375048030478984E-3</c:v>
                </c:pt>
                <c:pt idx="12">
                  <c:v>-6.6196208140050228E-3</c:v>
                </c:pt>
                <c:pt idx="13">
                  <c:v>-7.9407017841433003E-3</c:v>
                </c:pt>
                <c:pt idx="14">
                  <c:v>-8.9815057720478153E-3</c:v>
                </c:pt>
                <c:pt idx="15">
                  <c:v>-9.7720639776270879E-3</c:v>
                </c:pt>
                <c:pt idx="16">
                  <c:v>-9.9663867556223362E-3</c:v>
                </c:pt>
                <c:pt idx="17">
                  <c:v>-9.6596978484501106E-3</c:v>
                </c:pt>
                <c:pt idx="18">
                  <c:v>-8.9676542032743889E-3</c:v>
                </c:pt>
                <c:pt idx="19">
                  <c:v>-8.0162138546462369E-3</c:v>
                </c:pt>
                <c:pt idx="20">
                  <c:v>-6.9032902776287042E-3</c:v>
                </c:pt>
                <c:pt idx="21">
                  <c:v>-5.6794542119099622E-3</c:v>
                </c:pt>
                <c:pt idx="22">
                  <c:v>-4.3914242417505411E-3</c:v>
                </c:pt>
                <c:pt idx="23">
                  <c:v>-3.0793266339897984E-3</c:v>
                </c:pt>
                <c:pt idx="24">
                  <c:v>-1.7773444956303841E-3</c:v>
                </c:pt>
                <c:pt idx="25">
                  <c:v>-5.1640399763652756E-4</c:v>
                </c:pt>
                <c:pt idx="26">
                  <c:v>6.8072680921038575E-4</c:v>
                </c:pt>
                <c:pt idx="27">
                  <c:v>1.8056583801826509E-3</c:v>
                </c:pt>
                <c:pt idx="28">
                  <c:v>2.8044835661529266E-3</c:v>
                </c:pt>
                <c:pt idx="29">
                  <c:v>3.6128795539203118E-3</c:v>
                </c:pt>
                <c:pt idx="30">
                  <c:v>4.1710278285567171E-3</c:v>
                </c:pt>
                <c:pt idx="31">
                  <c:v>4.4270001979449525E-3</c:v>
                </c:pt>
                <c:pt idx="32">
                  <c:v>4.31841616073525E-3</c:v>
                </c:pt>
                <c:pt idx="33">
                  <c:v>3.7530292383001207E-3</c:v>
                </c:pt>
                <c:pt idx="34">
                  <c:v>2.6032991003532846E-3</c:v>
                </c:pt>
                <c:pt idx="35">
                  <c:v>6.8787146107185393E-4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9.0668805796667584E-11</c:v>
                </c:pt>
                <c:pt idx="1">
                  <c:v>-1.6626811039088807E-11</c:v>
                </c:pt>
                <c:pt idx="2">
                  <c:v>1.2913936586755881E-10</c:v>
                </c:pt>
                <c:pt idx="3">
                  <c:v>4.2504999520076581E-10</c:v>
                </c:pt>
                <c:pt idx="4">
                  <c:v>5.2895332558478003E-10</c:v>
                </c:pt>
                <c:pt idx="5">
                  <c:v>6.106430916474892E-10</c:v>
                </c:pt>
                <c:pt idx="6">
                  <c:v>-5.9017888012891095E-4</c:v>
                </c:pt>
                <c:pt idx="7">
                  <c:v>-2.2240996282512082E-3</c:v>
                </c:pt>
                <c:pt idx="8">
                  <c:v>-4.654024837252857E-3</c:v>
                </c:pt>
                <c:pt idx="9">
                  <c:v>-1.1158993562483066E-2</c:v>
                </c:pt>
                <c:pt idx="10">
                  <c:v>-1.8346768602204189E-2</c:v>
                </c:pt>
                <c:pt idx="11">
                  <c:v>-2.6847113094195296E-2</c:v>
                </c:pt>
                <c:pt idx="12">
                  <c:v>-3.5997416345302735E-2</c:v>
                </c:pt>
                <c:pt idx="13">
                  <c:v>-4.5535626687437714E-2</c:v>
                </c:pt>
                <c:pt idx="14">
                  <c:v>-5.5418159581611226E-2</c:v>
                </c:pt>
                <c:pt idx="15">
                  <c:v>-6.5372512792154835E-2</c:v>
                </c:pt>
                <c:pt idx="16">
                  <c:v>-7.3454987813315165E-2</c:v>
                </c:pt>
                <c:pt idx="17">
                  <c:v>-8.0302257449464731E-2</c:v>
                </c:pt>
                <c:pt idx="18">
                  <c:v>-8.6060964952742514E-2</c:v>
                </c:pt>
                <c:pt idx="19">
                  <c:v>-9.0937012744510493E-2</c:v>
                </c:pt>
                <c:pt idx="20">
                  <c:v>-9.5129385534204469E-2</c:v>
                </c:pt>
                <c:pt idx="21">
                  <c:v>-9.8794375138156032E-2</c:v>
                </c:pt>
                <c:pt idx="22">
                  <c:v>-0.10204428358796558</c:v>
                </c:pt>
                <c:pt idx="23">
                  <c:v>-0.10495002584783164</c:v>
                </c:pt>
                <c:pt idx="24">
                  <c:v>-0.107577916436564</c:v>
                </c:pt>
                <c:pt idx="25">
                  <c:v>-0.11001006927538204</c:v>
                </c:pt>
                <c:pt idx="26">
                  <c:v>-0.11247501889478118</c:v>
                </c:pt>
                <c:pt idx="27">
                  <c:v>-0.11492749531927393</c:v>
                </c:pt>
                <c:pt idx="28">
                  <c:v>-0.11743394821352671</c:v>
                </c:pt>
                <c:pt idx="29">
                  <c:v>-0.12007624740216727</c:v>
                </c:pt>
                <c:pt idx="30">
                  <c:v>-0.12295780933953548</c:v>
                </c:pt>
                <c:pt idx="31">
                  <c:v>-0.12621931303711464</c:v>
                </c:pt>
                <c:pt idx="32">
                  <c:v>-0.13003367759108764</c:v>
                </c:pt>
                <c:pt idx="33">
                  <c:v>-0.13459095331795967</c:v>
                </c:pt>
                <c:pt idx="34">
                  <c:v>-0.14014646214379478</c:v>
                </c:pt>
                <c:pt idx="35">
                  <c:v>-0.14708411929208565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-1.6491408239005523E-10</c:v>
                </c:pt>
                <c:pt idx="1">
                  <c:v>-1.0939993355663091E-10</c:v>
                </c:pt>
                <c:pt idx="2">
                  <c:v>-8.7684526306475163E-11</c:v>
                </c:pt>
                <c:pt idx="3">
                  <c:v>-1.857080045297721E-10</c:v>
                </c:pt>
                <c:pt idx="4">
                  <c:v>-1.1909928598896613E-10</c:v>
                </c:pt>
                <c:pt idx="5">
                  <c:v>1.517834746778135E-10</c:v>
                </c:pt>
                <c:pt idx="6">
                  <c:v>2.0905943569160534E-4</c:v>
                </c:pt>
                <c:pt idx="7">
                  <c:v>-2.7840438186701122E-2</c:v>
                </c:pt>
                <c:pt idx="8">
                  <c:v>-5.5076697104759487E-2</c:v>
                </c:pt>
                <c:pt idx="9">
                  <c:v>-8.1110474561385537E-2</c:v>
                </c:pt>
                <c:pt idx="10">
                  <c:v>-0.10266506745645831</c:v>
                </c:pt>
                <c:pt idx="11">
                  <c:v>-0.11803012252939293</c:v>
                </c:pt>
                <c:pt idx="12">
                  <c:v>-0.12955263281718032</c:v>
                </c:pt>
                <c:pt idx="13">
                  <c:v>-0.13877163418102634</c:v>
                </c:pt>
                <c:pt idx="14">
                  <c:v>-0.14666076821763041</c:v>
                </c:pt>
                <c:pt idx="15">
                  <c:v>-0.15354874970972077</c:v>
                </c:pt>
                <c:pt idx="16">
                  <c:v>-0.15954472410168785</c:v>
                </c:pt>
                <c:pt idx="17">
                  <c:v>-0.16458507112517606</c:v>
                </c:pt>
                <c:pt idx="18">
                  <c:v>-0.16838223179251199</c:v>
                </c:pt>
                <c:pt idx="19">
                  <c:v>-0.17095170976500851</c:v>
                </c:pt>
                <c:pt idx="20">
                  <c:v>-0.17248896463424546</c:v>
                </c:pt>
                <c:pt idx="21">
                  <c:v>-0.17322049386830618</c:v>
                </c:pt>
                <c:pt idx="22">
                  <c:v>-0.17340033063073856</c:v>
                </c:pt>
                <c:pt idx="23">
                  <c:v>-0.17320359201187363</c:v>
                </c:pt>
                <c:pt idx="24">
                  <c:v>-0.17281862226533273</c:v>
                </c:pt>
                <c:pt idx="25">
                  <c:v>-0.17253091833894774</c:v>
                </c:pt>
                <c:pt idx="26">
                  <c:v>-0.17269281460161001</c:v>
                </c:pt>
                <c:pt idx="27">
                  <c:v>-0.17352522958715422</c:v>
                </c:pt>
                <c:pt idx="28">
                  <c:v>-0.17522019244593956</c:v>
                </c:pt>
                <c:pt idx="29">
                  <c:v>-0.1779745625611906</c:v>
                </c:pt>
                <c:pt idx="30">
                  <c:v>-0.18202393974411701</c:v>
                </c:pt>
                <c:pt idx="31">
                  <c:v>-0.18770432719188634</c:v>
                </c:pt>
                <c:pt idx="32">
                  <c:v>-0.19545039323659108</c:v>
                </c:pt>
                <c:pt idx="33">
                  <c:v>-0.20575194346692172</c:v>
                </c:pt>
                <c:pt idx="34">
                  <c:v>-0.21921053186422612</c:v>
                </c:pt>
                <c:pt idx="35">
                  <c:v>-0.23659744037925057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-2.5946067516713356E-10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-2.4755253402730659E-10</c:v>
                      </c:pt>
                      <c:pt idx="4">
                        <c:v>-2.4332158510276258E-10</c:v>
                      </c:pt>
                      <c:pt idx="5">
                        <c:v>-2.3904478396730156E-10</c:v>
                      </c:pt>
                      <c:pt idx="6">
                        <c:v>-2.3503524026591283E-4</c:v>
                      </c:pt>
                      <c:pt idx="7">
                        <c:v>1.3713794458023454E-3</c:v>
                      </c:pt>
                      <c:pt idx="8">
                        <c:v>2.681739037458053E-3</c:v>
                      </c:pt>
                      <c:pt idx="9">
                        <c:v>4.4282246026927652E-5</c:v>
                      </c:pt>
                      <c:pt idx="10">
                        <c:v>-2.9538140737758178E-3</c:v>
                      </c:pt>
                      <c:pt idx="11">
                        <c:v>-5.5517362364518874E-3</c:v>
                      </c:pt>
                      <c:pt idx="12">
                        <c:v>-7.5413916485489452E-3</c:v>
                      </c:pt>
                      <c:pt idx="13">
                        <c:v>-9.0674309739102732E-3</c:v>
                      </c:pt>
                      <c:pt idx="14">
                        <c:v>-1.0395721011248749E-2</c:v>
                      </c:pt>
                      <c:pt idx="15">
                        <c:v>-1.155272829424292E-2</c:v>
                      </c:pt>
                      <c:pt idx="16">
                        <c:v>-1.2066926545367895E-2</c:v>
                      </c:pt>
                      <c:pt idx="17">
                        <c:v>-1.2045453541558393E-2</c:v>
                      </c:pt>
                      <c:pt idx="18">
                        <c:v>-1.1597464568918969E-2</c:v>
                      </c:pt>
                      <c:pt idx="19">
                        <c:v>-1.0852603649631254E-2</c:v>
                      </c:pt>
                      <c:pt idx="20">
                        <c:v>-9.9200011928252119E-3</c:v>
                      </c:pt>
                      <c:pt idx="21">
                        <c:v>-8.8704353148746362E-3</c:v>
                      </c:pt>
                      <c:pt idx="22">
                        <c:v>-7.7645474995807762E-3</c:v>
                      </c:pt>
                      <c:pt idx="23">
                        <c:v>-6.6468143307969463E-3</c:v>
                      </c:pt>
                      <c:pt idx="24">
                        <c:v>-5.5572092435386411E-3</c:v>
                      </c:pt>
                      <c:pt idx="25">
                        <c:v>-4.5367675124897699E-3</c:v>
                      </c:pt>
                      <c:pt idx="26">
                        <c:v>-3.637652529805524E-3</c:v>
                      </c:pt>
                      <c:pt idx="27">
                        <c:v>-2.8980512879076548E-3</c:v>
                      </c:pt>
                      <c:pt idx="28">
                        <c:v>-2.3818670990702895E-3</c:v>
                      </c:pt>
                      <c:pt idx="29">
                        <c:v>-2.1731816320822439E-3</c:v>
                      </c:pt>
                      <c:pt idx="30">
                        <c:v>-2.3673647887337834E-3</c:v>
                      </c:pt>
                      <c:pt idx="31">
                        <c:v>-3.0797091803508314E-3</c:v>
                      </c:pt>
                      <c:pt idx="32">
                        <c:v>-4.4641841493632262E-3</c:v>
                      </c:pt>
                      <c:pt idx="33">
                        <c:v>-6.7314270081545446E-3</c:v>
                      </c:pt>
                      <c:pt idx="34">
                        <c:v>-1.0185105964420238E-2</c:v>
                      </c:pt>
                      <c:pt idx="35">
                        <c:v>-1.5278610842533347E-2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-9.781995213842265E-10</c:v>
                </c:pt>
                <c:pt idx="1">
                  <c:v>-1.6312650119587602E-9</c:v>
                </c:pt>
                <c:pt idx="2">
                  <c:v>-2.6424493704269025E-9</c:v>
                </c:pt>
                <c:pt idx="3">
                  <c:v>-3.7894440918506689E-9</c:v>
                </c:pt>
                <c:pt idx="4">
                  <c:v>-4.4511956343029624E-9</c:v>
                </c:pt>
                <c:pt idx="5">
                  <c:v>-4.9991372153002089E-9</c:v>
                </c:pt>
                <c:pt idx="6">
                  <c:v>1.5728859725394617E-3</c:v>
                </c:pt>
                <c:pt idx="7">
                  <c:v>-8.0718901500663742E-3</c:v>
                </c:pt>
                <c:pt idx="8">
                  <c:v>-1.9640828542750066E-2</c:v>
                </c:pt>
                <c:pt idx="9">
                  <c:v>-3.0179348963976338E-2</c:v>
                </c:pt>
                <c:pt idx="10">
                  <c:v>-3.9588003582995079E-2</c:v>
                </c:pt>
                <c:pt idx="11">
                  <c:v>-4.6602708648150082E-2</c:v>
                </c:pt>
                <c:pt idx="12">
                  <c:v>-5.1870891802587527E-2</c:v>
                </c:pt>
                <c:pt idx="13">
                  <c:v>-5.5771967050662119E-2</c:v>
                </c:pt>
                <c:pt idx="14">
                  <c:v>-5.8551533638760866E-2</c:v>
                </c:pt>
                <c:pt idx="15">
                  <c:v>-6.0458285124711852E-2</c:v>
                </c:pt>
                <c:pt idx="16">
                  <c:v>-6.2945106491143377E-2</c:v>
                </c:pt>
                <c:pt idx="17">
                  <c:v>-6.6169385791407298E-2</c:v>
                </c:pt>
                <c:pt idx="18">
                  <c:v>-6.9990153062788441E-2</c:v>
                </c:pt>
                <c:pt idx="19">
                  <c:v>-7.4229945116014662E-2</c:v>
                </c:pt>
                <c:pt idx="20">
                  <c:v>-7.8702279702943301E-2</c:v>
                </c:pt>
                <c:pt idx="21">
                  <c:v>-8.3201033576468797E-2</c:v>
                </c:pt>
                <c:pt idx="22">
                  <c:v>-8.7566075546441802E-2</c:v>
                </c:pt>
                <c:pt idx="23">
                  <c:v>-9.170694528138601E-2</c:v>
                </c:pt>
                <c:pt idx="24">
                  <c:v>-9.5565849417000748E-2</c:v>
                </c:pt>
                <c:pt idx="25">
                  <c:v>-9.9106358410655848E-2</c:v>
                </c:pt>
                <c:pt idx="26">
                  <c:v>-0.10225121964968265</c:v>
                </c:pt>
                <c:pt idx="27">
                  <c:v>-0.1048087765592286</c:v>
                </c:pt>
                <c:pt idx="28">
                  <c:v>-0.10675751259201072</c:v>
                </c:pt>
                <c:pt idx="29">
                  <c:v>-0.10810220270492044</c:v>
                </c:pt>
                <c:pt idx="30">
                  <c:v>-0.10882844741171793</c:v>
                </c:pt>
                <c:pt idx="31">
                  <c:v>-0.10886126491026138</c:v>
                </c:pt>
                <c:pt idx="32">
                  <c:v>-0.10808980767103005</c:v>
                </c:pt>
                <c:pt idx="33">
                  <c:v>-0.10641657637772384</c:v>
                </c:pt>
                <c:pt idx="34">
                  <c:v>-0.10370202921063554</c:v>
                </c:pt>
                <c:pt idx="35">
                  <c:v>-9.9696600136098157E-2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0</c:v>
                </c:pt>
                <c:pt idx="1">
                  <c:v>-1.1214917883251019E-11</c:v>
                </c:pt>
                <c:pt idx="2">
                  <c:v>-2.0250634502616549E-10</c:v>
                </c:pt>
                <c:pt idx="3">
                  <c:v>-4.0223602226774346E-10</c:v>
                </c:pt>
                <c:pt idx="4">
                  <c:v>-3.9828507159000992E-10</c:v>
                </c:pt>
                <c:pt idx="5">
                  <c:v>-6.0058902295878624E-10</c:v>
                </c:pt>
                <c:pt idx="6">
                  <c:v>5.4773251208484197E-4</c:v>
                </c:pt>
                <c:pt idx="7">
                  <c:v>-6.598698597453434E-3</c:v>
                </c:pt>
                <c:pt idx="8">
                  <c:v>-1.5928098893869036E-2</c:v>
                </c:pt>
                <c:pt idx="9">
                  <c:v>-2.5710941143493038E-2</c:v>
                </c:pt>
                <c:pt idx="10">
                  <c:v>-3.4421858621425439E-2</c:v>
                </c:pt>
                <c:pt idx="11">
                  <c:v>-4.0643374950068534E-2</c:v>
                </c:pt>
                <c:pt idx="12">
                  <c:v>-4.4874415892352304E-2</c:v>
                </c:pt>
                <c:pt idx="13">
                  <c:v>-4.7611952638946908E-2</c:v>
                </c:pt>
                <c:pt idx="14">
                  <c:v>-4.9220392711131655E-2</c:v>
                </c:pt>
                <c:pt idx="15">
                  <c:v>-4.9942199440127677E-2</c:v>
                </c:pt>
                <c:pt idx="16">
                  <c:v>-5.0875774988282774E-2</c:v>
                </c:pt>
                <c:pt idx="17">
                  <c:v>-5.2193162373958324E-2</c:v>
                </c:pt>
                <c:pt idx="18">
                  <c:v>-5.3846361746811455E-2</c:v>
                </c:pt>
                <c:pt idx="19">
                  <c:v>-5.5700631167366565E-2</c:v>
                </c:pt>
                <c:pt idx="20">
                  <c:v>-5.7586045301406652E-2</c:v>
                </c:pt>
                <c:pt idx="21">
                  <c:v>-5.9325043671655142E-2</c:v>
                </c:pt>
                <c:pt idx="22">
                  <c:v>-6.0759300744215872E-2</c:v>
                </c:pt>
                <c:pt idx="23">
                  <c:v>-6.1768277847510378E-2</c:v>
                </c:pt>
                <c:pt idx="24">
                  <c:v>-6.2249448445268585E-2</c:v>
                </c:pt>
                <c:pt idx="25">
                  <c:v>-6.210427686484099E-2</c:v>
                </c:pt>
                <c:pt idx="26">
                  <c:v>-6.1210686644695311E-2</c:v>
                </c:pt>
                <c:pt idx="27">
                  <c:v>-5.9443237896709133E-2</c:v>
                </c:pt>
                <c:pt idx="28">
                  <c:v>-5.6705454620991302E-2</c:v>
                </c:pt>
                <c:pt idx="29">
                  <c:v>-5.2905101865165394E-2</c:v>
                </c:pt>
                <c:pt idx="30">
                  <c:v>-4.7917894535242089E-2</c:v>
                </c:pt>
                <c:pt idx="31">
                  <c:v>-4.156362676831693E-2</c:v>
                </c:pt>
                <c:pt idx="32">
                  <c:v>-3.3610493438339217E-2</c:v>
                </c:pt>
                <c:pt idx="33">
                  <c:v>-2.37787995543155E-2</c:v>
                </c:pt>
                <c:pt idx="34">
                  <c:v>-1.1692551182234223E-2</c:v>
                </c:pt>
                <c:pt idx="35">
                  <c:v>3.1784651661563856E-3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-6.853191347744314E-10</c:v>
                </c:pt>
                <c:pt idx="1">
                  <c:v>-1.5656468344005248E-9</c:v>
                </c:pt>
                <c:pt idx="2">
                  <c:v>-2.6592391622060063E-9</c:v>
                </c:pt>
                <c:pt idx="3">
                  <c:v>-3.8617820052877505E-9</c:v>
                </c:pt>
                <c:pt idx="4">
                  <c:v>-4.3602303989587199E-9</c:v>
                </c:pt>
                <c:pt idx="5">
                  <c:v>-4.9320222350601739E-9</c:v>
                </c:pt>
                <c:pt idx="6">
                  <c:v>2.0666508855615717E-3</c:v>
                </c:pt>
                <c:pt idx="7">
                  <c:v>-7.863067329392015E-3</c:v>
                </c:pt>
                <c:pt idx="8">
                  <c:v>-2.0418650477974531E-2</c:v>
                </c:pt>
                <c:pt idx="9">
                  <c:v>-3.251534677676593E-2</c:v>
                </c:pt>
                <c:pt idx="10">
                  <c:v>-4.3164950768224242E-2</c:v>
                </c:pt>
                <c:pt idx="11">
                  <c:v>-5.0910687388697196E-2</c:v>
                </c:pt>
                <c:pt idx="12">
                  <c:v>-5.6476533891502201E-2</c:v>
                </c:pt>
                <c:pt idx="13">
                  <c:v>-6.0384855776425495E-2</c:v>
                </c:pt>
                <c:pt idx="14">
                  <c:v>-6.3000398918398481E-2</c:v>
                </c:pt>
                <c:pt idx="15">
                  <c:v>-6.4631661623946846E-2</c:v>
                </c:pt>
                <c:pt idx="16">
                  <c:v>-6.6973748285104051E-2</c:v>
                </c:pt>
                <c:pt idx="17">
                  <c:v>-7.031724564052888E-2</c:v>
                </c:pt>
                <c:pt idx="18">
                  <c:v>-7.447293880328798E-2</c:v>
                </c:pt>
                <c:pt idx="19">
                  <c:v>-7.9202246579428759E-2</c:v>
                </c:pt>
                <c:pt idx="20">
                  <c:v>-8.4260732920746317E-2</c:v>
                </c:pt>
                <c:pt idx="21">
                  <c:v>-8.9399632520273831E-2</c:v>
                </c:pt>
                <c:pt idx="22">
                  <c:v>-9.4415437146828429E-2</c:v>
                </c:pt>
                <c:pt idx="23">
                  <c:v>-9.9187650143126804E-2</c:v>
                </c:pt>
                <c:pt idx="24">
                  <c:v>-0.10363838590097674</c:v>
                </c:pt>
                <c:pt idx="25">
                  <c:v>-0.10770376935546466</c:v>
                </c:pt>
                <c:pt idx="26">
                  <c:v>-0.11135087213442874</c:v>
                </c:pt>
                <c:pt idx="27">
                  <c:v>-0.11429365028031357</c:v>
                </c:pt>
                <c:pt idx="28">
                  <c:v>-0.11646323158613447</c:v>
                </c:pt>
                <c:pt idx="29">
                  <c:v>-0.11782489768127269</c:v>
                </c:pt>
                <c:pt idx="30">
                  <c:v>-0.11831319377696214</c:v>
                </c:pt>
                <c:pt idx="31">
                  <c:v>-0.11777421403052901</c:v>
                </c:pt>
                <c:pt idx="32">
                  <c:v>-0.1159745755237821</c:v>
                </c:pt>
                <c:pt idx="33">
                  <c:v>-0.11263489834563722</c:v>
                </c:pt>
                <c:pt idx="34">
                  <c:v>-0.10734049140487445</c:v>
                </c:pt>
                <c:pt idx="35">
                  <c:v>-9.9398204949010305E-2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-8.0299100702063697E-12</c:v>
                </c:pt>
                <c:pt idx="3">
                  <c:v>-7.9105610950591654E-12</c:v>
                </c:pt>
                <c:pt idx="4">
                  <c:v>0</c:v>
                </c:pt>
                <c:pt idx="5">
                  <c:v>-8.4297235858343811E-11</c:v>
                </c:pt>
                <c:pt idx="6">
                  <c:v>1.0358852222092096E-4</c:v>
                </c:pt>
                <c:pt idx="7">
                  <c:v>-1.1914318688366343E-4</c:v>
                </c:pt>
                <c:pt idx="8">
                  <c:v>-1.3513174337540512E-3</c:v>
                </c:pt>
                <c:pt idx="9">
                  <c:v>-4.3066330125635099E-3</c:v>
                </c:pt>
                <c:pt idx="10">
                  <c:v>-6.9721724016452713E-3</c:v>
                </c:pt>
                <c:pt idx="11">
                  <c:v>-9.3407847750043294E-3</c:v>
                </c:pt>
                <c:pt idx="12">
                  <c:v>-1.1223932483457988E-2</c:v>
                </c:pt>
                <c:pt idx="13">
                  <c:v>-1.2689792166105107E-2</c:v>
                </c:pt>
                <c:pt idx="14">
                  <c:v>-1.3831922942293295E-2</c:v>
                </c:pt>
                <c:pt idx="15">
                  <c:v>-1.4639655446323396E-2</c:v>
                </c:pt>
                <c:pt idx="16">
                  <c:v>-1.5306113904369423E-2</c:v>
                </c:pt>
                <c:pt idx="17">
                  <c:v>-1.5954042525323175E-2</c:v>
                </c:pt>
                <c:pt idx="18">
                  <c:v>-1.6637254834549919E-2</c:v>
                </c:pt>
                <c:pt idx="19">
                  <c:v>-1.7353148601393031E-2</c:v>
                </c:pt>
                <c:pt idx="20">
                  <c:v>-1.8084785925142288E-2</c:v>
                </c:pt>
                <c:pt idx="21">
                  <c:v>-1.8824695404473624E-2</c:v>
                </c:pt>
                <c:pt idx="22">
                  <c:v>-1.9564861183669513E-2</c:v>
                </c:pt>
                <c:pt idx="23">
                  <c:v>-2.0252318307117267E-2</c:v>
                </c:pt>
                <c:pt idx="24">
                  <c:v>-2.0829549249255397E-2</c:v>
                </c:pt>
                <c:pt idx="25">
                  <c:v>-2.1258550180873304E-2</c:v>
                </c:pt>
                <c:pt idx="26">
                  <c:v>-2.1594055904402554E-2</c:v>
                </c:pt>
                <c:pt idx="27">
                  <c:v>-2.1911473071621224E-2</c:v>
                </c:pt>
                <c:pt idx="28">
                  <c:v>-2.2163097552948874E-2</c:v>
                </c:pt>
                <c:pt idx="29">
                  <c:v>-2.2279944979275434E-2</c:v>
                </c:pt>
                <c:pt idx="30">
                  <c:v>-2.2190500009170666E-2</c:v>
                </c:pt>
                <c:pt idx="31">
                  <c:v>-2.1867765677522577E-2</c:v>
                </c:pt>
                <c:pt idx="32">
                  <c:v>-2.1292793160092915E-2</c:v>
                </c:pt>
                <c:pt idx="33">
                  <c:v>-2.037580899403646E-2</c:v>
                </c:pt>
                <c:pt idx="34">
                  <c:v>-1.8985734924789388E-2</c:v>
                </c:pt>
                <c:pt idx="35">
                  <c:v>-1.6938608382406906E-2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-1.7950231301355757E-9</c:v>
                </c:pt>
                <c:pt idx="1">
                  <c:v>-4.0324963368476574E-9</c:v>
                </c:pt>
                <c:pt idx="2">
                  <c:v>-6.2655879373707535E-9</c:v>
                </c:pt>
                <c:pt idx="3">
                  <c:v>-8.0581200601059777E-9</c:v>
                </c:pt>
                <c:pt idx="4">
                  <c:v>-1.0172933717633725E-8</c:v>
                </c:pt>
                <c:pt idx="5">
                  <c:v>-1.1051180748289369E-8</c:v>
                </c:pt>
                <c:pt idx="6">
                  <c:v>2.4958748778847184E-3</c:v>
                </c:pt>
                <c:pt idx="7">
                  <c:v>-1.0131719074680801E-2</c:v>
                </c:pt>
                <c:pt idx="8">
                  <c:v>-2.484694527673903E-2</c:v>
                </c:pt>
                <c:pt idx="9">
                  <c:v>-3.9428378111099338E-2</c:v>
                </c:pt>
                <c:pt idx="10">
                  <c:v>-5.2352433115519625E-2</c:v>
                </c:pt>
                <c:pt idx="11">
                  <c:v>-6.1695211543601025E-2</c:v>
                </c:pt>
                <c:pt idx="12">
                  <c:v>-6.8204767078370421E-2</c:v>
                </c:pt>
                <c:pt idx="13">
                  <c:v>-7.2507142209996434E-2</c:v>
                </c:pt>
                <c:pt idx="14">
                  <c:v>-7.5085429834969575E-2</c:v>
                </c:pt>
                <c:pt idx="15">
                  <c:v>-7.6312124885898558E-2</c:v>
                </c:pt>
                <c:pt idx="16">
                  <c:v>-7.8422320387758759E-2</c:v>
                </c:pt>
                <c:pt idx="17">
                  <c:v>-8.1332661178645904E-2</c:v>
                </c:pt>
                <c:pt idx="18">
                  <c:v>-8.4868187076002743E-2</c:v>
                </c:pt>
                <c:pt idx="19">
                  <c:v>-8.882176277677567E-2</c:v>
                </c:pt>
                <c:pt idx="20">
                  <c:v>-9.2956288535050779E-2</c:v>
                </c:pt>
                <c:pt idx="21">
                  <c:v>-9.699867995702216E-2</c:v>
                </c:pt>
                <c:pt idx="22">
                  <c:v>-0.10071852229905165</c:v>
                </c:pt>
                <c:pt idx="23">
                  <c:v>-0.10395708146776617</c:v>
                </c:pt>
                <c:pt idx="24">
                  <c:v>-0.10658067933302229</c:v>
                </c:pt>
                <c:pt idx="25">
                  <c:v>-0.10846475451860371</c:v>
                </c:pt>
                <c:pt idx="26">
                  <c:v>-0.10936079918271291</c:v>
                </c:pt>
                <c:pt idx="27">
                  <c:v>-0.10902342776709784</c:v>
                </c:pt>
                <c:pt idx="28">
                  <c:v>-0.10733032672493059</c:v>
                </c:pt>
                <c:pt idx="29">
                  <c:v>-0.10415210475237202</c:v>
                </c:pt>
                <c:pt idx="30">
                  <c:v>-9.9293513569208347E-2</c:v>
                </c:pt>
                <c:pt idx="31">
                  <c:v>-9.2430195122625625E-2</c:v>
                </c:pt>
                <c:pt idx="32">
                  <c:v>-8.3111848028720847E-2</c:v>
                </c:pt>
                <c:pt idx="33">
                  <c:v>-7.0770835703700241E-2</c:v>
                </c:pt>
                <c:pt idx="34">
                  <c:v>-5.4573352409152842E-2</c:v>
                </c:pt>
                <c:pt idx="35">
                  <c:v>-3.3195895464325331E-2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0</c:v>
                </c:pt>
                <c:pt idx="1">
                  <c:v>-1.5645307271938691E-9</c:v>
                </c:pt>
                <c:pt idx="2">
                  <c:v>-2.5229803801707362E-9</c:v>
                </c:pt>
                <c:pt idx="3">
                  <c:v>-3.655449165584912E-9</c:v>
                </c:pt>
                <c:pt idx="4">
                  <c:v>-3.9904628490461391E-9</c:v>
                </c:pt>
                <c:pt idx="5">
                  <c:v>-3.9976184584844532E-9</c:v>
                </c:pt>
                <c:pt idx="6">
                  <c:v>1.7873770662497623E-3</c:v>
                </c:pt>
                <c:pt idx="7">
                  <c:v>-4.3082848354664138E-3</c:v>
                </c:pt>
                <c:pt idx="8">
                  <c:v>-1.08390267263202E-2</c:v>
                </c:pt>
                <c:pt idx="9">
                  <c:v>-1.9754484672701023E-2</c:v>
                </c:pt>
                <c:pt idx="10">
                  <c:v>-3.1173974383060465E-2</c:v>
                </c:pt>
                <c:pt idx="11">
                  <c:v>-4.2534377093128906E-2</c:v>
                </c:pt>
                <c:pt idx="12">
                  <c:v>-5.3279672552719592E-2</c:v>
                </c:pt>
                <c:pt idx="13">
                  <c:v>-6.2715944199581597E-2</c:v>
                </c:pt>
                <c:pt idx="14">
                  <c:v>-7.057671611086147E-2</c:v>
                </c:pt>
                <c:pt idx="15">
                  <c:v>-7.6896841425232343E-2</c:v>
                </c:pt>
                <c:pt idx="16">
                  <c:v>-8.3555790374301941E-2</c:v>
                </c:pt>
                <c:pt idx="17">
                  <c:v>-8.994607395569576E-2</c:v>
                </c:pt>
                <c:pt idx="18">
                  <c:v>-9.5946969557114681E-2</c:v>
                </c:pt>
                <c:pt idx="19">
                  <c:v>-0.10148312862351749</c:v>
                </c:pt>
                <c:pt idx="20">
                  <c:v>-0.1064934013826967</c:v>
                </c:pt>
                <c:pt idx="21">
                  <c:v>-0.11081235576020787</c:v>
                </c:pt>
                <c:pt idx="22">
                  <c:v>-0.11451903070559077</c:v>
                </c:pt>
                <c:pt idx="23">
                  <c:v>-0.11771379945786664</c:v>
                </c:pt>
                <c:pt idx="24">
                  <c:v>-0.1203858222999572</c:v>
                </c:pt>
                <c:pt idx="25">
                  <c:v>-0.1225612912424856</c:v>
                </c:pt>
                <c:pt idx="26">
                  <c:v>-0.12400377747396607</c:v>
                </c:pt>
                <c:pt idx="27">
                  <c:v>-0.12463272711639073</c:v>
                </c:pt>
                <c:pt idx="28">
                  <c:v>-0.12450716430271869</c:v>
                </c:pt>
                <c:pt idx="29">
                  <c:v>-0.12370640079497419</c:v>
                </c:pt>
                <c:pt idx="30">
                  <c:v>-0.12229228518481294</c:v>
                </c:pt>
                <c:pt idx="31">
                  <c:v>-0.12026948455734165</c:v>
                </c:pt>
                <c:pt idx="32">
                  <c:v>-0.11764544062031457</c:v>
                </c:pt>
                <c:pt idx="33">
                  <c:v>-0.11447496961256354</c:v>
                </c:pt>
                <c:pt idx="34">
                  <c:v>-0.11080735978750034</c:v>
                </c:pt>
                <c:pt idx="35">
                  <c:v>-0.10666697116634993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-2.1209904943475522E-9</c:v>
                </c:pt>
                <c:pt idx="2">
                  <c:v>-4.0401354484131957E-9</c:v>
                </c:pt>
                <c:pt idx="3">
                  <c:v>-5.5252216135670551E-9</c:v>
                </c:pt>
                <c:pt idx="4">
                  <c:v>-6.2917241416826641E-9</c:v>
                </c:pt>
                <c:pt idx="5">
                  <c:v>-6.322178003337342E-9</c:v>
                </c:pt>
                <c:pt idx="6">
                  <c:v>2.8398750605700407E-3</c:v>
                </c:pt>
                <c:pt idx="7">
                  <c:v>-5.0255330160755562E-3</c:v>
                </c:pt>
                <c:pt idx="8">
                  <c:v>-1.3410657785109636E-2</c:v>
                </c:pt>
                <c:pt idx="9">
                  <c:v>-2.4973265712028958E-2</c:v>
                </c:pt>
                <c:pt idx="10">
                  <c:v>-4.0006216610233736E-2</c:v>
                </c:pt>
                <c:pt idx="11">
                  <c:v>-5.5370245746612201E-2</c:v>
                </c:pt>
                <c:pt idx="12">
                  <c:v>-7.0142083812647527E-2</c:v>
                </c:pt>
                <c:pt idx="13">
                  <c:v>-8.3263076699466199E-2</c:v>
                </c:pt>
                <c:pt idx="14">
                  <c:v>-9.4291181352301856E-2</c:v>
                </c:pt>
                <c:pt idx="15">
                  <c:v>-0.10321993022956211</c:v>
                </c:pt>
                <c:pt idx="16">
                  <c:v>-0.11270059574452818</c:v>
                </c:pt>
                <c:pt idx="17">
                  <c:v>-0.1218588012431594</c:v>
                </c:pt>
                <c:pt idx="18">
                  <c:v>-0.13049703564954374</c:v>
                </c:pt>
                <c:pt idx="19">
                  <c:v>-0.13848717815153555</c:v>
                </c:pt>
                <c:pt idx="20">
                  <c:v>-0.14574609924711046</c:v>
                </c:pt>
                <c:pt idx="21">
                  <c:v>-0.15202631607303441</c:v>
                </c:pt>
                <c:pt idx="22">
                  <c:v>-0.15747096400509075</c:v>
                </c:pt>
                <c:pt idx="23">
                  <c:v>-0.16223335561840924</c:v>
                </c:pt>
                <c:pt idx="24">
                  <c:v>-0.16628935659584609</c:v>
                </c:pt>
                <c:pt idx="25">
                  <c:v>-0.16970961365175263</c:v>
                </c:pt>
                <c:pt idx="26">
                  <c:v>-0.17211413494361516</c:v>
                </c:pt>
                <c:pt idx="27">
                  <c:v>-0.1733899127730838</c:v>
                </c:pt>
                <c:pt idx="28">
                  <c:v>-0.17358375213937471</c:v>
                </c:pt>
                <c:pt idx="29">
                  <c:v>-0.17277749745855508</c:v>
                </c:pt>
                <c:pt idx="30">
                  <c:v>-0.17103460327893083</c:v>
                </c:pt>
                <c:pt idx="31">
                  <c:v>-0.168347773326332</c:v>
                </c:pt>
                <c:pt idx="32">
                  <c:v>-0.16471025817318696</c:v>
                </c:pt>
                <c:pt idx="33">
                  <c:v>-0.1601567333533479</c:v>
                </c:pt>
                <c:pt idx="34">
                  <c:v>-0.15470058967492128</c:v>
                </c:pt>
                <c:pt idx="35">
                  <c:v>-0.14830104018889945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-2.1019498555197025E-4</c:v>
                </c:pt>
                <c:pt idx="7">
                  <c:v>-2.9646676986117004E-3</c:v>
                </c:pt>
                <c:pt idx="8">
                  <c:v>-6.0860941086997578E-3</c:v>
                </c:pt>
                <c:pt idx="9">
                  <c:v>-1.0238992029026339E-2</c:v>
                </c:pt>
                <c:pt idx="10">
                  <c:v>-1.5279953602420626E-2</c:v>
                </c:pt>
                <c:pt idx="11">
                  <c:v>-1.9744025262649623E-2</c:v>
                </c:pt>
                <c:pt idx="12">
                  <c:v>-2.3744457682961406E-2</c:v>
                </c:pt>
                <c:pt idx="13">
                  <c:v>-2.7208909873138953E-2</c:v>
                </c:pt>
                <c:pt idx="14">
                  <c:v>-3.0132434924723617E-2</c:v>
                </c:pt>
                <c:pt idx="15">
                  <c:v>-3.2571881372241651E-2</c:v>
                </c:pt>
                <c:pt idx="16">
                  <c:v>-3.4997702408285369E-2</c:v>
                </c:pt>
                <c:pt idx="17">
                  <c:v>-3.7287920741741587E-2</c:v>
                </c:pt>
                <c:pt idx="18">
                  <c:v>-3.9462640051857623E-2</c:v>
                </c:pt>
                <c:pt idx="19">
                  <c:v>-4.1536226681969546E-2</c:v>
                </c:pt>
                <c:pt idx="20">
                  <c:v>-4.3497717707288941E-2</c:v>
                </c:pt>
                <c:pt idx="21">
                  <c:v>-4.527547336347848E-2</c:v>
                </c:pt>
                <c:pt idx="22">
                  <c:v>-4.6834890913757365E-2</c:v>
                </c:pt>
                <c:pt idx="23">
                  <c:v>-4.8178477896141159E-2</c:v>
                </c:pt>
                <c:pt idx="24">
                  <c:v>-4.9310339518641721E-2</c:v>
                </c:pt>
                <c:pt idx="25">
                  <c:v>-5.0247454256359014E-2</c:v>
                </c:pt>
                <c:pt idx="26">
                  <c:v>-5.0904378841783782E-2</c:v>
                </c:pt>
                <c:pt idx="27">
                  <c:v>-5.1249696398672717E-2</c:v>
                </c:pt>
                <c:pt idx="28">
                  <c:v>-5.1356822804642488E-2</c:v>
                </c:pt>
                <c:pt idx="29">
                  <c:v>-5.1292632493011969E-2</c:v>
                </c:pt>
                <c:pt idx="30">
                  <c:v>-5.1102769614613908E-2</c:v>
                </c:pt>
                <c:pt idx="31">
                  <c:v>-5.0792878069623515E-2</c:v>
                </c:pt>
                <c:pt idx="32">
                  <c:v>-5.0370808229405317E-2</c:v>
                </c:pt>
                <c:pt idx="33">
                  <c:v>-4.9896988027893441E-2</c:v>
                </c:pt>
                <c:pt idx="34">
                  <c:v>-4.9446634828233416E-2</c:v>
                </c:pt>
                <c:pt idx="35">
                  <c:v>-4.9109107186153689E-2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-1.3355396586344853E-2</c:v>
                </c:pt>
                <c:pt idx="1">
                  <c:v>-2.0207294790489844E-2</c:v>
                </c:pt>
                <c:pt idx="2">
                  <c:v>-5.7791766495347988E-3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6.3869379068307369E-3</c:v>
                </c:pt>
                <c:pt idx="1">
                  <c:v>1.7878005652686269E-2</c:v>
                </c:pt>
                <c:pt idx="2">
                  <c:v>7.6103505674150668E-2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-1.7171397769190382E-4</c:v>
                </c:pt>
                <c:pt idx="1">
                  <c:v>-3.3297892874145241E-3</c:v>
                </c:pt>
                <c:pt idx="2">
                  <c:v>2.9576774214210247E-2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1.1146307018678164E-2</c:v>
                </c:pt>
                <c:pt idx="1">
                  <c:v>1.4461447987313988E-2</c:v>
                </c:pt>
                <c:pt idx="2">
                  <c:v>2.8827384074333638E-2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-8.8755233517957166E-2</c:v>
                </c:pt>
                <c:pt idx="1">
                  <c:v>-0.33773581290618859</c:v>
                </c:pt>
                <c:pt idx="2">
                  <c:v>-1.2303285555359336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7.6131370593488902E-3</c:v>
                </c:pt>
                <c:pt idx="1">
                  <c:v>7.5183925780848322E-3</c:v>
                </c:pt>
                <c:pt idx="2">
                  <c:v>1.5282057168630346E-2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-0.5204241437553111</c:v>
                      </c:pt>
                      <c:pt idx="1">
                        <c:v>-1.3200236150782461</c:v>
                      </c:pt>
                      <c:pt idx="2">
                        <c:v>-2.312460140202532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-1.3355396586344881E-2</c:v>
                </c:pt>
                <c:pt idx="1">
                  <c:v>-2.0207294790489883E-2</c:v>
                </c:pt>
                <c:pt idx="2">
                  <c:v>-5.7791766495347563E-3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6.3869379068306475E-3</c:v>
                </c:pt>
                <c:pt idx="1">
                  <c:v>1.7878005652686157E-2</c:v>
                </c:pt>
                <c:pt idx="2">
                  <c:v>7.6103505674150584E-2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-1.7171397769188967E-4</c:v>
                </c:pt>
                <c:pt idx="1">
                  <c:v>-3.329789287414564E-3</c:v>
                </c:pt>
                <c:pt idx="2">
                  <c:v>2.9576774214210344E-2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1.1146307018678137E-2</c:v>
                </c:pt>
                <c:pt idx="1">
                  <c:v>1.4461447987313969E-2</c:v>
                </c:pt>
                <c:pt idx="2">
                  <c:v>2.8827384074333606E-2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-0.5204241437553111</c:v>
                </c:pt>
                <c:pt idx="1">
                  <c:v>-1.3200236150782461</c:v>
                </c:pt>
                <c:pt idx="2">
                  <c:v>-2.312460140202532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-8.8755233517957222E-2</c:v>
                </c:pt>
                <c:pt idx="1">
                  <c:v>-0.33773581290618859</c:v>
                </c:pt>
                <c:pt idx="2">
                  <c:v>-1.2303285555359336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-9.3821635668126426E-3</c:v>
                </c:pt>
                <c:pt idx="1">
                  <c:v>1.5331594249602334E-2</c:v>
                </c:pt>
                <c:pt idx="2">
                  <c:v>-3.20345129115423E-3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1.0056054595603604E-3</c:v>
                </c:pt>
                <c:pt idx="1">
                  <c:v>-9.0133289785924615E-3</c:v>
                </c:pt>
                <c:pt idx="2">
                  <c:v>5.8142461039792433E-2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7.4913635532340176E-3</c:v>
                </c:pt>
                <c:pt idx="1">
                  <c:v>1.9479849977735307E-3</c:v>
                </c:pt>
                <c:pt idx="2">
                  <c:v>4.7434362208641855E-2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1.0974882798283642E-2</c:v>
                </c:pt>
                <c:pt idx="1">
                  <c:v>8.5851739085881749E-3</c:v>
                </c:pt>
                <c:pt idx="2">
                  <c:v>2.9058295113617249E-2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-0.17107868328539955</c:v>
                </c:pt>
                <c:pt idx="1">
                  <c:v>1.2216719484265596E-2</c:v>
                </c:pt>
                <c:pt idx="2">
                  <c:v>-0.57854142314469059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1.9904528988554098</c:v>
                </c:pt>
                <c:pt idx="1">
                  <c:v>-0.18920685005129756</c:v>
                </c:pt>
                <c:pt idx="2">
                  <c:v>8.6153726434571141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0.33392365196509821</c:v>
                </c:pt>
                <c:pt idx="1">
                  <c:v>2.2408634256739783</c:v>
                </c:pt>
                <c:pt idx="2">
                  <c:v>3.9238118191255031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1.3430573159146105E-2</c:v>
                </c:pt>
                <c:pt idx="1">
                  <c:v>0</c:v>
                </c:pt>
                <c:pt idx="2">
                  <c:v>9.4526578453968627E-2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-9.3821635668126513E-3</c:v>
                </c:pt>
                <c:pt idx="1">
                  <c:v>-1.6036764204606202E-2</c:v>
                </c:pt>
                <c:pt idx="2">
                  <c:v>-3.2034512911541801E-3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1.0056054595604103E-3</c:v>
                </c:pt>
                <c:pt idx="1">
                  <c:v>7.0687600417063123E-3</c:v>
                </c:pt>
                <c:pt idx="2">
                  <c:v>5.8142461039792481E-2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7.4913635532340983E-3</c:v>
                </c:pt>
                <c:pt idx="1">
                  <c:v>7.4706532865524977E-3</c:v>
                </c:pt>
                <c:pt idx="2">
                  <c:v>4.7434362208641945E-2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1.0974882798283625E-2</c:v>
                </c:pt>
                <c:pt idx="1">
                  <c:v>1.4006601760238713E-2</c:v>
                </c:pt>
                <c:pt idx="2">
                  <c:v>2.905829511361735E-2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-0.17107868328539955</c:v>
                </c:pt>
                <c:pt idx="1">
                  <c:v>-0.37298537473663895</c:v>
                </c:pt>
                <c:pt idx="2">
                  <c:v>-0.57854142314469059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0.3339236519650981</c:v>
                </c:pt>
                <c:pt idx="1">
                  <c:v>1.0471813540795183</c:v>
                </c:pt>
                <c:pt idx="2">
                  <c:v>3.9238118191255031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23_13-54-5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3854147.423</v>
          </cell>
          <cell r="C2">
            <v>3910661.1310000001</v>
          </cell>
          <cell r="D2">
            <v>3972850.2969999998</v>
          </cell>
          <cell r="E2">
            <v>4039546.5079999999</v>
          </cell>
          <cell r="F2">
            <v>4109788.497</v>
          </cell>
          <cell r="G2">
            <v>4183314.3229999999</v>
          </cell>
          <cell r="H2">
            <v>4258224.2740000002</v>
          </cell>
          <cell r="I2">
            <v>4324847.7419999996</v>
          </cell>
          <cell r="J2">
            <v>4392159.5089999996</v>
          </cell>
          <cell r="K2">
            <v>4477969.6129999999</v>
          </cell>
          <cell r="L2">
            <v>4570433.1090000002</v>
          </cell>
          <cell r="M2">
            <v>4662836.0860000001</v>
          </cell>
          <cell r="N2">
            <v>4754180.33</v>
          </cell>
          <cell r="O2">
            <v>4842001.8569999998</v>
          </cell>
          <cell r="P2">
            <v>4928936.4790000003</v>
          </cell>
          <cell r="Q2">
            <v>5016742.2570000002</v>
          </cell>
          <cell r="R2">
            <v>5105587.9890000001</v>
          </cell>
          <cell r="S2">
            <v>5197630.1809999999</v>
          </cell>
          <cell r="T2">
            <v>5294395.0290000001</v>
          </cell>
          <cell r="U2">
            <v>5396978.3449999997</v>
          </cell>
          <cell r="V2">
            <v>5504575.733</v>
          </cell>
          <cell r="W2">
            <v>5621095.5700000003</v>
          </cell>
          <cell r="X2">
            <v>5746954.9340000004</v>
          </cell>
          <cell r="Y2">
            <v>5883100.8229999999</v>
          </cell>
          <cell r="Z2">
            <v>6030063.449</v>
          </cell>
          <cell r="AA2">
            <v>6182946.8629999999</v>
          </cell>
          <cell r="AB2">
            <v>6348779.0240000002</v>
          </cell>
          <cell r="AC2">
            <v>6527873.9740000004</v>
          </cell>
          <cell r="AD2">
            <v>6721564.9270000001</v>
          </cell>
          <cell r="AE2">
            <v>6930291.358</v>
          </cell>
          <cell r="AF2">
            <v>7154149.9050000003</v>
          </cell>
          <cell r="AG2">
            <v>7393763.7910000002</v>
          </cell>
          <cell r="AH2">
            <v>7650652.8530000001</v>
          </cell>
          <cell r="AI2">
            <v>7927386.7869999995</v>
          </cell>
          <cell r="AJ2">
            <v>8228132.8899999997</v>
          </cell>
          <cell r="AK2">
            <v>8559645.5409999993</v>
          </cell>
        </row>
        <row r="3">
          <cell r="B3">
            <v>3854147.4219999998</v>
          </cell>
          <cell r="C3">
            <v>3910661.1310000001</v>
          </cell>
          <cell r="D3">
            <v>3972850.2969999998</v>
          </cell>
          <cell r="E3">
            <v>4039546.5070000002</v>
          </cell>
          <cell r="F3">
            <v>4109788.4959999998</v>
          </cell>
          <cell r="G3">
            <v>4183314.3220000002</v>
          </cell>
          <cell r="H3">
            <v>4257127.1780000003</v>
          </cell>
          <cell r="I3">
            <v>4331442.49</v>
          </cell>
          <cell r="J3">
            <v>4406390.1809999999</v>
          </cell>
          <cell r="K3">
            <v>4482303.5990000004</v>
          </cell>
          <cell r="L3">
            <v>4562042.4009999996</v>
          </cell>
          <cell r="M3">
            <v>4641957.7829999998</v>
          </cell>
          <cell r="N3">
            <v>4722013.1179999998</v>
          </cell>
          <cell r="O3">
            <v>4799163.2</v>
          </cell>
          <cell r="P3">
            <v>4874734.534</v>
          </cell>
          <cell r="Q3">
            <v>4950257.4620000003</v>
          </cell>
          <cell r="R3">
            <v>5028493.1720000003</v>
          </cell>
          <cell r="S3">
            <v>5111335.2050000001</v>
          </cell>
          <cell r="T3">
            <v>5199947.3499999996</v>
          </cell>
          <cell r="U3">
            <v>5294844.2460000003</v>
          </cell>
          <cell r="V3">
            <v>5394671.1780000003</v>
          </cell>
          <cell r="W3">
            <v>5502812.7609999999</v>
          </cell>
          <cell r="X3">
            <v>5619212.1660000002</v>
          </cell>
          <cell r="Y3">
            <v>5744351.3499999996</v>
          </cell>
          <cell r="Z3">
            <v>5878260.0539999995</v>
          </cell>
          <cell r="AA3">
            <v>6015615.9110000003</v>
          </cell>
          <cell r="AB3">
            <v>6162575.3540000003</v>
          </cell>
          <cell r="AC3">
            <v>6318779.233</v>
          </cell>
          <cell r="AD3">
            <v>6484586.3600000003</v>
          </cell>
          <cell r="AE3">
            <v>6659190.2819999997</v>
          </cell>
          <cell r="AF3">
            <v>6841165.0539999995</v>
          </cell>
          <cell r="AG3">
            <v>7029194.0029999996</v>
          </cell>
          <cell r="AH3">
            <v>7222187.2130000005</v>
          </cell>
          <cell r="AI3">
            <v>7419099.5250000004</v>
          </cell>
          <cell r="AJ3">
            <v>7618872.4349999996</v>
          </cell>
          <cell r="AK3">
            <v>7820409.0329999998</v>
          </cell>
        </row>
        <row r="4">
          <cell r="B4">
            <v>81750.877269999997</v>
          </cell>
          <cell r="C4">
            <v>82697.982139999993</v>
          </cell>
          <cell r="D4">
            <v>83784.428809999998</v>
          </cell>
          <cell r="E4">
            <v>85024.403130000006</v>
          </cell>
          <cell r="F4">
            <v>86384.616959999999</v>
          </cell>
          <cell r="G4">
            <v>87858.233129999993</v>
          </cell>
          <cell r="H4">
            <v>89406.398910000004</v>
          </cell>
          <cell r="I4">
            <v>90674.296430000002</v>
          </cell>
          <cell r="J4">
            <v>91907.13205</v>
          </cell>
          <cell r="K4">
            <v>93542.207139999999</v>
          </cell>
          <cell r="L4">
            <v>95277.893760000006</v>
          </cell>
          <cell r="M4">
            <v>97011.279120000007</v>
          </cell>
          <cell r="N4">
            <v>98712.551739999995</v>
          </cell>
          <cell r="O4">
            <v>100325.1574</v>
          </cell>
          <cell r="P4">
            <v>101905.4979</v>
          </cell>
          <cell r="Q4">
            <v>103486.173</v>
          </cell>
          <cell r="R4">
            <v>105104.7607</v>
          </cell>
          <cell r="S4">
            <v>106767.37880000001</v>
          </cell>
          <cell r="T4">
            <v>108504.6753</v>
          </cell>
          <cell r="U4">
            <v>110341.9091</v>
          </cell>
          <cell r="V4">
            <v>112278.36470000001</v>
          </cell>
          <cell r="W4">
            <v>114369.4654</v>
          </cell>
          <cell r="X4">
            <v>116643.2692</v>
          </cell>
          <cell r="Y4">
            <v>119120.1626</v>
          </cell>
          <cell r="Z4">
            <v>121808.1502</v>
          </cell>
          <cell r="AA4">
            <v>124638.42690000001</v>
          </cell>
          <cell r="AB4">
            <v>127658.4178</v>
          </cell>
          <cell r="AC4">
            <v>130917.3129</v>
          </cell>
          <cell r="AD4">
            <v>134434.75520000001</v>
          </cell>
          <cell r="AE4">
            <v>138201.51089999999</v>
          </cell>
          <cell r="AF4">
            <v>142191.636</v>
          </cell>
          <cell r="AG4">
            <v>146379.79730000001</v>
          </cell>
          <cell r="AH4">
            <v>150745.94070000001</v>
          </cell>
          <cell r="AI4">
            <v>155272.9797</v>
          </cell>
          <cell r="AJ4">
            <v>159947.20389999999</v>
          </cell>
          <cell r="AK4">
            <v>164759.93299999999</v>
          </cell>
        </row>
        <row r="5">
          <cell r="B5">
            <v>81750.877269999997</v>
          </cell>
          <cell r="C5">
            <v>82697.982139999993</v>
          </cell>
          <cell r="D5">
            <v>83784.428809999998</v>
          </cell>
          <cell r="E5">
            <v>85024.403130000006</v>
          </cell>
          <cell r="F5">
            <v>86384.616959999999</v>
          </cell>
          <cell r="G5">
            <v>87858.233129999993</v>
          </cell>
          <cell r="H5">
            <v>89375.920989999999</v>
          </cell>
          <cell r="I5">
            <v>90916.27678</v>
          </cell>
          <cell r="J5">
            <v>92472.04423</v>
          </cell>
          <cell r="K5">
            <v>94044.33597</v>
          </cell>
          <cell r="L5">
            <v>95674.116800000003</v>
          </cell>
          <cell r="M5">
            <v>97321.828030000004</v>
          </cell>
          <cell r="N5">
            <v>98956.971430000005</v>
          </cell>
          <cell r="O5">
            <v>100498.8472</v>
          </cell>
          <cell r="P5">
            <v>101980.36440000001</v>
          </cell>
          <cell r="Q5">
            <v>103438.7151</v>
          </cell>
          <cell r="R5">
            <v>104944.9142</v>
          </cell>
          <cell r="S5">
            <v>106550.12639999999</v>
          </cell>
          <cell r="T5">
            <v>108287.39720000001</v>
          </cell>
          <cell r="U5">
            <v>110172.0445</v>
          </cell>
          <cell r="V5">
            <v>112191.4786</v>
          </cell>
          <cell r="W5">
            <v>114390.6988</v>
          </cell>
          <cell r="X5">
            <v>116788.60920000001</v>
          </cell>
          <cell r="Y5">
            <v>119397.2525</v>
          </cell>
          <cell r="Z5">
            <v>122217.0077</v>
          </cell>
          <cell r="AA5">
            <v>125173.6934</v>
          </cell>
          <cell r="AB5">
            <v>128332.51390000001</v>
          </cell>
          <cell r="AC5">
            <v>131716.5595</v>
          </cell>
          <cell r="AD5">
            <v>135335.73149999999</v>
          </cell>
          <cell r="AE5">
            <v>139169.03099999999</v>
          </cell>
          <cell r="AF5">
            <v>143178.56150000001</v>
          </cell>
          <cell r="AG5">
            <v>147328.0337</v>
          </cell>
          <cell r="AH5">
            <v>151585.7812</v>
          </cell>
          <cell r="AI5">
            <v>155920.44949999999</v>
          </cell>
          <cell r="AJ5">
            <v>160300.06049999999</v>
          </cell>
          <cell r="AK5">
            <v>164691.84400000001</v>
          </cell>
        </row>
        <row r="6">
          <cell r="B6">
            <v>6533.6203150000001</v>
          </cell>
          <cell r="C6">
            <v>6469.9469490000001</v>
          </cell>
          <cell r="D6">
            <v>6408.2174189999996</v>
          </cell>
          <cell r="E6">
            <v>6344.600152</v>
          </cell>
          <cell r="F6">
            <v>6311.2776080000003</v>
          </cell>
          <cell r="G6">
            <v>6296.602903</v>
          </cell>
          <cell r="H6">
            <v>6292.7253250000003</v>
          </cell>
          <cell r="I6">
            <v>6192.2643870000002</v>
          </cell>
          <cell r="J6">
            <v>6079.9365349999998</v>
          </cell>
          <cell r="K6">
            <v>5965.4409340000002</v>
          </cell>
          <cell r="L6">
            <v>5833.7069670000001</v>
          </cell>
          <cell r="M6">
            <v>5708.7779049999999</v>
          </cell>
          <cell r="N6">
            <v>5591.1242009999996</v>
          </cell>
          <cell r="O6">
            <v>5483.8918530000001</v>
          </cell>
          <cell r="P6">
            <v>5393.4981520000001</v>
          </cell>
          <cell r="Q6">
            <v>5321.8635729999996</v>
          </cell>
          <cell r="R6">
            <v>5247.5693179999998</v>
          </cell>
          <cell r="S6">
            <v>5183.8150310000001</v>
          </cell>
          <cell r="T6">
            <v>5131.4461570000003</v>
          </cell>
          <cell r="U6">
            <v>5090.989501</v>
          </cell>
          <cell r="V6">
            <v>5061.4988640000001</v>
          </cell>
          <cell r="W6">
            <v>5046.6588069999998</v>
          </cell>
          <cell r="X6">
            <v>5047.1161730000003</v>
          </cell>
          <cell r="Y6">
            <v>5063.431646</v>
          </cell>
          <cell r="Z6">
            <v>5095.9631939999999</v>
          </cell>
          <cell r="AA6">
            <v>5140.4301230000001</v>
          </cell>
          <cell r="AB6">
            <v>5206.5793739999999</v>
          </cell>
          <cell r="AC6">
            <v>5292.8643060000004</v>
          </cell>
          <cell r="AD6">
            <v>5400.517922</v>
          </cell>
          <cell r="AE6">
            <v>5530.2190899999996</v>
          </cell>
          <cell r="AF6">
            <v>5682.9387319999996</v>
          </cell>
          <cell r="AG6">
            <v>5861.0207739999996</v>
          </cell>
          <cell r="AH6">
            <v>6068.631985</v>
          </cell>
          <cell r="AI6">
            <v>6312.1151609999997</v>
          </cell>
          <cell r="AJ6">
            <v>6601.2002849999999</v>
          </cell>
          <cell r="AK6">
            <v>6951.0510899999999</v>
          </cell>
        </row>
        <row r="7">
          <cell r="B7">
            <v>6533.6203150000001</v>
          </cell>
          <cell r="C7">
            <v>6469.9469479999998</v>
          </cell>
          <cell r="D7">
            <v>6408.2174189999996</v>
          </cell>
          <cell r="E7">
            <v>6344.600152</v>
          </cell>
          <cell r="F7">
            <v>6311.2776080000003</v>
          </cell>
          <cell r="G7">
            <v>6296.6029019999996</v>
          </cell>
          <cell r="H7">
            <v>6292.9679239999996</v>
          </cell>
          <cell r="I7">
            <v>6297.0263930000001</v>
          </cell>
          <cell r="J7">
            <v>6305.8422430000001</v>
          </cell>
          <cell r="K7">
            <v>6317.9196389999997</v>
          </cell>
          <cell r="L7">
            <v>6335.1419800000003</v>
          </cell>
          <cell r="M7">
            <v>6351.972213</v>
          </cell>
          <cell r="N7">
            <v>6367.3975890000002</v>
          </cell>
          <cell r="O7">
            <v>6379.3160719999996</v>
          </cell>
          <cell r="P7">
            <v>6389.5653929999999</v>
          </cell>
          <cell r="Q7">
            <v>6399.8448079999998</v>
          </cell>
          <cell r="R7">
            <v>6411.1042459999999</v>
          </cell>
          <cell r="S7">
            <v>6425.1144359999998</v>
          </cell>
          <cell r="T7">
            <v>6443.0647319999998</v>
          </cell>
          <cell r="U7">
            <v>6465.5444310000003</v>
          </cell>
          <cell r="V7">
            <v>6491.0998829999999</v>
          </cell>
          <cell r="W7">
            <v>6523.1751270000004</v>
          </cell>
          <cell r="X7">
            <v>6562.2973890000003</v>
          </cell>
          <cell r="Y7">
            <v>6609.1810869999999</v>
          </cell>
          <cell r="Z7">
            <v>6663.7890129999996</v>
          </cell>
          <cell r="AA7">
            <v>6720.3167640000001</v>
          </cell>
          <cell r="AB7">
            <v>6784.2703019999999</v>
          </cell>
          <cell r="AC7">
            <v>6855.5444429999998</v>
          </cell>
          <cell r="AD7">
            <v>6933.7230600000003</v>
          </cell>
          <cell r="AE7">
            <v>7017.5326219999997</v>
          </cell>
          <cell r="AF7">
            <v>7105.4041809999999</v>
          </cell>
          <cell r="AG7">
            <v>7196.0793249999997</v>
          </cell>
          <cell r="AH7">
            <v>7288.6868329999998</v>
          </cell>
          <cell r="AI7">
            <v>7382.4966320000003</v>
          </cell>
          <cell r="AJ7">
            <v>7476.8224719999998</v>
          </cell>
          <cell r="AK7">
            <v>7570.9756420000003</v>
          </cell>
        </row>
        <row r="8">
          <cell r="B8">
            <v>157700.0429</v>
          </cell>
          <cell r="C8">
            <v>159810.08809999999</v>
          </cell>
          <cell r="D8">
            <v>162170.8315</v>
          </cell>
          <cell r="E8">
            <v>164824.62280000001</v>
          </cell>
          <cell r="F8">
            <v>167674.97409999999</v>
          </cell>
          <cell r="G8">
            <v>170710.6237</v>
          </cell>
          <cell r="H8">
            <v>173851.0981</v>
          </cell>
          <cell r="I8">
            <v>176658.57759999999</v>
          </cell>
          <cell r="J8">
            <v>179425.0209</v>
          </cell>
          <cell r="K8">
            <v>182828.79680000001</v>
          </cell>
          <cell r="L8">
            <v>186477.9516</v>
          </cell>
          <cell r="M8">
            <v>190128.80379999999</v>
          </cell>
          <cell r="N8">
            <v>193751.94519999999</v>
          </cell>
          <cell r="O8">
            <v>197241.30360000001</v>
          </cell>
          <cell r="P8">
            <v>200657.87409999999</v>
          </cell>
          <cell r="Q8">
            <v>204039.93909999999</v>
          </cell>
          <cell r="R8">
            <v>207464.83910000001</v>
          </cell>
          <cell r="S8">
            <v>210934.4841</v>
          </cell>
          <cell r="T8">
            <v>214502.21679999999</v>
          </cell>
          <cell r="U8">
            <v>218215.36900000001</v>
          </cell>
          <cell r="V8">
            <v>222058.09700000001</v>
          </cell>
          <cell r="W8">
            <v>226155.14079999999</v>
          </cell>
          <cell r="X8">
            <v>230550.6073</v>
          </cell>
          <cell r="Y8">
            <v>235285.0086</v>
          </cell>
          <cell r="Z8">
            <v>240379.1085</v>
          </cell>
          <cell r="AA8">
            <v>245667.40669999999</v>
          </cell>
          <cell r="AB8">
            <v>251272.80929999999</v>
          </cell>
          <cell r="AC8">
            <v>257280.12969999999</v>
          </cell>
          <cell r="AD8">
            <v>263730.03869999998</v>
          </cell>
          <cell r="AE8">
            <v>270622.65850000002</v>
          </cell>
          <cell r="AF8">
            <v>277927.01610000001</v>
          </cell>
          <cell r="AG8">
            <v>285603.41609999997</v>
          </cell>
          <cell r="AH8">
            <v>293615.49550000002</v>
          </cell>
          <cell r="AI8">
            <v>301934.89439999999</v>
          </cell>
          <cell r="AJ8">
            <v>310541.42389999999</v>
          </cell>
          <cell r="AK8">
            <v>319427.34120000002</v>
          </cell>
        </row>
        <row r="9">
          <cell r="B9">
            <v>157700.0429</v>
          </cell>
          <cell r="C9">
            <v>159810.08809999999</v>
          </cell>
          <cell r="D9">
            <v>162170.8315</v>
          </cell>
          <cell r="E9">
            <v>164824.62270000001</v>
          </cell>
          <cell r="F9">
            <v>167674.97409999999</v>
          </cell>
          <cell r="G9">
            <v>170710.6237</v>
          </cell>
          <cell r="H9">
            <v>173789.7879</v>
          </cell>
          <cell r="I9">
            <v>176890.796</v>
          </cell>
          <cell r="J9">
            <v>180011.39840000001</v>
          </cell>
          <cell r="K9">
            <v>183160.27040000001</v>
          </cell>
          <cell r="L9">
            <v>186435.10140000001</v>
          </cell>
          <cell r="M9">
            <v>189736.81299999999</v>
          </cell>
          <cell r="N9">
            <v>193029.1525</v>
          </cell>
          <cell r="O9">
            <v>196182.71669999999</v>
          </cell>
          <cell r="P9">
            <v>199237.52900000001</v>
          </cell>
          <cell r="Q9">
            <v>202243.56659999999</v>
          </cell>
          <cell r="R9">
            <v>205324.53839999999</v>
          </cell>
          <cell r="S9">
            <v>208561.13810000001</v>
          </cell>
          <cell r="T9">
            <v>212006.90590000001</v>
          </cell>
          <cell r="U9">
            <v>215690.0172</v>
          </cell>
          <cell r="V9">
            <v>219575.34950000001</v>
          </cell>
          <cell r="W9">
            <v>223773.07629999999</v>
          </cell>
          <cell r="X9">
            <v>228314.79180000001</v>
          </cell>
          <cell r="Y9">
            <v>233227.10740000001</v>
          </cell>
          <cell r="Z9">
            <v>238517.71969999999</v>
          </cell>
          <cell r="AA9">
            <v>244013.90220000001</v>
          </cell>
          <cell r="AB9">
            <v>249884.6839</v>
          </cell>
          <cell r="AC9">
            <v>256166.00539999999</v>
          </cell>
          <cell r="AD9">
            <v>262881.54580000002</v>
          </cell>
          <cell r="AE9">
            <v>270007.51329999999</v>
          </cell>
          <cell r="AF9">
            <v>277488.7781</v>
          </cell>
          <cell r="AG9">
            <v>285266.47480000003</v>
          </cell>
          <cell r="AH9">
            <v>293283.98940000002</v>
          </cell>
          <cell r="AI9">
            <v>301482.14549999998</v>
          </cell>
          <cell r="AJ9">
            <v>309799.10969999997</v>
          </cell>
          <cell r="AK9">
            <v>318170.8431</v>
          </cell>
        </row>
        <row r="10">
          <cell r="B10">
            <v>125571.2019</v>
          </cell>
          <cell r="C10">
            <v>128565.3836</v>
          </cell>
          <cell r="D10">
            <v>131819.14290000001</v>
          </cell>
          <cell r="E10">
            <v>134958.3481</v>
          </cell>
          <cell r="F10">
            <v>138028.96359999999</v>
          </cell>
          <cell r="G10">
            <v>141004.01060000001</v>
          </cell>
          <cell r="H10">
            <v>143868.31289999999</v>
          </cell>
          <cell r="I10">
            <v>144953.8463</v>
          </cell>
          <cell r="J10">
            <v>146071.47640000001</v>
          </cell>
          <cell r="K10">
            <v>148903.81330000001</v>
          </cell>
          <cell r="L10">
            <v>151675.69810000001</v>
          </cell>
          <cell r="M10">
            <v>154381.06779999999</v>
          </cell>
          <cell r="N10">
            <v>156799.49419999999</v>
          </cell>
          <cell r="O10">
            <v>158764.80619999999</v>
          </cell>
          <cell r="P10">
            <v>160655.9326</v>
          </cell>
          <cell r="Q10">
            <v>162671.0355</v>
          </cell>
          <cell r="R10">
            <v>164561.56589999999</v>
          </cell>
          <cell r="S10">
            <v>166683.42600000001</v>
          </cell>
          <cell r="T10">
            <v>169132.43059999999</v>
          </cell>
          <cell r="U10">
            <v>171937.58439999999</v>
          </cell>
          <cell r="V10">
            <v>175106.7654</v>
          </cell>
          <cell r="W10">
            <v>178682.77729999999</v>
          </cell>
          <cell r="X10">
            <v>182698.2029</v>
          </cell>
          <cell r="Y10">
            <v>187164.62640000001</v>
          </cell>
          <cell r="Z10">
            <v>192059.95980000001</v>
          </cell>
          <cell r="AA10">
            <v>197326.87830000001</v>
          </cell>
          <cell r="AB10">
            <v>203162.3952</v>
          </cell>
          <cell r="AC10">
            <v>209463.94949999999</v>
          </cell>
          <cell r="AD10">
            <v>216216.43599999999</v>
          </cell>
          <cell r="AE10">
            <v>223309.8793</v>
          </cell>
          <cell r="AF10">
            <v>230610.76749999999</v>
          </cell>
          <cell r="AG10">
            <v>238023.17019999999</v>
          </cell>
          <cell r="AH10">
            <v>245485.62950000001</v>
          </cell>
          <cell r="AI10">
            <v>252950.72150000001</v>
          </cell>
          <cell r="AJ10">
            <v>260374.94270000001</v>
          </cell>
          <cell r="AK10">
            <v>267710.49670000002</v>
          </cell>
        </row>
        <row r="11">
          <cell r="B11">
            <v>125571.2019</v>
          </cell>
          <cell r="C11">
            <v>128565.3836</v>
          </cell>
          <cell r="D11">
            <v>131819.14290000001</v>
          </cell>
          <cell r="E11">
            <v>134958.3481</v>
          </cell>
          <cell r="F11">
            <v>138028.96359999999</v>
          </cell>
          <cell r="G11">
            <v>141004.01070000001</v>
          </cell>
          <cell r="H11">
            <v>143803.65909999999</v>
          </cell>
          <cell r="I11">
            <v>146476.17370000001</v>
          </cell>
          <cell r="J11">
            <v>149096.11869999999</v>
          </cell>
          <cell r="K11">
            <v>151725.4866</v>
          </cell>
          <cell r="L11">
            <v>154430.64499999999</v>
          </cell>
          <cell r="M11">
            <v>157183.6219</v>
          </cell>
          <cell r="N11">
            <v>159872.11610000001</v>
          </cell>
          <cell r="O11">
            <v>162233.97719999999</v>
          </cell>
          <cell r="P11">
            <v>164462.97029999999</v>
          </cell>
          <cell r="Q11">
            <v>166717.10459999999</v>
          </cell>
          <cell r="R11">
            <v>169202.53159999999</v>
          </cell>
          <cell r="S11">
            <v>172018.02789999999</v>
          </cell>
          <cell r="T11">
            <v>175199.03829999999</v>
          </cell>
          <cell r="U11">
            <v>178738.23480000001</v>
          </cell>
          <cell r="V11">
            <v>182625.00150000001</v>
          </cell>
          <cell r="W11">
            <v>186895.69020000001</v>
          </cell>
          <cell r="X11">
            <v>191583.65289999999</v>
          </cell>
          <cell r="Y11">
            <v>196697.54300000001</v>
          </cell>
          <cell r="Z11">
            <v>202207.64730000001</v>
          </cell>
          <cell r="AA11">
            <v>208049.25099999999</v>
          </cell>
          <cell r="AB11">
            <v>214284.86309999999</v>
          </cell>
          <cell r="AC11">
            <v>220955.06700000001</v>
          </cell>
          <cell r="AD11">
            <v>228051.9529</v>
          </cell>
          <cell r="AE11">
            <v>235462.44930000001</v>
          </cell>
          <cell r="AF11">
            <v>243049.26060000001</v>
          </cell>
          <cell r="AG11">
            <v>250720.84839999999</v>
          </cell>
          <cell r="AH11">
            <v>258428.88800000001</v>
          </cell>
          <cell r="AI11">
            <v>266139.90480000002</v>
          </cell>
          <cell r="AJ11">
            <v>273824.90059999999</v>
          </cell>
          <cell r="AK11">
            <v>281454.29749999999</v>
          </cell>
        </row>
        <row r="12">
          <cell r="B12">
            <v>22090.314689999999</v>
          </cell>
          <cell r="C12">
            <v>22389.103319999998</v>
          </cell>
          <cell r="D12">
            <v>22713.529770000001</v>
          </cell>
          <cell r="E12">
            <v>23056.031210000001</v>
          </cell>
          <cell r="F12">
            <v>23427.732090000001</v>
          </cell>
          <cell r="G12">
            <v>23831.66115</v>
          </cell>
          <cell r="H12">
            <v>24260.91446</v>
          </cell>
          <cell r="I12">
            <v>24563.597870000001</v>
          </cell>
          <cell r="J12">
            <v>24829.99252</v>
          </cell>
          <cell r="K12">
            <v>25167.161339999999</v>
          </cell>
          <cell r="L12">
            <v>25521.078949999999</v>
          </cell>
          <cell r="M12">
            <v>25893.730179999999</v>
          </cell>
          <cell r="N12">
            <v>26280.016220000001</v>
          </cell>
          <cell r="O12">
            <v>26668.65898</v>
          </cell>
          <cell r="P12">
            <v>27072.273209999999</v>
          </cell>
          <cell r="Q12">
            <v>27498.757900000001</v>
          </cell>
          <cell r="R12">
            <v>27951.697909999999</v>
          </cell>
          <cell r="S12">
            <v>28424.116239999999</v>
          </cell>
          <cell r="T12">
            <v>28924.920249999999</v>
          </cell>
          <cell r="U12">
            <v>29462.13984</v>
          </cell>
          <cell r="V12">
            <v>30037.823820000001</v>
          </cell>
          <cell r="W12">
            <v>30666.659930000002</v>
          </cell>
          <cell r="X12">
            <v>31356.814699999999</v>
          </cell>
          <cell r="Y12">
            <v>32114.087060000002</v>
          </cell>
          <cell r="Z12">
            <v>32941.763760000002</v>
          </cell>
          <cell r="AA12">
            <v>33825.629000000001</v>
          </cell>
          <cell r="AB12">
            <v>34777.56684</v>
          </cell>
          <cell r="AC12">
            <v>35814.45766</v>
          </cell>
          <cell r="AD12">
            <v>36943.113490000003</v>
          </cell>
          <cell r="AE12">
            <v>38165.798920000001</v>
          </cell>
          <cell r="AF12">
            <v>39484.02809</v>
          </cell>
          <cell r="AG12">
            <v>40903.825830000002</v>
          </cell>
          <cell r="AH12">
            <v>42437.076139999997</v>
          </cell>
          <cell r="AI12">
            <v>44101.196779999998</v>
          </cell>
          <cell r="AJ12">
            <v>45923.234239999998</v>
          </cell>
          <cell r="AK12">
            <v>47945.77925</v>
          </cell>
        </row>
        <row r="13">
          <cell r="B13">
            <v>22090.314689999999</v>
          </cell>
          <cell r="C13">
            <v>22389.103319999998</v>
          </cell>
          <cell r="D13">
            <v>22713.529780000001</v>
          </cell>
          <cell r="E13">
            <v>23056.031220000001</v>
          </cell>
          <cell r="F13">
            <v>23427.732100000001</v>
          </cell>
          <cell r="G13">
            <v>23831.66116</v>
          </cell>
          <cell r="H13">
            <v>24252.53714</v>
          </cell>
          <cell r="I13">
            <v>24683.982080000002</v>
          </cell>
          <cell r="J13">
            <v>25123.458180000001</v>
          </cell>
          <cell r="K13">
            <v>25571.362539999998</v>
          </cell>
          <cell r="L13">
            <v>26037.842100000002</v>
          </cell>
          <cell r="M13">
            <v>26514.361789999999</v>
          </cell>
          <cell r="N13">
            <v>26994.273949999999</v>
          </cell>
          <cell r="O13">
            <v>27459.159189999998</v>
          </cell>
          <cell r="P13">
            <v>27918.463080000001</v>
          </cell>
          <cell r="Q13">
            <v>28382.877380000002</v>
          </cell>
          <cell r="R13">
            <v>28871.630550000002</v>
          </cell>
          <cell r="S13">
            <v>29399.039929999999</v>
          </cell>
          <cell r="T13">
            <v>29973.860639999999</v>
          </cell>
          <cell r="U13">
            <v>30599.521799999999</v>
          </cell>
          <cell r="V13">
            <v>31272.13047</v>
          </cell>
          <cell r="W13">
            <v>32000.71891</v>
          </cell>
          <cell r="X13">
            <v>32788.616730000002</v>
          </cell>
          <cell r="Y13">
            <v>33637.841310000003</v>
          </cell>
          <cell r="Z13">
            <v>34547.754379999998</v>
          </cell>
          <cell r="AA13">
            <v>35499.637040000001</v>
          </cell>
          <cell r="AB13">
            <v>36507.074110000001</v>
          </cell>
          <cell r="AC13">
            <v>37574.354740000002</v>
          </cell>
          <cell r="AD13">
            <v>38703.207640000001</v>
          </cell>
          <cell r="AE13">
            <v>39888.106209999998</v>
          </cell>
          <cell r="AF13">
            <v>41120.131130000002</v>
          </cell>
          <cell r="AG13">
            <v>42391.512190000001</v>
          </cell>
          <cell r="AH13">
            <v>43696.295489999997</v>
          </cell>
          <cell r="AI13">
            <v>45029.072269999997</v>
          </cell>
          <cell r="AJ13">
            <v>46384.463470000002</v>
          </cell>
          <cell r="AK13">
            <v>47756.863140000001</v>
          </cell>
        </row>
        <row r="14">
          <cell r="B14">
            <v>16306.072099999999</v>
          </cell>
          <cell r="C14">
            <v>16549.579099999999</v>
          </cell>
          <cell r="D14">
            <v>16809.24569</v>
          </cell>
          <cell r="E14">
            <v>17083.98273</v>
          </cell>
          <cell r="F14">
            <v>17373.210279999999</v>
          </cell>
          <cell r="G14">
            <v>17677.329119999999</v>
          </cell>
          <cell r="H14">
            <v>17991.604350000001</v>
          </cell>
          <cell r="I14">
            <v>18220.515429999999</v>
          </cell>
          <cell r="J14">
            <v>18448.799849999999</v>
          </cell>
          <cell r="K14">
            <v>18801.555410000001</v>
          </cell>
          <cell r="L14">
            <v>19162.582160000002</v>
          </cell>
          <cell r="M14">
            <v>19509.879400000002</v>
          </cell>
          <cell r="N14">
            <v>19830.766339999998</v>
          </cell>
          <cell r="O14">
            <v>20112.657859999999</v>
          </cell>
          <cell r="P14">
            <v>20381.267179999999</v>
          </cell>
          <cell r="Q14">
            <v>20651.125240000001</v>
          </cell>
          <cell r="R14">
            <v>20918.010610000001</v>
          </cell>
          <cell r="S14">
            <v>21199.227859999999</v>
          </cell>
          <cell r="T14">
            <v>21503.361850000001</v>
          </cell>
          <cell r="U14">
            <v>21835.780309999998</v>
          </cell>
          <cell r="V14">
            <v>22197.538850000001</v>
          </cell>
          <cell r="W14">
            <v>22599.328389999999</v>
          </cell>
          <cell r="X14">
            <v>23046.629130000001</v>
          </cell>
          <cell r="Y14">
            <v>23542.59908</v>
          </cell>
          <cell r="Z14">
            <v>24087.314869999998</v>
          </cell>
          <cell r="AA14">
            <v>24668.732489999999</v>
          </cell>
          <cell r="AB14">
            <v>25301.539499999999</v>
          </cell>
          <cell r="AC14">
            <v>25990.94556</v>
          </cell>
          <cell r="AD14">
            <v>26737.900420000002</v>
          </cell>
          <cell r="AE14">
            <v>27535.023249999998</v>
          </cell>
          <cell r="AF14">
            <v>28371.99826</v>
          </cell>
          <cell r="AG14">
            <v>29241.36248</v>
          </cell>
          <cell r="AH14">
            <v>30138.574199999999</v>
          </cell>
          <cell r="AI14">
            <v>31059.554059999999</v>
          </cell>
          <cell r="AJ14">
            <v>32001.130809999999</v>
          </cell>
          <cell r="AK14">
            <v>32961.557670000002</v>
          </cell>
        </row>
        <row r="15">
          <cell r="B15">
            <v>16306.072099999999</v>
          </cell>
          <cell r="C15">
            <v>16549.579099999999</v>
          </cell>
          <cell r="D15">
            <v>16809.24569</v>
          </cell>
          <cell r="E15">
            <v>17083.98273</v>
          </cell>
          <cell r="F15">
            <v>17373.210279999999</v>
          </cell>
          <cell r="G15">
            <v>17677.329129999998</v>
          </cell>
          <cell r="H15">
            <v>17984.903730000002</v>
          </cell>
          <cell r="I15">
            <v>18293.388940000001</v>
          </cell>
          <cell r="J15">
            <v>18602.37803</v>
          </cell>
          <cell r="K15">
            <v>18912.838250000001</v>
          </cell>
          <cell r="L15">
            <v>19232.336240000001</v>
          </cell>
          <cell r="M15">
            <v>19553.063190000001</v>
          </cell>
          <cell r="N15">
            <v>19866.424729999999</v>
          </cell>
          <cell r="O15">
            <v>20150.961439999999</v>
          </cell>
          <cell r="P15">
            <v>20419.942760000002</v>
          </cell>
          <cell r="Q15">
            <v>20685.9918</v>
          </cell>
          <cell r="R15">
            <v>20966.47927</v>
          </cell>
          <cell r="S15">
            <v>21273.609619999999</v>
          </cell>
          <cell r="T15">
            <v>21614.965769999999</v>
          </cell>
          <cell r="U15">
            <v>21993.57144</v>
          </cell>
          <cell r="V15">
            <v>22407.92844</v>
          </cell>
          <cell r="W15">
            <v>22866.203880000001</v>
          </cell>
          <cell r="X15">
            <v>23371.806830000001</v>
          </cell>
          <cell r="Y15">
            <v>23926.529900000001</v>
          </cell>
          <cell r="Z15">
            <v>24529.16849</v>
          </cell>
          <cell r="AA15">
            <v>25166.48979</v>
          </cell>
          <cell r="AB15">
            <v>25850.441309999998</v>
          </cell>
          <cell r="AC15">
            <v>26584.162359999998</v>
          </cell>
          <cell r="AD15">
            <v>27367.531480000001</v>
          </cell>
          <cell r="AE15">
            <v>28191.668880000001</v>
          </cell>
          <cell r="AF15">
            <v>29044.517090000001</v>
          </cell>
          <cell r="AG15">
            <v>29916.311959999999</v>
          </cell>
          <cell r="AH15">
            <v>30799.919959999999</v>
          </cell>
          <cell r="AI15">
            <v>31689.104530000001</v>
          </cell>
          <cell r="AJ15">
            <v>32577.966909999999</v>
          </cell>
          <cell r="AK15">
            <v>33460.731690000001</v>
          </cell>
        </row>
        <row r="16">
          <cell r="B16">
            <v>86967.448350000006</v>
          </cell>
          <cell r="C16">
            <v>88425.815990000003</v>
          </cell>
          <cell r="D16">
            <v>89928.190929999997</v>
          </cell>
          <cell r="E16">
            <v>91470.253320000003</v>
          </cell>
          <cell r="F16">
            <v>93067.146139999997</v>
          </cell>
          <cell r="G16">
            <v>94730.85716</v>
          </cell>
          <cell r="H16">
            <v>96444.024780000007</v>
          </cell>
          <cell r="I16">
            <v>97436.679300000003</v>
          </cell>
          <cell r="J16">
            <v>98454.045360000004</v>
          </cell>
          <cell r="K16">
            <v>100271.0175</v>
          </cell>
          <cell r="L16">
            <v>102069.3924</v>
          </cell>
          <cell r="M16">
            <v>103741.5306</v>
          </cell>
          <cell r="N16">
            <v>105201.8072</v>
          </cell>
          <cell r="O16">
            <v>106384.4564</v>
          </cell>
          <cell r="P16">
            <v>107476.7118</v>
          </cell>
          <cell r="Q16">
            <v>108577.8124</v>
          </cell>
          <cell r="R16">
            <v>109787.2032</v>
          </cell>
          <cell r="S16">
            <v>111114.42200000001</v>
          </cell>
          <cell r="T16">
            <v>112610.3897</v>
          </cell>
          <cell r="U16">
            <v>114298.5729</v>
          </cell>
          <cell r="V16">
            <v>116186.6531</v>
          </cell>
          <cell r="W16">
            <v>118321.3198</v>
          </cell>
          <cell r="X16">
            <v>120730.67600000001</v>
          </cell>
          <cell r="Y16">
            <v>123425.36440000001</v>
          </cell>
          <cell r="Z16">
            <v>126395.202</v>
          </cell>
          <cell r="AA16">
            <v>129589.1958</v>
          </cell>
          <cell r="AB16">
            <v>133056.72700000001</v>
          </cell>
          <cell r="AC16">
            <v>136856.46309999999</v>
          </cell>
          <cell r="AD16">
            <v>140986.4173</v>
          </cell>
          <cell r="AE16">
            <v>145384.73000000001</v>
          </cell>
          <cell r="AF16">
            <v>149973.6735</v>
          </cell>
          <cell r="AG16">
            <v>154703.50839999999</v>
          </cell>
          <cell r="AH16">
            <v>159547.38099999999</v>
          </cell>
          <cell r="AI16">
            <v>164474.89430000001</v>
          </cell>
          <cell r="AJ16">
            <v>169456.1489</v>
          </cell>
          <cell r="AK16">
            <v>174463.71650000001</v>
          </cell>
        </row>
        <row r="17">
          <cell r="B17">
            <v>86967.448350000006</v>
          </cell>
          <cell r="C17">
            <v>88425.816000000006</v>
          </cell>
          <cell r="D17">
            <v>89928.19094</v>
          </cell>
          <cell r="E17">
            <v>91470.253330000007</v>
          </cell>
          <cell r="F17">
            <v>93067.146160000004</v>
          </cell>
          <cell r="G17">
            <v>94730.857189999995</v>
          </cell>
          <cell r="H17">
            <v>96397.358980000005</v>
          </cell>
          <cell r="I17">
            <v>98042.031860000003</v>
          </cell>
          <cell r="J17">
            <v>99655.271359999999</v>
          </cell>
          <cell r="K17">
            <v>101241.4134</v>
          </cell>
          <cell r="L17">
            <v>102835.91869999999</v>
          </cell>
          <cell r="M17">
            <v>104410.5993</v>
          </cell>
          <cell r="N17">
            <v>105910.17170000001</v>
          </cell>
          <cell r="O17">
            <v>107192.62270000001</v>
          </cell>
          <cell r="P17">
            <v>108367.93799999999</v>
          </cell>
          <cell r="Q17">
            <v>109528.76059999999</v>
          </cell>
          <cell r="R17">
            <v>110800.0273</v>
          </cell>
          <cell r="S17">
            <v>112271.52280000001</v>
          </cell>
          <cell r="T17">
            <v>113994.7501</v>
          </cell>
          <cell r="U17">
            <v>115983.9935</v>
          </cell>
          <cell r="V17">
            <v>118233.36079999999</v>
          </cell>
          <cell r="W17">
            <v>120771.32150000001</v>
          </cell>
          <cell r="X17">
            <v>123610.6125</v>
          </cell>
          <cell r="Y17">
            <v>126754.54919999999</v>
          </cell>
          <cell r="Z17">
            <v>130187.3227</v>
          </cell>
          <cell r="AA17">
            <v>133853.1727</v>
          </cell>
          <cell r="AB17">
            <v>137802.5748</v>
          </cell>
          <cell r="AC17">
            <v>142051.0735</v>
          </cell>
          <cell r="AD17">
            <v>146594.10819999999</v>
          </cell>
          <cell r="AE17">
            <v>151367.20259999999</v>
          </cell>
          <cell r="AF17">
            <v>156288.65289999999</v>
          </cell>
          <cell r="AG17">
            <v>161297.23050000001</v>
          </cell>
          <cell r="AH17">
            <v>166352.04</v>
          </cell>
          <cell r="AI17">
            <v>171418.80609999999</v>
          </cell>
          <cell r="AJ17">
            <v>176465.48929999999</v>
          </cell>
          <cell r="AK17">
            <v>181460.5128</v>
          </cell>
        </row>
        <row r="18">
          <cell r="B18">
            <v>29077.376339999999</v>
          </cell>
          <cell r="C18">
            <v>29556.579010000001</v>
          </cell>
          <cell r="D18">
            <v>30061.866030000001</v>
          </cell>
          <cell r="E18">
            <v>30585.49353</v>
          </cell>
          <cell r="F18">
            <v>31128.330539999999</v>
          </cell>
          <cell r="G18">
            <v>31691.4274</v>
          </cell>
          <cell r="H18">
            <v>32269.633959999999</v>
          </cell>
          <cell r="I18">
            <v>32652.04178</v>
          </cell>
          <cell r="J18">
            <v>33044.067009999999</v>
          </cell>
          <cell r="K18">
            <v>33702.940770000001</v>
          </cell>
          <cell r="L18">
            <v>34366.50879</v>
          </cell>
          <cell r="M18">
            <v>34994.521249999998</v>
          </cell>
          <cell r="N18">
            <v>35556.807639999999</v>
          </cell>
          <cell r="O18">
            <v>36031.017699999997</v>
          </cell>
          <cell r="P18">
            <v>36478.13751</v>
          </cell>
          <cell r="Q18">
            <v>36933.446770000002</v>
          </cell>
          <cell r="R18">
            <v>37392.915999999997</v>
          </cell>
          <cell r="S18">
            <v>37892.553379999998</v>
          </cell>
          <cell r="T18">
            <v>38450.02867</v>
          </cell>
          <cell r="U18">
            <v>39074.788480000003</v>
          </cell>
          <cell r="V18">
            <v>39771.27936</v>
          </cell>
          <cell r="W18">
            <v>40554.159930000002</v>
          </cell>
          <cell r="X18">
            <v>41435.039779999999</v>
          </cell>
          <cell r="Y18">
            <v>42419.927199999998</v>
          </cell>
          <cell r="Z18">
            <v>43508.685960000003</v>
          </cell>
          <cell r="AA18">
            <v>44687.82589</v>
          </cell>
          <cell r="AB18">
            <v>45975.775509999999</v>
          </cell>
          <cell r="AC18">
            <v>47384.952980000002</v>
          </cell>
          <cell r="AD18">
            <v>48917.199090000002</v>
          </cell>
          <cell r="AE18">
            <v>50557.053200000002</v>
          </cell>
          <cell r="AF18">
            <v>52284.228660000001</v>
          </cell>
          <cell r="AG18">
            <v>54086.027439999998</v>
          </cell>
          <cell r="AH18">
            <v>55957.50129</v>
          </cell>
          <cell r="AI18">
            <v>57896.749519999998</v>
          </cell>
          <cell r="AJ18">
            <v>59906.499080000001</v>
          </cell>
          <cell r="AK18">
            <v>61996.734199999999</v>
          </cell>
        </row>
        <row r="19">
          <cell r="B19">
            <v>29077.376339999999</v>
          </cell>
          <cell r="C19">
            <v>29556.579010000001</v>
          </cell>
          <cell r="D19">
            <v>30061.866040000001</v>
          </cell>
          <cell r="E19">
            <v>30585.49353</v>
          </cell>
          <cell r="F19">
            <v>31128.330549999999</v>
          </cell>
          <cell r="G19">
            <v>31691.42741</v>
          </cell>
          <cell r="H19">
            <v>32261.5762</v>
          </cell>
          <cell r="I19">
            <v>32834.911180000003</v>
          </cell>
          <cell r="J19">
            <v>33411.013529999997</v>
          </cell>
          <cell r="K19">
            <v>33991.413280000001</v>
          </cell>
          <cell r="L19">
            <v>34585.663030000003</v>
          </cell>
          <cell r="M19">
            <v>35184.753069999999</v>
          </cell>
          <cell r="N19">
            <v>35767.679559999997</v>
          </cell>
          <cell r="O19">
            <v>36288.742689999999</v>
          </cell>
          <cell r="P19">
            <v>36778.142650000002</v>
          </cell>
          <cell r="Q19">
            <v>37263.998570000003</v>
          </cell>
          <cell r="R19">
            <v>37778.119440000002</v>
          </cell>
          <cell r="S19">
            <v>38345.314160000002</v>
          </cell>
          <cell r="T19">
            <v>38981.859479999999</v>
          </cell>
          <cell r="U19">
            <v>39694.640910000002</v>
          </cell>
          <cell r="V19">
            <v>40484.975270000003</v>
          </cell>
          <cell r="W19">
            <v>41363.735480000003</v>
          </cell>
          <cell r="X19">
            <v>42339.191959999996</v>
          </cell>
          <cell r="Y19">
            <v>43414.716339999999</v>
          </cell>
          <cell r="Z19">
            <v>44587.093359999999</v>
          </cell>
          <cell r="AA19">
            <v>45839.668980000002</v>
          </cell>
          <cell r="AB19">
            <v>47184.647449999997</v>
          </cell>
          <cell r="AC19">
            <v>48629.357620000002</v>
          </cell>
          <cell r="AD19">
            <v>50172.511839999999</v>
          </cell>
          <cell r="AE19">
            <v>51793.87414</v>
          </cell>
          <cell r="AF19">
            <v>53467.155359999997</v>
          </cell>
          <cell r="AG19">
            <v>55171.938840000003</v>
          </cell>
          <cell r="AH19">
            <v>56894.151879999998</v>
          </cell>
          <cell r="AI19">
            <v>58622.022389999998</v>
          </cell>
          <cell r="AJ19">
            <v>60344.67121</v>
          </cell>
          <cell r="AK19">
            <v>62051.549149999999</v>
          </cell>
        </row>
        <row r="20">
          <cell r="B20">
            <v>80205.785529999994</v>
          </cell>
          <cell r="C20">
            <v>81478.597129999995</v>
          </cell>
          <cell r="D20">
            <v>82835.665460000004</v>
          </cell>
          <cell r="E20">
            <v>84232.809080000006</v>
          </cell>
          <cell r="F20">
            <v>85692.453659999999</v>
          </cell>
          <cell r="G20">
            <v>87221.803289999996</v>
          </cell>
          <cell r="H20">
            <v>88807.281400000007</v>
          </cell>
          <cell r="I20">
            <v>89763.173379999993</v>
          </cell>
          <cell r="J20">
            <v>90704.056389999998</v>
          </cell>
          <cell r="K20">
            <v>92326.813739999998</v>
          </cell>
          <cell r="L20">
            <v>93978.834489999994</v>
          </cell>
          <cell r="M20">
            <v>95572.964449999999</v>
          </cell>
          <cell r="N20">
            <v>97020.059810000006</v>
          </cell>
          <cell r="O20">
            <v>98257.493619999994</v>
          </cell>
          <cell r="P20">
            <v>99440.115229999996</v>
          </cell>
          <cell r="Q20">
            <v>100660.30499999999</v>
          </cell>
          <cell r="R20">
            <v>101937.0566</v>
          </cell>
          <cell r="S20">
            <v>103328.5502</v>
          </cell>
          <cell r="T20">
            <v>104883.1614</v>
          </cell>
          <cell r="U20">
            <v>106626.2757</v>
          </cell>
          <cell r="V20">
            <v>108570.4623</v>
          </cell>
          <cell r="W20">
            <v>110754.2022</v>
          </cell>
          <cell r="X20">
            <v>113209.01519999999</v>
          </cell>
          <cell r="Y20">
            <v>115948.8039</v>
          </cell>
          <cell r="Z20">
            <v>118970.5601</v>
          </cell>
          <cell r="AA20">
            <v>122238.5221</v>
          </cell>
          <cell r="AB20">
            <v>125789.6851</v>
          </cell>
          <cell r="AC20">
            <v>129676.454</v>
          </cell>
          <cell r="AD20">
            <v>133902.8175</v>
          </cell>
          <cell r="AE20">
            <v>138426.79689999999</v>
          </cell>
          <cell r="AF20">
            <v>143195.60949999999</v>
          </cell>
          <cell r="AG20">
            <v>148182.60459999999</v>
          </cell>
          <cell r="AH20">
            <v>153386.15479999999</v>
          </cell>
          <cell r="AI20">
            <v>158811.83249999999</v>
          </cell>
          <cell r="AJ20">
            <v>164480.14910000001</v>
          </cell>
          <cell r="AK20">
            <v>170436.04430000001</v>
          </cell>
        </row>
        <row r="21">
          <cell r="B21">
            <v>80205.785529999994</v>
          </cell>
          <cell r="C21">
            <v>81478.597139999998</v>
          </cell>
          <cell r="D21">
            <v>82835.665470000007</v>
          </cell>
          <cell r="E21">
            <v>84232.809089999995</v>
          </cell>
          <cell r="F21">
            <v>85692.453680000006</v>
          </cell>
          <cell r="G21">
            <v>87221.803320000006</v>
          </cell>
          <cell r="H21">
            <v>88782.593219999995</v>
          </cell>
          <cell r="I21">
            <v>90359.871459999995</v>
          </cell>
          <cell r="J21">
            <v>91950.467720000001</v>
          </cell>
          <cell r="K21">
            <v>93558.630009999993</v>
          </cell>
          <cell r="L21">
            <v>95209.421289999998</v>
          </cell>
          <cell r="M21">
            <v>96881.906759999998</v>
          </cell>
          <cell r="N21">
            <v>98519.427039999995</v>
          </cell>
          <cell r="O21">
            <v>99997.386540000007</v>
          </cell>
          <cell r="P21">
            <v>101398.33</v>
          </cell>
          <cell r="Q21">
            <v>102801.4887</v>
          </cell>
          <cell r="R21">
            <v>104299.14750000001</v>
          </cell>
          <cell r="S21">
            <v>105961.26089999999</v>
          </cell>
          <cell r="T21">
            <v>107831.2268</v>
          </cell>
          <cell r="U21">
            <v>109924.8039</v>
          </cell>
          <cell r="V21">
            <v>112243.0162</v>
          </cell>
          <cell r="W21">
            <v>114810.0249</v>
          </cell>
          <cell r="X21">
            <v>117645.8747</v>
          </cell>
          <cell r="Y21">
            <v>120758.0873</v>
          </cell>
          <cell r="Z21">
            <v>124136.41499999999</v>
          </cell>
          <cell r="AA21">
            <v>127737.34940000001</v>
          </cell>
          <cell r="AB21">
            <v>131589.26430000001</v>
          </cell>
          <cell r="AC21">
            <v>135711.5264</v>
          </cell>
          <cell r="AD21">
            <v>140100.8431</v>
          </cell>
          <cell r="AE21">
            <v>144702.2868</v>
          </cell>
          <cell r="AF21">
            <v>149444.76370000001</v>
          </cell>
          <cell r="AG21">
            <v>154274.21770000001</v>
          </cell>
          <cell r="AH21">
            <v>159155.1917</v>
          </cell>
          <cell r="AI21">
            <v>164059.34969999999</v>
          </cell>
          <cell r="AJ21">
            <v>168960.98749999999</v>
          </cell>
          <cell r="AK21">
            <v>173835.0741</v>
          </cell>
        </row>
        <row r="22">
          <cell r="B22">
            <v>81062.006940000007</v>
          </cell>
          <cell r="C22">
            <v>82774.904349999997</v>
          </cell>
          <cell r="D22">
            <v>84492.299050000001</v>
          </cell>
          <cell r="E22">
            <v>86215.621920000005</v>
          </cell>
          <cell r="F22">
            <v>87963.546549999999</v>
          </cell>
          <cell r="G22">
            <v>89744.778709999999</v>
          </cell>
          <cell r="H22">
            <v>91556.133249999999</v>
          </cell>
          <cell r="I22">
            <v>92710.689910000001</v>
          </cell>
          <cell r="J22">
            <v>94080.184229999999</v>
          </cell>
          <cell r="K22">
            <v>96573.551470000006</v>
          </cell>
          <cell r="L22">
            <v>99121.545830000003</v>
          </cell>
          <cell r="M22">
            <v>101559.9909</v>
          </cell>
          <cell r="N22">
            <v>103698.274</v>
          </cell>
          <cell r="O22">
            <v>105436.1165</v>
          </cell>
          <cell r="P22">
            <v>107013.8484</v>
          </cell>
          <cell r="Q22">
            <v>108559.85189999999</v>
          </cell>
          <cell r="R22">
            <v>110112.617</v>
          </cell>
          <cell r="S22">
            <v>111809.25380000001</v>
          </cell>
          <cell r="T22">
            <v>113709.1924</v>
          </cell>
          <cell r="U22">
            <v>115832.66929999999</v>
          </cell>
          <cell r="V22">
            <v>118195.30319999999</v>
          </cell>
          <cell r="W22">
            <v>120829.75999999999</v>
          </cell>
          <cell r="X22">
            <v>123774.7181</v>
          </cell>
          <cell r="Y22">
            <v>127034.11900000001</v>
          </cell>
          <cell r="Z22">
            <v>130585.8198</v>
          </cell>
          <cell r="AA22">
            <v>134399.35690000001</v>
          </cell>
          <cell r="AB22">
            <v>138486.72339999999</v>
          </cell>
          <cell r="AC22">
            <v>142960.9988</v>
          </cell>
          <cell r="AD22">
            <v>147812.60010000001</v>
          </cell>
          <cell r="AE22">
            <v>152957.79240000001</v>
          </cell>
          <cell r="AF22">
            <v>158299.5386</v>
          </cell>
          <cell r="AG22">
            <v>163790.6459</v>
          </cell>
          <cell r="AH22">
            <v>169419.7409</v>
          </cell>
          <cell r="AI22">
            <v>175162.31700000001</v>
          </cell>
          <cell r="AJ22">
            <v>180993.8285</v>
          </cell>
          <cell r="AK22">
            <v>186895.21359999999</v>
          </cell>
        </row>
        <row r="23">
          <cell r="B23">
            <v>81062.006940000007</v>
          </cell>
          <cell r="C23">
            <v>82774.904349999997</v>
          </cell>
          <cell r="D23">
            <v>84492.299050000001</v>
          </cell>
          <cell r="E23">
            <v>86215.621929999994</v>
          </cell>
          <cell r="F23">
            <v>87963.546570000006</v>
          </cell>
          <cell r="G23">
            <v>89744.778739999994</v>
          </cell>
          <cell r="H23">
            <v>91539.988899999997</v>
          </cell>
          <cell r="I23">
            <v>93343.396099999998</v>
          </cell>
          <cell r="J23">
            <v>95156.433109999998</v>
          </cell>
          <cell r="K23">
            <v>96985.106690000001</v>
          </cell>
          <cell r="L23">
            <v>98846.365149999998</v>
          </cell>
          <cell r="M23">
            <v>100727.9708</v>
          </cell>
          <cell r="N23">
            <v>102547.3244</v>
          </cell>
          <cell r="O23">
            <v>104132.4702</v>
          </cell>
          <cell r="P23">
            <v>105615.4139</v>
          </cell>
          <cell r="Q23">
            <v>107102.04919999999</v>
          </cell>
          <cell r="R23">
            <v>108690.4022</v>
          </cell>
          <cell r="S23">
            <v>110457.57709999999</v>
          </cell>
          <cell r="T23">
            <v>112452.5485</v>
          </cell>
          <cell r="U23">
            <v>114691.4265</v>
          </cell>
          <cell r="V23">
            <v>117186.26059999999</v>
          </cell>
          <cell r="W23">
            <v>119956.4906</v>
          </cell>
          <cell r="X23">
            <v>123031.03539999999</v>
          </cell>
          <cell r="Y23">
            <v>126419.0168</v>
          </cell>
          <cell r="Z23">
            <v>130104.577</v>
          </cell>
          <cell r="AA23">
            <v>134062.62100000001</v>
          </cell>
          <cell r="AB23">
            <v>138310.72889999999</v>
          </cell>
          <cell r="AC23">
            <v>142876.39110000001</v>
          </cell>
          <cell r="AD23">
            <v>147752.53940000001</v>
          </cell>
          <cell r="AE23">
            <v>152860.8426</v>
          </cell>
          <cell r="AF23">
            <v>158106.56030000001</v>
          </cell>
          <cell r="AG23">
            <v>163423.70189999999</v>
          </cell>
          <cell r="AH23">
            <v>168772.7922</v>
          </cell>
          <cell r="AI23">
            <v>174122.84109999999</v>
          </cell>
          <cell r="AJ23">
            <v>179445.48850000001</v>
          </cell>
          <cell r="AK23">
            <v>184712.56880000001</v>
          </cell>
        </row>
        <row r="24">
          <cell r="B24">
            <v>104630.7294</v>
          </cell>
          <cell r="C24">
            <v>106133.2151</v>
          </cell>
          <cell r="D24">
            <v>107824.5776</v>
          </cell>
          <cell r="E24">
            <v>109658.88250000001</v>
          </cell>
          <cell r="F24">
            <v>111606.2648</v>
          </cell>
          <cell r="G24">
            <v>113651.98639999999</v>
          </cell>
          <cell r="H24">
            <v>115755.5088</v>
          </cell>
          <cell r="I24">
            <v>117401.00659999999</v>
          </cell>
          <cell r="J24">
            <v>119049.32120000001</v>
          </cell>
          <cell r="K24">
            <v>121433.0291</v>
          </cell>
          <cell r="L24">
            <v>123948.5211</v>
          </cell>
          <cell r="M24">
            <v>126441.84450000001</v>
          </cell>
          <cell r="N24">
            <v>128832.94160000001</v>
          </cell>
          <cell r="O24">
            <v>131037.4008</v>
          </cell>
          <cell r="P24">
            <v>133187.87659999999</v>
          </cell>
          <cell r="Q24">
            <v>135367.6145</v>
          </cell>
          <cell r="R24">
            <v>137519.9809</v>
          </cell>
          <cell r="S24">
            <v>139777.99059999999</v>
          </cell>
          <cell r="T24">
            <v>142195.36290000001</v>
          </cell>
          <cell r="U24">
            <v>144804.3751</v>
          </cell>
          <cell r="V24">
            <v>147604.10829999999</v>
          </cell>
          <cell r="W24">
            <v>150660.58439999999</v>
          </cell>
          <cell r="X24">
            <v>154003.06969999999</v>
          </cell>
          <cell r="Y24">
            <v>157653.0509</v>
          </cell>
          <cell r="Z24">
            <v>161614.9994</v>
          </cell>
          <cell r="AA24">
            <v>165804.8124</v>
          </cell>
          <cell r="AB24">
            <v>170350.72719999999</v>
          </cell>
          <cell r="AC24">
            <v>175246.2383</v>
          </cell>
          <cell r="AD24">
            <v>180504.70490000001</v>
          </cell>
          <cell r="AE24">
            <v>186098.177</v>
          </cell>
          <cell r="AF24">
            <v>191980.389</v>
          </cell>
          <cell r="AG24">
            <v>198115.64970000001</v>
          </cell>
          <cell r="AH24">
            <v>204483.93059999999</v>
          </cell>
          <cell r="AI24">
            <v>211075.5901</v>
          </cell>
          <cell r="AJ24">
            <v>217893.057</v>
          </cell>
          <cell r="AK24">
            <v>224955.91149999999</v>
          </cell>
        </row>
        <row r="25">
          <cell r="B25">
            <v>104630.7294</v>
          </cell>
          <cell r="C25">
            <v>106133.2151</v>
          </cell>
          <cell r="D25">
            <v>107824.5776</v>
          </cell>
          <cell r="E25">
            <v>109658.88250000001</v>
          </cell>
          <cell r="F25">
            <v>111606.2648</v>
          </cell>
          <cell r="G25">
            <v>113651.98639999999</v>
          </cell>
          <cell r="H25">
            <v>115726.8104</v>
          </cell>
          <cell r="I25">
            <v>117820.3</v>
          </cell>
          <cell r="J25">
            <v>119935.56630000001</v>
          </cell>
          <cell r="K25">
            <v>122082.5082</v>
          </cell>
          <cell r="L25">
            <v>124314.0447</v>
          </cell>
          <cell r="M25">
            <v>126580.05959999999</v>
          </cell>
          <cell r="N25">
            <v>128837.1961</v>
          </cell>
          <cell r="O25">
            <v>130965.46679999999</v>
          </cell>
          <cell r="P25">
            <v>133025.9742</v>
          </cell>
          <cell r="Q25">
            <v>135084.55129999999</v>
          </cell>
          <cell r="R25">
            <v>137233.9491</v>
          </cell>
          <cell r="S25">
            <v>139542.33040000001</v>
          </cell>
          <cell r="T25">
            <v>142052.14859999999</v>
          </cell>
          <cell r="U25">
            <v>144780.6545</v>
          </cell>
          <cell r="V25">
            <v>147713.29730000001</v>
          </cell>
          <cell r="W25">
            <v>150905.48610000001</v>
          </cell>
          <cell r="X25">
            <v>154378.20240000001</v>
          </cell>
          <cell r="Y25">
            <v>158145.18580000001</v>
          </cell>
          <cell r="Z25">
            <v>162202.50320000001</v>
          </cell>
          <cell r="AA25">
            <v>166458.81969999999</v>
          </cell>
          <cell r="AB25">
            <v>170997.42199999999</v>
          </cell>
          <cell r="AC25">
            <v>175839.8671</v>
          </cell>
          <cell r="AD25">
            <v>180992.68919999999</v>
          </cell>
          <cell r="AE25">
            <v>186415.37349999999</v>
          </cell>
          <cell r="AF25">
            <v>192046.60019999999</v>
          </cell>
          <cell r="AG25">
            <v>197834.63879999999</v>
          </cell>
          <cell r="AH25">
            <v>203741</v>
          </cell>
          <cell r="AI25">
            <v>209731.5852</v>
          </cell>
          <cell r="AJ25">
            <v>215773.31890000001</v>
          </cell>
          <cell r="AK25">
            <v>221832.6496</v>
          </cell>
        </row>
        <row r="26">
          <cell r="B26">
            <v>271138.58409999998</v>
          </cell>
          <cell r="C26">
            <v>274967.0208</v>
          </cell>
          <cell r="D26">
            <v>279382.17450000002</v>
          </cell>
          <cell r="E26">
            <v>284317.63589999999</v>
          </cell>
          <cell r="F26">
            <v>289733.6654</v>
          </cell>
          <cell r="G26">
            <v>295571.53419999999</v>
          </cell>
          <cell r="H26">
            <v>301703.52240000002</v>
          </cell>
          <cell r="I26">
            <v>307597.80619999999</v>
          </cell>
          <cell r="J26">
            <v>313504.886</v>
          </cell>
          <cell r="K26">
            <v>320070.36780000001</v>
          </cell>
          <cell r="L26">
            <v>327367.74119999999</v>
          </cell>
          <cell r="M26">
            <v>335265.55920000002</v>
          </cell>
          <cell r="N26">
            <v>343711.69050000003</v>
          </cell>
          <cell r="O26">
            <v>352588.00079999998</v>
          </cell>
          <cell r="P26">
            <v>361886.54940000002</v>
          </cell>
          <cell r="Q26">
            <v>371638.86170000001</v>
          </cell>
          <cell r="R26">
            <v>381828.73320000002</v>
          </cell>
          <cell r="S26">
            <v>392524.25410000002</v>
          </cell>
          <cell r="T26">
            <v>403820.40289999999</v>
          </cell>
          <cell r="U26">
            <v>415807.88329999999</v>
          </cell>
          <cell r="V26">
            <v>428474.92810000002</v>
          </cell>
          <cell r="W26">
            <v>442006.15100000001</v>
          </cell>
          <cell r="X26">
            <v>456491.5674</v>
          </cell>
          <cell r="Y26">
            <v>472031.44400000002</v>
          </cell>
          <cell r="Z26">
            <v>488717.42979999998</v>
          </cell>
          <cell r="AA26">
            <v>506348.50339999999</v>
          </cell>
          <cell r="AB26">
            <v>525194.43790000002</v>
          </cell>
          <cell r="AC26">
            <v>545383.51670000004</v>
          </cell>
          <cell r="AD26">
            <v>567099.88089999999</v>
          </cell>
          <cell r="AE26">
            <v>590554.85699999996</v>
          </cell>
          <cell r="AF26">
            <v>615977.31929999997</v>
          </cell>
          <cell r="AG26">
            <v>643632.74239999999</v>
          </cell>
          <cell r="AH26">
            <v>673868.60219999996</v>
          </cell>
          <cell r="AI26">
            <v>707181.87609999999</v>
          </cell>
          <cell r="AJ26">
            <v>744293.53330000001</v>
          </cell>
          <cell r="AK26">
            <v>786277.90579999995</v>
          </cell>
        </row>
        <row r="27">
          <cell r="B27">
            <v>271138.58409999998</v>
          </cell>
          <cell r="C27">
            <v>274967.0208</v>
          </cell>
          <cell r="D27">
            <v>279382.17450000002</v>
          </cell>
          <cell r="E27">
            <v>284317.63589999999</v>
          </cell>
          <cell r="F27">
            <v>289733.6654</v>
          </cell>
          <cell r="G27">
            <v>295571.53409999999</v>
          </cell>
          <cell r="H27">
            <v>301626.20860000001</v>
          </cell>
          <cell r="I27">
            <v>307836.37339999998</v>
          </cell>
          <cell r="J27">
            <v>314195.36040000001</v>
          </cell>
          <cell r="K27">
            <v>320728.87650000001</v>
          </cell>
          <cell r="L27">
            <v>327597.29389999999</v>
          </cell>
          <cell r="M27">
            <v>334709.51209999999</v>
          </cell>
          <cell r="N27">
            <v>342075.62150000001</v>
          </cell>
          <cell r="O27">
            <v>349620.5539</v>
          </cell>
          <cell r="P27">
            <v>357336.25870000001</v>
          </cell>
          <cell r="Q27">
            <v>365250.24579999998</v>
          </cell>
          <cell r="R27">
            <v>373507.04570000002</v>
          </cell>
          <cell r="S27">
            <v>382220.98790000001</v>
          </cell>
          <cell r="T27">
            <v>391462.45559999999</v>
          </cell>
          <cell r="U27">
            <v>401261.16379999998</v>
          </cell>
          <cell r="V27">
            <v>411535.37939999998</v>
          </cell>
          <cell r="W27">
            <v>422405.24310000002</v>
          </cell>
          <cell r="X27">
            <v>433898.78409999999</v>
          </cell>
          <cell r="Y27">
            <v>446046.46850000002</v>
          </cell>
          <cell r="Z27">
            <v>458863.4277</v>
          </cell>
          <cell r="AA27">
            <v>472076.7549</v>
          </cell>
          <cell r="AB27">
            <v>485882.9779</v>
          </cell>
          <cell r="AC27">
            <v>500337.93040000001</v>
          </cell>
          <cell r="AD27">
            <v>515502.50689999998</v>
          </cell>
          <cell r="AE27">
            <v>531418.48979999998</v>
          </cell>
          <cell r="AF27">
            <v>548096.75630000001</v>
          </cell>
          <cell r="AG27">
            <v>565530.995</v>
          </cell>
          <cell r="AH27">
            <v>583707.299</v>
          </cell>
          <cell r="AI27">
            <v>602603.63910000003</v>
          </cell>
          <cell r="AJ27">
            <v>622188.20449999999</v>
          </cell>
          <cell r="AK27">
            <v>642417.62439999997</v>
          </cell>
        </row>
        <row r="28">
          <cell r="B28">
            <v>6786.964524</v>
          </cell>
          <cell r="C28">
            <v>6873.2953100000004</v>
          </cell>
          <cell r="D28">
            <v>6964.7378920000001</v>
          </cell>
          <cell r="E28">
            <v>7061.1510559999997</v>
          </cell>
          <cell r="F28">
            <v>7163.1548670000002</v>
          </cell>
          <cell r="G28">
            <v>7270.5884599999999</v>
          </cell>
          <cell r="H28">
            <v>7380.4634679999999</v>
          </cell>
          <cell r="I28">
            <v>7463.2759120000001</v>
          </cell>
          <cell r="J28">
            <v>7542.8952239999999</v>
          </cell>
          <cell r="K28">
            <v>7651.6158439999999</v>
          </cell>
          <cell r="L28">
            <v>7767.0242950000002</v>
          </cell>
          <cell r="M28">
            <v>7881.5981320000001</v>
          </cell>
          <cell r="N28">
            <v>7992.8424880000002</v>
          </cell>
          <cell r="O28">
            <v>8096.5670170000003</v>
          </cell>
          <cell r="P28">
            <v>8197.5590400000001</v>
          </cell>
          <cell r="Q28">
            <v>8298.9510910000008</v>
          </cell>
          <cell r="R28">
            <v>8401.4375189999992</v>
          </cell>
          <cell r="S28">
            <v>8507.7047390000007</v>
          </cell>
          <cell r="T28">
            <v>8620.5107530000005</v>
          </cell>
          <cell r="U28">
            <v>8741.724279</v>
          </cell>
          <cell r="V28">
            <v>8870.7023809999991</v>
          </cell>
          <cell r="W28">
            <v>9012.5572630000006</v>
          </cell>
          <cell r="X28">
            <v>9168.3096569999998</v>
          </cell>
          <cell r="Y28">
            <v>9339.1848769999997</v>
          </cell>
          <cell r="Z28">
            <v>9525.6674930000008</v>
          </cell>
          <cell r="AA28">
            <v>9721.3813339999997</v>
          </cell>
          <cell r="AB28">
            <v>9934.4727010000006</v>
          </cell>
          <cell r="AC28">
            <v>10165.60577</v>
          </cell>
          <cell r="AD28">
            <v>10415.69118</v>
          </cell>
          <cell r="AE28">
            <v>10683.70722</v>
          </cell>
          <cell r="AF28">
            <v>10967.687840000001</v>
          </cell>
          <cell r="AG28">
            <v>11266.067999999999</v>
          </cell>
          <cell r="AH28">
            <v>11577.989659999999</v>
          </cell>
          <cell r="AI28">
            <v>11903.086950000001</v>
          </cell>
          <cell r="AJ28">
            <v>12241.63198</v>
          </cell>
          <cell r="AK28">
            <v>12594.85929</v>
          </cell>
        </row>
        <row r="29">
          <cell r="B29">
            <v>6786.964524</v>
          </cell>
          <cell r="C29">
            <v>6873.2953100000004</v>
          </cell>
          <cell r="D29">
            <v>6964.7378909999998</v>
          </cell>
          <cell r="E29">
            <v>7061.1510550000003</v>
          </cell>
          <cell r="F29">
            <v>7163.1548670000002</v>
          </cell>
          <cell r="G29">
            <v>7270.5884589999996</v>
          </cell>
          <cell r="H29">
            <v>7378.3278730000002</v>
          </cell>
          <cell r="I29">
            <v>7485.8209720000004</v>
          </cell>
          <cell r="J29">
            <v>7593.0560910000004</v>
          </cell>
          <cell r="K29">
            <v>7700.5324629999996</v>
          </cell>
          <cell r="L29">
            <v>7812.1937900000003</v>
          </cell>
          <cell r="M29">
            <v>7923.4609680000003</v>
          </cell>
          <cell r="N29">
            <v>8033.2896190000001</v>
          </cell>
          <cell r="O29">
            <v>8136.2385059999997</v>
          </cell>
          <cell r="P29">
            <v>8235.0088460000006</v>
          </cell>
          <cell r="Q29">
            <v>8332.6060620000007</v>
          </cell>
          <cell r="R29">
            <v>8434.4721329999993</v>
          </cell>
          <cell r="S29">
            <v>8544.2888309999998</v>
          </cell>
          <cell r="T29">
            <v>8664.1805100000001</v>
          </cell>
          <cell r="U29">
            <v>8794.9754589999993</v>
          </cell>
          <cell r="V29">
            <v>8935.0157749999998</v>
          </cell>
          <cell r="W29">
            <v>9088.5667109999995</v>
          </cell>
          <cell r="X29">
            <v>9255.9320559999996</v>
          </cell>
          <cell r="Y29">
            <v>9437.7004849999994</v>
          </cell>
          <cell r="Z29">
            <v>9633.7253679999994</v>
          </cell>
          <cell r="AA29">
            <v>9837.0527569999995</v>
          </cell>
          <cell r="AB29">
            <v>10055.150879999999</v>
          </cell>
          <cell r="AC29">
            <v>10288.102010000001</v>
          </cell>
          <cell r="AD29">
            <v>10536.12225</v>
          </cell>
          <cell r="AE29">
            <v>10797.268770000001</v>
          </cell>
          <cell r="AF29">
            <v>11068.553400000001</v>
          </cell>
          <cell r="AG29">
            <v>11347.304459999999</v>
          </cell>
          <cell r="AH29">
            <v>11631.37018</v>
          </cell>
          <cell r="AI29">
            <v>11918.774160000001</v>
          </cell>
          <cell r="AJ29">
            <v>12207.60377</v>
          </cell>
          <cell r="AK29">
            <v>12495.967140000001</v>
          </cell>
        </row>
        <row r="30">
          <cell r="B30">
            <v>78079.915919999999</v>
          </cell>
          <cell r="C30">
            <v>79073.099310000005</v>
          </cell>
          <cell r="D30">
            <v>80125.090830000001</v>
          </cell>
          <cell r="E30">
            <v>81234.265880000006</v>
          </cell>
          <cell r="F30">
            <v>82407.757949999999</v>
          </cell>
          <cell r="G30">
            <v>83643.716360000006</v>
          </cell>
          <cell r="H30">
            <v>84907.761769999997</v>
          </cell>
          <cell r="I30">
            <v>85860.468779999996</v>
          </cell>
          <cell r="J30">
            <v>86776.440740000005</v>
          </cell>
          <cell r="K30">
            <v>88027.205629999997</v>
          </cell>
          <cell r="L30">
            <v>89354.909950000001</v>
          </cell>
          <cell r="M30">
            <v>90673.012539999996</v>
          </cell>
          <cell r="N30">
            <v>91952.811470000001</v>
          </cell>
          <cell r="O30">
            <v>93146.099359999993</v>
          </cell>
          <cell r="P30">
            <v>94307.951409999994</v>
          </cell>
          <cell r="Q30">
            <v>95474.405540000007</v>
          </cell>
          <cell r="R30">
            <v>96653.449819999994</v>
          </cell>
          <cell r="S30">
            <v>97875.989809999999</v>
          </cell>
          <cell r="T30">
            <v>99173.754690000002</v>
          </cell>
          <cell r="U30">
            <v>100568.2429</v>
          </cell>
          <cell r="V30">
            <v>102052.0578</v>
          </cell>
          <cell r="W30">
            <v>103684.0123</v>
          </cell>
          <cell r="X30">
            <v>105475.8493</v>
          </cell>
          <cell r="Y30">
            <v>107441.6652</v>
          </cell>
          <cell r="Z30">
            <v>109587.0347</v>
          </cell>
          <cell r="AA30">
            <v>111838.6039</v>
          </cell>
          <cell r="AB30">
            <v>114290.091</v>
          </cell>
          <cell r="AC30">
            <v>116949.137</v>
          </cell>
          <cell r="AD30">
            <v>119826.2181</v>
          </cell>
          <cell r="AE30">
            <v>122909.5803</v>
          </cell>
          <cell r="AF30">
            <v>126176.6054</v>
          </cell>
          <cell r="AG30">
            <v>129609.2883</v>
          </cell>
          <cell r="AH30">
            <v>133197.75810000001</v>
          </cell>
          <cell r="AI30">
            <v>136937.80549999999</v>
          </cell>
          <cell r="AJ30">
            <v>140832.56109999999</v>
          </cell>
          <cell r="AK30">
            <v>144896.2273</v>
          </cell>
        </row>
        <row r="31">
          <cell r="B31">
            <v>78079.915919999999</v>
          </cell>
          <cell r="C31">
            <v>79073.099310000005</v>
          </cell>
          <cell r="D31">
            <v>80125.090830000001</v>
          </cell>
          <cell r="E31">
            <v>81234.265880000006</v>
          </cell>
          <cell r="F31">
            <v>82407.757949999999</v>
          </cell>
          <cell r="G31">
            <v>83643.716360000006</v>
          </cell>
          <cell r="H31">
            <v>84883.193060000005</v>
          </cell>
          <cell r="I31">
            <v>86119.836039999995</v>
          </cell>
          <cell r="J31">
            <v>87353.511140000002</v>
          </cell>
          <cell r="K31">
            <v>88589.9617</v>
          </cell>
          <cell r="L31">
            <v>89874.557629999996</v>
          </cell>
          <cell r="M31">
            <v>91154.619120000003</v>
          </cell>
          <cell r="N31">
            <v>92418.131219999996</v>
          </cell>
          <cell r="O31">
            <v>93602.495809999993</v>
          </cell>
          <cell r="P31">
            <v>94738.788750000007</v>
          </cell>
          <cell r="Q31">
            <v>95861.585590000002</v>
          </cell>
          <cell r="R31">
            <v>97033.493040000001</v>
          </cell>
          <cell r="S31">
            <v>98296.867629999993</v>
          </cell>
          <cell r="T31">
            <v>99676.148780000003</v>
          </cell>
          <cell r="U31">
            <v>101180.8655</v>
          </cell>
          <cell r="V31">
            <v>102791.9445</v>
          </cell>
          <cell r="W31">
            <v>104558.455</v>
          </cell>
          <cell r="X31">
            <v>106483.8919</v>
          </cell>
          <cell r="Y31">
            <v>108575.0276</v>
          </cell>
          <cell r="Z31">
            <v>110830.17509999999</v>
          </cell>
          <cell r="AA31">
            <v>113169.3336</v>
          </cell>
          <cell r="AB31">
            <v>115678.4203</v>
          </cell>
          <cell r="AC31">
            <v>118358.3821</v>
          </cell>
          <cell r="AD31">
            <v>121211.7047</v>
          </cell>
          <cell r="AE31">
            <v>124216.0371</v>
          </cell>
          <cell r="AF31">
            <v>127337.00260000001</v>
          </cell>
          <cell r="AG31">
            <v>130543.8646</v>
          </cell>
          <cell r="AH31">
            <v>133811.86869999999</v>
          </cell>
          <cell r="AI31">
            <v>137118.27739999999</v>
          </cell>
          <cell r="AJ31">
            <v>140441.0871</v>
          </cell>
          <cell r="AK31">
            <v>143758.533</v>
          </cell>
        </row>
        <row r="32">
          <cell r="B32">
            <v>15431.506740000001</v>
          </cell>
          <cell r="C32">
            <v>15775.111569999999</v>
          </cell>
          <cell r="D32">
            <v>16107.43512</v>
          </cell>
          <cell r="E32">
            <v>16430.096160000001</v>
          </cell>
          <cell r="F32">
            <v>16755.654839999999</v>
          </cell>
          <cell r="G32">
            <v>17089.17757</v>
          </cell>
          <cell r="H32">
            <v>17430.6005</v>
          </cell>
          <cell r="I32">
            <v>17701.30947</v>
          </cell>
          <cell r="J32">
            <v>18078.744070000001</v>
          </cell>
          <cell r="K32">
            <v>18753.903569999999</v>
          </cell>
          <cell r="L32">
            <v>19483.631020000001</v>
          </cell>
          <cell r="M32">
            <v>20209.127130000001</v>
          </cell>
          <cell r="N32">
            <v>20848.49756</v>
          </cell>
          <cell r="O32">
            <v>21365.896629999999</v>
          </cell>
          <cell r="P32">
            <v>21813.624830000001</v>
          </cell>
          <cell r="Q32">
            <v>22220.947700000001</v>
          </cell>
          <cell r="R32">
            <v>22637.995009999999</v>
          </cell>
          <cell r="S32">
            <v>23087.737069999999</v>
          </cell>
          <cell r="T32">
            <v>23587.573509999998</v>
          </cell>
          <cell r="U32">
            <v>24141.356159999999</v>
          </cell>
          <cell r="V32">
            <v>24752.623670000001</v>
          </cell>
          <cell r="W32">
            <v>25428.857339999999</v>
          </cell>
          <cell r="X32">
            <v>26180.83898</v>
          </cell>
          <cell r="Y32">
            <v>27004.783579999999</v>
          </cell>
          <cell r="Z32">
            <v>27889.241269999999</v>
          </cell>
          <cell r="AA32">
            <v>28826.46111</v>
          </cell>
          <cell r="AB32">
            <v>29837.409210000002</v>
          </cell>
          <cell r="AC32">
            <v>30958.557970000002</v>
          </cell>
          <cell r="AD32">
            <v>32187.2255</v>
          </cell>
          <cell r="AE32">
            <v>33498.298669999996</v>
          </cell>
          <cell r="AF32">
            <v>34863.726289999999</v>
          </cell>
          <cell r="AG32">
            <v>36277.078479999996</v>
          </cell>
          <cell r="AH32">
            <v>37745.637459999998</v>
          </cell>
          <cell r="AI32">
            <v>39264.470309999997</v>
          </cell>
          <cell r="AJ32">
            <v>40824.615230000003</v>
          </cell>
          <cell r="AK32">
            <v>42415.220540000002</v>
          </cell>
        </row>
        <row r="33">
          <cell r="B33">
            <v>15431.506740000001</v>
          </cell>
          <cell r="C33">
            <v>15775.111569999999</v>
          </cell>
          <cell r="D33">
            <v>16107.43513</v>
          </cell>
          <cell r="E33">
            <v>16430.096160000001</v>
          </cell>
          <cell r="F33">
            <v>16755.654839999999</v>
          </cell>
          <cell r="G33">
            <v>17089.17757</v>
          </cell>
          <cell r="H33">
            <v>17425.473969999999</v>
          </cell>
          <cell r="I33">
            <v>17759.43333</v>
          </cell>
          <cell r="J33">
            <v>18088.766329999999</v>
          </cell>
          <cell r="K33">
            <v>18413.947120000001</v>
          </cell>
          <cell r="L33">
            <v>18737.2552</v>
          </cell>
          <cell r="M33">
            <v>19059.52075</v>
          </cell>
          <cell r="N33">
            <v>19363.529470000001</v>
          </cell>
          <cell r="O33">
            <v>19612.940070000001</v>
          </cell>
          <cell r="P33">
            <v>19839.7294</v>
          </cell>
          <cell r="Q33">
            <v>20067.934020000001</v>
          </cell>
          <cell r="R33">
            <v>20321.675080000001</v>
          </cell>
          <cell r="S33">
            <v>20620.006239999999</v>
          </cell>
          <cell r="T33">
            <v>20973.912069999998</v>
          </cell>
          <cell r="U33">
            <v>21385.52781</v>
          </cell>
          <cell r="V33">
            <v>21856.6479</v>
          </cell>
          <cell r="W33">
            <v>22387.203249999999</v>
          </cell>
          <cell r="X33">
            <v>22981.24379</v>
          </cell>
          <cell r="Y33">
            <v>23638.61951</v>
          </cell>
          <cell r="Z33">
            <v>24354.16301</v>
          </cell>
          <cell r="AA33">
            <v>25125.394209999999</v>
          </cell>
          <cell r="AB33">
            <v>25952.4552</v>
          </cell>
          <cell r="AC33">
            <v>26841.018639999998</v>
          </cell>
          <cell r="AD33">
            <v>27789.133129999998</v>
          </cell>
          <cell r="AE33">
            <v>28779.643960000001</v>
          </cell>
          <cell r="AF33">
            <v>29792.56637</v>
          </cell>
          <cell r="AG33">
            <v>30814.838370000001</v>
          </cell>
          <cell r="AH33">
            <v>31839.451499999999</v>
          </cell>
          <cell r="AI33">
            <v>32861.277499999997</v>
          </cell>
          <cell r="AJ33">
            <v>33875.717400000001</v>
          </cell>
          <cell r="AK33">
            <v>34878.104330000002</v>
          </cell>
        </row>
        <row r="34">
          <cell r="B34">
            <v>20625.000660000002</v>
          </cell>
          <cell r="C34">
            <v>20975.099259999999</v>
          </cell>
          <cell r="D34">
            <v>21335.750410000001</v>
          </cell>
          <cell r="E34">
            <v>21687.633290000002</v>
          </cell>
          <cell r="F34">
            <v>22066.980810000001</v>
          </cell>
          <cell r="G34">
            <v>22487.225760000001</v>
          </cell>
          <cell r="H34">
            <v>22939.953560000002</v>
          </cell>
          <cell r="I34">
            <v>23188.196080000002</v>
          </cell>
          <cell r="J34">
            <v>23397.259569999998</v>
          </cell>
          <cell r="K34">
            <v>23783.86306</v>
          </cell>
          <cell r="L34">
            <v>24214.293300000001</v>
          </cell>
          <cell r="M34">
            <v>24703.557049999999</v>
          </cell>
          <cell r="N34">
            <v>25219.325260000001</v>
          </cell>
          <cell r="O34">
            <v>25720.480439999999</v>
          </cell>
          <cell r="P34">
            <v>26221.891220000001</v>
          </cell>
          <cell r="Q34">
            <v>26727.380140000001</v>
          </cell>
          <cell r="R34">
            <v>27210.803309999999</v>
          </cell>
          <cell r="S34">
            <v>27693.662710000001</v>
          </cell>
          <cell r="T34">
            <v>28195.531510000001</v>
          </cell>
          <cell r="U34">
            <v>28731.76064</v>
          </cell>
          <cell r="V34">
            <v>29309.758519999999</v>
          </cell>
          <cell r="W34">
            <v>29953.231879999999</v>
          </cell>
          <cell r="X34">
            <v>30676.905480000001</v>
          </cell>
          <cell r="Y34">
            <v>31488.090889999999</v>
          </cell>
          <cell r="Z34">
            <v>32387.83195</v>
          </cell>
          <cell r="AA34">
            <v>33356.922659999997</v>
          </cell>
          <cell r="AB34">
            <v>34431.191460000002</v>
          </cell>
          <cell r="AC34">
            <v>35632.785759999999</v>
          </cell>
          <cell r="AD34">
            <v>36972.125959999998</v>
          </cell>
          <cell r="AE34">
            <v>38445.528440000002</v>
          </cell>
          <cell r="AF34">
            <v>40044.201029999997</v>
          </cell>
          <cell r="AG34">
            <v>41767.790240000002</v>
          </cell>
          <cell r="AH34">
            <v>43623.692219999997</v>
          </cell>
          <cell r="AI34">
            <v>45616.855649999998</v>
          </cell>
          <cell r="AJ34">
            <v>47752.723740000001</v>
          </cell>
          <cell r="AK34">
            <v>50039.387329999998</v>
          </cell>
        </row>
        <row r="35">
          <cell r="B35">
            <v>20625.000660000002</v>
          </cell>
          <cell r="C35">
            <v>20975.099259999999</v>
          </cell>
          <cell r="D35">
            <v>21335.750400000001</v>
          </cell>
          <cell r="E35">
            <v>21687.633290000002</v>
          </cell>
          <cell r="F35">
            <v>22066.980810000001</v>
          </cell>
          <cell r="G35">
            <v>22487.225750000001</v>
          </cell>
          <cell r="H35">
            <v>22933.472679999999</v>
          </cell>
          <cell r="I35">
            <v>23399.015899999999</v>
          </cell>
          <cell r="J35">
            <v>23879.187569999998</v>
          </cell>
          <cell r="K35">
            <v>24372.010689999999</v>
          </cell>
          <cell r="L35">
            <v>24886.69976</v>
          </cell>
          <cell r="M35">
            <v>25409.712360000001</v>
          </cell>
          <cell r="N35">
            <v>25927.658309999999</v>
          </cell>
          <cell r="O35">
            <v>26408.542979999998</v>
          </cell>
          <cell r="P35">
            <v>26869.003280000001</v>
          </cell>
          <cell r="Q35">
            <v>27323.972229999999</v>
          </cell>
          <cell r="R35">
            <v>27795.49035</v>
          </cell>
          <cell r="S35">
            <v>28298.797149999999</v>
          </cell>
          <cell r="T35">
            <v>28843.829409999998</v>
          </cell>
          <cell r="U35">
            <v>29435.484349999999</v>
          </cell>
          <cell r="V35">
            <v>30071.97306</v>
          </cell>
          <cell r="W35">
            <v>30768.960289999999</v>
          </cell>
          <cell r="X35">
            <v>31534.11147</v>
          </cell>
          <cell r="Y35">
            <v>32372.538069999999</v>
          </cell>
          <cell r="Z35">
            <v>33284.615850000002</v>
          </cell>
          <cell r="AA35">
            <v>34249.08423</v>
          </cell>
          <cell r="AB35">
            <v>35288.4015</v>
          </cell>
          <cell r="AC35">
            <v>36410.179360000002</v>
          </cell>
          <cell r="AD35">
            <v>37617.237280000001</v>
          </cell>
          <cell r="AE35">
            <v>38900.307240000002</v>
          </cell>
          <cell r="AF35">
            <v>40244.765229999997</v>
          </cell>
          <cell r="AG35">
            <v>41637.96615</v>
          </cell>
          <cell r="AH35">
            <v>43069.685100000002</v>
          </cell>
          <cell r="AI35">
            <v>44529.890890000002</v>
          </cell>
          <cell r="AJ35">
            <v>46008.251519999998</v>
          </cell>
          <cell r="AK35">
            <v>47493.989690000002</v>
          </cell>
        </row>
        <row r="36">
          <cell r="B36">
            <v>2017586.2379999999</v>
          </cell>
          <cell r="C36">
            <v>2046965.72</v>
          </cell>
          <cell r="D36">
            <v>2079754.8130000001</v>
          </cell>
          <cell r="E36">
            <v>2115507.2519999999</v>
          </cell>
          <cell r="F36">
            <v>2153350.3339999998</v>
          </cell>
          <cell r="G36">
            <v>2193016.83</v>
          </cell>
          <cell r="H36">
            <v>2233483.5260000001</v>
          </cell>
          <cell r="I36">
            <v>2269537.21</v>
          </cell>
          <cell r="J36">
            <v>2305577.4019999998</v>
          </cell>
          <cell r="K36">
            <v>2350880.6490000002</v>
          </cell>
          <cell r="L36">
            <v>2400077.196</v>
          </cell>
          <cell r="M36">
            <v>2449611.1370000001</v>
          </cell>
          <cell r="N36">
            <v>2498631.08</v>
          </cell>
          <cell r="O36">
            <v>2545634.9929999998</v>
          </cell>
          <cell r="P36">
            <v>2591623.2910000002</v>
          </cell>
          <cell r="Q36">
            <v>2637366.4959999998</v>
          </cell>
          <cell r="R36">
            <v>2683028.6869999999</v>
          </cell>
          <cell r="S36">
            <v>2729672.4160000002</v>
          </cell>
          <cell r="T36">
            <v>2778109.8709999998</v>
          </cell>
          <cell r="U36">
            <v>2828943.267</v>
          </cell>
          <cell r="V36">
            <v>2881843.3229999999</v>
          </cell>
          <cell r="W36">
            <v>2938549.0729999999</v>
          </cell>
          <cell r="X36">
            <v>2999436.111</v>
          </cell>
          <cell r="Y36">
            <v>3064966.9270000001</v>
          </cell>
          <cell r="Z36">
            <v>3135367.0460000001</v>
          </cell>
          <cell r="AA36">
            <v>3208256.0809999998</v>
          </cell>
          <cell r="AB36">
            <v>3286413.909</v>
          </cell>
          <cell r="AC36">
            <v>3370070.4929999998</v>
          </cell>
          <cell r="AD36">
            <v>3459723.2919999999</v>
          </cell>
          <cell r="AE36">
            <v>3555365.7140000002</v>
          </cell>
          <cell r="AF36">
            <v>3656645.8739999998</v>
          </cell>
          <cell r="AG36">
            <v>3763207.932</v>
          </cell>
          <cell r="AH36">
            <v>3874861.557</v>
          </cell>
          <cell r="AI36">
            <v>3991636.5350000001</v>
          </cell>
          <cell r="AJ36">
            <v>4113838.4019999998</v>
          </cell>
          <cell r="AK36">
            <v>4242197.5010000002</v>
          </cell>
        </row>
        <row r="37">
          <cell r="B37">
            <v>2017586.2379999999</v>
          </cell>
          <cell r="C37">
            <v>2046965.72</v>
          </cell>
          <cell r="D37">
            <v>2079754.8130000001</v>
          </cell>
          <cell r="E37">
            <v>2115507.2519999999</v>
          </cell>
          <cell r="F37">
            <v>2153350.3330000001</v>
          </cell>
          <cell r="G37">
            <v>2193016.83</v>
          </cell>
          <cell r="H37">
            <v>2232848.9380000001</v>
          </cell>
          <cell r="I37">
            <v>2272813.8330000001</v>
          </cell>
          <cell r="J37">
            <v>2313027.84</v>
          </cell>
          <cell r="K37">
            <v>2353703.861</v>
          </cell>
          <cell r="L37">
            <v>2396236.8369999998</v>
          </cell>
          <cell r="M37">
            <v>2439104.1800000002</v>
          </cell>
          <cell r="N37">
            <v>2482048.449</v>
          </cell>
          <cell r="O37">
            <v>2523499.3960000002</v>
          </cell>
          <cell r="P37">
            <v>2563940.0060000001</v>
          </cell>
          <cell r="Q37">
            <v>2604065.477</v>
          </cell>
          <cell r="R37">
            <v>2645354.1060000001</v>
          </cell>
          <cell r="S37">
            <v>2688783.2259999998</v>
          </cell>
          <cell r="T37">
            <v>2734967.6159999999</v>
          </cell>
          <cell r="U37">
            <v>2784210.6150000002</v>
          </cell>
          <cell r="V37">
            <v>2835935.2510000002</v>
          </cell>
          <cell r="W37">
            <v>2891705.7230000002</v>
          </cell>
          <cell r="X37">
            <v>2951755.1839999999</v>
          </cell>
          <cell r="Y37">
            <v>3016394.7420000001</v>
          </cell>
          <cell r="Z37">
            <v>3085701.1460000002</v>
          </cell>
          <cell r="AA37">
            <v>3157199.7779999999</v>
          </cell>
          <cell r="AB37">
            <v>3233483.3820000002</v>
          </cell>
          <cell r="AC37">
            <v>3314751.0449999999</v>
          </cell>
          <cell r="AD37">
            <v>3401258.3990000002</v>
          </cell>
          <cell r="AE37">
            <v>3492677.0079999999</v>
          </cell>
          <cell r="AF37">
            <v>3588303.71</v>
          </cell>
          <cell r="AG37">
            <v>3687420.5389999999</v>
          </cell>
          <cell r="AH37">
            <v>3789380.84</v>
          </cell>
          <cell r="AI37">
            <v>3893540.5120000001</v>
          </cell>
          <cell r="AJ37">
            <v>3999238.983</v>
          </cell>
          <cell r="AK37">
            <v>4105793.4049999998</v>
          </cell>
        </row>
        <row r="38">
          <cell r="B38">
            <v>540249.26740000001</v>
          </cell>
          <cell r="C38">
            <v>547803.8774</v>
          </cell>
          <cell r="D38">
            <v>556077.51549999998</v>
          </cell>
          <cell r="E38">
            <v>564672.22589999996</v>
          </cell>
          <cell r="F38">
            <v>573546.02890000003</v>
          </cell>
          <cell r="G38">
            <v>582683.37399999995</v>
          </cell>
          <cell r="H38">
            <v>591620.95849999995</v>
          </cell>
          <cell r="I38">
            <v>600613.14919999999</v>
          </cell>
          <cell r="J38">
            <v>609764.61860000005</v>
          </cell>
          <cell r="K38">
            <v>619543.77020000003</v>
          </cell>
          <cell r="L38">
            <v>630496.55489999999</v>
          </cell>
          <cell r="M38">
            <v>640896.01879999996</v>
          </cell>
          <cell r="N38">
            <v>651451.5784</v>
          </cell>
          <cell r="O38">
            <v>662084.89930000005</v>
          </cell>
          <cell r="P38">
            <v>672836.92830000003</v>
          </cell>
          <cell r="Q38">
            <v>683750.16350000002</v>
          </cell>
          <cell r="R38">
            <v>694863.81429999997</v>
          </cell>
          <cell r="S38">
            <v>706232.31420000002</v>
          </cell>
          <cell r="T38">
            <v>717911.36880000005</v>
          </cell>
          <cell r="U38">
            <v>729948.14190000005</v>
          </cell>
          <cell r="V38">
            <v>741766.87479999999</v>
          </cell>
          <cell r="W38">
            <v>754604.93980000005</v>
          </cell>
          <cell r="X38">
            <v>767943.14899999998</v>
          </cell>
          <cell r="Y38">
            <v>781818.80819999997</v>
          </cell>
          <cell r="Z38">
            <v>796258.79810000001</v>
          </cell>
          <cell r="AA38">
            <v>809472.11529999995</v>
          </cell>
          <cell r="AB38">
            <v>824117.65659999999</v>
          </cell>
          <cell r="AC38">
            <v>839369.15319999994</v>
          </cell>
          <cell r="AD38">
            <v>855269.13560000004</v>
          </cell>
          <cell r="AE38">
            <v>871837.86849999998</v>
          </cell>
          <cell r="AF38">
            <v>889076.12679999997</v>
          </cell>
          <cell r="AG38">
            <v>906982.00080000004</v>
          </cell>
          <cell r="AH38">
            <v>925562.78480000002</v>
          </cell>
          <cell r="AI38">
            <v>944843.22900000005</v>
          </cell>
          <cell r="AJ38">
            <v>964871.95550000004</v>
          </cell>
          <cell r="AK38">
            <v>985733.24970000004</v>
          </cell>
        </row>
        <row r="39">
          <cell r="B39">
            <v>540249.26740000001</v>
          </cell>
          <cell r="C39">
            <v>547803.8774</v>
          </cell>
          <cell r="D39">
            <v>556077.51549999998</v>
          </cell>
          <cell r="E39">
            <v>564672.22589999996</v>
          </cell>
          <cell r="F39">
            <v>573546.02890000003</v>
          </cell>
          <cell r="G39">
            <v>582683.37399999995</v>
          </cell>
          <cell r="H39">
            <v>591582.26450000005</v>
          </cell>
          <cell r="I39">
            <v>600665.1851</v>
          </cell>
          <cell r="J39">
            <v>609932.80779999995</v>
          </cell>
          <cell r="K39">
            <v>619391.88199999998</v>
          </cell>
          <cell r="L39">
            <v>629882.80649999995</v>
          </cell>
          <cell r="M39">
            <v>639816.30850000004</v>
          </cell>
          <cell r="N39">
            <v>649927.54760000005</v>
          </cell>
          <cell r="O39">
            <v>660143.27220000001</v>
          </cell>
          <cell r="P39">
            <v>670486.4976</v>
          </cell>
          <cell r="Q39">
            <v>680997.99589999998</v>
          </cell>
          <cell r="R39">
            <v>691769.69</v>
          </cell>
          <cell r="S39">
            <v>702866.63639999996</v>
          </cell>
          <cell r="T39">
            <v>714336.12549999997</v>
          </cell>
          <cell r="U39">
            <v>726208.71730000002</v>
          </cell>
          <cell r="V39">
            <v>737894.13190000004</v>
          </cell>
          <cell r="W39">
            <v>750618.91229999997</v>
          </cell>
          <cell r="X39">
            <v>763853.81660000002</v>
          </cell>
          <cell r="Y39">
            <v>777625.46660000004</v>
          </cell>
          <cell r="Z39">
            <v>791950.52150000003</v>
          </cell>
          <cell r="AA39">
            <v>805031.02930000005</v>
          </cell>
          <cell r="AB39">
            <v>819514.8432</v>
          </cell>
          <cell r="AC39">
            <v>834567.52009999997</v>
          </cell>
          <cell r="AD39">
            <v>850211.86320000002</v>
          </cell>
          <cell r="AE39">
            <v>866443.80390000006</v>
          </cell>
          <cell r="AF39">
            <v>883237.29040000006</v>
          </cell>
          <cell r="AG39">
            <v>900560.82779999997</v>
          </cell>
          <cell r="AH39">
            <v>918382.75230000005</v>
          </cell>
          <cell r="AI39">
            <v>936670.84120000002</v>
          </cell>
          <cell r="AJ39">
            <v>955392.38329999999</v>
          </cell>
          <cell r="AK39">
            <v>974512.32259999996</v>
          </cell>
        </row>
        <row r="40">
          <cell r="B40">
            <v>4213.3121289999999</v>
          </cell>
          <cell r="C40">
            <v>4259.8401350000004</v>
          </cell>
          <cell r="D40">
            <v>4309.8684400000002</v>
          </cell>
          <cell r="E40">
            <v>4362.053328</v>
          </cell>
          <cell r="F40">
            <v>4420.780874</v>
          </cell>
          <cell r="G40">
            <v>4485.6903240000001</v>
          </cell>
          <cell r="H40">
            <v>4554.607755</v>
          </cell>
          <cell r="I40">
            <v>4580.4259089999996</v>
          </cell>
          <cell r="J40">
            <v>4601.8277129999997</v>
          </cell>
          <cell r="K40">
            <v>4640.2490120000002</v>
          </cell>
          <cell r="L40">
            <v>4683.9844110000004</v>
          </cell>
          <cell r="M40">
            <v>4729.7907240000004</v>
          </cell>
          <cell r="N40">
            <v>4773.6501129999997</v>
          </cell>
          <cell r="O40">
            <v>4812.6164680000002</v>
          </cell>
          <cell r="P40">
            <v>4849.4419470000003</v>
          </cell>
          <cell r="Q40">
            <v>4886.3681459999998</v>
          </cell>
          <cell r="R40">
            <v>4934.9291730000004</v>
          </cell>
          <cell r="S40">
            <v>4986.7786409999999</v>
          </cell>
          <cell r="T40">
            <v>5044.0753279999999</v>
          </cell>
          <cell r="U40">
            <v>5108.1645330000001</v>
          </cell>
          <cell r="V40">
            <v>5179.2392390000005</v>
          </cell>
          <cell r="W40">
            <v>5259.7852510000002</v>
          </cell>
          <cell r="X40">
            <v>5351.0784009999998</v>
          </cell>
          <cell r="Y40">
            <v>5453.692419</v>
          </cell>
          <cell r="Z40">
            <v>5567.5751630000004</v>
          </cell>
          <cell r="AA40">
            <v>5689.761544</v>
          </cell>
          <cell r="AB40">
            <v>5820.4715029999998</v>
          </cell>
          <cell r="AC40">
            <v>5964.5423659999997</v>
          </cell>
          <cell r="AD40">
            <v>6122.2101510000002</v>
          </cell>
          <cell r="AE40">
            <v>6292.0550569999996</v>
          </cell>
          <cell r="AF40">
            <v>6472.123646</v>
          </cell>
          <cell r="AG40">
            <v>6661.3365990000002</v>
          </cell>
          <cell r="AH40">
            <v>6859.4568250000002</v>
          </cell>
          <cell r="AI40">
            <v>7066.2916649999997</v>
          </cell>
          <cell r="AJ40">
            <v>7282.0897999999997</v>
          </cell>
          <cell r="AK40">
            <v>7507.871588</v>
          </cell>
        </row>
        <row r="41">
          <cell r="B41">
            <v>4213.3121270000001</v>
          </cell>
          <cell r="C41">
            <v>4259.8401329999997</v>
          </cell>
          <cell r="D41">
            <v>4309.8684389999999</v>
          </cell>
          <cell r="E41">
            <v>4362.0533269999996</v>
          </cell>
          <cell r="F41">
            <v>4420.780874</v>
          </cell>
          <cell r="G41">
            <v>4485.6903240000001</v>
          </cell>
          <cell r="H41">
            <v>4552.4336130000002</v>
          </cell>
          <cell r="I41">
            <v>4619.4367329999995</v>
          </cell>
          <cell r="J41">
            <v>4686.226334</v>
          </cell>
          <cell r="K41">
            <v>4753.0190670000002</v>
          </cell>
          <cell r="L41">
            <v>4821.7674800000004</v>
          </cell>
          <cell r="M41">
            <v>4890.7846550000004</v>
          </cell>
          <cell r="N41">
            <v>4958.3819149999999</v>
          </cell>
          <cell r="O41">
            <v>5020.2668809999996</v>
          </cell>
          <cell r="P41">
            <v>5078.9144050000004</v>
          </cell>
          <cell r="Q41">
            <v>5137.1097650000002</v>
          </cell>
          <cell r="R41">
            <v>5199.6484479999999</v>
          </cell>
          <cell r="S41">
            <v>5269.5945949999996</v>
          </cell>
          <cell r="T41">
            <v>5348.6788649999999</v>
          </cell>
          <cell r="U41">
            <v>5437.4648820000002</v>
          </cell>
          <cell r="V41">
            <v>5535.2755729999999</v>
          </cell>
          <cell r="W41">
            <v>5643.7012999999997</v>
          </cell>
          <cell r="X41">
            <v>5763.3022010000004</v>
          </cell>
          <cell r="Y41">
            <v>5894.3297670000002</v>
          </cell>
          <cell r="Z41">
            <v>6036.4691620000003</v>
          </cell>
          <cell r="AA41">
            <v>6186.4058450000002</v>
          </cell>
          <cell r="AB41">
            <v>6346.6201899999996</v>
          </cell>
          <cell r="AC41">
            <v>6517.7814950000002</v>
          </cell>
          <cell r="AD41">
            <v>6699.8642090000003</v>
          </cell>
          <cell r="AE41">
            <v>6891.0328920000002</v>
          </cell>
          <cell r="AF41">
            <v>7088.7225479999997</v>
          </cell>
          <cell r="AG41">
            <v>7290.7739270000002</v>
          </cell>
          <cell r="AH41">
            <v>7495.5860979999998</v>
          </cell>
          <cell r="AI41">
            <v>7701.7942510000003</v>
          </cell>
          <cell r="AJ41">
            <v>7908.1336279999996</v>
          </cell>
          <cell r="AK41">
            <v>8113.3829400000004</v>
          </cell>
        </row>
        <row r="42">
          <cell r="B42">
            <v>35350.668339999997</v>
          </cell>
          <cell r="C42">
            <v>35534.063249999999</v>
          </cell>
          <cell r="D42">
            <v>35690.150990000002</v>
          </cell>
          <cell r="E42">
            <v>35849.205049999997</v>
          </cell>
          <cell r="F42">
            <v>36100.041190000004</v>
          </cell>
          <cell r="G42">
            <v>36432.024279999998</v>
          </cell>
          <cell r="H42">
            <v>36819.469469999996</v>
          </cell>
          <cell r="I42">
            <v>36337.011109999999</v>
          </cell>
          <cell r="J42">
            <v>35838.138460000002</v>
          </cell>
          <cell r="K42">
            <v>35462.499060000002</v>
          </cell>
          <cell r="L42">
            <v>35090.316619999998</v>
          </cell>
          <cell r="M42">
            <v>34741.665459999997</v>
          </cell>
          <cell r="N42">
            <v>34390.671869999998</v>
          </cell>
          <cell r="O42">
            <v>34012.672279999999</v>
          </cell>
          <cell r="P42">
            <v>33626.178469999999</v>
          </cell>
          <cell r="Q42">
            <v>33239.371720000003</v>
          </cell>
          <cell r="R42">
            <v>32797.581639999997</v>
          </cell>
          <cell r="S42">
            <v>32346.249500000002</v>
          </cell>
          <cell r="T42">
            <v>31892.978869999999</v>
          </cell>
          <cell r="U42">
            <v>31441.39417</v>
          </cell>
          <cell r="V42">
            <v>30990.81812</v>
          </cell>
          <cell r="W42">
            <v>30548.661459999999</v>
          </cell>
          <cell r="X42">
            <v>30117.277470000001</v>
          </cell>
          <cell r="Y42">
            <v>29696.42452</v>
          </cell>
          <cell r="Z42">
            <v>29282.80948</v>
          </cell>
          <cell r="AA42">
            <v>28864.089810000001</v>
          </cell>
          <cell r="AB42">
            <v>28459.894820000001</v>
          </cell>
          <cell r="AC42">
            <v>28062.095410000002</v>
          </cell>
          <cell r="AD42">
            <v>27667.520759999999</v>
          </cell>
          <cell r="AE42">
            <v>27265.283800000001</v>
          </cell>
          <cell r="AF42">
            <v>26841.930130000001</v>
          </cell>
          <cell r="AG42">
            <v>26386.858199999999</v>
          </cell>
          <cell r="AH42">
            <v>25892.304599999999</v>
          </cell>
          <cell r="AI42">
            <v>25350.912069999998</v>
          </cell>
          <cell r="AJ42">
            <v>24756.171630000001</v>
          </cell>
          <cell r="AK42">
            <v>24103.212019999999</v>
          </cell>
        </row>
        <row r="43">
          <cell r="B43">
            <v>35350.668230000003</v>
          </cell>
          <cell r="C43">
            <v>35534.063139999998</v>
          </cell>
          <cell r="D43">
            <v>35690.150889999997</v>
          </cell>
          <cell r="E43">
            <v>35849.204949999999</v>
          </cell>
          <cell r="F43">
            <v>36100.041100000002</v>
          </cell>
          <cell r="G43">
            <v>36432.02418</v>
          </cell>
          <cell r="H43">
            <v>36798.854659999997</v>
          </cell>
          <cell r="I43">
            <v>37174.869830000003</v>
          </cell>
          <cell r="J43">
            <v>37549.477010000002</v>
          </cell>
          <cell r="K43">
            <v>37921.25404</v>
          </cell>
          <cell r="L43">
            <v>38299.773130000001</v>
          </cell>
          <cell r="M43">
            <v>38677.504399999998</v>
          </cell>
          <cell r="N43">
            <v>39046.65913</v>
          </cell>
          <cell r="O43">
            <v>39384.601620000001</v>
          </cell>
          <cell r="P43">
            <v>39703.905100000004</v>
          </cell>
          <cell r="Q43">
            <v>40018.190799999997</v>
          </cell>
          <cell r="R43">
            <v>40360.163289999997</v>
          </cell>
          <cell r="S43">
            <v>40749.133280000002</v>
          </cell>
          <cell r="T43">
            <v>41192.584849999999</v>
          </cell>
          <cell r="U43">
            <v>41690.626349999999</v>
          </cell>
          <cell r="V43">
            <v>42237.759910000001</v>
          </cell>
          <cell r="W43">
            <v>42840.175040000002</v>
          </cell>
          <cell r="X43">
            <v>43500.314709999999</v>
          </cell>
          <cell r="Y43">
            <v>44219.897790000003</v>
          </cell>
          <cell r="Z43">
            <v>44997.818489999998</v>
          </cell>
          <cell r="AA43">
            <v>45819.599889999998</v>
          </cell>
          <cell r="AB43">
            <v>46698.911619999999</v>
          </cell>
          <cell r="AC43">
            <v>47640.899859999998</v>
          </cell>
          <cell r="AD43">
            <v>48647.157619999998</v>
          </cell>
          <cell r="AE43">
            <v>49709.782590000003</v>
          </cell>
          <cell r="AF43">
            <v>50816.48962</v>
          </cell>
          <cell r="AG43">
            <v>51956.467470000003</v>
          </cell>
          <cell r="AH43">
            <v>53121.148979999998</v>
          </cell>
          <cell r="AI43">
            <v>54302.514690000004</v>
          </cell>
          <cell r="AJ43">
            <v>55492.363369999999</v>
          </cell>
          <cell r="AK43">
            <v>56682.053619999999</v>
          </cell>
        </row>
        <row r="44">
          <cell r="B44">
            <v>3918.7916530000002</v>
          </cell>
          <cell r="C44">
            <v>3928.3544860000002</v>
          </cell>
          <cell r="D44">
            <v>3933.701125</v>
          </cell>
          <cell r="E44">
            <v>3941.5806170000001</v>
          </cell>
          <cell r="F44">
            <v>3960.5454340000001</v>
          </cell>
          <cell r="G44">
            <v>3989.407099</v>
          </cell>
          <cell r="H44">
            <v>4025.0941539999999</v>
          </cell>
          <cell r="I44">
            <v>4914.2597219999998</v>
          </cell>
          <cell r="J44">
            <v>5832.7557969999998</v>
          </cell>
          <cell r="K44">
            <v>6789.8043040000002</v>
          </cell>
          <cell r="L44">
            <v>7784.3822200000004</v>
          </cell>
          <cell r="M44">
            <v>8825.7312000000002</v>
          </cell>
          <cell r="N44">
            <v>9914.4892369999998</v>
          </cell>
          <cell r="O44">
            <v>11048.745639999999</v>
          </cell>
          <cell r="P44">
            <v>12230.48972</v>
          </cell>
          <cell r="Q44">
            <v>13461.82971</v>
          </cell>
          <cell r="R44">
            <v>14738.62376</v>
          </cell>
          <cell r="S44">
            <v>16065.001850000001</v>
          </cell>
          <cell r="T44">
            <v>17446.534390000001</v>
          </cell>
          <cell r="U44">
            <v>18889.070029999999</v>
          </cell>
          <cell r="V44">
            <v>20397.35224</v>
          </cell>
          <cell r="W44">
            <v>21980.630550000002</v>
          </cell>
          <cell r="X44">
            <v>23647.796839999999</v>
          </cell>
          <cell r="Y44">
            <v>25407.928110000001</v>
          </cell>
          <cell r="Z44">
            <v>27270.12988</v>
          </cell>
          <cell r="AA44">
            <v>29237.817889999998</v>
          </cell>
          <cell r="AB44">
            <v>31328.103899999998</v>
          </cell>
          <cell r="AC44">
            <v>33558.301229999997</v>
          </cell>
          <cell r="AD44">
            <v>35945.474399999999</v>
          </cell>
          <cell r="AE44">
            <v>38505.386630000001</v>
          </cell>
          <cell r="AF44">
            <v>41254.138209999997</v>
          </cell>
          <cell r="AG44">
            <v>44212.059220000003</v>
          </cell>
          <cell r="AH44">
            <v>47405.93101</v>
          </cell>
          <cell r="AI44">
            <v>50869.795189999997</v>
          </cell>
          <cell r="AJ44">
            <v>54650.246630000001</v>
          </cell>
          <cell r="AK44">
            <v>58816.20059</v>
          </cell>
        </row>
        <row r="45">
          <cell r="B45">
            <v>3918.7916530000002</v>
          </cell>
          <cell r="C45">
            <v>3928.3544849999998</v>
          </cell>
          <cell r="D45">
            <v>3933.7011240000002</v>
          </cell>
          <cell r="E45">
            <v>3941.5806160000002</v>
          </cell>
          <cell r="F45">
            <v>3960.5454319999999</v>
          </cell>
          <cell r="G45">
            <v>3989.4070980000001</v>
          </cell>
          <cell r="H45">
            <v>4024.2793660000002</v>
          </cell>
          <cell r="I45">
            <v>4061.781011</v>
          </cell>
          <cell r="J45">
            <v>4100.1337030000004</v>
          </cell>
          <cell r="K45">
            <v>4138.6880350000001</v>
          </cell>
          <cell r="L45">
            <v>4177.9658730000001</v>
          </cell>
          <cell r="M45">
            <v>4217.2947679999997</v>
          </cell>
          <cell r="N45">
            <v>4256.2335249999996</v>
          </cell>
          <cell r="O45">
            <v>4293.4818999999998</v>
          </cell>
          <cell r="P45">
            <v>4329.4289719999997</v>
          </cell>
          <cell r="Q45">
            <v>4364.6670480000002</v>
          </cell>
          <cell r="R45">
            <v>4401.0650409999998</v>
          </cell>
          <cell r="S45">
            <v>4440.2942169999997</v>
          </cell>
          <cell r="T45">
            <v>4483.0571129999998</v>
          </cell>
          <cell r="U45">
            <v>4529.4357529999997</v>
          </cell>
          <cell r="V45">
            <v>4578.9367759999996</v>
          </cell>
          <cell r="W45">
            <v>4632.0202140000001</v>
          </cell>
          <cell r="X45">
            <v>4688.8307619999996</v>
          </cell>
          <cell r="Y45">
            <v>4749.5228980000002</v>
          </cell>
          <cell r="Z45">
            <v>4814.1448520000004</v>
          </cell>
          <cell r="AA45">
            <v>4881.5540149999997</v>
          </cell>
          <cell r="AB45">
            <v>4952.8119159999997</v>
          </cell>
          <cell r="AC45">
            <v>5028.3349669999998</v>
          </cell>
          <cell r="AD45">
            <v>5108.3566639999999</v>
          </cell>
          <cell r="AE45">
            <v>5192.5750909999997</v>
          </cell>
          <cell r="AF45">
            <v>5280.3554969999996</v>
          </cell>
          <cell r="AG45">
            <v>5371.0206630000002</v>
          </cell>
          <cell r="AH45">
            <v>5463.9206940000004</v>
          </cell>
          <cell r="AI45">
            <v>5558.3729970000004</v>
          </cell>
          <cell r="AJ45">
            <v>5653.6434079999999</v>
          </cell>
          <cell r="AK45">
            <v>5748.9479959999999</v>
          </cell>
        </row>
        <row r="46">
          <cell r="B46">
            <v>398.34881999999999</v>
          </cell>
          <cell r="C46">
            <v>399.26011849999998</v>
          </cell>
          <cell r="D46">
            <v>400.14936310000002</v>
          </cell>
          <cell r="E46">
            <v>400.53842450000002</v>
          </cell>
          <cell r="F46">
            <v>402.56907109999997</v>
          </cell>
          <cell r="G46">
            <v>405.70843430000002</v>
          </cell>
          <cell r="H46">
            <v>409.80558139999999</v>
          </cell>
          <cell r="I46">
            <v>390.72789799999998</v>
          </cell>
          <cell r="J46">
            <v>372.23781250000002</v>
          </cell>
          <cell r="K46">
            <v>356.02411369999999</v>
          </cell>
          <cell r="L46">
            <v>340.92273740000002</v>
          </cell>
          <cell r="M46">
            <v>327.200017</v>
          </cell>
          <cell r="N46">
            <v>314.10735579999999</v>
          </cell>
          <cell r="O46">
            <v>301.21887320000002</v>
          </cell>
          <cell r="P46">
            <v>288.5836817</v>
          </cell>
          <cell r="Q46">
            <v>276.22922499999999</v>
          </cell>
          <cell r="R46">
            <v>263.74481969999999</v>
          </cell>
          <cell r="S46">
            <v>251.34414939999999</v>
          </cell>
          <cell r="T46">
            <v>239.142627</v>
          </cell>
          <cell r="U46">
            <v>227.18244480000001</v>
          </cell>
          <cell r="V46">
            <v>215.42992390000001</v>
          </cell>
          <cell r="W46">
            <v>203.952065</v>
          </cell>
          <cell r="X46">
            <v>192.70973699999999</v>
          </cell>
          <cell r="Y46">
            <v>181.6480392</v>
          </cell>
          <cell r="Z46">
            <v>170.6977693</v>
          </cell>
          <cell r="AA46">
            <v>159.69862910000001</v>
          </cell>
          <cell r="AB46">
            <v>148.6969847</v>
          </cell>
          <cell r="AC46">
            <v>137.64229</v>
          </cell>
          <cell r="AD46">
            <v>126.44609199999999</v>
          </cell>
          <cell r="AE46">
            <v>114.98622450000001</v>
          </cell>
          <cell r="AF46">
            <v>103.13391729999999</v>
          </cell>
          <cell r="AG46">
            <v>90.771486690000003</v>
          </cell>
          <cell r="AH46">
            <v>77.783034850000007</v>
          </cell>
          <cell r="AI46">
            <v>64.036193209999993</v>
          </cell>
          <cell r="AJ46">
            <v>49.368855779999997</v>
          </cell>
          <cell r="AK46">
            <v>33.564905539999998</v>
          </cell>
        </row>
        <row r="47">
          <cell r="B47">
            <v>398.3487973</v>
          </cell>
          <cell r="C47">
            <v>399.26009679999999</v>
          </cell>
          <cell r="D47">
            <v>400.1493423</v>
          </cell>
          <cell r="E47">
            <v>400.53840480000002</v>
          </cell>
          <cell r="F47">
            <v>402.56905180000001</v>
          </cell>
          <cell r="G47">
            <v>405.70841530000001</v>
          </cell>
          <cell r="H47">
            <v>407.68984540000002</v>
          </cell>
          <cell r="I47">
            <v>408.99135649999999</v>
          </cell>
          <cell r="J47">
            <v>409.917686</v>
          </cell>
          <cell r="K47">
            <v>410.68355020000001</v>
          </cell>
          <cell r="L47">
            <v>411.57357189999999</v>
          </cell>
          <cell r="M47">
            <v>412.44489529999998</v>
          </cell>
          <cell r="N47">
            <v>413.25769100000002</v>
          </cell>
          <cell r="O47">
            <v>413.78345309999997</v>
          </cell>
          <cell r="P47">
            <v>414.17320119999999</v>
          </cell>
          <cell r="Q47">
            <v>414.5985</v>
          </cell>
          <cell r="R47">
            <v>416.36086019999999</v>
          </cell>
          <cell r="S47">
            <v>419.17157559999998</v>
          </cell>
          <cell r="T47">
            <v>422.8786144</v>
          </cell>
          <cell r="U47">
            <v>427.3743394</v>
          </cell>
          <cell r="V47">
            <v>432.50937210000001</v>
          </cell>
          <cell r="W47">
            <v>438.39699899999999</v>
          </cell>
          <cell r="X47">
            <v>445.0422724</v>
          </cell>
          <cell r="Y47">
            <v>452.45856140000001</v>
          </cell>
          <cell r="Z47">
            <v>460.6237155</v>
          </cell>
          <cell r="AA47">
            <v>469.25410110000001</v>
          </cell>
          <cell r="AB47">
            <v>478.61999409999999</v>
          </cell>
          <cell r="AC47">
            <v>488.75415529999998</v>
          </cell>
          <cell r="AD47">
            <v>499.65911410000001</v>
          </cell>
          <cell r="AE47">
            <v>511.23685810000001</v>
          </cell>
          <cell r="AF47">
            <v>523.33798890000003</v>
          </cell>
          <cell r="AG47">
            <v>535.82482990000005</v>
          </cell>
          <cell r="AH47">
            <v>548.58835880000004</v>
          </cell>
          <cell r="AI47">
            <v>561.53143350000005</v>
          </cell>
          <cell r="AJ47">
            <v>574.55949450000003</v>
          </cell>
          <cell r="AK47">
            <v>587.5767803</v>
          </cell>
        </row>
        <row r="48">
          <cell r="B48">
            <v>559.21752379999998</v>
          </cell>
          <cell r="C48">
            <v>560.49684000000002</v>
          </cell>
          <cell r="D48">
            <v>561.74519599999996</v>
          </cell>
          <cell r="E48">
            <v>562.29137560000004</v>
          </cell>
          <cell r="F48">
            <v>565.14207599999997</v>
          </cell>
          <cell r="G48">
            <v>569.54923589999999</v>
          </cell>
          <cell r="H48">
            <v>575.30096979999996</v>
          </cell>
          <cell r="I48">
            <v>657.04551930000002</v>
          </cell>
          <cell r="J48">
            <v>736.50921410000001</v>
          </cell>
          <cell r="K48">
            <v>817.76139250000006</v>
          </cell>
          <cell r="L48">
            <v>899.68165920000001</v>
          </cell>
          <cell r="M48">
            <v>984.0375808</v>
          </cell>
          <cell r="N48">
            <v>1069.719981</v>
          </cell>
          <cell r="O48">
            <v>1155.807333</v>
          </cell>
          <cell r="P48">
            <v>1242.748902</v>
          </cell>
          <cell r="Q48">
            <v>1331.033674</v>
          </cell>
          <cell r="R48">
            <v>1418.9235900000001</v>
          </cell>
          <cell r="S48">
            <v>1507.505371</v>
          </cell>
          <cell r="T48">
            <v>1597.7519520000001</v>
          </cell>
          <cell r="U48">
            <v>1690.4874609999999</v>
          </cell>
          <cell r="V48">
            <v>1786.1714939999999</v>
          </cell>
          <cell r="W48">
            <v>1886.2521850000001</v>
          </cell>
          <cell r="X48">
            <v>1991.5949780000001</v>
          </cell>
          <cell r="Y48">
            <v>2103.0547470000001</v>
          </cell>
          <cell r="Z48">
            <v>2221.448535</v>
          </cell>
          <cell r="AA48">
            <v>2346.3697560000001</v>
          </cell>
          <cell r="AB48">
            <v>2480.3023950000002</v>
          </cell>
          <cell r="AC48">
            <v>2625.0197920000001</v>
          </cell>
          <cell r="AD48">
            <v>2782.1048430000001</v>
          </cell>
          <cell r="AE48">
            <v>2952.770325</v>
          </cell>
          <cell r="AF48">
            <v>3138.2445539999999</v>
          </cell>
          <cell r="AG48">
            <v>3340.3968500000001</v>
          </cell>
          <cell r="AH48">
            <v>3562.05006</v>
          </cell>
          <cell r="AI48">
            <v>3807.1471160000001</v>
          </cell>
          <cell r="AJ48">
            <v>4081.4157690000002</v>
          </cell>
          <cell r="AK48">
            <v>4393.4447540000001</v>
          </cell>
        </row>
        <row r="49">
          <cell r="B49">
            <v>559.2176485</v>
          </cell>
          <cell r="C49">
            <v>560.49696640000002</v>
          </cell>
          <cell r="D49">
            <v>561.74532399999998</v>
          </cell>
          <cell r="E49">
            <v>562.29150519999996</v>
          </cell>
          <cell r="F49">
            <v>565.14220709999995</v>
          </cell>
          <cell r="G49">
            <v>569.54936850000001</v>
          </cell>
          <cell r="H49">
            <v>572.33097769999995</v>
          </cell>
          <cell r="I49">
            <v>574.15809000000002</v>
          </cell>
          <cell r="J49">
            <v>575.45850759999996</v>
          </cell>
          <cell r="K49">
            <v>576.53365780000001</v>
          </cell>
          <cell r="L49">
            <v>577.78310520000002</v>
          </cell>
          <cell r="M49">
            <v>579.00630309999997</v>
          </cell>
          <cell r="N49">
            <v>580.14733750000005</v>
          </cell>
          <cell r="O49">
            <v>580.88542289999998</v>
          </cell>
          <cell r="P49">
            <v>581.43256659999997</v>
          </cell>
          <cell r="Q49">
            <v>582.02961779999998</v>
          </cell>
          <cell r="R49">
            <v>584.50368800000001</v>
          </cell>
          <cell r="S49">
            <v>588.44948039999997</v>
          </cell>
          <cell r="T49">
            <v>593.65356680000002</v>
          </cell>
          <cell r="U49">
            <v>599.9648416</v>
          </cell>
          <cell r="V49">
            <v>607.17360159999998</v>
          </cell>
          <cell r="W49">
            <v>615.43888300000003</v>
          </cell>
          <cell r="X49">
            <v>624.76777809999999</v>
          </cell>
          <cell r="Y49">
            <v>635.17905510000003</v>
          </cell>
          <cell r="Z49">
            <v>646.64161839999997</v>
          </cell>
          <cell r="AA49">
            <v>658.75729179999996</v>
          </cell>
          <cell r="AB49">
            <v>671.90549940000005</v>
          </cell>
          <cell r="AC49">
            <v>686.13223189999997</v>
          </cell>
          <cell r="AD49">
            <v>701.44104030000005</v>
          </cell>
          <cell r="AE49">
            <v>717.69433100000003</v>
          </cell>
          <cell r="AF49">
            <v>734.68237250000004</v>
          </cell>
          <cell r="AG49">
            <v>752.21188910000001</v>
          </cell>
          <cell r="AH49">
            <v>770.12983110000005</v>
          </cell>
          <cell r="AI49">
            <v>788.29982629999995</v>
          </cell>
          <cell r="AJ49">
            <v>806.58912880000003</v>
          </cell>
          <cell r="AK49">
            <v>824.86330469999996</v>
          </cell>
        </row>
        <row r="50">
          <cell r="B50">
            <v>46402.331720000002</v>
          </cell>
          <cell r="C50">
            <v>46941.155480000001</v>
          </cell>
          <cell r="D50">
            <v>47396.592700000001</v>
          </cell>
          <cell r="E50">
            <v>47883.634080000003</v>
          </cell>
          <cell r="F50">
            <v>48288.074249999998</v>
          </cell>
          <cell r="G50">
            <v>48690.218390000002</v>
          </cell>
          <cell r="H50">
            <v>49110.869809999997</v>
          </cell>
          <cell r="I50">
            <v>50154.363700000002</v>
          </cell>
          <cell r="J50">
            <v>51361.716740000003</v>
          </cell>
          <cell r="K50">
            <v>52716.551310000003</v>
          </cell>
          <cell r="L50">
            <v>54036.699699999997</v>
          </cell>
          <cell r="M50">
            <v>55139.974600000001</v>
          </cell>
          <cell r="N50">
            <v>56126.09031</v>
          </cell>
          <cell r="O50">
            <v>57048.438459999998</v>
          </cell>
          <cell r="P50">
            <v>57987.601199999997</v>
          </cell>
          <cell r="Q50">
            <v>58992.491190000001</v>
          </cell>
          <cell r="R50">
            <v>60083.646200000003</v>
          </cell>
          <cell r="S50">
            <v>61297.222470000001</v>
          </cell>
          <cell r="T50">
            <v>62638.712780000002</v>
          </cell>
          <cell r="U50">
            <v>64125.306089999998</v>
          </cell>
          <cell r="V50">
            <v>65770.229000000007</v>
          </cell>
          <cell r="W50">
            <v>67631.98057</v>
          </cell>
          <cell r="X50">
            <v>69752.826029999997</v>
          </cell>
          <cell r="Y50">
            <v>72174.245049999998</v>
          </cell>
          <cell r="Z50">
            <v>74938.354919999998</v>
          </cell>
          <cell r="AA50">
            <v>78048.170979999995</v>
          </cell>
          <cell r="AB50">
            <v>81634.054520000005</v>
          </cell>
          <cell r="AC50">
            <v>85781.858489999999</v>
          </cell>
          <cell r="AD50">
            <v>90590.751959999994</v>
          </cell>
          <cell r="AE50">
            <v>96165.647649999999</v>
          </cell>
          <cell r="AF50">
            <v>102636.66559999999</v>
          </cell>
          <cell r="AG50">
            <v>110192.303</v>
          </cell>
          <cell r="AH50">
            <v>119107.3873</v>
          </cell>
          <cell r="AI50">
            <v>129771.6851</v>
          </cell>
          <cell r="AJ50">
            <v>142757.80600000001</v>
          </cell>
          <cell r="AK50">
            <v>158939.89189999999</v>
          </cell>
        </row>
        <row r="51">
          <cell r="B51">
            <v>46402.331709999999</v>
          </cell>
          <cell r="C51">
            <v>46941.155469999998</v>
          </cell>
          <cell r="D51">
            <v>47396.592689999998</v>
          </cell>
          <cell r="E51">
            <v>47883.634059999997</v>
          </cell>
          <cell r="F51">
            <v>48288.074229999998</v>
          </cell>
          <cell r="G51">
            <v>48690.218370000002</v>
          </cell>
          <cell r="H51">
            <v>49128.136509999997</v>
          </cell>
          <cell r="I51">
            <v>49602.660259999997</v>
          </cell>
          <cell r="J51">
            <v>50104.152110000003</v>
          </cell>
          <cell r="K51">
            <v>50621.929389999998</v>
          </cell>
          <cell r="L51">
            <v>51169.275609999997</v>
          </cell>
          <cell r="M51">
            <v>51711.541770000003</v>
          </cell>
          <cell r="N51">
            <v>52234.959920000001</v>
          </cell>
          <cell r="O51">
            <v>52707.859819999998</v>
          </cell>
          <cell r="P51">
            <v>53146.624799999998</v>
          </cell>
          <cell r="Q51">
            <v>53573.409420000004</v>
          </cell>
          <cell r="R51">
            <v>53992.087319999999</v>
          </cell>
          <cell r="S51">
            <v>54434.774429999998</v>
          </cell>
          <cell r="T51">
            <v>54925.800909999998</v>
          </cell>
          <cell r="U51">
            <v>55480.751129999997</v>
          </cell>
          <cell r="V51">
            <v>56098.226340000001</v>
          </cell>
          <cell r="W51">
            <v>56807.041089999999</v>
          </cell>
          <cell r="X51">
            <v>57615.724920000001</v>
          </cell>
          <cell r="Y51">
            <v>58532.158170000002</v>
          </cell>
          <cell r="Z51">
            <v>59558.07099</v>
          </cell>
          <cell r="AA51">
            <v>60654.549619999998</v>
          </cell>
          <cell r="AB51">
            <v>61860.33829</v>
          </cell>
          <cell r="AC51">
            <v>63176.943650000001</v>
          </cell>
          <cell r="AD51">
            <v>64602.233229999998</v>
          </cell>
          <cell r="AE51">
            <v>66119.917490000007</v>
          </cell>
          <cell r="AF51">
            <v>67707.204169999997</v>
          </cell>
          <cell r="AG51">
            <v>69343.394440000004</v>
          </cell>
          <cell r="AH51">
            <v>71011.685190000004</v>
          </cell>
          <cell r="AI51">
            <v>72697.262539999996</v>
          </cell>
          <cell r="AJ51">
            <v>74386.393280000004</v>
          </cell>
          <cell r="AK51">
            <v>76066.061430000002</v>
          </cell>
        </row>
        <row r="52">
          <cell r="B52">
            <v>924.79195589999995</v>
          </cell>
          <cell r="C52">
            <v>935.53063789999999</v>
          </cell>
          <cell r="D52">
            <v>944.60743779999996</v>
          </cell>
          <cell r="E52">
            <v>954.31410400000004</v>
          </cell>
          <cell r="F52">
            <v>962.37453979999998</v>
          </cell>
          <cell r="G52">
            <v>970.38921600000003</v>
          </cell>
          <cell r="H52">
            <v>978.77273979999995</v>
          </cell>
          <cell r="I52">
            <v>987.62956329999997</v>
          </cell>
          <cell r="J52">
            <v>998.65720099999999</v>
          </cell>
          <cell r="K52">
            <v>1011.347978</v>
          </cell>
          <cell r="L52">
            <v>1022.058969</v>
          </cell>
          <cell r="M52">
            <v>1027.3349920000001</v>
          </cell>
          <cell r="N52">
            <v>1029.099661</v>
          </cell>
          <cell r="O52">
            <v>1028.3270319999999</v>
          </cell>
          <cell r="P52">
            <v>1026.4041460000001</v>
          </cell>
          <cell r="Q52">
            <v>1024.054341</v>
          </cell>
          <cell r="R52">
            <v>1021.435482</v>
          </cell>
          <cell r="S52">
            <v>1018.913899</v>
          </cell>
          <cell r="T52">
            <v>1016.275497</v>
          </cell>
          <cell r="U52">
            <v>1013.448132</v>
          </cell>
          <cell r="V52">
            <v>1010.228991</v>
          </cell>
          <cell r="W52">
            <v>1007.016745</v>
          </cell>
          <cell r="X52">
            <v>1003.802518</v>
          </cell>
          <cell r="Y52">
            <v>1000.399875</v>
          </cell>
          <cell r="Z52">
            <v>996.4390985</v>
          </cell>
          <cell r="AA52">
            <v>990.82884530000001</v>
          </cell>
          <cell r="AB52">
            <v>983.84910839999998</v>
          </cell>
          <cell r="AC52">
            <v>974.7305619</v>
          </cell>
          <cell r="AD52">
            <v>962.33294560000002</v>
          </cell>
          <cell r="AE52">
            <v>944.91916070000002</v>
          </cell>
          <cell r="AF52">
            <v>920.17453230000001</v>
          </cell>
          <cell r="AG52">
            <v>885.18854269999997</v>
          </cell>
          <cell r="AH52">
            <v>836.12409869999999</v>
          </cell>
          <cell r="AI52">
            <v>767.56176870000002</v>
          </cell>
          <cell r="AJ52">
            <v>671.58570029999998</v>
          </cell>
          <cell r="AK52">
            <v>536.12889299999995</v>
          </cell>
        </row>
        <row r="53">
          <cell r="B53">
            <v>924.79195579999998</v>
          </cell>
          <cell r="C53">
            <v>935.53063780000002</v>
          </cell>
          <cell r="D53">
            <v>944.60743760000003</v>
          </cell>
          <cell r="E53">
            <v>954.3141038</v>
          </cell>
          <cell r="F53">
            <v>962.37453960000005</v>
          </cell>
          <cell r="G53">
            <v>970.38921579999999</v>
          </cell>
          <cell r="H53">
            <v>979.11686280000004</v>
          </cell>
          <cell r="I53">
            <v>988.57405440000002</v>
          </cell>
          <cell r="J53">
            <v>998.56871669999998</v>
          </cell>
          <cell r="K53">
            <v>1008.8879449999999</v>
          </cell>
          <cell r="L53">
            <v>1019.796478</v>
          </cell>
          <cell r="M53">
            <v>1030.6037670000001</v>
          </cell>
          <cell r="N53">
            <v>1041.0354170000001</v>
          </cell>
          <cell r="O53">
            <v>1050.4602460000001</v>
          </cell>
          <cell r="P53">
            <v>1059.2047700000001</v>
          </cell>
          <cell r="Q53">
            <v>1067.7105280000001</v>
          </cell>
          <cell r="R53">
            <v>1076.0547200000001</v>
          </cell>
          <cell r="S53">
            <v>1084.8774109999999</v>
          </cell>
          <cell r="T53">
            <v>1094.6635000000001</v>
          </cell>
          <cell r="U53">
            <v>1105.7235800000001</v>
          </cell>
          <cell r="V53">
            <v>1118.0297740000001</v>
          </cell>
          <cell r="W53">
            <v>1132.1563530000001</v>
          </cell>
          <cell r="X53">
            <v>1148.273308</v>
          </cell>
          <cell r="Y53">
            <v>1166.5376940000001</v>
          </cell>
          <cell r="Z53">
            <v>1186.9839930000001</v>
          </cell>
          <cell r="AA53">
            <v>1208.8366579999999</v>
          </cell>
          <cell r="AB53">
            <v>1232.867857</v>
          </cell>
          <cell r="AC53">
            <v>1259.1076169999999</v>
          </cell>
          <cell r="AD53">
            <v>1287.513438</v>
          </cell>
          <cell r="AE53">
            <v>1317.7606720000001</v>
          </cell>
          <cell r="AF53">
            <v>1349.3950729999999</v>
          </cell>
          <cell r="AG53">
            <v>1382.004115</v>
          </cell>
          <cell r="AH53">
            <v>1415.252915</v>
          </cell>
          <cell r="AI53">
            <v>1448.846235</v>
          </cell>
          <cell r="AJ53">
            <v>1482.510374</v>
          </cell>
          <cell r="AK53">
            <v>1515.9859240000001</v>
          </cell>
        </row>
        <row r="54">
          <cell r="B54">
            <v>1343.8780650000001</v>
          </cell>
          <cell r="C54">
            <v>1359.483174</v>
          </cell>
          <cell r="D54">
            <v>1372.6732890000001</v>
          </cell>
          <cell r="E54">
            <v>1386.7787060000001</v>
          </cell>
          <cell r="F54">
            <v>1398.4918729999999</v>
          </cell>
          <cell r="G54">
            <v>1410.1385439999999</v>
          </cell>
          <cell r="H54">
            <v>1422.3212120000001</v>
          </cell>
          <cell r="I54">
            <v>1432.873036</v>
          </cell>
          <cell r="J54">
            <v>1446.3668009999999</v>
          </cell>
          <cell r="K54">
            <v>1462.029569</v>
          </cell>
          <cell r="L54">
            <v>1474.5651600000001</v>
          </cell>
          <cell r="M54">
            <v>1478.9867489999999</v>
          </cell>
          <cell r="N54">
            <v>1478.077307</v>
          </cell>
          <cell r="O54">
            <v>1473.2348139999999</v>
          </cell>
          <cell r="P54">
            <v>1466.4323569999999</v>
          </cell>
          <cell r="Q54">
            <v>1458.6722339999999</v>
          </cell>
          <cell r="R54">
            <v>1450.1350150000001</v>
          </cell>
          <cell r="S54">
            <v>1441.2842479999999</v>
          </cell>
          <cell r="T54">
            <v>1431.7459819999999</v>
          </cell>
          <cell r="U54">
            <v>1421.334844</v>
          </cell>
          <cell r="V54">
            <v>1409.6655390000001</v>
          </cell>
          <cell r="W54">
            <v>1397.168418</v>
          </cell>
          <cell r="X54">
            <v>1383.6652819999999</v>
          </cell>
          <cell r="Y54">
            <v>1368.6884689999999</v>
          </cell>
          <cell r="Z54">
            <v>1351.465919</v>
          </cell>
          <cell r="AA54">
            <v>1330.1881269999999</v>
          </cell>
          <cell r="AB54">
            <v>1304.8118139999999</v>
          </cell>
          <cell r="AC54">
            <v>1273.7373540000001</v>
          </cell>
          <cell r="AD54">
            <v>1234.70252</v>
          </cell>
          <cell r="AE54">
            <v>1184.4396489999999</v>
          </cell>
          <cell r="AF54">
            <v>1118.632044</v>
          </cell>
          <cell r="AG54">
            <v>1031.7555090000001</v>
          </cell>
          <cell r="AH54">
            <v>916.42532349999999</v>
          </cell>
          <cell r="AI54">
            <v>762.20524899999998</v>
          </cell>
          <cell r="AJ54">
            <v>553.83889720000002</v>
          </cell>
          <cell r="AK54">
            <v>268.06444649999997</v>
          </cell>
        </row>
        <row r="55">
          <cell r="B55">
            <v>1343.8780650000001</v>
          </cell>
          <cell r="C55">
            <v>1359.483174</v>
          </cell>
          <cell r="D55">
            <v>1372.6732890000001</v>
          </cell>
          <cell r="E55">
            <v>1386.7787049999999</v>
          </cell>
          <cell r="F55">
            <v>1398.4918729999999</v>
          </cell>
          <cell r="G55">
            <v>1410.1385439999999</v>
          </cell>
          <cell r="H55">
            <v>1422.821281</v>
          </cell>
          <cell r="I55">
            <v>1436.564169</v>
          </cell>
          <cell r="J55">
            <v>1451.088092</v>
          </cell>
          <cell r="K55">
            <v>1466.0836650000001</v>
          </cell>
          <cell r="L55">
            <v>1481.935596</v>
          </cell>
          <cell r="M55">
            <v>1497.6404010000001</v>
          </cell>
          <cell r="N55">
            <v>1512.799342</v>
          </cell>
          <cell r="O55">
            <v>1526.495201</v>
          </cell>
          <cell r="P55">
            <v>1539.202464</v>
          </cell>
          <cell r="Q55">
            <v>1551.562758</v>
          </cell>
          <cell r="R55">
            <v>1563.688271</v>
          </cell>
          <cell r="S55">
            <v>1576.5091239999999</v>
          </cell>
          <cell r="T55">
            <v>1590.729955</v>
          </cell>
          <cell r="U55">
            <v>1606.802109</v>
          </cell>
          <cell r="V55">
            <v>1624.6850770000001</v>
          </cell>
          <cell r="W55">
            <v>1645.2133690000001</v>
          </cell>
          <cell r="X55">
            <v>1668.634012</v>
          </cell>
          <cell r="Y55">
            <v>1695.1752329999999</v>
          </cell>
          <cell r="Z55">
            <v>1724.8871389999999</v>
          </cell>
          <cell r="AA55">
            <v>1756.6427329999999</v>
          </cell>
          <cell r="AB55">
            <v>1791.5641009999999</v>
          </cell>
          <cell r="AC55">
            <v>1829.6948809999999</v>
          </cell>
          <cell r="AD55">
            <v>1870.973311</v>
          </cell>
          <cell r="AE55">
            <v>1914.927623</v>
          </cell>
          <cell r="AF55">
            <v>1960.8977219999999</v>
          </cell>
          <cell r="AG55">
            <v>2008.284138</v>
          </cell>
          <cell r="AH55">
            <v>2056.60023</v>
          </cell>
          <cell r="AI55">
            <v>2105.4169670000001</v>
          </cell>
          <cell r="AJ55">
            <v>2154.336616</v>
          </cell>
          <cell r="AK55">
            <v>2202.9822140000001</v>
          </cell>
        </row>
        <row r="56">
          <cell r="B56">
            <v>1220.9208349999999</v>
          </cell>
          <cell r="C56">
            <v>1235.0981650000001</v>
          </cell>
          <cell r="D56">
            <v>1247.081459</v>
          </cell>
          <cell r="E56">
            <v>1259.8963100000001</v>
          </cell>
          <cell r="F56">
            <v>1270.537789</v>
          </cell>
          <cell r="G56">
            <v>1281.1188549999999</v>
          </cell>
          <cell r="H56">
            <v>1292.1868790000001</v>
          </cell>
          <cell r="I56">
            <v>1301.8845530000001</v>
          </cell>
          <cell r="J56">
            <v>1314.2652009999999</v>
          </cell>
          <cell r="K56">
            <v>1328.628295</v>
          </cell>
          <cell r="L56">
            <v>1340.162341</v>
          </cell>
          <cell r="M56">
            <v>1344.3351399999999</v>
          </cell>
          <cell r="N56">
            <v>1343.6756310000001</v>
          </cell>
          <cell r="O56">
            <v>1339.454727</v>
          </cell>
          <cell r="P56">
            <v>1333.4670289999999</v>
          </cell>
          <cell r="Q56">
            <v>1326.6254719999999</v>
          </cell>
          <cell r="R56">
            <v>1319.096452</v>
          </cell>
          <cell r="S56">
            <v>1311.3044050000001</v>
          </cell>
          <cell r="T56">
            <v>1302.9126100000001</v>
          </cell>
          <cell r="U56">
            <v>1293.756519</v>
          </cell>
          <cell r="V56">
            <v>1283.4904389999999</v>
          </cell>
          <cell r="W56">
            <v>1272.5124940000001</v>
          </cell>
          <cell r="X56">
            <v>1260.668725</v>
          </cell>
          <cell r="Y56">
            <v>1247.5436990000001</v>
          </cell>
          <cell r="Z56">
            <v>1232.447267</v>
          </cell>
          <cell r="AA56">
            <v>1213.746212</v>
          </cell>
          <cell r="AB56">
            <v>1191.422822</v>
          </cell>
          <cell r="AC56">
            <v>1164.0469430000001</v>
          </cell>
          <cell r="AD56">
            <v>1129.59238</v>
          </cell>
          <cell r="AE56">
            <v>1085.126119</v>
          </cell>
          <cell r="AF56">
            <v>1026.7721610000001</v>
          </cell>
          <cell r="AG56">
            <v>949.57387979999999</v>
          </cell>
          <cell r="AH56">
            <v>846.90902970000002</v>
          </cell>
          <cell r="AI56">
            <v>709.4191376</v>
          </cell>
          <cell r="AJ56">
            <v>523.42382889999999</v>
          </cell>
          <cell r="AK56">
            <v>268.06444649999997</v>
          </cell>
        </row>
        <row r="57">
          <cell r="B57">
            <v>1220.9208349999999</v>
          </cell>
          <cell r="C57">
            <v>1235.0981650000001</v>
          </cell>
          <cell r="D57">
            <v>1247.081459</v>
          </cell>
          <cell r="E57">
            <v>1259.8963100000001</v>
          </cell>
          <cell r="F57">
            <v>1270.537789</v>
          </cell>
          <cell r="G57">
            <v>1281.1188549999999</v>
          </cell>
          <cell r="H57">
            <v>1292.641194</v>
          </cell>
          <cell r="I57">
            <v>1305.126685</v>
          </cell>
          <cell r="J57">
            <v>1318.3217520000001</v>
          </cell>
          <cell r="K57">
            <v>1331.9453149999999</v>
          </cell>
          <cell r="L57">
            <v>1346.346884</v>
          </cell>
          <cell r="M57">
            <v>1360.614789</v>
          </cell>
          <cell r="N57">
            <v>1374.3867720000001</v>
          </cell>
          <cell r="O57">
            <v>1386.829538</v>
          </cell>
          <cell r="P57">
            <v>1398.3741580000001</v>
          </cell>
          <cell r="Q57">
            <v>1409.603556</v>
          </cell>
          <cell r="R57">
            <v>1420.6196520000001</v>
          </cell>
          <cell r="S57">
            <v>1432.26747</v>
          </cell>
          <cell r="T57">
            <v>1445.1871759999999</v>
          </cell>
          <cell r="U57">
            <v>1459.7888190000001</v>
          </cell>
          <cell r="V57">
            <v>1476.0355959999999</v>
          </cell>
          <cell r="W57">
            <v>1494.685665</v>
          </cell>
          <cell r="X57">
            <v>1515.9634530000001</v>
          </cell>
          <cell r="Y57">
            <v>1540.0763019999999</v>
          </cell>
          <cell r="Z57">
            <v>1567.069737</v>
          </cell>
          <cell r="AA57">
            <v>1595.9198739999999</v>
          </cell>
          <cell r="AB57">
            <v>1627.646135</v>
          </cell>
          <cell r="AC57">
            <v>1662.2881640000001</v>
          </cell>
          <cell r="AD57">
            <v>1699.7898520000001</v>
          </cell>
          <cell r="AE57">
            <v>1739.7225940000001</v>
          </cell>
          <cell r="AF57">
            <v>1781.486688</v>
          </cell>
          <cell r="AG57">
            <v>1824.5375160000001</v>
          </cell>
          <cell r="AH57">
            <v>1868.4329600000001</v>
          </cell>
          <cell r="AI57">
            <v>1912.783242</v>
          </cell>
          <cell r="AJ57">
            <v>1957.22702</v>
          </cell>
          <cell r="AK57">
            <v>2001.4218209999999</v>
          </cell>
        </row>
        <row r="58">
          <cell r="B58">
            <v>2402.7509070000001</v>
          </cell>
          <cell r="C58">
            <v>2430.6478860000002</v>
          </cell>
          <cell r="D58">
            <v>2454.230763</v>
          </cell>
          <cell r="E58">
            <v>2479.4501270000001</v>
          </cell>
          <cell r="F58">
            <v>2500.392339</v>
          </cell>
          <cell r="G58">
            <v>2521.2156610000002</v>
          </cell>
          <cell r="H58">
            <v>2542.997304</v>
          </cell>
          <cell r="I58">
            <v>3216.4769889999998</v>
          </cell>
          <cell r="J58">
            <v>3955.2441840000001</v>
          </cell>
          <cell r="K58">
            <v>4767.8553030000003</v>
          </cell>
          <cell r="L58">
            <v>5645.5181899999998</v>
          </cell>
          <cell r="M58">
            <v>6569.6792150000001</v>
          </cell>
          <cell r="N58">
            <v>7548.8052939999998</v>
          </cell>
          <cell r="O58">
            <v>8590.3320490000006</v>
          </cell>
          <cell r="P58">
            <v>9709.791244</v>
          </cell>
          <cell r="Q58">
            <v>10922.762769999999</v>
          </cell>
          <cell r="R58">
            <v>12243.355509999999</v>
          </cell>
          <cell r="S58">
            <v>13691.820750000001</v>
          </cell>
          <cell r="T58">
            <v>15285.229660000001</v>
          </cell>
          <cell r="U58">
            <v>17045.988150000001</v>
          </cell>
          <cell r="V58">
            <v>18998.979019999999</v>
          </cell>
          <cell r="W58">
            <v>21187.034520000001</v>
          </cell>
          <cell r="X58">
            <v>23656.504779999999</v>
          </cell>
          <cell r="Y58">
            <v>26462.098859999998</v>
          </cell>
          <cell r="Z58">
            <v>29668.72681</v>
          </cell>
          <cell r="AA58">
            <v>33336.282079999997</v>
          </cell>
          <cell r="AB58">
            <v>37591.77865</v>
          </cell>
          <cell r="AC58">
            <v>42568.344649999999</v>
          </cell>
          <cell r="AD58">
            <v>48432.810559999998</v>
          </cell>
          <cell r="AE58">
            <v>55389.207349999997</v>
          </cell>
          <cell r="AF58">
            <v>63698.899819999999</v>
          </cell>
          <cell r="AG58">
            <v>73717.548720000006</v>
          </cell>
          <cell r="AH58">
            <v>85942.619340000005</v>
          </cell>
          <cell r="AI58">
            <v>101078.465</v>
          </cell>
          <cell r="AJ58">
            <v>120157.47719999999</v>
          </cell>
          <cell r="AK58">
            <v>144754.80110000001</v>
          </cell>
        </row>
        <row r="59">
          <cell r="B59">
            <v>2402.7509070000001</v>
          </cell>
          <cell r="C59">
            <v>2430.6478849999999</v>
          </cell>
          <cell r="D59">
            <v>2454.2307620000001</v>
          </cell>
          <cell r="E59">
            <v>2479.4501260000002</v>
          </cell>
          <cell r="F59">
            <v>2500.392339</v>
          </cell>
          <cell r="G59">
            <v>2521.2156610000002</v>
          </cell>
          <cell r="H59">
            <v>2543.8913870000001</v>
          </cell>
          <cell r="I59">
            <v>2568.462579</v>
          </cell>
          <cell r="J59">
            <v>2594.4301999999998</v>
          </cell>
          <cell r="K59">
            <v>2621.2410920000002</v>
          </cell>
          <cell r="L59">
            <v>2649.5830850000002</v>
          </cell>
          <cell r="M59">
            <v>2677.66203</v>
          </cell>
          <cell r="N59">
            <v>2704.7650100000001</v>
          </cell>
          <cell r="O59">
            <v>2729.2521179999999</v>
          </cell>
          <cell r="P59">
            <v>2751.9716950000002</v>
          </cell>
          <cell r="Q59">
            <v>2774.0709189999998</v>
          </cell>
          <cell r="R59">
            <v>2795.750372</v>
          </cell>
          <cell r="S59">
            <v>2818.6730389999998</v>
          </cell>
          <cell r="T59">
            <v>2844.098755</v>
          </cell>
          <cell r="U59">
            <v>2872.8344889999998</v>
          </cell>
          <cell r="V59">
            <v>2904.8078139999998</v>
          </cell>
          <cell r="W59">
            <v>2941.5107680000001</v>
          </cell>
          <cell r="X59">
            <v>2983.3850170000001</v>
          </cell>
          <cell r="Y59">
            <v>3030.8386110000001</v>
          </cell>
          <cell r="Z59">
            <v>3083.961139</v>
          </cell>
          <cell r="AA59">
            <v>3140.7376159999999</v>
          </cell>
          <cell r="AB59">
            <v>3203.1742490000001</v>
          </cell>
          <cell r="AC59">
            <v>3271.349052</v>
          </cell>
          <cell r="AD59">
            <v>3345.151605</v>
          </cell>
          <cell r="AE59">
            <v>3423.7384229999998</v>
          </cell>
          <cell r="AF59">
            <v>3505.929306</v>
          </cell>
          <cell r="AG59">
            <v>3590.6524530000002</v>
          </cell>
          <cell r="AH59">
            <v>3677.0377870000002</v>
          </cell>
          <cell r="AI59">
            <v>3764.318233</v>
          </cell>
          <cell r="AJ59">
            <v>3851.7826770000001</v>
          </cell>
          <cell r="AK59">
            <v>3938.7571419999999</v>
          </cell>
        </row>
        <row r="60">
          <cell r="B60">
            <v>873.49172490000001</v>
          </cell>
          <cell r="C60">
            <v>883.63470870000003</v>
          </cell>
          <cell r="D60">
            <v>892.2079986</v>
          </cell>
          <cell r="E60">
            <v>901.37621490000004</v>
          </cell>
          <cell r="F60">
            <v>908.98952069999996</v>
          </cell>
          <cell r="G60">
            <v>916.55960530000004</v>
          </cell>
          <cell r="H60">
            <v>924.47807669999997</v>
          </cell>
          <cell r="I60">
            <v>1590.2713180000001</v>
          </cell>
          <cell r="J60">
            <v>2318.4005360000001</v>
          </cell>
          <cell r="K60">
            <v>3118.367303</v>
          </cell>
          <cell r="L60">
            <v>3987.4106790000001</v>
          </cell>
          <cell r="M60">
            <v>4912.5881360000003</v>
          </cell>
          <cell r="N60">
            <v>5899.2227750000002</v>
          </cell>
          <cell r="O60">
            <v>6953.1919809999999</v>
          </cell>
          <cell r="P60">
            <v>8087.861492</v>
          </cell>
          <cell r="Q60">
            <v>9317.7616539999999</v>
          </cell>
          <cell r="R60">
            <v>10656.88687</v>
          </cell>
          <cell r="S60">
            <v>12125.08914</v>
          </cell>
          <cell r="T60">
            <v>13739.982249999999</v>
          </cell>
          <cell r="U60">
            <v>15524.33315</v>
          </cell>
          <cell r="V60">
            <v>17503.631870000001</v>
          </cell>
          <cell r="W60">
            <v>19720.498599999999</v>
          </cell>
          <cell r="X60">
            <v>22221.794279999998</v>
          </cell>
          <cell r="Y60">
            <v>25063.126789999998</v>
          </cell>
          <cell r="Z60">
            <v>28310.722300000001</v>
          </cell>
          <cell r="AA60">
            <v>32026.950079999999</v>
          </cell>
          <cell r="AB60">
            <v>36339.712229999997</v>
          </cell>
          <cell r="AC60">
            <v>41384.854809999997</v>
          </cell>
          <cell r="AD60">
            <v>47332.910459999999</v>
          </cell>
          <cell r="AE60">
            <v>54393.013879999999</v>
          </cell>
          <cell r="AF60">
            <v>62833.218159999997</v>
          </cell>
          <cell r="AG60">
            <v>73017.883100000006</v>
          </cell>
          <cell r="AH60">
            <v>85456.24811</v>
          </cell>
          <cell r="AI60">
            <v>100869.31479999999</v>
          </cell>
          <cell r="AJ60">
            <v>120313.83010000001</v>
          </cell>
          <cell r="AK60">
            <v>145402.08129999999</v>
          </cell>
        </row>
        <row r="61">
          <cell r="B61">
            <v>873.49172480000004</v>
          </cell>
          <cell r="C61">
            <v>883.63470859999995</v>
          </cell>
          <cell r="D61">
            <v>892.20799839999995</v>
          </cell>
          <cell r="E61">
            <v>901.37621460000003</v>
          </cell>
          <cell r="F61">
            <v>908.98952050000003</v>
          </cell>
          <cell r="G61">
            <v>916.5596051</v>
          </cell>
          <cell r="H61">
            <v>924.8031105</v>
          </cell>
          <cell r="I61">
            <v>933.73569099999997</v>
          </cell>
          <cell r="J61">
            <v>943.17592739999998</v>
          </cell>
          <cell r="K61">
            <v>952.92272579999997</v>
          </cell>
          <cell r="L61">
            <v>963.22613890000002</v>
          </cell>
          <cell r="M61">
            <v>973.43392340000003</v>
          </cell>
          <cell r="N61">
            <v>983.28690719999997</v>
          </cell>
          <cell r="O61">
            <v>992.18892000000005</v>
          </cell>
          <cell r="P61">
            <v>1000.448367</v>
          </cell>
          <cell r="Q61">
            <v>1008.482291</v>
          </cell>
          <cell r="R61">
            <v>1016.363612</v>
          </cell>
          <cell r="S61">
            <v>1024.6968899999999</v>
          </cell>
          <cell r="T61">
            <v>1033.9401230000001</v>
          </cell>
          <cell r="U61">
            <v>1044.386677</v>
          </cell>
          <cell r="V61">
            <v>1056.010219</v>
          </cell>
          <cell r="W61">
            <v>1069.3531660000001</v>
          </cell>
          <cell r="X61">
            <v>1084.5760780000001</v>
          </cell>
          <cell r="Y61">
            <v>1101.8272979999999</v>
          </cell>
          <cell r="Z61">
            <v>1121.139396</v>
          </cell>
          <cell r="AA61">
            <v>1141.7798459999999</v>
          </cell>
          <cell r="AB61">
            <v>1164.4779820000001</v>
          </cell>
          <cell r="AC61">
            <v>1189.2621650000001</v>
          </cell>
          <cell r="AD61">
            <v>1216.092253</v>
          </cell>
          <cell r="AE61">
            <v>1244.661607</v>
          </cell>
          <cell r="AF61">
            <v>1274.5411790000001</v>
          </cell>
          <cell r="AG61">
            <v>1305.341326</v>
          </cell>
          <cell r="AH61">
            <v>1336.7457429999999</v>
          </cell>
          <cell r="AI61">
            <v>1368.4755680000001</v>
          </cell>
          <cell r="AJ61">
            <v>1400.272283</v>
          </cell>
          <cell r="AK61">
            <v>1431.8908719999999</v>
          </cell>
        </row>
        <row r="62">
          <cell r="B62">
            <v>6724.2714459999997</v>
          </cell>
          <cell r="C62">
            <v>6802.3536709999998</v>
          </cell>
          <cell r="D62">
            <v>6868.3521529999998</v>
          </cell>
          <cell r="E62">
            <v>6938.9304689999999</v>
          </cell>
          <cell r="F62">
            <v>6997.5388489999996</v>
          </cell>
          <cell r="G62">
            <v>7055.8145050000003</v>
          </cell>
          <cell r="H62">
            <v>7116.7720959999997</v>
          </cell>
          <cell r="I62">
            <v>7402.6484739999996</v>
          </cell>
          <cell r="J62">
            <v>7724.6183929999997</v>
          </cell>
          <cell r="K62">
            <v>8082.3529589999998</v>
          </cell>
          <cell r="L62">
            <v>8449.5930879999996</v>
          </cell>
          <cell r="M62">
            <v>8797.9550290000006</v>
          </cell>
          <cell r="N62">
            <v>9142.6067920000005</v>
          </cell>
          <cell r="O62">
            <v>9492.3009029999994</v>
          </cell>
          <cell r="P62">
            <v>9861.184072</v>
          </cell>
          <cell r="Q62">
            <v>10259.18067</v>
          </cell>
          <cell r="R62">
            <v>10692.102800000001</v>
          </cell>
          <cell r="S62">
            <v>11169.185369999999</v>
          </cell>
          <cell r="T62">
            <v>11694.87362</v>
          </cell>
          <cell r="U62">
            <v>12276.33577</v>
          </cell>
          <cell r="V62">
            <v>12920.748879999999</v>
          </cell>
          <cell r="W62">
            <v>13645.24296</v>
          </cell>
          <cell r="X62">
            <v>14465.54305</v>
          </cell>
          <cell r="Y62">
            <v>15399.086310000001</v>
          </cell>
          <cell r="Z62">
            <v>16465.612720000001</v>
          </cell>
          <cell r="AA62">
            <v>17678.54551</v>
          </cell>
          <cell r="AB62">
            <v>19082.919709999998</v>
          </cell>
          <cell r="AC62">
            <v>20719.150740000001</v>
          </cell>
          <cell r="AD62">
            <v>22636.760289999998</v>
          </cell>
          <cell r="AE62">
            <v>24894.12473</v>
          </cell>
          <cell r="AF62">
            <v>27565.45333</v>
          </cell>
          <cell r="AG62">
            <v>30753.256730000001</v>
          </cell>
          <cell r="AH62">
            <v>34602.410920000002</v>
          </cell>
          <cell r="AI62">
            <v>39318.12945</v>
          </cell>
          <cell r="AJ62">
            <v>45201.375959999998</v>
          </cell>
          <cell r="AK62">
            <v>52711.404519999996</v>
          </cell>
        </row>
        <row r="63">
          <cell r="B63">
            <v>6724.2714450000003</v>
          </cell>
          <cell r="C63">
            <v>6802.3536690000001</v>
          </cell>
          <cell r="D63">
            <v>6868.3521520000004</v>
          </cell>
          <cell r="E63">
            <v>6938.9304670000001</v>
          </cell>
          <cell r="F63">
            <v>6997.5388469999998</v>
          </cell>
          <cell r="G63">
            <v>7055.8145039999999</v>
          </cell>
          <cell r="H63">
            <v>7119.2742550000003</v>
          </cell>
          <cell r="I63">
            <v>7188.0386109999999</v>
          </cell>
          <cell r="J63">
            <v>7260.7109799999998</v>
          </cell>
          <cell r="K63">
            <v>7335.7433080000001</v>
          </cell>
          <cell r="L63">
            <v>7415.0605409999998</v>
          </cell>
          <cell r="M63">
            <v>7493.6416099999997</v>
          </cell>
          <cell r="N63">
            <v>7569.4913699999997</v>
          </cell>
          <cell r="O63">
            <v>7638.0204119999999</v>
          </cell>
          <cell r="P63">
            <v>7701.6028809999998</v>
          </cell>
          <cell r="Q63">
            <v>7763.4492479999999</v>
          </cell>
          <cell r="R63">
            <v>7824.1208509999997</v>
          </cell>
          <cell r="S63">
            <v>7888.2716849999997</v>
          </cell>
          <cell r="T63">
            <v>7959.4274919999998</v>
          </cell>
          <cell r="U63">
            <v>8039.8466390000003</v>
          </cell>
          <cell r="V63">
            <v>8129.3264289999997</v>
          </cell>
          <cell r="W63">
            <v>8232.0424480000001</v>
          </cell>
          <cell r="X63">
            <v>8349.2307309999997</v>
          </cell>
          <cell r="Y63">
            <v>8482.0332359999993</v>
          </cell>
          <cell r="Z63">
            <v>8630.7006860000001</v>
          </cell>
          <cell r="AA63">
            <v>8789.5939930000004</v>
          </cell>
          <cell r="AB63">
            <v>8964.3276760000008</v>
          </cell>
          <cell r="AC63">
            <v>9155.1200669999998</v>
          </cell>
          <cell r="AD63">
            <v>9361.6621450000002</v>
          </cell>
          <cell r="AE63">
            <v>9581.5933550000009</v>
          </cell>
          <cell r="AF63">
            <v>9811.610815</v>
          </cell>
          <cell r="AG63">
            <v>10048.71501</v>
          </cell>
          <cell r="AH63">
            <v>10290.470960000001</v>
          </cell>
          <cell r="AI63">
            <v>10534.731949999999</v>
          </cell>
          <cell r="AJ63">
            <v>10779.507879999999</v>
          </cell>
          <cell r="AK63">
            <v>11022.912560000001</v>
          </cell>
        </row>
        <row r="64">
          <cell r="B64">
            <v>7911.853419</v>
          </cell>
          <cell r="C64">
            <v>7995.6778180000001</v>
          </cell>
          <cell r="D64">
            <v>8071.2286109999995</v>
          </cell>
          <cell r="E64">
            <v>8147.802025</v>
          </cell>
          <cell r="F64">
            <v>8216.6209849999996</v>
          </cell>
          <cell r="G64">
            <v>8289.4712569999992</v>
          </cell>
          <cell r="H64">
            <v>8364.9223679999996</v>
          </cell>
          <cell r="I64">
            <v>8575.7872480000005</v>
          </cell>
          <cell r="J64">
            <v>8801.9377010000007</v>
          </cell>
          <cell r="K64">
            <v>9065.266361</v>
          </cell>
          <cell r="L64">
            <v>9357.0913430000001</v>
          </cell>
          <cell r="M64">
            <v>9644.8261459999994</v>
          </cell>
          <cell r="N64">
            <v>9937.3193279999996</v>
          </cell>
          <cell r="O64">
            <v>10235.04262</v>
          </cell>
          <cell r="P64">
            <v>10543.51535</v>
          </cell>
          <cell r="Q64">
            <v>10867.33482</v>
          </cell>
          <cell r="R64">
            <v>11209.398230000001</v>
          </cell>
          <cell r="S64">
            <v>11572.41804</v>
          </cell>
          <cell r="T64">
            <v>11959.88054</v>
          </cell>
          <cell r="U64">
            <v>12377.793900000001</v>
          </cell>
          <cell r="V64">
            <v>12828.25231</v>
          </cell>
          <cell r="W64">
            <v>13329.871880000001</v>
          </cell>
          <cell r="X64">
            <v>13892.54941</v>
          </cell>
          <cell r="Y64">
            <v>14527.960080000001</v>
          </cell>
          <cell r="Z64">
            <v>15249.48409</v>
          </cell>
          <cell r="AA64">
            <v>16055.587159999999</v>
          </cell>
          <cell r="AB64">
            <v>16988.08725</v>
          </cell>
          <cell r="AC64">
            <v>18072.782589999999</v>
          </cell>
          <cell r="AD64">
            <v>19341.455290000002</v>
          </cell>
          <cell r="AE64">
            <v>20831.505379999999</v>
          </cell>
          <cell r="AF64">
            <v>22590.456190000001</v>
          </cell>
          <cell r="AG64">
            <v>24683.974480000001</v>
          </cell>
          <cell r="AH64">
            <v>27204.38667</v>
          </cell>
          <cell r="AI64">
            <v>30282.693240000001</v>
          </cell>
          <cell r="AJ64">
            <v>34111.434500000003</v>
          </cell>
          <cell r="AK64">
            <v>38984.615819999999</v>
          </cell>
        </row>
        <row r="65">
          <cell r="B65">
            <v>7911.853419</v>
          </cell>
          <cell r="C65">
            <v>7995.6778219999997</v>
          </cell>
          <cell r="D65">
            <v>8071.2286190000004</v>
          </cell>
          <cell r="E65">
            <v>8147.8020379999998</v>
          </cell>
          <cell r="F65">
            <v>8216.6210019999999</v>
          </cell>
          <cell r="G65">
            <v>8289.4712770000006</v>
          </cell>
          <cell r="H65">
            <v>8358.6275189999997</v>
          </cell>
          <cell r="I65">
            <v>8425.0211560000007</v>
          </cell>
          <cell r="J65">
            <v>8489.3944310000006</v>
          </cell>
          <cell r="K65">
            <v>8552.4806690000005</v>
          </cell>
          <cell r="L65">
            <v>8622.9481369999994</v>
          </cell>
          <cell r="M65">
            <v>8688.9375799999998</v>
          </cell>
          <cell r="N65">
            <v>8751.7041850000005</v>
          </cell>
          <cell r="O65">
            <v>8809.2014390000004</v>
          </cell>
          <cell r="P65">
            <v>8863.5177010000007</v>
          </cell>
          <cell r="Q65">
            <v>8916.9962250000008</v>
          </cell>
          <cell r="R65">
            <v>8976.1226569999999</v>
          </cell>
          <cell r="S65">
            <v>9043.7648910000007</v>
          </cell>
          <cell r="T65">
            <v>9120.5976140000002</v>
          </cell>
          <cell r="U65">
            <v>9206.1127240000005</v>
          </cell>
          <cell r="V65">
            <v>9295.3667239999995</v>
          </cell>
          <cell r="W65">
            <v>9396.8696060000002</v>
          </cell>
          <cell r="X65">
            <v>9510.0804960000005</v>
          </cell>
          <cell r="Y65">
            <v>9635.1878180000003</v>
          </cell>
          <cell r="Z65">
            <v>9771.7877050000006</v>
          </cell>
          <cell r="AA65">
            <v>9905.3518349999995</v>
          </cell>
          <cell r="AB65">
            <v>10051.5407</v>
          </cell>
          <cell r="AC65">
            <v>10209.92907</v>
          </cell>
          <cell r="AD65">
            <v>10380.191440000001</v>
          </cell>
          <cell r="AE65">
            <v>10560.682510000001</v>
          </cell>
          <cell r="AF65">
            <v>10749.0988</v>
          </cell>
          <cell r="AG65">
            <v>10943.304910000001</v>
          </cell>
          <cell r="AH65">
            <v>11141.51377</v>
          </cell>
          <cell r="AI65">
            <v>11342.10124</v>
          </cell>
          <cell r="AJ65">
            <v>11543.522150000001</v>
          </cell>
          <cell r="AK65">
            <v>11744.28168</v>
          </cell>
        </row>
        <row r="66">
          <cell r="B66">
            <v>109.8412999</v>
          </cell>
          <cell r="C66">
            <v>111.1167768</v>
          </cell>
          <cell r="D66">
            <v>112.1948652</v>
          </cell>
          <cell r="E66">
            <v>113.3477654</v>
          </cell>
          <cell r="F66">
            <v>114.3051361</v>
          </cell>
          <cell r="G66">
            <v>115.25707180000001</v>
          </cell>
          <cell r="H66">
            <v>116.25281699999999</v>
          </cell>
          <cell r="I66">
            <v>118.232129</v>
          </cell>
          <cell r="J66">
            <v>120.5543148</v>
          </cell>
          <cell r="K66">
            <v>123.17315480000001</v>
          </cell>
          <cell r="L66">
            <v>125.6569231</v>
          </cell>
          <cell r="M66">
            <v>127.5815806</v>
          </cell>
          <cell r="N66">
            <v>129.18054849999999</v>
          </cell>
          <cell r="O66">
            <v>130.5765122</v>
          </cell>
          <cell r="P66">
            <v>131.9512215</v>
          </cell>
          <cell r="Q66">
            <v>133.41012269999999</v>
          </cell>
          <cell r="R66">
            <v>134.99149589999999</v>
          </cell>
          <cell r="S66">
            <v>136.76636619999999</v>
          </cell>
          <cell r="T66">
            <v>138.73443549999999</v>
          </cell>
          <cell r="U66">
            <v>140.91934560000001</v>
          </cell>
          <cell r="V66">
            <v>143.33323329999999</v>
          </cell>
          <cell r="W66">
            <v>146.0830383</v>
          </cell>
          <cell r="X66">
            <v>149.23381900000001</v>
          </cell>
          <cell r="Y66">
            <v>152.84211920000001</v>
          </cell>
          <cell r="Z66">
            <v>156.95793570000001</v>
          </cell>
          <cell r="AA66">
            <v>161.54107579999999</v>
          </cell>
          <cell r="AB66">
            <v>166.80483770000001</v>
          </cell>
          <cell r="AC66">
            <v>172.8504916</v>
          </cell>
          <cell r="AD66">
            <v>179.7846725</v>
          </cell>
          <cell r="AE66">
            <v>187.6983726</v>
          </cell>
          <cell r="AF66">
            <v>196.69786139999999</v>
          </cell>
          <cell r="AG66">
            <v>206.95527949999999</v>
          </cell>
          <cell r="AH66">
            <v>218.73831240000001</v>
          </cell>
          <cell r="AI66">
            <v>232.42751939999999</v>
          </cell>
          <cell r="AJ66">
            <v>248.5838699</v>
          </cell>
          <cell r="AK66">
            <v>268.06444649999997</v>
          </cell>
        </row>
        <row r="67">
          <cell r="B67">
            <v>109.8412999</v>
          </cell>
          <cell r="C67">
            <v>111.1167768</v>
          </cell>
          <cell r="D67">
            <v>112.1948652</v>
          </cell>
          <cell r="E67">
            <v>113.3477654</v>
          </cell>
          <cell r="F67">
            <v>114.3051361</v>
          </cell>
          <cell r="G67">
            <v>115.25707180000001</v>
          </cell>
          <cell r="H67">
            <v>116.2936899</v>
          </cell>
          <cell r="I67">
            <v>117.41695900000001</v>
          </cell>
          <cell r="J67">
            <v>118.60406570000001</v>
          </cell>
          <cell r="K67">
            <v>119.82972239999999</v>
          </cell>
          <cell r="L67">
            <v>121.1253732</v>
          </cell>
          <cell r="M67">
            <v>122.40899880000001</v>
          </cell>
          <cell r="N67">
            <v>123.6480083</v>
          </cell>
          <cell r="O67">
            <v>124.7674335</v>
          </cell>
          <cell r="P67">
            <v>125.8060562</v>
          </cell>
          <cell r="Q67">
            <v>126.8163196</v>
          </cell>
          <cell r="R67">
            <v>127.80739320000001</v>
          </cell>
          <cell r="S67">
            <v>128.85530019999999</v>
          </cell>
          <cell r="T67">
            <v>130.0176337</v>
          </cell>
          <cell r="U67">
            <v>131.33128439999999</v>
          </cell>
          <cell r="V67">
            <v>132.79294110000001</v>
          </cell>
          <cell r="W67">
            <v>134.47081220000001</v>
          </cell>
          <cell r="X67">
            <v>136.38508849999999</v>
          </cell>
          <cell r="Y67">
            <v>138.55442389999999</v>
          </cell>
          <cell r="Z67">
            <v>140.9829139</v>
          </cell>
          <cell r="AA67">
            <v>143.57844370000001</v>
          </cell>
          <cell r="AB67">
            <v>146.43272690000001</v>
          </cell>
          <cell r="AC67">
            <v>149.5493299</v>
          </cell>
          <cell r="AD67">
            <v>152.92320470000001</v>
          </cell>
          <cell r="AE67">
            <v>156.51579169999999</v>
          </cell>
          <cell r="AF67">
            <v>160.27313810000001</v>
          </cell>
          <cell r="AG67">
            <v>164.14624660000001</v>
          </cell>
          <cell r="AH67">
            <v>168.0953418</v>
          </cell>
          <cell r="AI67">
            <v>172.08535689999999</v>
          </cell>
          <cell r="AJ67">
            <v>176.08378350000001</v>
          </cell>
          <cell r="AK67">
            <v>180.05981070000001</v>
          </cell>
        </row>
      </sheetData>
      <sheetData sheetId="4">
        <row r="2">
          <cell r="B2">
            <v>5223867.193</v>
          </cell>
          <cell r="C2">
            <v>5285598.2690000003</v>
          </cell>
          <cell r="D2">
            <v>5350450.9989999998</v>
          </cell>
          <cell r="E2">
            <v>5419051.7149999999</v>
          </cell>
          <cell r="F2">
            <v>5491886.2659999998</v>
          </cell>
          <cell r="G2">
            <v>5569266.659</v>
          </cell>
          <cell r="H2">
            <v>5651267.5829999996</v>
          </cell>
          <cell r="I2">
            <v>5736471.6789999995</v>
          </cell>
          <cell r="J2">
            <v>5824516.4790000003</v>
          </cell>
          <cell r="K2">
            <v>5916826.6390000004</v>
          </cell>
          <cell r="L2">
            <v>6014386.96</v>
          </cell>
          <cell r="M2">
            <v>6117715.3899999997</v>
          </cell>
          <cell r="N2">
            <v>6226995.6950000003</v>
          </cell>
          <cell r="O2">
            <v>6342073.0269999998</v>
          </cell>
          <cell r="P2">
            <v>6462885.7259999998</v>
          </cell>
          <cell r="Q2">
            <v>6589533.8300000001</v>
          </cell>
          <cell r="R2">
            <v>6722069.2659999998</v>
          </cell>
          <cell r="S2">
            <v>6860758.8650000002</v>
          </cell>
          <cell r="T2">
            <v>7006064.5530000003</v>
          </cell>
          <cell r="U2">
            <v>7158577.9349999996</v>
          </cell>
          <cell r="V2">
            <v>7318839.6550000003</v>
          </cell>
          <cell r="W2">
            <v>7487626.8360000001</v>
          </cell>
          <cell r="X2">
            <v>7665811.0839999998</v>
          </cell>
          <cell r="Y2">
            <v>7854345.8789999997</v>
          </cell>
          <cell r="Z2">
            <v>8054221.3169999998</v>
          </cell>
          <cell r="AA2">
            <v>8266013.324</v>
          </cell>
          <cell r="AB2">
            <v>8490644.5620000008</v>
          </cell>
          <cell r="AC2">
            <v>8729147.4920000006</v>
          </cell>
          <cell r="AD2">
            <v>8982710.5769999996</v>
          </cell>
          <cell r="AE2">
            <v>9252641.0749999993</v>
          </cell>
          <cell r="AF2">
            <v>9540328.9710000008</v>
          </cell>
          <cell r="AG2">
            <v>9847274.3550000004</v>
          </cell>
          <cell r="AH2">
            <v>10175185.619999999</v>
          </cell>
          <cell r="AI2">
            <v>10526146.67</v>
          </cell>
          <cell r="AJ2">
            <v>10902847.67</v>
          </cell>
          <cell r="AK2">
            <v>11308942.85</v>
          </cell>
        </row>
        <row r="3">
          <cell r="B3">
            <v>5223867.193</v>
          </cell>
          <cell r="C3">
            <v>5285598.2690000003</v>
          </cell>
          <cell r="D3">
            <v>5350450.9989999998</v>
          </cell>
          <cell r="E3">
            <v>5419051.7149999999</v>
          </cell>
          <cell r="F3">
            <v>5491886.2659999998</v>
          </cell>
          <cell r="G3">
            <v>5569266.659</v>
          </cell>
          <cell r="H3">
            <v>5651139.7980000004</v>
          </cell>
          <cell r="I3">
            <v>5737350.858</v>
          </cell>
          <cell r="J3">
            <v>5827759.4819999998</v>
          </cell>
          <cell r="K3">
            <v>5922290.9649999999</v>
          </cell>
          <cell r="L3">
            <v>6021130.6449999996</v>
          </cell>
          <cell r="M3">
            <v>6124323.3509999998</v>
          </cell>
          <cell r="N3">
            <v>6231860.1799999997</v>
          </cell>
          <cell r="O3">
            <v>6343481.8700000001</v>
          </cell>
          <cell r="P3">
            <v>6458960.9859999996</v>
          </cell>
          <cell r="Q3">
            <v>6578201.6600000001</v>
          </cell>
          <cell r="R3">
            <v>6701431.1200000001</v>
          </cell>
          <cell r="S3">
            <v>6829111.1129999999</v>
          </cell>
          <cell r="T3">
            <v>6961821.568</v>
          </cell>
          <cell r="U3">
            <v>7100162.0209999997</v>
          </cell>
          <cell r="V3">
            <v>7244577.6610000003</v>
          </cell>
          <cell r="W3">
            <v>7395670.0549999997</v>
          </cell>
          <cell r="X3">
            <v>7554070.0999999996</v>
          </cell>
          <cell r="Y3">
            <v>7720421.9620000003</v>
          </cell>
          <cell r="Z3">
            <v>7895336.9460000005</v>
          </cell>
          <cell r="AA3">
            <v>8078960.0810000002</v>
          </cell>
          <cell r="AB3">
            <v>8271711.6189999999</v>
          </cell>
          <cell r="AC3">
            <v>8474102.0030000005</v>
          </cell>
          <cell r="AD3">
            <v>8686702.5960000008</v>
          </cell>
          <cell r="AE3">
            <v>8910056.8450000007</v>
          </cell>
          <cell r="AF3">
            <v>9144600.4619999994</v>
          </cell>
          <cell r="AG3">
            <v>9390647.9690000005</v>
          </cell>
          <cell r="AH3">
            <v>9648408.8230000008</v>
          </cell>
          <cell r="AI3">
            <v>9917994.682</v>
          </cell>
          <cell r="AJ3">
            <v>10199417.390000001</v>
          </cell>
          <cell r="AK3">
            <v>10492580.890000001</v>
          </cell>
        </row>
        <row r="4">
          <cell r="B4">
            <v>47217.50215</v>
          </cell>
          <cell r="C4">
            <v>47776.672619999998</v>
          </cell>
          <cell r="D4">
            <v>48359.554859999997</v>
          </cell>
          <cell r="E4">
            <v>48975.994409999999</v>
          </cell>
          <cell r="F4">
            <v>49629.848380000003</v>
          </cell>
          <cell r="G4">
            <v>50323.887210000001</v>
          </cell>
          <cell r="H4">
            <v>51059.312850000002</v>
          </cell>
          <cell r="I4">
            <v>51839.927499999998</v>
          </cell>
          <cell r="J4">
            <v>52667.675089999997</v>
          </cell>
          <cell r="K4">
            <v>53560.913849999997</v>
          </cell>
          <cell r="L4">
            <v>54530.427940000001</v>
          </cell>
          <cell r="M4">
            <v>55574.915829999998</v>
          </cell>
          <cell r="N4">
            <v>56690.172749999998</v>
          </cell>
          <cell r="O4">
            <v>57869.006710000001</v>
          </cell>
          <cell r="P4">
            <v>59105.602449999998</v>
          </cell>
          <cell r="Q4">
            <v>60395.931689999998</v>
          </cell>
          <cell r="R4">
            <v>61740.565410000003</v>
          </cell>
          <cell r="S4">
            <v>63140.277470000001</v>
          </cell>
          <cell r="T4">
            <v>64596.669849999998</v>
          </cell>
          <cell r="U4">
            <v>66111.945319999999</v>
          </cell>
          <cell r="V4">
            <v>67687.591400000005</v>
          </cell>
          <cell r="W4">
            <v>69326.353019999995</v>
          </cell>
          <cell r="X4">
            <v>71031.724090000003</v>
          </cell>
          <cell r="Y4">
            <v>72807.554820000005</v>
          </cell>
          <cell r="Z4">
            <v>74657.240220000007</v>
          </cell>
          <cell r="AA4">
            <v>76579.969880000004</v>
          </cell>
          <cell r="AB4">
            <v>78574.482600000003</v>
          </cell>
          <cell r="AC4">
            <v>80640.58279</v>
          </cell>
          <cell r="AD4">
            <v>82778.908410000004</v>
          </cell>
          <cell r="AE4">
            <v>84989.655499999993</v>
          </cell>
          <cell r="AF4">
            <v>87271.316219999993</v>
          </cell>
          <cell r="AG4">
            <v>89620.077730000005</v>
          </cell>
          <cell r="AH4">
            <v>92029.842699999994</v>
          </cell>
          <cell r="AI4">
            <v>94492.555179999996</v>
          </cell>
          <cell r="AJ4">
            <v>96998.293699999995</v>
          </cell>
          <cell r="AK4">
            <v>99535.283479999998</v>
          </cell>
        </row>
        <row r="5">
          <cell r="B5">
            <v>47217.50215</v>
          </cell>
          <cell r="C5">
            <v>47776.672619999998</v>
          </cell>
          <cell r="D5">
            <v>48359.554859999997</v>
          </cell>
          <cell r="E5">
            <v>48975.994409999999</v>
          </cell>
          <cell r="F5">
            <v>49629.848380000003</v>
          </cell>
          <cell r="G5">
            <v>50323.887199999997</v>
          </cell>
          <cell r="H5">
            <v>51058.943599999999</v>
          </cell>
          <cell r="I5">
            <v>51834.944490000002</v>
          </cell>
          <cell r="J5">
            <v>52651.677929999998</v>
          </cell>
          <cell r="K5">
            <v>53509.10166</v>
          </cell>
          <cell r="L5">
            <v>54408.846859999998</v>
          </cell>
          <cell r="M5">
            <v>55351.696389999997</v>
          </cell>
          <cell r="N5">
            <v>56337.107980000001</v>
          </cell>
          <cell r="O5">
            <v>57361.20549</v>
          </cell>
          <cell r="P5">
            <v>58420.351779999997</v>
          </cell>
          <cell r="Q5">
            <v>59512.357810000001</v>
          </cell>
          <cell r="R5">
            <v>60637.240769999997</v>
          </cell>
          <cell r="S5">
            <v>61797.364229999999</v>
          </cell>
          <cell r="T5">
            <v>62996.578229999999</v>
          </cell>
          <cell r="U5">
            <v>64239.298159999998</v>
          </cell>
          <cell r="V5">
            <v>65529.155630000001</v>
          </cell>
          <cell r="W5">
            <v>66871.053979999997</v>
          </cell>
          <cell r="X5">
            <v>68270.764179999998</v>
          </cell>
          <cell r="Y5">
            <v>69734.466899999999</v>
          </cell>
          <cell r="Z5">
            <v>71268.062919999997</v>
          </cell>
          <cell r="AA5">
            <v>72873.902369999996</v>
          </cell>
          <cell r="AB5">
            <v>74555.705690000003</v>
          </cell>
          <cell r="AC5">
            <v>76318.498640000005</v>
          </cell>
          <cell r="AD5">
            <v>78168.040229999999</v>
          </cell>
          <cell r="AE5">
            <v>80109.599430000002</v>
          </cell>
          <cell r="AF5">
            <v>82146.908989999996</v>
          </cell>
          <cell r="AG5">
            <v>84281.966939999998</v>
          </cell>
          <cell r="AH5">
            <v>86515.205969999995</v>
          </cell>
          <cell r="AI5">
            <v>88845.580149999994</v>
          </cell>
          <cell r="AJ5">
            <v>91270.584319999994</v>
          </cell>
          <cell r="AK5">
            <v>93786.245030000005</v>
          </cell>
        </row>
        <row r="6">
          <cell r="B6">
            <v>1844.8052849999999</v>
          </cell>
          <cell r="C6">
            <v>1864.040133</v>
          </cell>
          <cell r="D6">
            <v>1880.7725640000001</v>
          </cell>
          <cell r="E6">
            <v>1894.9329869999999</v>
          </cell>
          <cell r="F6">
            <v>1907.046415</v>
          </cell>
          <cell r="G6">
            <v>1917.625485</v>
          </cell>
          <cell r="H6">
            <v>1927.029016</v>
          </cell>
          <cell r="I6">
            <v>1933.975563</v>
          </cell>
          <cell r="J6">
            <v>1938.021137</v>
          </cell>
          <cell r="K6">
            <v>1939.172356</v>
          </cell>
          <cell r="L6">
            <v>1937.2622550000001</v>
          </cell>
          <cell r="M6">
            <v>1932.415397</v>
          </cell>
          <cell r="N6">
            <v>1924.9127800000001</v>
          </cell>
          <cell r="O6">
            <v>1915.138344</v>
          </cell>
          <cell r="P6">
            <v>1903.6147530000001</v>
          </cell>
          <cell r="Q6">
            <v>1890.9236780000001</v>
          </cell>
          <cell r="R6">
            <v>1877.2946710000001</v>
          </cell>
          <cell r="S6">
            <v>1863.051179</v>
          </cell>
          <cell r="T6">
            <v>1848.5422060000001</v>
          </cell>
          <cell r="U6">
            <v>1834.1075760000001</v>
          </cell>
          <cell r="V6">
            <v>1820.040393</v>
          </cell>
          <cell r="W6">
            <v>1806.662016</v>
          </cell>
          <cell r="X6">
            <v>1794.291712</v>
          </cell>
          <cell r="Y6">
            <v>1783.2395919999999</v>
          </cell>
          <cell r="Z6">
            <v>1773.799532</v>
          </cell>
          <cell r="AA6">
            <v>1766.163198</v>
          </cell>
          <cell r="AB6">
            <v>1760.6450339999999</v>
          </cell>
          <cell r="AC6">
            <v>1757.548237</v>
          </cell>
          <cell r="AD6">
            <v>1757.1852590000001</v>
          </cell>
          <cell r="AE6">
            <v>1759.8773940000001</v>
          </cell>
          <cell r="AF6">
            <v>1765.9574930000001</v>
          </cell>
          <cell r="AG6">
            <v>1775.7896069999999</v>
          </cell>
          <cell r="AH6">
            <v>1789.8046710000001</v>
          </cell>
          <cell r="AI6">
            <v>1808.5509890000001</v>
          </cell>
          <cell r="AJ6">
            <v>1832.7626620000001</v>
          </cell>
          <cell r="AK6">
            <v>1863.4662410000001</v>
          </cell>
        </row>
        <row r="7">
          <cell r="B7">
            <v>1844.8052849999999</v>
          </cell>
          <cell r="C7">
            <v>1864.040133</v>
          </cell>
          <cell r="D7">
            <v>1880.7725640000001</v>
          </cell>
          <cell r="E7">
            <v>1894.9329869999999</v>
          </cell>
          <cell r="F7">
            <v>1907.046415</v>
          </cell>
          <cell r="G7">
            <v>1917.625485</v>
          </cell>
          <cell r="H7">
            <v>1927.0296049999999</v>
          </cell>
          <cell r="I7">
            <v>1935.529726</v>
          </cell>
          <cell r="J7">
            <v>1943.3303960000001</v>
          </cell>
          <cell r="K7">
            <v>1950.5950789999999</v>
          </cell>
          <cell r="L7">
            <v>1957.5101340000001</v>
          </cell>
          <cell r="M7">
            <v>1964.1744349999999</v>
          </cell>
          <cell r="N7">
            <v>1970.6460030000001</v>
          </cell>
          <cell r="O7">
            <v>1976.9387260000001</v>
          </cell>
          <cell r="P7">
            <v>1983.0842929999999</v>
          </cell>
          <cell r="Q7">
            <v>1989.1432150000001</v>
          </cell>
          <cell r="R7">
            <v>1995.194984</v>
          </cell>
          <cell r="S7">
            <v>2001.3348679999999</v>
          </cell>
          <cell r="T7">
            <v>2007.66067</v>
          </cell>
          <cell r="U7">
            <v>2014.2605490000001</v>
          </cell>
          <cell r="V7">
            <v>2021.1765889999999</v>
          </cell>
          <cell r="W7">
            <v>2028.488724</v>
          </cell>
          <cell r="X7">
            <v>2036.2895880000001</v>
          </cell>
          <cell r="Y7">
            <v>2044.680018</v>
          </cell>
          <cell r="Z7">
            <v>2053.7533640000001</v>
          </cell>
          <cell r="AA7">
            <v>2063.4887370000001</v>
          </cell>
          <cell r="AB7">
            <v>2073.9297040000001</v>
          </cell>
          <cell r="AC7">
            <v>2085.141298</v>
          </cell>
          <cell r="AD7">
            <v>2097.1909380000002</v>
          </cell>
          <cell r="AE7">
            <v>2110.1341219999999</v>
          </cell>
          <cell r="AF7">
            <v>2124.0056</v>
          </cell>
          <cell r="AG7">
            <v>2138.8230819999999</v>
          </cell>
          <cell r="AH7">
            <v>2154.5950349999998</v>
          </cell>
          <cell r="AI7">
            <v>2171.3245889999998</v>
          </cell>
          <cell r="AJ7">
            <v>2189.0103949999998</v>
          </cell>
          <cell r="AK7">
            <v>2207.645704</v>
          </cell>
        </row>
        <row r="8">
          <cell r="B8">
            <v>74527.120699999999</v>
          </cell>
          <cell r="C8">
            <v>75413.558929999999</v>
          </cell>
          <cell r="D8">
            <v>76344.201939999999</v>
          </cell>
          <cell r="E8">
            <v>77333.266870000007</v>
          </cell>
          <cell r="F8">
            <v>78387.272400000002</v>
          </cell>
          <cell r="G8">
            <v>79510.308609999993</v>
          </cell>
          <cell r="H8">
            <v>80702.623070000001</v>
          </cell>
          <cell r="I8">
            <v>81963.608340000006</v>
          </cell>
          <cell r="J8">
            <v>83294.558489999996</v>
          </cell>
          <cell r="K8">
            <v>84717.871589999995</v>
          </cell>
          <cell r="L8">
            <v>86249.163220000002</v>
          </cell>
          <cell r="M8">
            <v>87889.870070000004</v>
          </cell>
          <cell r="N8">
            <v>89637.489310000004</v>
          </cell>
          <cell r="O8">
            <v>91484.943700000003</v>
          </cell>
          <cell r="P8">
            <v>93425.596019999997</v>
          </cell>
          <cell r="Q8">
            <v>95454.087719999996</v>
          </cell>
          <cell r="R8">
            <v>97570.335519999993</v>
          </cell>
          <cell r="S8">
            <v>99774.741389999996</v>
          </cell>
          <cell r="T8">
            <v>102069.08100000001</v>
          </cell>
          <cell r="U8">
            <v>104456.26820000001</v>
          </cell>
          <cell r="V8">
            <v>106937.94899999999</v>
          </cell>
          <cell r="W8">
            <v>109518.51639999999</v>
          </cell>
          <cell r="X8">
            <v>112203.73269999999</v>
          </cell>
          <cell r="Y8">
            <v>115000.3569</v>
          </cell>
          <cell r="Z8">
            <v>117915.1737</v>
          </cell>
          <cell r="AA8">
            <v>120948.0027</v>
          </cell>
          <cell r="AB8">
            <v>124099.3226</v>
          </cell>
          <cell r="AC8">
            <v>127371.7423</v>
          </cell>
          <cell r="AD8">
            <v>130769.8484</v>
          </cell>
          <cell r="AE8">
            <v>134298.8738</v>
          </cell>
          <cell r="AF8">
            <v>137962.99890000001</v>
          </cell>
          <cell r="AG8">
            <v>141764.0955</v>
          </cell>
          <cell r="AH8">
            <v>145701.36730000001</v>
          </cell>
          <cell r="AI8">
            <v>149771.84570000001</v>
          </cell>
          <cell r="AJ8">
            <v>153970.6084</v>
          </cell>
          <cell r="AK8">
            <v>158290.935</v>
          </cell>
        </row>
        <row r="9">
          <cell r="B9">
            <v>74527.120699999999</v>
          </cell>
          <cell r="C9">
            <v>75413.558929999999</v>
          </cell>
          <cell r="D9">
            <v>76344.201929999996</v>
          </cell>
          <cell r="E9">
            <v>77333.266860000003</v>
          </cell>
          <cell r="F9">
            <v>78387.272379999995</v>
          </cell>
          <cell r="G9">
            <v>79510.308579999997</v>
          </cell>
          <cell r="H9">
            <v>80704.453519999995</v>
          </cell>
          <cell r="I9">
            <v>81969.405329999994</v>
          </cell>
          <cell r="J9">
            <v>83304.455069999996</v>
          </cell>
          <cell r="K9">
            <v>84709.252340000006</v>
          </cell>
          <cell r="L9">
            <v>86186.673620000001</v>
          </cell>
          <cell r="M9">
            <v>87737.755449999997</v>
          </cell>
          <cell r="N9">
            <v>89361.994519999993</v>
          </cell>
          <cell r="O9">
            <v>91054.605559999996</v>
          </cell>
          <cell r="P9">
            <v>92810.693350000001</v>
          </cell>
          <cell r="Q9">
            <v>94626.733259999994</v>
          </cell>
          <cell r="R9">
            <v>96500.469700000001</v>
          </cell>
          <cell r="S9">
            <v>98433.678830000004</v>
          </cell>
          <cell r="T9">
            <v>100430.394</v>
          </cell>
          <cell r="U9">
            <v>102495.4999</v>
          </cell>
          <cell r="V9">
            <v>104632.2801</v>
          </cell>
          <cell r="W9">
            <v>106846.6925</v>
          </cell>
          <cell r="X9">
            <v>109146.15519999999</v>
          </cell>
          <cell r="Y9">
            <v>111538.9317</v>
          </cell>
          <cell r="Z9">
            <v>114033.22169999999</v>
          </cell>
          <cell r="AA9">
            <v>116630.8366</v>
          </cell>
          <cell r="AB9">
            <v>119337.06969999999</v>
          </cell>
          <cell r="AC9">
            <v>122159.5159</v>
          </cell>
          <cell r="AD9">
            <v>125107.2467</v>
          </cell>
          <cell r="AE9">
            <v>128189.2968</v>
          </cell>
          <cell r="AF9">
            <v>131413.16070000001</v>
          </cell>
          <cell r="AG9">
            <v>134784.25829999999</v>
          </cell>
          <cell r="AH9">
            <v>138305.86989999999</v>
          </cell>
          <cell r="AI9">
            <v>141979.03080000001</v>
          </cell>
          <cell r="AJ9">
            <v>145802.40960000001</v>
          </cell>
          <cell r="AK9">
            <v>149772.19779999999</v>
          </cell>
        </row>
        <row r="10">
          <cell r="B10">
            <v>401529.44650000002</v>
          </cell>
          <cell r="C10">
            <v>406477.6078</v>
          </cell>
          <cell r="D10">
            <v>411955.26789999998</v>
          </cell>
          <cell r="E10">
            <v>417972.13030000002</v>
          </cell>
          <cell r="F10">
            <v>424503.6225</v>
          </cell>
          <cell r="G10">
            <v>431505.8701</v>
          </cell>
          <cell r="H10">
            <v>438924.90700000001</v>
          </cell>
          <cell r="I10">
            <v>446352.29109999997</v>
          </cell>
          <cell r="J10">
            <v>453669.73090000002</v>
          </cell>
          <cell r="K10">
            <v>461198.61619999999</v>
          </cell>
          <cell r="L10">
            <v>469023.82150000002</v>
          </cell>
          <cell r="M10">
            <v>477153.22080000001</v>
          </cell>
          <cell r="N10">
            <v>485523.10830000002</v>
          </cell>
          <cell r="O10">
            <v>494012.89850000001</v>
          </cell>
          <cell r="P10">
            <v>502564.9215</v>
          </cell>
          <cell r="Q10">
            <v>511184.12809999997</v>
          </cell>
          <cell r="R10">
            <v>519840.69689999998</v>
          </cell>
          <cell r="S10">
            <v>528569.81070000003</v>
          </cell>
          <cell r="T10">
            <v>537446.90060000005</v>
          </cell>
          <cell r="U10">
            <v>546563.42879999999</v>
          </cell>
          <cell r="V10">
            <v>556014.29799999995</v>
          </cell>
          <cell r="W10">
            <v>565901.18149999995</v>
          </cell>
          <cell r="X10">
            <v>576331.51899999997</v>
          </cell>
          <cell r="Y10">
            <v>587413.94010000001</v>
          </cell>
          <cell r="Z10">
            <v>599249.35719999997</v>
          </cell>
          <cell r="AA10">
            <v>611920.72309999994</v>
          </cell>
          <cell r="AB10">
            <v>625543.95570000005</v>
          </cell>
          <cell r="AC10">
            <v>640219.67139999999</v>
          </cell>
          <cell r="AD10">
            <v>656037.70790000004</v>
          </cell>
          <cell r="AE10">
            <v>673058.80079999997</v>
          </cell>
          <cell r="AF10">
            <v>691303.57429999998</v>
          </cell>
          <cell r="AG10">
            <v>710757.14480000001</v>
          </cell>
          <cell r="AH10">
            <v>731378.50109999999</v>
          </cell>
          <cell r="AI10">
            <v>753107.43700000003</v>
          </cell>
          <cell r="AJ10">
            <v>775867.61880000005</v>
          </cell>
          <cell r="AK10">
            <v>799566.40370000002</v>
          </cell>
        </row>
        <row r="11">
          <cell r="B11">
            <v>401529.44650000002</v>
          </cell>
          <cell r="C11">
            <v>406477.6078</v>
          </cell>
          <cell r="D11">
            <v>411955.26789999998</v>
          </cell>
          <cell r="E11">
            <v>417972.13030000002</v>
          </cell>
          <cell r="F11">
            <v>424503.6225</v>
          </cell>
          <cell r="G11">
            <v>431505.8701</v>
          </cell>
          <cell r="H11">
            <v>438914.58480000001</v>
          </cell>
          <cell r="I11">
            <v>446669.07709999999</v>
          </cell>
          <cell r="J11">
            <v>454727.32250000001</v>
          </cell>
          <cell r="K11">
            <v>463067.48540000001</v>
          </cell>
          <cell r="L11">
            <v>471688.47619999998</v>
          </cell>
          <cell r="M11">
            <v>480590.6471</v>
          </cell>
          <cell r="N11">
            <v>489751.81410000002</v>
          </cell>
          <cell r="O11">
            <v>499088.59480000002</v>
          </cell>
          <cell r="P11">
            <v>508539.96750000003</v>
          </cell>
          <cell r="Q11">
            <v>518086.32939999999</v>
          </cell>
          <cell r="R11">
            <v>527764.18389999995</v>
          </cell>
          <cell r="S11">
            <v>537647.63560000004</v>
          </cell>
          <cell r="T11">
            <v>547826.65980000002</v>
          </cell>
          <cell r="U11">
            <v>558390.93290000001</v>
          </cell>
          <cell r="V11">
            <v>569424.31400000001</v>
          </cell>
          <cell r="W11">
            <v>581013.70880000002</v>
          </cell>
          <cell r="X11">
            <v>593251.37540000002</v>
          </cell>
          <cell r="Y11">
            <v>606230.23199999996</v>
          </cell>
          <cell r="Z11">
            <v>620033.90399999998</v>
          </cell>
          <cell r="AA11">
            <v>634726.28189999994</v>
          </cell>
          <cell r="AB11">
            <v>650376.38080000004</v>
          </cell>
          <cell r="AC11">
            <v>667061.96340000001</v>
          </cell>
          <cell r="AD11">
            <v>684859.99789999996</v>
          </cell>
          <cell r="AE11">
            <v>703821.23219999997</v>
          </cell>
          <cell r="AF11">
            <v>723957.04009999998</v>
          </cell>
          <cell r="AG11">
            <v>745245.96459999995</v>
          </cell>
          <cell r="AH11">
            <v>767645.95299999998</v>
          </cell>
          <cell r="AI11">
            <v>791101.87670000002</v>
          </cell>
          <cell r="AJ11">
            <v>815549.08810000005</v>
          </cell>
          <cell r="AK11">
            <v>840914.54630000005</v>
          </cell>
        </row>
        <row r="13">
          <cell r="B13">
            <v>16084.438920000001</v>
          </cell>
          <cell r="C13">
            <v>16277.089980000001</v>
          </cell>
          <cell r="D13">
            <v>16480.566139999999</v>
          </cell>
          <cell r="E13">
            <v>16697.401040000001</v>
          </cell>
          <cell r="F13">
            <v>16928.22868</v>
          </cell>
          <cell r="G13">
            <v>17173.806670000002</v>
          </cell>
          <cell r="H13">
            <v>17435.033490000002</v>
          </cell>
          <cell r="I13">
            <v>17712.35871</v>
          </cell>
          <cell r="J13">
            <v>18006.070800000001</v>
          </cell>
          <cell r="K13">
            <v>18316.466759999999</v>
          </cell>
          <cell r="L13">
            <v>18644.353650000001</v>
          </cell>
          <cell r="M13">
            <v>18990.341659999998</v>
          </cell>
          <cell r="N13">
            <v>19354.70001</v>
          </cell>
          <cell r="O13">
            <v>19736.75244</v>
          </cell>
          <cell r="P13">
            <v>20135.986570000001</v>
          </cell>
          <cell r="Q13">
            <v>20552.431209999999</v>
          </cell>
          <cell r="R13">
            <v>20986.355909999998</v>
          </cell>
          <cell r="S13">
            <v>21439.09967</v>
          </cell>
          <cell r="T13">
            <v>21912.60643</v>
          </cell>
          <cell r="U13">
            <v>22408.992900000001</v>
          </cell>
          <cell r="V13">
            <v>22930.04293</v>
          </cell>
          <cell r="W13">
            <v>23477.769489999999</v>
          </cell>
          <cell r="X13">
            <v>24054.302080000001</v>
          </cell>
          <cell r="Y13">
            <v>24661.77017</v>
          </cell>
          <cell r="Z13">
            <v>25302.103630000001</v>
          </cell>
          <cell r="AA13">
            <v>25976.01456</v>
          </cell>
          <cell r="AB13">
            <v>26684.474979999999</v>
          </cell>
          <cell r="AC13">
            <v>27428.741269999999</v>
          </cell>
          <cell r="AD13">
            <v>28210.233660000002</v>
          </cell>
          <cell r="AE13">
            <v>29030.203850000002</v>
          </cell>
          <cell r="AF13">
            <v>29889.464090000001</v>
          </cell>
          <cell r="AG13">
            <v>30788.386579999999</v>
          </cell>
          <cell r="AH13">
            <v>31727.012289999999</v>
          </cell>
          <cell r="AI13">
            <v>32705.116020000001</v>
          </cell>
          <cell r="AJ13">
            <v>33722.227149999999</v>
          </cell>
          <cell r="AK13">
            <v>34777.621400000004</v>
          </cell>
        </row>
        <row r="14">
          <cell r="B14">
            <v>13394.580900000001</v>
          </cell>
          <cell r="C14">
            <v>13552.789489999999</v>
          </cell>
          <cell r="D14">
            <v>13718.392809999999</v>
          </cell>
          <cell r="E14">
            <v>13892.640299999999</v>
          </cell>
          <cell r="F14">
            <v>14076.406569999999</v>
          </cell>
          <cell r="G14">
            <v>14270.344010000001</v>
          </cell>
          <cell r="H14">
            <v>14474.68442</v>
          </cell>
          <cell r="I14">
            <v>14684.570900000001</v>
          </cell>
          <cell r="J14">
            <v>14898.65156</v>
          </cell>
          <cell r="K14">
            <v>15123.184010000001</v>
          </cell>
          <cell r="L14">
            <v>15360.51484</v>
          </cell>
          <cell r="M14">
            <v>15610.47912</v>
          </cell>
          <cell r="N14">
            <v>15871.47719</v>
          </cell>
          <cell r="O14">
            <v>16140.801170000001</v>
          </cell>
          <cell r="P14">
            <v>16416.793559999998</v>
          </cell>
          <cell r="Q14">
            <v>16698.920249999999</v>
          </cell>
          <cell r="R14">
            <v>16986.86778</v>
          </cell>
          <cell r="S14">
            <v>17281.27433</v>
          </cell>
          <cell r="T14">
            <v>17583.499820000001</v>
          </cell>
          <cell r="U14">
            <v>17895.32186</v>
          </cell>
          <cell r="V14">
            <v>18218.579259999999</v>
          </cell>
          <cell r="W14">
            <v>18555.583569999999</v>
          </cell>
          <cell r="X14">
            <v>18908.967570000001</v>
          </cell>
          <cell r="Y14">
            <v>19281.52504</v>
          </cell>
          <cell r="Z14">
            <v>19675.9686</v>
          </cell>
          <cell r="AA14">
            <v>20094.167890000001</v>
          </cell>
          <cell r="AB14">
            <v>20538.370289999999</v>
          </cell>
          <cell r="AC14">
            <v>21011.08943</v>
          </cell>
          <cell r="AD14">
            <v>21514.926390000001</v>
          </cell>
          <cell r="AE14">
            <v>22052.063259999999</v>
          </cell>
          <cell r="AF14">
            <v>22623.92828</v>
          </cell>
          <cell r="AG14">
            <v>23231.225129999999</v>
          </cell>
          <cell r="AH14">
            <v>23874.116109999999</v>
          </cell>
          <cell r="AI14">
            <v>24552.356159999999</v>
          </cell>
          <cell r="AJ14">
            <v>25265.376919999999</v>
          </cell>
          <cell r="AK14">
            <v>26012.375090000001</v>
          </cell>
        </row>
        <row r="15">
          <cell r="B15">
            <v>13394.580900000001</v>
          </cell>
          <cell r="C15">
            <v>13552.789489999999</v>
          </cell>
          <cell r="D15">
            <v>13718.392809999999</v>
          </cell>
          <cell r="E15">
            <v>13892.640299999999</v>
          </cell>
          <cell r="F15">
            <v>14076.406569999999</v>
          </cell>
          <cell r="G15">
            <v>14270.344010000001</v>
          </cell>
          <cell r="H15">
            <v>14474.52483</v>
          </cell>
          <cell r="I15">
            <v>14688.63299</v>
          </cell>
          <cell r="J15">
            <v>14912.268669999999</v>
          </cell>
          <cell r="K15">
            <v>15145.10461</v>
          </cell>
          <cell r="L15">
            <v>15387.263800000001</v>
          </cell>
          <cell r="M15">
            <v>15638.640069999999</v>
          </cell>
          <cell r="N15">
            <v>15898.63197</v>
          </cell>
          <cell r="O15">
            <v>16165.383040000001</v>
          </cell>
          <cell r="P15">
            <v>16437.379260000002</v>
          </cell>
          <cell r="Q15">
            <v>16713.904569999999</v>
          </cell>
          <cell r="R15">
            <v>16995.315910000001</v>
          </cell>
          <cell r="S15">
            <v>17283.00202</v>
          </cell>
          <cell r="T15">
            <v>17578.95766</v>
          </cell>
          <cell r="U15">
            <v>17885.389139999999</v>
          </cell>
          <cell r="V15">
            <v>18204.352009999999</v>
          </cell>
          <cell r="W15">
            <v>18538.19325</v>
          </cell>
          <cell r="X15">
            <v>18889.437539999999</v>
          </cell>
          <cell r="Y15">
            <v>19260.65827</v>
          </cell>
          <cell r="Z15">
            <v>19654.264340000002</v>
          </cell>
          <cell r="AA15">
            <v>20071.780610000002</v>
          </cell>
          <cell r="AB15">
            <v>20515.05054</v>
          </cell>
          <cell r="AC15">
            <v>20986.154999999999</v>
          </cell>
          <cell r="AD15">
            <v>21487.202979999998</v>
          </cell>
          <cell r="AE15">
            <v>22019.819159999999</v>
          </cell>
          <cell r="AF15">
            <v>22584.814569999999</v>
          </cell>
          <cell r="AG15">
            <v>23182.228800000001</v>
          </cell>
          <cell r="AH15">
            <v>23811.503850000001</v>
          </cell>
          <cell r="AI15">
            <v>24471.59518</v>
          </cell>
          <cell r="AJ15">
            <v>25161.02852</v>
          </cell>
          <cell r="AK15">
            <v>25877.92669</v>
          </cell>
        </row>
        <row r="16">
          <cell r="B16">
            <v>36396.253879999997</v>
          </cell>
          <cell r="C16">
            <v>36829.978260000004</v>
          </cell>
          <cell r="D16">
            <v>37288.637159999998</v>
          </cell>
          <cell r="E16">
            <v>37774.510600000001</v>
          </cell>
          <cell r="F16">
            <v>38289.255089999999</v>
          </cell>
          <cell r="G16">
            <v>38833.999600000003</v>
          </cell>
          <cell r="H16">
            <v>39409.260119999999</v>
          </cell>
          <cell r="I16">
            <v>39993.834600000002</v>
          </cell>
          <cell r="J16">
            <v>40583.535049999999</v>
          </cell>
          <cell r="K16">
            <v>41199.831749999998</v>
          </cell>
          <cell r="L16">
            <v>41849.551809999997</v>
          </cell>
          <cell r="M16">
            <v>42531.725420000002</v>
          </cell>
          <cell r="N16">
            <v>43240.327949999999</v>
          </cell>
          <cell r="O16">
            <v>43965.889840000003</v>
          </cell>
          <cell r="P16">
            <v>44703.050260000004</v>
          </cell>
          <cell r="Q16">
            <v>45450.53</v>
          </cell>
          <cell r="R16">
            <v>46210.838479999999</v>
          </cell>
          <cell r="S16">
            <v>46987.908909999998</v>
          </cell>
          <cell r="T16">
            <v>47787.487950000002</v>
          </cell>
          <cell r="U16">
            <v>48616.3442</v>
          </cell>
          <cell r="V16">
            <v>49481.464319999999</v>
          </cell>
          <cell r="W16">
            <v>50390.879580000001</v>
          </cell>
          <cell r="X16">
            <v>51353.395420000001</v>
          </cell>
          <cell r="Y16">
            <v>52378.04681</v>
          </cell>
          <cell r="Z16">
            <v>53473.2428</v>
          </cell>
          <cell r="AA16">
            <v>54645.263310000002</v>
          </cell>
          <cell r="AB16">
            <v>55900.595909999996</v>
          </cell>
          <cell r="AC16">
            <v>57247.082320000001</v>
          </cell>
          <cell r="AD16">
            <v>58692.828580000001</v>
          </cell>
          <cell r="AE16">
            <v>60244.129979999998</v>
          </cell>
          <cell r="AF16">
            <v>61904.307800000002</v>
          </cell>
          <cell r="AG16">
            <v>63674.091529999998</v>
          </cell>
          <cell r="AH16">
            <v>65552.465549999994</v>
          </cell>
          <cell r="AI16">
            <v>67537.004520000002</v>
          </cell>
          <cell r="AJ16">
            <v>69623.951719999997</v>
          </cell>
          <cell r="AK16">
            <v>71808.242459999994</v>
          </cell>
        </row>
        <row r="17">
          <cell r="B17">
            <v>36396.253879999997</v>
          </cell>
          <cell r="C17">
            <v>36829.978260000004</v>
          </cell>
          <cell r="D17">
            <v>37288.637170000002</v>
          </cell>
          <cell r="E17">
            <v>37774.510600000001</v>
          </cell>
          <cell r="F17">
            <v>38289.255089999999</v>
          </cell>
          <cell r="G17">
            <v>38833.999609999999</v>
          </cell>
          <cell r="H17">
            <v>39409.193229999997</v>
          </cell>
          <cell r="I17">
            <v>40014.235520000002</v>
          </cell>
          <cell r="J17">
            <v>40648.024940000003</v>
          </cell>
          <cell r="K17">
            <v>41309.43995</v>
          </cell>
          <cell r="L17">
            <v>41998.278630000001</v>
          </cell>
          <cell r="M17">
            <v>42713.89185</v>
          </cell>
          <cell r="N17">
            <v>43454.003669999998</v>
          </cell>
          <cell r="O17">
            <v>44211.996090000001</v>
          </cell>
          <cell r="P17">
            <v>44982.963750000003</v>
          </cell>
          <cell r="Q17">
            <v>45765.137239999996</v>
          </cell>
          <cell r="R17">
            <v>46559.858809999998</v>
          </cell>
          <cell r="S17">
            <v>47372.050490000001</v>
          </cell>
          <cell r="T17">
            <v>48208.912669999998</v>
          </cell>
          <cell r="U17">
            <v>49078.44659</v>
          </cell>
          <cell r="V17">
            <v>49988.42022</v>
          </cell>
          <cell r="W17">
            <v>50947.102769999998</v>
          </cell>
          <cell r="X17">
            <v>51963.029750000002</v>
          </cell>
          <cell r="Y17">
            <v>53044.620199999998</v>
          </cell>
          <cell r="Z17">
            <v>54199.453300000001</v>
          </cell>
          <cell r="AA17">
            <v>55432.880010000001</v>
          </cell>
          <cell r="AB17">
            <v>56750.816129999999</v>
          </cell>
          <cell r="AC17">
            <v>58159.673390000004</v>
          </cell>
          <cell r="AD17">
            <v>59665.747360000001</v>
          </cell>
          <cell r="AE17">
            <v>61273.406360000001</v>
          </cell>
          <cell r="AF17">
            <v>62984.042739999997</v>
          </cell>
          <cell r="AG17">
            <v>64796.414940000002</v>
          </cell>
          <cell r="AH17">
            <v>66707.412389999998</v>
          </cell>
          <cell r="AI17">
            <v>68712.522500000006</v>
          </cell>
          <cell r="AJ17">
            <v>70806.062179999994</v>
          </cell>
          <cell r="AK17">
            <v>72981.279190000001</v>
          </cell>
        </row>
        <row r="18">
          <cell r="B18">
            <v>13360.21751</v>
          </cell>
          <cell r="C18">
            <v>13520.53795</v>
          </cell>
          <cell r="D18">
            <v>13690.929400000001</v>
          </cell>
          <cell r="E18">
            <v>13872.736059999999</v>
          </cell>
          <cell r="F18">
            <v>14066.41388</v>
          </cell>
          <cell r="G18">
            <v>14272.110280000001</v>
          </cell>
          <cell r="H18">
            <v>14489.648289999999</v>
          </cell>
          <cell r="I18">
            <v>14713.7336</v>
          </cell>
          <cell r="J18">
            <v>14943.487929999999</v>
          </cell>
          <cell r="K18">
            <v>15186.95866</v>
          </cell>
          <cell r="L18">
            <v>15446.882530000001</v>
          </cell>
          <cell r="M18">
            <v>15722.63816</v>
          </cell>
          <cell r="N18">
            <v>16011.7248</v>
          </cell>
          <cell r="O18">
            <v>16310.3863</v>
          </cell>
          <cell r="P18">
            <v>16616.377359999999</v>
          </cell>
          <cell r="Q18">
            <v>16929.04682</v>
          </cell>
          <cell r="R18">
            <v>17248.344239999999</v>
          </cell>
          <cell r="S18">
            <v>17575.44083</v>
          </cell>
          <cell r="T18">
            <v>17912.368279999999</v>
          </cell>
          <cell r="U18">
            <v>18261.568019999999</v>
          </cell>
          <cell r="V18">
            <v>18625.559239999999</v>
          </cell>
          <cell r="W18">
            <v>19007.14876</v>
          </cell>
          <cell r="X18">
            <v>19409.413400000001</v>
          </cell>
          <cell r="Y18">
            <v>19835.54362</v>
          </cell>
          <cell r="Z18">
            <v>20288.56437</v>
          </cell>
          <cell r="AA18">
            <v>20770.803039999999</v>
          </cell>
          <cell r="AB18">
            <v>21284.690050000001</v>
          </cell>
          <cell r="AC18">
            <v>21832.860769999999</v>
          </cell>
          <cell r="AD18">
            <v>22417.982800000002</v>
          </cell>
          <cell r="AE18">
            <v>23042.154299999998</v>
          </cell>
          <cell r="AF18">
            <v>23706.53657</v>
          </cell>
          <cell r="AG18">
            <v>24411.44354</v>
          </cell>
          <cell r="AH18">
            <v>25156.62815</v>
          </cell>
          <cell r="AI18">
            <v>25941.532279999999</v>
          </cell>
          <cell r="AJ18">
            <v>26765.488710000001</v>
          </cell>
          <cell r="AK18">
            <v>27627.972300000001</v>
          </cell>
        </row>
        <row r="19">
          <cell r="B19">
            <v>13360.21751</v>
          </cell>
          <cell r="C19">
            <v>13520.53795</v>
          </cell>
          <cell r="D19">
            <v>13690.929400000001</v>
          </cell>
          <cell r="E19">
            <v>13872.736059999999</v>
          </cell>
          <cell r="F19">
            <v>14066.41388</v>
          </cell>
          <cell r="G19">
            <v>14272.110269999999</v>
          </cell>
          <cell r="H19">
            <v>14489.52247</v>
          </cell>
          <cell r="I19">
            <v>14718.154920000001</v>
          </cell>
          <cell r="J19">
            <v>14957.55212</v>
          </cell>
          <cell r="K19">
            <v>15207.393529999999</v>
          </cell>
          <cell r="L19">
            <v>15467.728950000001</v>
          </cell>
          <cell r="M19">
            <v>15738.521769999999</v>
          </cell>
          <cell r="N19">
            <v>16019.128129999999</v>
          </cell>
          <cell r="O19">
            <v>16307.39235</v>
          </cell>
          <cell r="P19">
            <v>16601.626090000002</v>
          </cell>
          <cell r="Q19">
            <v>16901.151119999999</v>
          </cell>
          <cell r="R19">
            <v>17206.50359</v>
          </cell>
          <cell r="S19">
            <v>17519.29852</v>
          </cell>
          <cell r="T19">
            <v>17841.817510000001</v>
          </cell>
          <cell r="U19">
            <v>18176.58437</v>
          </cell>
          <cell r="V19">
            <v>18526.074140000001</v>
          </cell>
          <cell r="W19">
            <v>18892.9552</v>
          </cell>
          <cell r="X19">
            <v>19280.094000000001</v>
          </cell>
          <cell r="Y19">
            <v>19690.399369999999</v>
          </cell>
          <cell r="Z19">
            <v>20126.55214</v>
          </cell>
          <cell r="AA19">
            <v>20590.51064</v>
          </cell>
          <cell r="AB19">
            <v>21084.309529999999</v>
          </cell>
          <cell r="AC19">
            <v>21610.19311</v>
          </cell>
          <cell r="AD19">
            <v>22170.390210000001</v>
          </cell>
          <cell r="AE19">
            <v>22766.498019999999</v>
          </cell>
          <cell r="AF19">
            <v>23399.108130000001</v>
          </cell>
          <cell r="AG19">
            <v>24067.901570000002</v>
          </cell>
          <cell r="AH19">
            <v>24771.900460000001</v>
          </cell>
          <cell r="AI19">
            <v>25509.62934</v>
          </cell>
          <cell r="AJ19">
            <v>26279.19814</v>
          </cell>
          <cell r="AK19">
            <v>27078.340649999998</v>
          </cell>
        </row>
        <row r="20">
          <cell r="B20">
            <v>66530.747570000007</v>
          </cell>
          <cell r="C20">
            <v>67319.928020000007</v>
          </cell>
          <cell r="D20">
            <v>68151.704070000007</v>
          </cell>
          <cell r="E20">
            <v>69031.129520000002</v>
          </cell>
          <cell r="F20">
            <v>69961.281459999998</v>
          </cell>
          <cell r="G20">
            <v>70944.668390000006</v>
          </cell>
          <cell r="H20">
            <v>71982.719819999998</v>
          </cell>
          <cell r="I20">
            <v>73041.783230000001</v>
          </cell>
          <cell r="J20">
            <v>74111.68346</v>
          </cell>
          <cell r="K20">
            <v>75226.782000000007</v>
          </cell>
          <cell r="L20">
            <v>76399.611560000005</v>
          </cell>
          <cell r="M20">
            <v>77630.123040000006</v>
          </cell>
          <cell r="N20">
            <v>78909.953500000003</v>
          </cell>
          <cell r="O20">
            <v>80224.840330000006</v>
          </cell>
          <cell r="P20">
            <v>81567.233670000001</v>
          </cell>
          <cell r="Q20">
            <v>82936.824770000007</v>
          </cell>
          <cell r="R20">
            <v>84337.105070000005</v>
          </cell>
          <cell r="S20">
            <v>85775.554390000005</v>
          </cell>
          <cell r="T20">
            <v>87263.310410000006</v>
          </cell>
          <cell r="U20">
            <v>88813.550270000007</v>
          </cell>
          <cell r="V20">
            <v>90440.149640000003</v>
          </cell>
          <cell r="W20">
            <v>92158.656260000003</v>
          </cell>
          <cell r="X20">
            <v>93986.253270000001</v>
          </cell>
          <cell r="Y20">
            <v>95940.855660000001</v>
          </cell>
          <cell r="Z20">
            <v>98039.758260000002</v>
          </cell>
          <cell r="AA20">
            <v>100297.32150000001</v>
          </cell>
          <cell r="AB20">
            <v>102728.128</v>
          </cell>
          <cell r="AC20">
            <v>105349.0892</v>
          </cell>
          <cell r="AD20">
            <v>108177.8658</v>
          </cell>
          <cell r="AE20">
            <v>111229.7819</v>
          </cell>
          <cell r="AF20">
            <v>114516.1652</v>
          </cell>
          <cell r="AG20">
            <v>118045.20110000001</v>
          </cell>
          <cell r="AH20">
            <v>121823.71709999999</v>
          </cell>
          <cell r="AI20">
            <v>125858.45480000001</v>
          </cell>
          <cell r="AJ20">
            <v>130157.3097</v>
          </cell>
          <cell r="AK20">
            <v>134731.0871</v>
          </cell>
        </row>
        <row r="21">
          <cell r="B21">
            <v>66530.747570000007</v>
          </cell>
          <cell r="C21">
            <v>67319.928020000007</v>
          </cell>
          <cell r="D21">
            <v>68151.704070000007</v>
          </cell>
          <cell r="E21">
            <v>69031.129520000002</v>
          </cell>
          <cell r="F21">
            <v>69961.281459999998</v>
          </cell>
          <cell r="G21">
            <v>70944.668390000006</v>
          </cell>
          <cell r="H21">
            <v>71981.352220000001</v>
          </cell>
          <cell r="I21">
            <v>73070.046780000004</v>
          </cell>
          <cell r="J21">
            <v>74209.215150000004</v>
          </cell>
          <cell r="K21">
            <v>75397.715530000001</v>
          </cell>
          <cell r="L21">
            <v>76636.000230000005</v>
          </cell>
          <cell r="M21">
            <v>77924.129509999999</v>
          </cell>
          <cell r="N21">
            <v>79259.167820000002</v>
          </cell>
          <cell r="O21">
            <v>80630.738079999996</v>
          </cell>
          <cell r="P21">
            <v>82030.735459999996</v>
          </cell>
          <cell r="Q21">
            <v>83456.158009999999</v>
          </cell>
          <cell r="R21">
            <v>84910.673060000001</v>
          </cell>
          <cell r="S21">
            <v>86403.52059</v>
          </cell>
          <cell r="T21">
            <v>87947.353010000006</v>
          </cell>
          <cell r="U21">
            <v>89555.986720000001</v>
          </cell>
          <cell r="V21">
            <v>91242.930940000006</v>
          </cell>
          <cell r="W21">
            <v>93022.321259999997</v>
          </cell>
          <cell r="X21">
            <v>94909.032449999999</v>
          </cell>
          <cell r="Y21">
            <v>96918.011320000005</v>
          </cell>
          <cell r="Z21">
            <v>99063.032179999995</v>
          </cell>
          <cell r="AA21">
            <v>101354.5226</v>
          </cell>
          <cell r="AB21">
            <v>103803.0358</v>
          </cell>
          <cell r="AC21">
            <v>106419.9927</v>
          </cell>
          <cell r="AD21">
            <v>109216.66559999999</v>
          </cell>
          <cell r="AE21">
            <v>112201.1485</v>
          </cell>
          <cell r="AF21">
            <v>115376.5321</v>
          </cell>
          <cell r="AG21">
            <v>118741.393</v>
          </cell>
          <cell r="AH21">
            <v>122291.08590000001</v>
          </cell>
          <cell r="AI21">
            <v>126018.5966</v>
          </cell>
          <cell r="AJ21">
            <v>129914.97719999999</v>
          </cell>
          <cell r="AK21">
            <v>133969.53200000001</v>
          </cell>
        </row>
        <row r="22">
          <cell r="B22">
            <v>129149.4963</v>
          </cell>
          <cell r="C22">
            <v>130717.7417</v>
          </cell>
          <cell r="D22">
            <v>132410.55300000001</v>
          </cell>
          <cell r="E22">
            <v>134232.2059</v>
          </cell>
          <cell r="F22">
            <v>136184.67550000001</v>
          </cell>
          <cell r="G22">
            <v>138267.72349999999</v>
          </cell>
          <cell r="H22">
            <v>140479.432</v>
          </cell>
          <cell r="I22">
            <v>142735.88990000001</v>
          </cell>
          <cell r="J22">
            <v>145034.06400000001</v>
          </cell>
          <cell r="K22">
            <v>147487.0269</v>
          </cell>
          <cell r="L22">
            <v>150132.6257</v>
          </cell>
          <cell r="M22">
            <v>152970.4025</v>
          </cell>
          <cell r="N22">
            <v>155966.84959999999</v>
          </cell>
          <cell r="O22">
            <v>159067.81940000001</v>
          </cell>
          <cell r="P22">
            <v>162238.09109999999</v>
          </cell>
          <cell r="Q22">
            <v>165462.27439999999</v>
          </cell>
          <cell r="R22">
            <v>168733.83809999999</v>
          </cell>
          <cell r="S22">
            <v>172064.16740000001</v>
          </cell>
          <cell r="T22">
            <v>175476.24340000001</v>
          </cell>
          <cell r="U22">
            <v>178997.82459999999</v>
          </cell>
          <cell r="V22">
            <v>182658.55540000001</v>
          </cell>
          <cell r="W22">
            <v>186490.70360000001</v>
          </cell>
          <cell r="X22">
            <v>190530.0925</v>
          </cell>
          <cell r="Y22">
            <v>194812.83249999999</v>
          </cell>
          <cell r="Z22">
            <v>199371.2856</v>
          </cell>
          <cell r="AA22">
            <v>204231.96220000001</v>
          </cell>
          <cell r="AB22">
            <v>209418.87839999999</v>
          </cell>
          <cell r="AC22">
            <v>214965.97589999999</v>
          </cell>
          <cell r="AD22">
            <v>220908.6195</v>
          </cell>
          <cell r="AE22">
            <v>227272.84880000001</v>
          </cell>
          <cell r="AF22">
            <v>234070.51550000001</v>
          </cell>
          <cell r="AG22">
            <v>241303.0889</v>
          </cell>
          <cell r="AH22">
            <v>248966.9645</v>
          </cell>
          <cell r="AI22">
            <v>257054.1545</v>
          </cell>
          <cell r="AJ22">
            <v>265552.39500000002</v>
          </cell>
          <cell r="AK22">
            <v>274445.62670000002</v>
          </cell>
        </row>
        <row r="23">
          <cell r="B23">
            <v>129149.4963</v>
          </cell>
          <cell r="C23">
            <v>130717.7417</v>
          </cell>
          <cell r="D23">
            <v>132410.55300000001</v>
          </cell>
          <cell r="E23">
            <v>134232.2059</v>
          </cell>
          <cell r="F23">
            <v>136184.67550000001</v>
          </cell>
          <cell r="G23">
            <v>138267.72349999999</v>
          </cell>
          <cell r="H23">
            <v>140477.68299999999</v>
          </cell>
          <cell r="I23">
            <v>142809.351</v>
          </cell>
          <cell r="J23">
            <v>145257.81030000001</v>
          </cell>
          <cell r="K23">
            <v>147819.3708</v>
          </cell>
          <cell r="L23">
            <v>150492.73860000001</v>
          </cell>
          <cell r="M23">
            <v>153276.6042</v>
          </cell>
          <cell r="N23">
            <v>156161.5037</v>
          </cell>
          <cell r="O23">
            <v>159118.03580000001</v>
          </cell>
          <cell r="P23">
            <v>162124.66889999999</v>
          </cell>
          <cell r="Q23">
            <v>165173.75260000001</v>
          </cell>
          <cell r="R23">
            <v>168272.79819999999</v>
          </cell>
          <cell r="S23">
            <v>171441.49770000001</v>
          </cell>
          <cell r="T23">
            <v>174707.0619</v>
          </cell>
          <cell r="U23">
            <v>178099.15239999999</v>
          </cell>
          <cell r="V23">
            <v>181647.95199999999</v>
          </cell>
          <cell r="W23">
            <v>185384.56390000001</v>
          </cell>
          <cell r="X23">
            <v>189342.24429999999</v>
          </cell>
          <cell r="Y23">
            <v>193554.67370000001</v>
          </cell>
          <cell r="Z23">
            <v>198052.63250000001</v>
          </cell>
          <cell r="AA23">
            <v>202862.1298</v>
          </cell>
          <cell r="AB23">
            <v>208008.64809999999</v>
          </cell>
          <cell r="AC23">
            <v>213519.83689999999</v>
          </cell>
          <cell r="AD23">
            <v>219422.69289999999</v>
          </cell>
          <cell r="AE23">
            <v>225735.3039</v>
          </cell>
          <cell r="AF23">
            <v>232462.55420000001</v>
          </cell>
          <cell r="AG23">
            <v>239598.16029999999</v>
          </cell>
          <cell r="AH23">
            <v>247128.43640000001</v>
          </cell>
          <cell r="AI23">
            <v>255034.52170000001</v>
          </cell>
          <cell r="AJ23">
            <v>263293.41869999998</v>
          </cell>
          <cell r="AK23">
            <v>271878.3702</v>
          </cell>
        </row>
        <row r="24">
          <cell r="B24">
            <v>144874.83119999999</v>
          </cell>
          <cell r="C24">
            <v>146576.4086</v>
          </cell>
          <cell r="D24">
            <v>148354.89780000001</v>
          </cell>
          <cell r="E24">
            <v>150228.24280000001</v>
          </cell>
          <cell r="F24">
            <v>152210.9846</v>
          </cell>
          <cell r="G24">
            <v>154312.41769999999</v>
          </cell>
          <cell r="H24">
            <v>156535.7267</v>
          </cell>
          <cell r="I24">
            <v>158824.58249999999</v>
          </cell>
          <cell r="J24">
            <v>161163.43470000001</v>
          </cell>
          <cell r="K24">
            <v>163612.03279999999</v>
          </cell>
          <cell r="L24">
            <v>166198.9504</v>
          </cell>
          <cell r="M24">
            <v>168932.27359999999</v>
          </cell>
          <cell r="N24">
            <v>171805.01800000001</v>
          </cell>
          <cell r="O24">
            <v>174797.70430000001</v>
          </cell>
          <cell r="P24">
            <v>177898.61720000001</v>
          </cell>
          <cell r="Q24">
            <v>181105.71549999999</v>
          </cell>
          <cell r="R24">
            <v>184413.29209999999</v>
          </cell>
          <cell r="S24">
            <v>187826.93710000001</v>
          </cell>
          <cell r="T24">
            <v>191360.3677</v>
          </cell>
          <cell r="U24">
            <v>195031.80170000001</v>
          </cell>
          <cell r="V24">
            <v>198859.52280000001</v>
          </cell>
          <cell r="W24">
            <v>202866.4748</v>
          </cell>
          <cell r="X24">
            <v>207078.4289</v>
          </cell>
          <cell r="Y24">
            <v>211522.87640000001</v>
          </cell>
          <cell r="Z24">
            <v>216226.902</v>
          </cell>
          <cell r="AA24">
            <v>221208.25570000001</v>
          </cell>
          <cell r="AB24">
            <v>226491.80650000001</v>
          </cell>
          <cell r="AC24">
            <v>232102.46220000001</v>
          </cell>
          <cell r="AD24">
            <v>238065.8651</v>
          </cell>
          <cell r="AE24">
            <v>244405.0851</v>
          </cell>
          <cell r="AF24">
            <v>251137.76079999999</v>
          </cell>
          <cell r="AG24">
            <v>258275.85190000001</v>
          </cell>
          <cell r="AH24">
            <v>265827.06550000003</v>
          </cell>
          <cell r="AI24">
            <v>273796.81949999998</v>
          </cell>
          <cell r="AJ24">
            <v>282189.90470000001</v>
          </cell>
          <cell r="AK24">
            <v>291012.4045</v>
          </cell>
        </row>
        <row r="25">
          <cell r="B25">
            <v>144874.83119999999</v>
          </cell>
          <cell r="C25">
            <v>146576.4086</v>
          </cell>
          <cell r="D25">
            <v>148354.8977</v>
          </cell>
          <cell r="E25">
            <v>150228.24280000001</v>
          </cell>
          <cell r="F25">
            <v>152210.9846</v>
          </cell>
          <cell r="G25">
            <v>154312.41769999999</v>
          </cell>
          <cell r="H25">
            <v>156532.28880000001</v>
          </cell>
          <cell r="I25">
            <v>158866.85819999999</v>
          </cell>
          <cell r="J25">
            <v>161312.40580000001</v>
          </cell>
          <cell r="K25">
            <v>163866.78339999999</v>
          </cell>
          <cell r="L25">
            <v>166533.39189999999</v>
          </cell>
          <cell r="M25">
            <v>169313.4914</v>
          </cell>
          <cell r="N25">
            <v>172204.21590000001</v>
          </cell>
          <cell r="O25">
            <v>175191.17199999999</v>
          </cell>
          <cell r="P25">
            <v>178262.0251</v>
          </cell>
          <cell r="Q25">
            <v>181411.005</v>
          </cell>
          <cell r="R25">
            <v>184643.9025</v>
          </cell>
          <cell r="S25">
            <v>187975.25959999999</v>
          </cell>
          <cell r="T25">
            <v>191424.52859999999</v>
          </cell>
          <cell r="U25">
            <v>195012.50760000001</v>
          </cell>
          <cell r="V25">
            <v>198757.4847</v>
          </cell>
          <cell r="W25">
            <v>202680.7561</v>
          </cell>
          <cell r="X25">
            <v>206805.36480000001</v>
          </cell>
          <cell r="Y25">
            <v>211155.01759999999</v>
          </cell>
          <cell r="Z25">
            <v>215752.0417</v>
          </cell>
          <cell r="AA25">
            <v>220608.84179999999</v>
          </cell>
          <cell r="AB25">
            <v>225741.7438</v>
          </cell>
          <cell r="AC25">
            <v>231169.99789999999</v>
          </cell>
          <cell r="AD25">
            <v>236914.05059999999</v>
          </cell>
          <cell r="AE25">
            <v>242991.09210000001</v>
          </cell>
          <cell r="AF25">
            <v>249411.79579999999</v>
          </cell>
          <cell r="AG25">
            <v>256180.35260000001</v>
          </cell>
          <cell r="AH25">
            <v>263295.8357</v>
          </cell>
          <cell r="AI25">
            <v>270753.07640000002</v>
          </cell>
          <cell r="AJ25">
            <v>278543.03820000001</v>
          </cell>
          <cell r="AK25">
            <v>286652.87959999999</v>
          </cell>
        </row>
        <row r="26">
          <cell r="B26">
            <v>1694030.6680000001</v>
          </cell>
          <cell r="C26">
            <v>1713925.88</v>
          </cell>
          <cell r="D26">
            <v>1734707.4110000001</v>
          </cell>
          <cell r="E26">
            <v>1756655.1140000001</v>
          </cell>
          <cell r="F26">
            <v>1780013.2420000001</v>
          </cell>
          <cell r="G26">
            <v>1804974.9080000001</v>
          </cell>
          <cell r="H26">
            <v>1831658.6869999999</v>
          </cell>
          <cell r="I26">
            <v>1859887.665</v>
          </cell>
          <cell r="J26">
            <v>1889578.696</v>
          </cell>
          <cell r="K26">
            <v>1920917.575</v>
          </cell>
          <cell r="L26">
            <v>1954197.787</v>
          </cell>
          <cell r="M26">
            <v>1989716.862</v>
          </cell>
          <cell r="N26">
            <v>2027738.9310000001</v>
          </cell>
          <cell r="O26">
            <v>2068463.622</v>
          </cell>
          <cell r="P26">
            <v>2112060.2030000002</v>
          </cell>
          <cell r="Q26">
            <v>2158694.4330000002</v>
          </cell>
          <cell r="R26">
            <v>2208505.264</v>
          </cell>
          <cell r="S26">
            <v>2261651.54</v>
          </cell>
          <cell r="T26">
            <v>2318332.0210000002</v>
          </cell>
          <cell r="U26">
            <v>2378786.5410000002</v>
          </cell>
          <cell r="V26">
            <v>2443251.8390000002</v>
          </cell>
          <cell r="W26">
            <v>2512027.2179999999</v>
          </cell>
          <cell r="X26">
            <v>2585456.5720000002</v>
          </cell>
          <cell r="Y26">
            <v>2663927.327</v>
          </cell>
          <cell r="Z26">
            <v>2747864.5109999999</v>
          </cell>
          <cell r="AA26">
            <v>2837603.5210000002</v>
          </cell>
          <cell r="AB26">
            <v>2933543.9350000001</v>
          </cell>
          <cell r="AC26">
            <v>3036141.503</v>
          </cell>
          <cell r="AD26">
            <v>3145936.247</v>
          </cell>
          <cell r="AE26">
            <v>3263575.0729999999</v>
          </cell>
          <cell r="AF26">
            <v>3389824.6749999998</v>
          </cell>
          <cell r="AG26">
            <v>3525586.4019999998</v>
          </cell>
          <cell r="AH26">
            <v>3671933.7629999998</v>
          </cell>
          <cell r="AI26">
            <v>3830190.9410000001</v>
          </cell>
          <cell r="AJ26">
            <v>4002052.466</v>
          </cell>
          <cell r="AK26">
            <v>4189771.4750000001</v>
          </cell>
        </row>
        <row r="27">
          <cell r="B27">
            <v>1694030.6680000001</v>
          </cell>
          <cell r="C27">
            <v>1713925.88</v>
          </cell>
          <cell r="D27">
            <v>1734707.4110000001</v>
          </cell>
          <cell r="E27">
            <v>1756655.1140000001</v>
          </cell>
          <cell r="F27">
            <v>1780013.2420000001</v>
          </cell>
          <cell r="G27">
            <v>1804974.9080000001</v>
          </cell>
          <cell r="H27">
            <v>1831617.5090000001</v>
          </cell>
          <cell r="I27">
            <v>1859960.2860000001</v>
          </cell>
          <cell r="J27">
            <v>1890005.63</v>
          </cell>
          <cell r="K27">
            <v>1921764.1710000001</v>
          </cell>
          <cell r="L27">
            <v>1955314.4280000001</v>
          </cell>
          <cell r="M27">
            <v>1990722.1680000001</v>
          </cell>
          <cell r="N27">
            <v>2028054.078</v>
          </cell>
          <cell r="O27">
            <v>2067348.3729999999</v>
          </cell>
          <cell r="P27">
            <v>2108629.4840000002</v>
          </cell>
          <cell r="Q27">
            <v>2151925.3679999998</v>
          </cell>
          <cell r="R27">
            <v>2197333.4559999998</v>
          </cell>
          <cell r="S27">
            <v>2245009.588</v>
          </cell>
          <cell r="T27">
            <v>2295143.642</v>
          </cell>
          <cell r="U27">
            <v>2347934.148</v>
          </cell>
          <cell r="V27">
            <v>2403534.9300000002</v>
          </cell>
          <cell r="W27">
            <v>2462123.7119999998</v>
          </cell>
          <cell r="X27">
            <v>2523887.02</v>
          </cell>
          <cell r="Y27">
            <v>2589015.8879999998</v>
          </cell>
          <cell r="Z27">
            <v>2657697.497</v>
          </cell>
          <cell r="AA27">
            <v>2729992.4780000001</v>
          </cell>
          <cell r="AB27">
            <v>2805996.2349999999</v>
          </cell>
          <cell r="AC27">
            <v>2885834.5750000002</v>
          </cell>
          <cell r="AD27">
            <v>2969663.963</v>
          </cell>
          <cell r="AE27">
            <v>3057666.9980000001</v>
          </cell>
          <cell r="AF27">
            <v>3150037.898</v>
          </cell>
          <cell r="AG27">
            <v>3246970.6060000001</v>
          </cell>
          <cell r="AH27">
            <v>3348651.5619999999</v>
          </cell>
          <cell r="AI27">
            <v>3455253.56</v>
          </cell>
          <cell r="AJ27">
            <v>3566929.3139999998</v>
          </cell>
          <cell r="AK27">
            <v>3683804.2349999999</v>
          </cell>
        </row>
        <row r="28">
          <cell r="B28">
            <v>4359.8761270000005</v>
          </cell>
          <cell r="C28">
            <v>4410.9152990000002</v>
          </cell>
          <cell r="D28">
            <v>4463.6864759999999</v>
          </cell>
          <cell r="E28">
            <v>4518.5161390000003</v>
          </cell>
          <cell r="F28">
            <v>4575.6758749999999</v>
          </cell>
          <cell r="G28">
            <v>4635.339903</v>
          </cell>
          <cell r="H28">
            <v>4697.5393000000004</v>
          </cell>
          <cell r="I28">
            <v>4761.071285</v>
          </cell>
          <cell r="J28">
            <v>4825.6747569999998</v>
          </cell>
          <cell r="K28">
            <v>4892.6287419999999</v>
          </cell>
          <cell r="L28">
            <v>4962.7059330000002</v>
          </cell>
          <cell r="M28">
            <v>5036.1563399999995</v>
          </cell>
          <cell r="N28">
            <v>5112.9312289999998</v>
          </cell>
          <cell r="O28">
            <v>5192.6942390000004</v>
          </cell>
          <cell r="P28">
            <v>5275.2052949999998</v>
          </cell>
          <cell r="Q28">
            <v>5360.3727090000002</v>
          </cell>
          <cell r="R28">
            <v>5448.1657050000003</v>
          </cell>
          <cell r="S28">
            <v>5538.6756660000001</v>
          </cell>
          <cell r="T28">
            <v>5632.1352360000001</v>
          </cell>
          <cell r="U28">
            <v>5728.8653180000001</v>
          </cell>
          <cell r="V28">
            <v>5829.1362939999999</v>
          </cell>
          <cell r="W28">
            <v>5933.3743729999997</v>
          </cell>
          <cell r="X28">
            <v>6042.0476589999998</v>
          </cell>
          <cell r="Y28">
            <v>6155.6449119999997</v>
          </cell>
          <cell r="Z28">
            <v>6274.6270450000002</v>
          </cell>
          <cell r="AA28">
            <v>6399.1000020000001</v>
          </cell>
          <cell r="AB28">
            <v>6529.3505930000001</v>
          </cell>
          <cell r="AC28">
            <v>6665.6942959999997</v>
          </cell>
          <cell r="AD28">
            <v>6808.4781300000004</v>
          </cell>
          <cell r="AE28">
            <v>6958.0060160000003</v>
          </cell>
          <cell r="AF28">
            <v>7114.467619</v>
          </cell>
          <cell r="AG28">
            <v>7277.9202990000003</v>
          </cell>
          <cell r="AH28">
            <v>7448.3148460000002</v>
          </cell>
          <cell r="AI28">
            <v>7625.5404930000004</v>
          </cell>
          <cell r="AJ28">
            <v>7809.4586859999999</v>
          </cell>
          <cell r="AK28">
            <v>7999.9419449999996</v>
          </cell>
        </row>
        <row r="29">
          <cell r="B29">
            <v>4359.8761270000005</v>
          </cell>
          <cell r="C29">
            <v>4410.9152990000002</v>
          </cell>
          <cell r="D29">
            <v>4463.6864759999999</v>
          </cell>
          <cell r="E29">
            <v>4518.5161390000003</v>
          </cell>
          <cell r="F29">
            <v>4575.6758749999999</v>
          </cell>
          <cell r="G29">
            <v>4635.339903</v>
          </cell>
          <cell r="H29">
            <v>4697.4438829999999</v>
          </cell>
          <cell r="I29">
            <v>4761.8797370000002</v>
          </cell>
          <cell r="J29">
            <v>4828.5613469999998</v>
          </cell>
          <cell r="K29">
            <v>4897.4505380000001</v>
          </cell>
          <cell r="L29">
            <v>4968.6947700000001</v>
          </cell>
          <cell r="M29">
            <v>5042.3227829999996</v>
          </cell>
          <cell r="N29">
            <v>5118.2930649999998</v>
          </cell>
          <cell r="O29">
            <v>5196.3310959999999</v>
          </cell>
          <cell r="P29">
            <v>5276.2041980000004</v>
          </cell>
          <cell r="Q29">
            <v>5357.8115859999998</v>
          </cell>
          <cell r="R29">
            <v>5441.2965089999998</v>
          </cell>
          <cell r="S29">
            <v>5526.9714970000005</v>
          </cell>
          <cell r="T29">
            <v>5615.2366030000003</v>
          </cell>
          <cell r="U29">
            <v>5706.5044520000001</v>
          </cell>
          <cell r="V29">
            <v>5801.0775720000001</v>
          </cell>
          <cell r="W29">
            <v>5899.3804110000001</v>
          </cell>
          <cell r="X29">
            <v>6001.8630130000001</v>
          </cell>
          <cell r="Y29">
            <v>6108.9801239999997</v>
          </cell>
          <cell r="Z29">
            <v>6221.1491329999999</v>
          </cell>
          <cell r="AA29">
            <v>6338.4427660000001</v>
          </cell>
          <cell r="AB29">
            <v>6461.1422009999997</v>
          </cell>
          <cell r="AC29">
            <v>6589.5971760000002</v>
          </cell>
          <cell r="AD29">
            <v>6724.1863450000001</v>
          </cell>
          <cell r="AE29">
            <v>6865.2303430000002</v>
          </cell>
          <cell r="AF29">
            <v>7012.9218540000002</v>
          </cell>
          <cell r="AG29">
            <v>7167.3225270000003</v>
          </cell>
          <cell r="AH29">
            <v>7328.3873169999997</v>
          </cell>
          <cell r="AI29">
            <v>7495.9801420000003</v>
          </cell>
          <cell r="AJ29">
            <v>7669.8813700000001</v>
          </cell>
          <cell r="AK29">
            <v>7849.7906279999997</v>
          </cell>
        </row>
        <row r="30">
          <cell r="B30">
            <v>43526.008020000001</v>
          </cell>
          <cell r="C30">
            <v>44033.447079999998</v>
          </cell>
          <cell r="D30">
            <v>44556.746169999999</v>
          </cell>
          <cell r="E30">
            <v>45098.696609999999</v>
          </cell>
          <cell r="F30">
            <v>45662.469590000001</v>
          </cell>
          <cell r="G30">
            <v>46250.208299999998</v>
          </cell>
          <cell r="H30">
            <v>46862.430260000001</v>
          </cell>
          <cell r="I30">
            <v>47483.579680000003</v>
          </cell>
          <cell r="J30">
            <v>48109.569929999998</v>
          </cell>
          <cell r="K30">
            <v>48752.088929999998</v>
          </cell>
          <cell r="L30">
            <v>49418.13955</v>
          </cell>
          <cell r="M30">
            <v>50110.93075</v>
          </cell>
          <cell r="N30">
            <v>50830.795250000003</v>
          </cell>
          <cell r="O30">
            <v>51575.216719999997</v>
          </cell>
          <cell r="P30">
            <v>52342.57778</v>
          </cell>
          <cell r="Q30">
            <v>53132.651160000001</v>
          </cell>
          <cell r="R30">
            <v>53945.329319999997</v>
          </cell>
          <cell r="S30">
            <v>54781.766649999998</v>
          </cell>
          <cell r="T30">
            <v>55644.544349999996</v>
          </cell>
          <cell r="U30">
            <v>56537.147700000001</v>
          </cell>
          <cell r="V30">
            <v>57462.6247</v>
          </cell>
          <cell r="W30">
            <v>58425.588810000001</v>
          </cell>
          <cell r="X30">
            <v>59431.116020000001</v>
          </cell>
          <cell r="Y30">
            <v>60484.54997</v>
          </cell>
          <cell r="Z30">
            <v>61591.045539999999</v>
          </cell>
          <cell r="AA30">
            <v>62752.425219999997</v>
          </cell>
          <cell r="AB30">
            <v>63972.354290000003</v>
          </cell>
          <cell r="AC30">
            <v>65254.852720000003</v>
          </cell>
          <cell r="AD30">
            <v>66604.324779999995</v>
          </cell>
          <cell r="AE30">
            <v>68024.842449999996</v>
          </cell>
          <cell r="AF30">
            <v>69519.468429999994</v>
          </cell>
          <cell r="AG30">
            <v>71090.088180000006</v>
          </cell>
          <cell r="AH30">
            <v>72737.662930000006</v>
          </cell>
          <cell r="AI30">
            <v>74462.680869999997</v>
          </cell>
          <cell r="AJ30">
            <v>76265.508879999994</v>
          </cell>
          <cell r="AK30">
            <v>78146.801819999993</v>
          </cell>
        </row>
        <row r="31">
          <cell r="B31">
            <v>43526.008020000001</v>
          </cell>
          <cell r="C31">
            <v>44033.447079999998</v>
          </cell>
          <cell r="D31">
            <v>44556.746169999999</v>
          </cell>
          <cell r="E31">
            <v>45098.696609999999</v>
          </cell>
          <cell r="F31">
            <v>45662.469590000001</v>
          </cell>
          <cell r="G31">
            <v>46250.208299999998</v>
          </cell>
          <cell r="H31">
            <v>46861.185980000002</v>
          </cell>
          <cell r="I31">
            <v>47493.99624</v>
          </cell>
          <cell r="J31">
            <v>48147.386059999997</v>
          </cell>
          <cell r="K31">
            <v>48820.615100000003</v>
          </cell>
          <cell r="L31">
            <v>49514.847179999997</v>
          </cell>
          <cell r="M31">
            <v>50230.149299999997</v>
          </cell>
          <cell r="N31">
            <v>50965.963210000002</v>
          </cell>
          <cell r="O31">
            <v>51719.469929999999</v>
          </cell>
          <cell r="P31">
            <v>52488.299870000003</v>
          </cell>
          <cell r="Q31">
            <v>53271.408969999997</v>
          </cell>
          <cell r="R31">
            <v>54070.588969999997</v>
          </cell>
          <cell r="S31">
            <v>54889.459600000002</v>
          </cell>
          <cell r="T31">
            <v>55732.505649999999</v>
          </cell>
          <cell r="U31">
            <v>56604.265800000001</v>
          </cell>
          <cell r="V31">
            <v>57508.10916</v>
          </cell>
          <cell r="W31">
            <v>58448.51165</v>
          </cell>
          <cell r="X31">
            <v>59430.127030000003</v>
          </cell>
          <cell r="Y31">
            <v>60457.604659999997</v>
          </cell>
          <cell r="Z31">
            <v>61535.195189999999</v>
          </cell>
          <cell r="AA31">
            <v>62663.765639999998</v>
          </cell>
          <cell r="AB31">
            <v>63846.219230000002</v>
          </cell>
          <cell r="AC31">
            <v>65086.127860000001</v>
          </cell>
          <cell r="AD31">
            <v>66387.351120000007</v>
          </cell>
          <cell r="AE31">
            <v>67753.185029999993</v>
          </cell>
          <cell r="AF31">
            <v>69185.676609999995</v>
          </cell>
          <cell r="AG31">
            <v>70685.591520000002</v>
          </cell>
          <cell r="AH31">
            <v>72252.649050000007</v>
          </cell>
          <cell r="AI31">
            <v>73885.670100000003</v>
          </cell>
          <cell r="AJ31">
            <v>75582.643769999995</v>
          </cell>
          <cell r="AK31">
            <v>77340.747589999999</v>
          </cell>
        </row>
        <row r="32">
          <cell r="B32">
            <v>25746.87141</v>
          </cell>
          <cell r="C32">
            <v>26062.43664</v>
          </cell>
          <cell r="D32">
            <v>26405.151379999999</v>
          </cell>
          <cell r="E32">
            <v>26775.10713</v>
          </cell>
          <cell r="F32">
            <v>27171.435600000001</v>
          </cell>
          <cell r="G32">
            <v>27593.639709999999</v>
          </cell>
          <cell r="H32">
            <v>28041.516449999999</v>
          </cell>
          <cell r="I32">
            <v>28509.424999999999</v>
          </cell>
          <cell r="J32">
            <v>29007.454369999999</v>
          </cell>
          <cell r="K32">
            <v>29571.198799999998</v>
          </cell>
          <cell r="L32">
            <v>30217.4558</v>
          </cell>
          <cell r="M32">
            <v>30949.100340000001</v>
          </cell>
          <cell r="N32">
            <v>31755.79423</v>
          </cell>
          <cell r="O32">
            <v>32618.850760000001</v>
          </cell>
          <cell r="P32">
            <v>33522.792249999999</v>
          </cell>
          <cell r="Q32">
            <v>34456.641349999998</v>
          </cell>
          <cell r="R32">
            <v>35417.073830000001</v>
          </cell>
          <cell r="S32">
            <v>36405.640290000003</v>
          </cell>
          <cell r="T32">
            <v>37427.375650000002</v>
          </cell>
          <cell r="U32">
            <v>38488.674529999997</v>
          </cell>
          <cell r="V32">
            <v>39596.497159999999</v>
          </cell>
          <cell r="W32">
            <v>40758.556349999999</v>
          </cell>
          <cell r="X32">
            <v>41983.75187</v>
          </cell>
          <cell r="Y32">
            <v>43280.556819999998</v>
          </cell>
          <cell r="Z32">
            <v>44655.486149999997</v>
          </cell>
          <cell r="AA32">
            <v>46113.013769999998</v>
          </cell>
          <cell r="AB32">
            <v>47658.994939999997</v>
          </cell>
          <cell r="AC32">
            <v>49303.723610000001</v>
          </cell>
          <cell r="AD32">
            <v>51058.191129999999</v>
          </cell>
          <cell r="AE32">
            <v>52930.036820000001</v>
          </cell>
          <cell r="AF32">
            <v>54921.848279999998</v>
          </cell>
          <cell r="AG32">
            <v>57033.292630000004</v>
          </cell>
          <cell r="AH32">
            <v>59263.558169999997</v>
          </cell>
          <cell r="AI32">
            <v>61610.645320000003</v>
          </cell>
          <cell r="AJ32">
            <v>64070.542699999998</v>
          </cell>
          <cell r="AK32">
            <v>66636.656130000003</v>
          </cell>
        </row>
        <row r="33">
          <cell r="B33">
            <v>25746.87141</v>
          </cell>
          <cell r="C33">
            <v>26062.43664</v>
          </cell>
          <cell r="D33">
            <v>26405.151379999999</v>
          </cell>
          <cell r="E33">
            <v>26775.10713</v>
          </cell>
          <cell r="F33">
            <v>27171.435600000001</v>
          </cell>
          <cell r="G33">
            <v>27593.639709999999</v>
          </cell>
          <cell r="H33">
            <v>28041.22136</v>
          </cell>
          <cell r="I33">
            <v>28513.326249999998</v>
          </cell>
          <cell r="J33">
            <v>29008.811109999999</v>
          </cell>
          <cell r="K33">
            <v>29526.499070000002</v>
          </cell>
          <cell r="L33">
            <v>30065.430830000001</v>
          </cell>
          <cell r="M33">
            <v>30624.80834</v>
          </cell>
          <cell r="N33">
            <v>31202.007369999999</v>
          </cell>
          <cell r="O33">
            <v>31789.869259999999</v>
          </cell>
          <cell r="P33">
            <v>32383.402699999999</v>
          </cell>
          <cell r="Q33">
            <v>32981.061459999997</v>
          </cell>
          <cell r="R33">
            <v>33584.644200000002</v>
          </cell>
          <cell r="S33">
            <v>34198.917540000002</v>
          </cell>
          <cell r="T33">
            <v>34830.626839999997</v>
          </cell>
          <cell r="U33">
            <v>35487.184780000003</v>
          </cell>
          <cell r="V33">
            <v>36176.218639999999</v>
          </cell>
          <cell r="W33">
            <v>36905.247159999999</v>
          </cell>
          <cell r="X33">
            <v>37682.031000000003</v>
          </cell>
          <cell r="Y33">
            <v>38514.188499999997</v>
          </cell>
          <cell r="Z33">
            <v>39408.47133</v>
          </cell>
          <cell r="AA33">
            <v>40370.8387</v>
          </cell>
          <cell r="AB33">
            <v>41406.846890000001</v>
          </cell>
          <cell r="AC33">
            <v>42522.429129999997</v>
          </cell>
          <cell r="AD33">
            <v>43723.267930000002</v>
          </cell>
          <cell r="AE33">
            <v>45012.877370000002</v>
          </cell>
          <cell r="AF33">
            <v>46391.673459999998</v>
          </cell>
          <cell r="AG33">
            <v>47857.534399999997</v>
          </cell>
          <cell r="AH33">
            <v>49406.735639999999</v>
          </cell>
          <cell r="AI33">
            <v>51034.497190000002</v>
          </cell>
          <cell r="AJ33">
            <v>52735.238299999997</v>
          </cell>
          <cell r="AK33">
            <v>54502.667139999998</v>
          </cell>
        </row>
        <row r="34">
          <cell r="B34">
            <v>14916.87595</v>
          </cell>
          <cell r="C34">
            <v>15096.93166</v>
          </cell>
          <cell r="D34">
            <v>15289.7343</v>
          </cell>
          <cell r="E34">
            <v>15496.371789999999</v>
          </cell>
          <cell r="F34">
            <v>15716.891809999999</v>
          </cell>
          <cell r="G34">
            <v>15952.312040000001</v>
          </cell>
          <cell r="H34">
            <v>16203.5798</v>
          </cell>
          <cell r="I34">
            <v>16466.71816</v>
          </cell>
          <cell r="J34">
            <v>16738.830139999998</v>
          </cell>
          <cell r="K34">
            <v>17028.215899999999</v>
          </cell>
          <cell r="L34">
            <v>17339.972720000002</v>
          </cell>
          <cell r="M34">
            <v>17676.60742</v>
          </cell>
          <cell r="N34">
            <v>18039.316900000002</v>
          </cell>
          <cell r="O34">
            <v>18426.938139999998</v>
          </cell>
          <cell r="P34">
            <v>18838.329819999999</v>
          </cell>
          <cell r="Q34">
            <v>19272.563529999999</v>
          </cell>
          <cell r="R34">
            <v>19728.70678</v>
          </cell>
          <cell r="S34">
            <v>20206.159179999999</v>
          </cell>
          <cell r="T34">
            <v>20705.239710000002</v>
          </cell>
          <cell r="U34">
            <v>21227.116730000002</v>
          </cell>
          <cell r="V34">
            <v>21773.344059999999</v>
          </cell>
          <cell r="W34">
            <v>22346.5861</v>
          </cell>
          <cell r="X34">
            <v>22950.384429999998</v>
          </cell>
          <cell r="Y34">
            <v>23588.697550000001</v>
          </cell>
          <cell r="Z34">
            <v>24265.358029999999</v>
          </cell>
          <cell r="AA34">
            <v>24982.742630000001</v>
          </cell>
          <cell r="AB34">
            <v>25744.329590000001</v>
          </cell>
          <cell r="AC34">
            <v>26554.802609999999</v>
          </cell>
          <cell r="AD34">
            <v>27419.539250000002</v>
          </cell>
          <cell r="AE34">
            <v>28343.64257</v>
          </cell>
          <cell r="AF34">
            <v>29331.283640000001</v>
          </cell>
          <cell r="AG34">
            <v>30385.879649999999</v>
          </cell>
          <cell r="AH34">
            <v>31510.546060000001</v>
          </cell>
          <cell r="AI34">
            <v>32708.096649999999</v>
          </cell>
          <cell r="AJ34">
            <v>33980.949379999998</v>
          </cell>
          <cell r="AK34">
            <v>35331.08438</v>
          </cell>
        </row>
        <row r="35">
          <cell r="B35">
            <v>14916.87595</v>
          </cell>
          <cell r="C35">
            <v>15096.93166</v>
          </cell>
          <cell r="D35">
            <v>15289.7343</v>
          </cell>
          <cell r="E35">
            <v>15496.371789999999</v>
          </cell>
          <cell r="F35">
            <v>15716.891809999999</v>
          </cell>
          <cell r="G35">
            <v>15952.312040000001</v>
          </cell>
          <cell r="H35">
            <v>16203.0427</v>
          </cell>
          <cell r="I35">
            <v>16469.226200000001</v>
          </cell>
          <cell r="J35">
            <v>16750.855080000001</v>
          </cell>
          <cell r="K35">
            <v>17047.872930000001</v>
          </cell>
          <cell r="L35">
            <v>17360.70926</v>
          </cell>
          <cell r="M35">
            <v>17689.3894</v>
          </cell>
          <cell r="N35">
            <v>18033.24021</v>
          </cell>
          <cell r="O35">
            <v>18389.924370000001</v>
          </cell>
          <cell r="P35">
            <v>18757.419870000002</v>
          </cell>
          <cell r="Q35">
            <v>19134.542819999999</v>
          </cell>
          <cell r="R35">
            <v>19521.69241</v>
          </cell>
          <cell r="S35">
            <v>19920.335279999999</v>
          </cell>
          <cell r="T35">
            <v>20332.552489999998</v>
          </cell>
          <cell r="U35">
            <v>20760.644130000001</v>
          </cell>
          <cell r="V35">
            <v>21206.695210000002</v>
          </cell>
          <cell r="W35">
            <v>21673.336060000001</v>
          </cell>
          <cell r="X35">
            <v>22163.602859999999</v>
          </cell>
          <cell r="Y35">
            <v>22680.75949</v>
          </cell>
          <cell r="Z35">
            <v>23227.994030000002</v>
          </cell>
          <cell r="AA35">
            <v>23807.261350000001</v>
          </cell>
          <cell r="AB35">
            <v>24421.141599999999</v>
          </cell>
          <cell r="AC35">
            <v>25072.72853</v>
          </cell>
          <cell r="AD35">
            <v>25765.34676</v>
          </cell>
          <cell r="AE35">
            <v>26501.91403</v>
          </cell>
          <cell r="AF35">
            <v>27284.48372</v>
          </cell>
          <cell r="AG35">
            <v>28114.223549999999</v>
          </cell>
          <cell r="AH35">
            <v>28991.548060000001</v>
          </cell>
          <cell r="AI35">
            <v>29916.178550000001</v>
          </cell>
          <cell r="AJ35">
            <v>30887.152180000001</v>
          </cell>
          <cell r="AK35">
            <v>31902.807359999999</v>
          </cell>
        </row>
        <row r="36">
          <cell r="B36">
            <v>1989009.473</v>
          </cell>
          <cell r="C36">
            <v>2012418.331</v>
          </cell>
          <cell r="D36">
            <v>2036905.6540000001</v>
          </cell>
          <cell r="E36">
            <v>2062721.3770000001</v>
          </cell>
          <cell r="F36">
            <v>2090068.003</v>
          </cell>
          <cell r="G36">
            <v>2119068.1129999999</v>
          </cell>
          <cell r="H36">
            <v>2149741.2429999998</v>
          </cell>
          <cell r="I36">
            <v>2181517.466</v>
          </cell>
          <cell r="J36">
            <v>2214240.9210000001</v>
          </cell>
          <cell r="K36">
            <v>2248424.176</v>
          </cell>
          <cell r="L36">
            <v>2284440.5660000001</v>
          </cell>
          <cell r="M36">
            <v>2322467.3160000001</v>
          </cell>
          <cell r="N36">
            <v>2362531.6320000002</v>
          </cell>
          <cell r="O36">
            <v>2404511.077</v>
          </cell>
          <cell r="P36">
            <v>2448292.2799999998</v>
          </cell>
          <cell r="Q36">
            <v>2493806.5</v>
          </cell>
          <cell r="R36">
            <v>2540974.193</v>
          </cell>
          <cell r="S36">
            <v>2589793.7030000002</v>
          </cell>
          <cell r="T36">
            <v>2640336.7790000001</v>
          </cell>
          <cell r="U36">
            <v>2692725.3</v>
          </cell>
          <cell r="V36">
            <v>2747059.4939999999</v>
          </cell>
          <cell r="W36">
            <v>2803528.0720000002</v>
          </cell>
          <cell r="X36">
            <v>2862355.301</v>
          </cell>
          <cell r="Y36">
            <v>2923792.6510000001</v>
          </cell>
          <cell r="Z36">
            <v>2988097.79</v>
          </cell>
          <cell r="AA36">
            <v>3055355.1639999999</v>
          </cell>
          <cell r="AB36">
            <v>3125753.6889999998</v>
          </cell>
          <cell r="AC36">
            <v>3199511.14</v>
          </cell>
          <cell r="AD36">
            <v>3276884.003</v>
          </cell>
          <cell r="AE36">
            <v>3358141.9350000001</v>
          </cell>
          <cell r="AF36">
            <v>3443534.767</v>
          </cell>
          <cell r="AG36">
            <v>3533275.5</v>
          </cell>
          <cell r="AH36">
            <v>3627545.1830000002</v>
          </cell>
          <cell r="AI36">
            <v>3726516.0460000001</v>
          </cell>
          <cell r="AJ36">
            <v>3830374.7080000001</v>
          </cell>
          <cell r="AK36">
            <v>3939353.0419999999</v>
          </cell>
        </row>
        <row r="37">
          <cell r="B37">
            <v>1989009.473</v>
          </cell>
          <cell r="C37">
            <v>2012418.331</v>
          </cell>
          <cell r="D37">
            <v>2036905.6540000001</v>
          </cell>
          <cell r="E37">
            <v>2062721.3770000001</v>
          </cell>
          <cell r="F37">
            <v>2090068.003</v>
          </cell>
          <cell r="G37">
            <v>2119068.1129999999</v>
          </cell>
          <cell r="H37">
            <v>2149681.3110000002</v>
          </cell>
          <cell r="I37">
            <v>2181822.6860000002</v>
          </cell>
          <cell r="J37">
            <v>2215414.6379999998</v>
          </cell>
          <cell r="K37">
            <v>2250406.9419999998</v>
          </cell>
          <cell r="L37">
            <v>2286852.4810000001</v>
          </cell>
          <cell r="M37">
            <v>2324749.6889999998</v>
          </cell>
          <cell r="N37">
            <v>2364070.62</v>
          </cell>
          <cell r="O37">
            <v>2404687.446</v>
          </cell>
          <cell r="P37">
            <v>2446473.7930000001</v>
          </cell>
          <cell r="Q37">
            <v>2489346.4160000002</v>
          </cell>
          <cell r="R37">
            <v>2533353.673</v>
          </cell>
          <cell r="S37">
            <v>2578631.0180000002</v>
          </cell>
          <cell r="T37">
            <v>2625356.4470000002</v>
          </cell>
          <cell r="U37">
            <v>2673716.0249999999</v>
          </cell>
          <cell r="V37">
            <v>2723838.9380000001</v>
          </cell>
          <cell r="W37">
            <v>2775921.7119999998</v>
          </cell>
          <cell r="X37">
            <v>2830183.0589999999</v>
          </cell>
          <cell r="Y37">
            <v>2886854.31</v>
          </cell>
          <cell r="Z37">
            <v>2946160.372</v>
          </cell>
          <cell r="AA37">
            <v>3008149.1340000001</v>
          </cell>
          <cell r="AB37">
            <v>3072976.9410000001</v>
          </cell>
          <cell r="AC37">
            <v>3140845.9550000001</v>
          </cell>
          <cell r="AD37">
            <v>3211987.06</v>
          </cell>
          <cell r="AE37">
            <v>3286623.4249999998</v>
          </cell>
          <cell r="AF37">
            <v>3364935.14</v>
          </cell>
          <cell r="AG37">
            <v>3447048.5070000002</v>
          </cell>
          <cell r="AH37">
            <v>3533038.0279999999</v>
          </cell>
          <cell r="AI37">
            <v>3622927.125</v>
          </cell>
          <cell r="AJ37">
            <v>3716687.0759999999</v>
          </cell>
          <cell r="AK37">
            <v>3814234.9819999998</v>
          </cell>
        </row>
        <row r="38">
          <cell r="B38">
            <v>436561.8676</v>
          </cell>
          <cell r="C38">
            <v>441712.6826</v>
          </cell>
          <cell r="D38">
            <v>447080.59029999998</v>
          </cell>
          <cell r="E38">
            <v>452690.2611</v>
          </cell>
          <cell r="F38">
            <v>458568.30910000001</v>
          </cell>
          <cell r="G38">
            <v>464726.12239999999</v>
          </cell>
          <cell r="H38">
            <v>471142.3175</v>
          </cell>
          <cell r="I38">
            <v>477716.14980000001</v>
          </cell>
          <cell r="J38">
            <v>484436.43560000003</v>
          </cell>
          <cell r="K38">
            <v>491327.49780000001</v>
          </cell>
          <cell r="L38">
            <v>498452.78639999998</v>
          </cell>
          <cell r="M38">
            <v>505827.65139999997</v>
          </cell>
          <cell r="N38">
            <v>513478.25599999999</v>
          </cell>
          <cell r="O38">
            <v>521428.26049999997</v>
          </cell>
          <cell r="P38">
            <v>529699.45779999997</v>
          </cell>
          <cell r="Q38">
            <v>538311.81059999997</v>
          </cell>
          <cell r="R38">
            <v>547274.18539999996</v>
          </cell>
          <cell r="S38">
            <v>556598.63769999996</v>
          </cell>
          <cell r="T38">
            <v>566299.73600000003</v>
          </cell>
          <cell r="U38">
            <v>576391.75829999999</v>
          </cell>
          <cell r="V38">
            <v>586853.80740000005</v>
          </cell>
          <cell r="W38">
            <v>597715.14099999995</v>
          </cell>
          <cell r="X38">
            <v>608988.6594</v>
          </cell>
          <cell r="Y38">
            <v>620680.40579999995</v>
          </cell>
          <cell r="Z38">
            <v>632792.02679999999</v>
          </cell>
          <cell r="AA38">
            <v>645223.23970000003</v>
          </cell>
          <cell r="AB38">
            <v>657981.43429999996</v>
          </cell>
          <cell r="AC38">
            <v>671059.40800000005</v>
          </cell>
          <cell r="AD38">
            <v>684448.23510000005</v>
          </cell>
          <cell r="AE38">
            <v>698142.92480000004</v>
          </cell>
          <cell r="AF38">
            <v>712142.82120000001</v>
          </cell>
          <cell r="AG38">
            <v>726449.66879999998</v>
          </cell>
          <cell r="AH38">
            <v>741067.05669999996</v>
          </cell>
          <cell r="AI38">
            <v>756002.91189999995</v>
          </cell>
          <cell r="AJ38">
            <v>771270.61010000005</v>
          </cell>
          <cell r="AK38">
            <v>786889.66110000003</v>
          </cell>
        </row>
        <row r="39">
          <cell r="B39">
            <v>436561.8676</v>
          </cell>
          <cell r="C39">
            <v>441712.6826</v>
          </cell>
          <cell r="D39">
            <v>447080.59029999998</v>
          </cell>
          <cell r="E39">
            <v>452690.2611</v>
          </cell>
          <cell r="F39">
            <v>458568.30910000001</v>
          </cell>
          <cell r="G39">
            <v>464726.12239999999</v>
          </cell>
          <cell r="H39">
            <v>471133.83390000003</v>
          </cell>
          <cell r="I39">
            <v>477773.2696</v>
          </cell>
          <cell r="J39">
            <v>484634.4571</v>
          </cell>
          <cell r="K39">
            <v>491713.86070000002</v>
          </cell>
          <cell r="L39">
            <v>499055.47720000002</v>
          </cell>
          <cell r="M39">
            <v>506638.52889999998</v>
          </cell>
          <cell r="N39">
            <v>514462.77490000002</v>
          </cell>
          <cell r="O39">
            <v>522533.91100000002</v>
          </cell>
          <cell r="P39">
            <v>530860.7463</v>
          </cell>
          <cell r="Q39">
            <v>539453.6274</v>
          </cell>
          <cell r="R39">
            <v>548335.09609999997</v>
          </cell>
          <cell r="S39">
            <v>557529.77509999997</v>
          </cell>
          <cell r="T39">
            <v>567058.10129999998</v>
          </cell>
          <cell r="U39">
            <v>576933.58380000002</v>
          </cell>
          <cell r="V39">
            <v>587129.95649999997</v>
          </cell>
          <cell r="W39">
            <v>597669.89029999997</v>
          </cell>
          <cell r="X39">
            <v>608559.65339999995</v>
          </cell>
          <cell r="Y39">
            <v>619798.10589999997</v>
          </cell>
          <cell r="Z39">
            <v>631379.63800000004</v>
          </cell>
          <cell r="AA39">
            <v>643198.28139999998</v>
          </cell>
          <cell r="AB39">
            <v>655260.9595</v>
          </cell>
          <cell r="AC39">
            <v>667566.69819999998</v>
          </cell>
          <cell r="AD39">
            <v>680114.0061</v>
          </cell>
          <cell r="AE39">
            <v>692905.19810000004</v>
          </cell>
          <cell r="AF39">
            <v>705946.76619999995</v>
          </cell>
          <cell r="AG39">
            <v>719249.23690000002</v>
          </cell>
          <cell r="AH39">
            <v>732826.78599999996</v>
          </cell>
          <cell r="AI39">
            <v>746696.58539999998</v>
          </cell>
          <cell r="AJ39">
            <v>760878.08120000002</v>
          </cell>
          <cell r="AK39">
            <v>775392.16819999996</v>
          </cell>
        </row>
        <row r="40">
          <cell r="B40">
            <v>5635.470096</v>
          </cell>
          <cell r="C40">
            <v>5699.9175320000004</v>
          </cell>
          <cell r="D40">
            <v>5765.3750099999997</v>
          </cell>
          <cell r="E40">
            <v>5832.1254070000005</v>
          </cell>
          <cell r="F40">
            <v>5900.7550510000001</v>
          </cell>
          <cell r="G40">
            <v>5971.879602</v>
          </cell>
          <cell r="H40">
            <v>6045.9166910000004</v>
          </cell>
          <cell r="I40">
            <v>6119.2254240000002</v>
          </cell>
          <cell r="J40">
            <v>6190.3625760000004</v>
          </cell>
          <cell r="K40">
            <v>6260.4389950000004</v>
          </cell>
          <cell r="L40">
            <v>6330.3184359999996</v>
          </cell>
          <cell r="M40">
            <v>6400.4626200000002</v>
          </cell>
          <cell r="N40">
            <v>6470.866634</v>
          </cell>
          <cell r="O40">
            <v>6541.1279729999997</v>
          </cell>
          <cell r="P40">
            <v>6610.9616569999998</v>
          </cell>
          <cell r="Q40">
            <v>6680.3146880000004</v>
          </cell>
          <cell r="R40">
            <v>6750.2081600000001</v>
          </cell>
          <cell r="S40">
            <v>6821.2458569999999</v>
          </cell>
          <cell r="T40">
            <v>6894.0529589999996</v>
          </cell>
          <cell r="U40">
            <v>6969.3475879999996</v>
          </cell>
          <cell r="V40">
            <v>7047.8558640000001</v>
          </cell>
          <cell r="W40">
            <v>7130.479241</v>
          </cell>
          <cell r="X40">
            <v>7218.2421059999997</v>
          </cell>
          <cell r="Y40">
            <v>7312.2156459999997</v>
          </cell>
          <cell r="Z40">
            <v>7413.436205</v>
          </cell>
          <cell r="AA40">
            <v>7522.6294809999999</v>
          </cell>
          <cell r="AB40">
            <v>7640.3926620000002</v>
          </cell>
          <cell r="AC40">
            <v>7767.6631159999997</v>
          </cell>
          <cell r="AD40">
            <v>7905.4823100000003</v>
          </cell>
          <cell r="AE40">
            <v>8054.776073</v>
          </cell>
          <cell r="AF40">
            <v>8216.2395209999995</v>
          </cell>
          <cell r="AG40">
            <v>8390.3742440000005</v>
          </cell>
          <cell r="AH40">
            <v>8577.5757689999991</v>
          </cell>
          <cell r="AI40">
            <v>8778.1726670000007</v>
          </cell>
          <cell r="AJ40">
            <v>8992.4744179999998</v>
          </cell>
          <cell r="AK40">
            <v>9220.8493039999994</v>
          </cell>
        </row>
        <row r="41">
          <cell r="B41">
            <v>5635.470096</v>
          </cell>
          <cell r="C41">
            <v>5699.9175320000004</v>
          </cell>
          <cell r="D41">
            <v>5765.3750099999997</v>
          </cell>
          <cell r="E41">
            <v>5832.1254070000005</v>
          </cell>
          <cell r="F41">
            <v>5900.7550510000001</v>
          </cell>
          <cell r="G41">
            <v>5971.8796009999996</v>
          </cell>
          <cell r="H41">
            <v>6045.7226369999998</v>
          </cell>
          <cell r="I41">
            <v>6122.258358</v>
          </cell>
          <cell r="J41">
            <v>6201.3591530000003</v>
          </cell>
          <cell r="K41">
            <v>6282.8977029999996</v>
          </cell>
          <cell r="L41">
            <v>6366.9211260000002</v>
          </cell>
          <cell r="M41">
            <v>6453.3971879999999</v>
          </cell>
          <cell r="N41">
            <v>6542.1316639999995</v>
          </cell>
          <cell r="O41">
            <v>6632.5244389999998</v>
          </cell>
          <cell r="P41">
            <v>6724.0715840000003</v>
          </cell>
          <cell r="Q41">
            <v>6816.5468650000003</v>
          </cell>
          <cell r="R41">
            <v>6910.232274</v>
          </cell>
          <cell r="S41">
            <v>7005.8100430000004</v>
          </cell>
          <cell r="T41">
            <v>7104.1961760000004</v>
          </cell>
          <cell r="U41">
            <v>7206.3835289999997</v>
          </cell>
          <cell r="V41">
            <v>7313.2872960000004</v>
          </cell>
          <cell r="W41">
            <v>7425.8992129999997</v>
          </cell>
          <cell r="X41">
            <v>7545.2488940000003</v>
          </cell>
          <cell r="Y41">
            <v>7672.3634240000001</v>
          </cell>
          <cell r="Z41">
            <v>7808.2042579999998</v>
          </cell>
          <cell r="AA41">
            <v>7953.3902129999997</v>
          </cell>
          <cell r="AB41">
            <v>8108.6241449999998</v>
          </cell>
          <cell r="AC41">
            <v>8274.6773880000001</v>
          </cell>
          <cell r="AD41">
            <v>8452.3221190000004</v>
          </cell>
          <cell r="AE41">
            <v>8642.16</v>
          </cell>
          <cell r="AF41">
            <v>8844.5064889999994</v>
          </cell>
          <cell r="AG41">
            <v>9059.3951990000005</v>
          </cell>
          <cell r="AH41">
            <v>9286.6329779999996</v>
          </cell>
          <cell r="AI41">
            <v>9525.8407829999996</v>
          </cell>
          <cell r="AJ41">
            <v>9776.4770950000002</v>
          </cell>
          <cell r="AK41">
            <v>10037.8506</v>
          </cell>
        </row>
        <row r="42">
          <cell r="B42">
            <v>22391.097379999999</v>
          </cell>
          <cell r="C42">
            <v>22636.005270000001</v>
          </cell>
          <cell r="D42">
            <v>22870.83899</v>
          </cell>
          <cell r="E42">
            <v>23094.976269999999</v>
          </cell>
          <cell r="F42">
            <v>23312.165919999999</v>
          </cell>
          <cell r="G42">
            <v>23526.979329999998</v>
          </cell>
          <cell r="H42">
            <v>23743.075260000001</v>
          </cell>
          <cell r="I42">
            <v>23926.6253</v>
          </cell>
          <cell r="J42">
            <v>24067.26743</v>
          </cell>
          <cell r="K42">
            <v>24168.263589999999</v>
          </cell>
          <cell r="L42">
            <v>24232.1162</v>
          </cell>
          <cell r="M42">
            <v>24261.846649999999</v>
          </cell>
          <cell r="N42">
            <v>24259.586429999999</v>
          </cell>
          <cell r="O42">
            <v>24226.219669999999</v>
          </cell>
          <cell r="P42">
            <v>24163.012729999999</v>
          </cell>
          <cell r="Q42">
            <v>24071.684570000001</v>
          </cell>
          <cell r="R42">
            <v>23951.960660000001</v>
          </cell>
          <cell r="S42">
            <v>23804.771110000001</v>
          </cell>
          <cell r="T42">
            <v>23631.72452</v>
          </cell>
          <cell r="U42">
            <v>23434.741320000001</v>
          </cell>
          <cell r="V42">
            <v>23215.765650000001</v>
          </cell>
          <cell r="W42">
            <v>22976.973290000002</v>
          </cell>
          <cell r="X42">
            <v>22720.630639999999</v>
          </cell>
          <cell r="Y42">
            <v>22448.945589999999</v>
          </cell>
          <cell r="Z42">
            <v>22163.909670000001</v>
          </cell>
          <cell r="AA42">
            <v>21866.93303</v>
          </cell>
          <cell r="AB42">
            <v>21559.894550000001</v>
          </cell>
          <cell r="AC42">
            <v>21244.450919999999</v>
          </cell>
          <cell r="AD42">
            <v>20922.007539999999</v>
          </cell>
          <cell r="AE42">
            <v>20593.457200000001</v>
          </cell>
          <cell r="AF42">
            <v>20259.03746</v>
          </cell>
          <cell r="AG42">
            <v>19918.417280000001</v>
          </cell>
          <cell r="AH42">
            <v>19570.847269999998</v>
          </cell>
          <cell r="AI42">
            <v>19215.240310000001</v>
          </cell>
          <cell r="AJ42">
            <v>18850.242979999999</v>
          </cell>
          <cell r="AK42">
            <v>18474.328850000002</v>
          </cell>
        </row>
        <row r="43">
          <cell r="B43">
            <v>22391.09737</v>
          </cell>
          <cell r="C43">
            <v>22636.005260000002</v>
          </cell>
          <cell r="D43">
            <v>22870.83898</v>
          </cell>
          <cell r="E43">
            <v>23094.97625</v>
          </cell>
          <cell r="F43">
            <v>23312.1659</v>
          </cell>
          <cell r="G43">
            <v>23526.979299999999</v>
          </cell>
          <cell r="H43">
            <v>23742.24267</v>
          </cell>
          <cell r="I43">
            <v>23959.141650000001</v>
          </cell>
          <cell r="J43">
            <v>24177.910879999999</v>
          </cell>
          <cell r="K43">
            <v>24398.436570000002</v>
          </cell>
          <cell r="L43">
            <v>24620.885129999999</v>
          </cell>
          <cell r="M43">
            <v>24845.21112</v>
          </cell>
          <cell r="N43">
            <v>25070.992730000002</v>
          </cell>
          <cell r="O43">
            <v>25296.80457</v>
          </cell>
          <cell r="P43">
            <v>25521.442869999999</v>
          </cell>
          <cell r="Q43">
            <v>25744.352009999999</v>
          </cell>
          <cell r="R43">
            <v>25966.4967</v>
          </cell>
          <cell r="S43">
            <v>26190.051490000002</v>
          </cell>
          <cell r="T43">
            <v>26417.795030000001</v>
          </cell>
          <cell r="U43">
            <v>26652.613120000002</v>
          </cell>
          <cell r="V43">
            <v>26897.121770000002</v>
          </cell>
          <cell r="W43">
            <v>27154.01786</v>
          </cell>
          <cell r="X43">
            <v>27426.041870000001</v>
          </cell>
          <cell r="Y43">
            <v>27715.933669999999</v>
          </cell>
          <cell r="Z43">
            <v>28026.307390000002</v>
          </cell>
          <cell r="AA43">
            <v>28359.089800000002</v>
          </cell>
          <cell r="AB43">
            <v>28716.465329999999</v>
          </cell>
          <cell r="AC43">
            <v>29100.84101</v>
          </cell>
          <cell r="AD43">
            <v>29514.684710000001</v>
          </cell>
          <cell r="AE43">
            <v>29960.09923</v>
          </cell>
          <cell r="AF43">
            <v>30438.519899999999</v>
          </cell>
          <cell r="AG43">
            <v>30950.689409999999</v>
          </cell>
          <cell r="AH43">
            <v>31496.75117</v>
          </cell>
          <cell r="AI43">
            <v>32076.309430000001</v>
          </cell>
          <cell r="AJ43">
            <v>32688.447929999998</v>
          </cell>
          <cell r="AK43">
            <v>33331.724970000003</v>
          </cell>
        </row>
        <row r="44">
          <cell r="B44">
            <v>1608.157915</v>
          </cell>
          <cell r="C44">
            <v>1625.4949019999999</v>
          </cell>
          <cell r="D44">
            <v>1641.724001</v>
          </cell>
          <cell r="E44">
            <v>1656.832985</v>
          </cell>
          <cell r="F44">
            <v>1671.1421660000001</v>
          </cell>
          <cell r="G44">
            <v>1685.0287980000001</v>
          </cell>
          <cell r="H44">
            <v>1698.795875</v>
          </cell>
          <cell r="I44">
            <v>1733.8710129999999</v>
          </cell>
          <cell r="J44">
            <v>1797.787051</v>
          </cell>
          <cell r="K44">
            <v>1893.915888</v>
          </cell>
          <cell r="L44">
            <v>2024.309076</v>
          </cell>
          <cell r="M44">
            <v>2190.8832510000002</v>
          </cell>
          <cell r="N44">
            <v>2395.5580340000001</v>
          </cell>
          <cell r="O44">
            <v>2640.187034</v>
          </cell>
          <cell r="P44">
            <v>2926.595597</v>
          </cell>
          <cell r="Q44">
            <v>3256.568201</v>
          </cell>
          <cell r="R44">
            <v>3631.616775</v>
          </cell>
          <cell r="S44">
            <v>4053.1401169999999</v>
          </cell>
          <cell r="T44">
            <v>4522.5173670000004</v>
          </cell>
          <cell r="U44">
            <v>5041.1455580000002</v>
          </cell>
          <cell r="V44">
            <v>5610.4142259999999</v>
          </cell>
          <cell r="W44">
            <v>6231.8464489999997</v>
          </cell>
          <cell r="X44">
            <v>6907.1431300000004</v>
          </cell>
          <cell r="Y44">
            <v>7638.2087240000001</v>
          </cell>
          <cell r="Z44">
            <v>8427.1606510000001</v>
          </cell>
          <cell r="AA44">
            <v>9276.1247110000004</v>
          </cell>
          <cell r="AB44">
            <v>10187.653630000001</v>
          </cell>
          <cell r="AC44">
            <v>11164.885340000001</v>
          </cell>
          <cell r="AD44">
            <v>12211.590770000001</v>
          </cell>
          <cell r="AE44">
            <v>13332.13321</v>
          </cell>
          <cell r="AF44">
            <v>14531.452450000001</v>
          </cell>
          <cell r="AG44">
            <v>15815.20131</v>
          </cell>
          <cell r="AH44">
            <v>17190.021629999999</v>
          </cell>
          <cell r="AI44">
            <v>18663.901389999999</v>
          </cell>
          <cell r="AJ44">
            <v>20246.752779999999</v>
          </cell>
          <cell r="AK44">
            <v>21951.438770000001</v>
          </cell>
        </row>
        <row r="45">
          <cell r="B45">
            <v>1608.157915</v>
          </cell>
          <cell r="C45">
            <v>1625.4949019999999</v>
          </cell>
          <cell r="D45">
            <v>1641.724001</v>
          </cell>
          <cell r="E45">
            <v>1656.832985</v>
          </cell>
          <cell r="F45">
            <v>1671.1421660000001</v>
          </cell>
          <cell r="G45">
            <v>1685.0287969999999</v>
          </cell>
          <cell r="H45">
            <v>1698.7712939999999</v>
          </cell>
          <cell r="I45">
            <v>1712.5240040000001</v>
          </cell>
          <cell r="J45">
            <v>1726.3547980000001</v>
          </cell>
          <cell r="K45">
            <v>1740.287973</v>
          </cell>
          <cell r="L45">
            <v>1754.3480179999999</v>
          </cell>
          <cell r="M45">
            <v>1768.5428219999999</v>
          </cell>
          <cell r="N45">
            <v>1782.864141</v>
          </cell>
          <cell r="O45">
            <v>1797.266183</v>
          </cell>
          <cell r="P45">
            <v>1811.702411</v>
          </cell>
          <cell r="Q45">
            <v>1826.1420740000001</v>
          </cell>
          <cell r="R45">
            <v>1840.610428</v>
          </cell>
          <cell r="S45">
            <v>1855.190423</v>
          </cell>
          <cell r="T45">
            <v>1869.9965689999999</v>
          </cell>
          <cell r="U45">
            <v>1885.150077</v>
          </cell>
          <cell r="V45">
            <v>1900.7566489999999</v>
          </cell>
          <cell r="W45">
            <v>1916.9245490000001</v>
          </cell>
          <cell r="X45">
            <v>1933.7625539999999</v>
          </cell>
          <cell r="Y45">
            <v>1951.3795070000001</v>
          </cell>
          <cell r="Z45">
            <v>1969.8814480000001</v>
          </cell>
          <cell r="AA45">
            <v>1989.3408879999999</v>
          </cell>
          <cell r="AB45">
            <v>2009.8439330000001</v>
          </cell>
          <cell r="AC45">
            <v>2031.4890780000001</v>
          </cell>
          <cell r="AD45">
            <v>2054.3817389999999</v>
          </cell>
          <cell r="AE45">
            <v>2078.6193029999999</v>
          </cell>
          <cell r="AF45">
            <v>2104.2781540000001</v>
          </cell>
          <cell r="AG45">
            <v>2131.4089779999999</v>
          </cell>
          <cell r="AH45">
            <v>2160.0364639999998</v>
          </cell>
          <cell r="AI45">
            <v>2190.1587730000001</v>
          </cell>
          <cell r="AJ45">
            <v>2221.746439</v>
          </cell>
          <cell r="AK45">
            <v>2254.7411550000002</v>
          </cell>
        </row>
        <row r="46">
          <cell r="B46">
            <v>534.22115250000002</v>
          </cell>
          <cell r="C46">
            <v>539.88627880000001</v>
          </cell>
          <cell r="D46">
            <v>545.21153300000003</v>
          </cell>
          <cell r="E46">
            <v>550.14253340000005</v>
          </cell>
          <cell r="F46">
            <v>554.81736520000004</v>
          </cell>
          <cell r="G46">
            <v>559.38017449999995</v>
          </cell>
          <cell r="H46">
            <v>563.95834449999995</v>
          </cell>
          <cell r="I46">
            <v>566.59174150000001</v>
          </cell>
          <cell r="J46">
            <v>566.78989190000004</v>
          </cell>
          <cell r="K46">
            <v>564.70212079999999</v>
          </cell>
          <cell r="L46">
            <v>560.56359110000005</v>
          </cell>
          <cell r="M46">
            <v>554.65950680000003</v>
          </cell>
          <cell r="N46">
            <v>547.21682929999997</v>
          </cell>
          <cell r="O46">
            <v>538.40434670000002</v>
          </cell>
          <cell r="P46">
            <v>528.37367930000005</v>
          </cell>
          <cell r="Q46">
            <v>517.26927609999996</v>
          </cell>
          <cell r="R46">
            <v>505.19469720000001</v>
          </cell>
          <cell r="S46">
            <v>492.25685490000001</v>
          </cell>
          <cell r="T46">
            <v>478.5692454</v>
          </cell>
          <cell r="U46">
            <v>464.24588290000003</v>
          </cell>
          <cell r="V46">
            <v>449.39347140000001</v>
          </cell>
          <cell r="W46">
            <v>434.11645170000003</v>
          </cell>
          <cell r="X46">
            <v>418.51080459999997</v>
          </cell>
          <cell r="Y46">
            <v>402.66165710000001</v>
          </cell>
          <cell r="Z46">
            <v>386.64222089999998</v>
          </cell>
          <cell r="AA46">
            <v>370.50842829999999</v>
          </cell>
          <cell r="AB46">
            <v>354.31183299999998</v>
          </cell>
          <cell r="AC46">
            <v>338.09751840000001</v>
          </cell>
          <cell r="AD46">
            <v>321.9020893</v>
          </cell>
          <cell r="AE46">
            <v>305.7521673</v>
          </cell>
          <cell r="AF46">
            <v>289.66493100000002</v>
          </cell>
          <cell r="AG46">
            <v>273.65041289999999</v>
          </cell>
          <cell r="AH46">
            <v>257.7139406</v>
          </cell>
          <cell r="AI46">
            <v>241.85793140000001</v>
          </cell>
          <cell r="AJ46">
            <v>226.08321040000001</v>
          </cell>
          <cell r="AK46">
            <v>210.3891466</v>
          </cell>
        </row>
        <row r="47">
          <cell r="B47">
            <v>534.22115059999999</v>
          </cell>
          <cell r="C47">
            <v>539.88627450000001</v>
          </cell>
          <cell r="D47">
            <v>545.21152640000003</v>
          </cell>
          <cell r="E47">
            <v>550.14252450000004</v>
          </cell>
          <cell r="F47">
            <v>554.81735419999995</v>
          </cell>
          <cell r="G47">
            <v>559.38016159999995</v>
          </cell>
          <cell r="H47">
            <v>563.7769869</v>
          </cell>
          <cell r="I47">
            <v>567.93503280000004</v>
          </cell>
          <cell r="J47">
            <v>571.80626910000001</v>
          </cell>
          <cell r="K47">
            <v>575.37147809999999</v>
          </cell>
          <cell r="L47">
            <v>578.64578549999999</v>
          </cell>
          <cell r="M47">
            <v>581.6439282</v>
          </cell>
          <cell r="N47">
            <v>584.37774649999994</v>
          </cell>
          <cell r="O47">
            <v>586.8398747</v>
          </cell>
          <cell r="P47">
            <v>589.03014140000005</v>
          </cell>
          <cell r="Q47">
            <v>590.96487990000003</v>
          </cell>
          <cell r="R47">
            <v>592.77516279999998</v>
          </cell>
          <cell r="S47">
            <v>594.59820569999999</v>
          </cell>
          <cell r="T47">
            <v>596.55407820000005</v>
          </cell>
          <cell r="U47">
            <v>598.74342899999999</v>
          </cell>
          <cell r="V47">
            <v>601.2443581</v>
          </cell>
          <cell r="W47">
            <v>604.13377209999999</v>
          </cell>
          <cell r="X47">
            <v>607.48557979999998</v>
          </cell>
          <cell r="Y47">
            <v>611.37090220000005</v>
          </cell>
          <cell r="Z47">
            <v>615.85538819999999</v>
          </cell>
          <cell r="AA47">
            <v>620.97767880000004</v>
          </cell>
          <cell r="AB47">
            <v>626.78827130000002</v>
          </cell>
          <cell r="AC47">
            <v>633.3428758</v>
          </cell>
          <cell r="AD47">
            <v>640.69768109999995</v>
          </cell>
          <cell r="AE47">
            <v>648.90030079999997</v>
          </cell>
          <cell r="AF47">
            <v>657.98296600000003</v>
          </cell>
          <cell r="AG47">
            <v>667.96164629999998</v>
          </cell>
          <cell r="AH47">
            <v>678.8383427</v>
          </cell>
          <cell r="AI47">
            <v>690.602892</v>
          </cell>
          <cell r="AJ47">
            <v>703.23378790000004</v>
          </cell>
          <cell r="AK47">
            <v>716.69835899999998</v>
          </cell>
        </row>
        <row r="48">
          <cell r="B48">
            <v>333.5687527</v>
          </cell>
          <cell r="C48">
            <v>337.10409759999999</v>
          </cell>
          <cell r="D48">
            <v>340.42908649999998</v>
          </cell>
          <cell r="E48">
            <v>343.5092631</v>
          </cell>
          <cell r="F48">
            <v>346.43254189999999</v>
          </cell>
          <cell r="G48">
            <v>349.28938720000002</v>
          </cell>
          <cell r="H48">
            <v>352.1590301</v>
          </cell>
          <cell r="I48">
            <v>357.82078999999999</v>
          </cell>
          <cell r="J48">
            <v>367.04161060000001</v>
          </cell>
          <cell r="K48">
            <v>380.07482190000002</v>
          </cell>
          <cell r="L48">
            <v>396.97697140000002</v>
          </cell>
          <cell r="M48">
            <v>417.82485650000001</v>
          </cell>
          <cell r="N48">
            <v>442.66044849999997</v>
          </cell>
          <cell r="O48">
            <v>471.47602239999998</v>
          </cell>
          <cell r="P48">
            <v>504.25898539999997</v>
          </cell>
          <cell r="Q48">
            <v>541.00798069999996</v>
          </cell>
          <cell r="R48">
            <v>581.6365452</v>
          </cell>
          <cell r="S48">
            <v>626.06703830000004</v>
          </cell>
          <cell r="T48">
            <v>674.25750479999999</v>
          </cell>
          <cell r="U48">
            <v>726.20361360000004</v>
          </cell>
          <cell r="V48">
            <v>781.92292750000001</v>
          </cell>
          <cell r="W48">
            <v>841.49320739999996</v>
          </cell>
          <cell r="X48">
            <v>905.0403791</v>
          </cell>
          <cell r="Y48">
            <v>972.73449430000005</v>
          </cell>
          <cell r="Z48">
            <v>1044.7856529999999</v>
          </cell>
          <cell r="AA48">
            <v>1121.3841540000001</v>
          </cell>
          <cell r="AB48">
            <v>1202.8138670000001</v>
          </cell>
          <cell r="AC48">
            <v>1289.4580820000001</v>
          </cell>
          <cell r="AD48">
            <v>1381.7957269999999</v>
          </cell>
          <cell r="AE48">
            <v>1480.382294</v>
          </cell>
          <cell r="AF48">
            <v>1585.842572</v>
          </cell>
          <cell r="AG48">
            <v>1698.89672</v>
          </cell>
          <cell r="AH48">
            <v>1820.414767</v>
          </cell>
          <cell r="AI48">
            <v>1951.4916740000001</v>
          </cell>
          <cell r="AJ48">
            <v>2093.5593509999999</v>
          </cell>
          <cell r="AK48">
            <v>2248.5645979999999</v>
          </cell>
        </row>
        <row r="49">
          <cell r="B49">
            <v>333.56875739999998</v>
          </cell>
          <cell r="C49">
            <v>337.10410839999997</v>
          </cell>
          <cell r="D49">
            <v>340.42910369999998</v>
          </cell>
          <cell r="E49">
            <v>343.50928670000002</v>
          </cell>
          <cell r="F49">
            <v>346.43257169999998</v>
          </cell>
          <cell r="G49">
            <v>349.28942310000002</v>
          </cell>
          <cell r="H49">
            <v>352.04479379999998</v>
          </cell>
          <cell r="I49">
            <v>354.65167029999998</v>
          </cell>
          <cell r="J49">
            <v>357.07887349999999</v>
          </cell>
          <cell r="K49">
            <v>359.3137231</v>
          </cell>
          <cell r="L49">
            <v>361.36536640000003</v>
          </cell>
          <cell r="M49">
            <v>363.24318549999998</v>
          </cell>
          <cell r="N49">
            <v>364.95516620000001</v>
          </cell>
          <cell r="O49">
            <v>366.49764699999997</v>
          </cell>
          <cell r="P49">
            <v>367.87156320000003</v>
          </cell>
          <cell r="Q49">
            <v>369.08804309999999</v>
          </cell>
          <cell r="R49">
            <v>370.23066690000002</v>
          </cell>
          <cell r="S49">
            <v>371.38655899999998</v>
          </cell>
          <cell r="T49">
            <v>372.63147409999999</v>
          </cell>
          <cell r="U49">
            <v>374.02829869999999</v>
          </cell>
          <cell r="V49">
            <v>375.62517830000002</v>
          </cell>
          <cell r="W49">
            <v>377.4690023</v>
          </cell>
          <cell r="X49">
            <v>379.60440399999999</v>
          </cell>
          <cell r="Y49">
            <v>382.07397279999998</v>
          </cell>
          <cell r="Z49">
            <v>384.91659329999999</v>
          </cell>
          <cell r="AA49">
            <v>388.15408389999999</v>
          </cell>
          <cell r="AB49">
            <v>391.81557700000002</v>
          </cell>
          <cell r="AC49">
            <v>395.93349160000002</v>
          </cell>
          <cell r="AD49">
            <v>400.54066239999997</v>
          </cell>
          <cell r="AE49">
            <v>405.66488170000002</v>
          </cell>
          <cell r="AF49">
            <v>411.32473659999999</v>
          </cell>
          <cell r="AG49">
            <v>417.52911449999999</v>
          </cell>
          <cell r="AH49">
            <v>424.27865200000002</v>
          </cell>
          <cell r="AI49">
            <v>431.56685620000002</v>
          </cell>
          <cell r="AJ49">
            <v>439.38060369999999</v>
          </cell>
          <cell r="AK49">
            <v>447.70023639999999</v>
          </cell>
        </row>
        <row r="50">
          <cell r="B50">
            <v>27533.715670000001</v>
          </cell>
          <cell r="C50">
            <v>27854.844639999999</v>
          </cell>
          <cell r="D50">
            <v>28176.650259999999</v>
          </cell>
          <cell r="E50">
            <v>28498.946810000001</v>
          </cell>
          <cell r="F50">
            <v>28818.463059999998</v>
          </cell>
          <cell r="G50">
            <v>29134.038909999999</v>
          </cell>
          <cell r="H50">
            <v>29446.02564</v>
          </cell>
          <cell r="I50">
            <v>29777.946759999999</v>
          </cell>
          <cell r="J50">
            <v>30142.78082</v>
          </cell>
          <cell r="K50">
            <v>30549.11016</v>
          </cell>
          <cell r="L50">
            <v>30997.175139999999</v>
          </cell>
          <cell r="M50">
            <v>31477.69023</v>
          </cell>
          <cell r="N50">
            <v>31982.254410000001</v>
          </cell>
          <cell r="O50">
            <v>32504.974989999999</v>
          </cell>
          <cell r="P50">
            <v>33043.907879999999</v>
          </cell>
          <cell r="Q50">
            <v>33600.238709999998</v>
          </cell>
          <cell r="R50">
            <v>34176.871070000001</v>
          </cell>
          <cell r="S50">
            <v>34778.541660000003</v>
          </cell>
          <cell r="T50">
            <v>35410.6613</v>
          </cell>
          <cell r="U50">
            <v>36079.375099999997</v>
          </cell>
          <cell r="V50">
            <v>36791.424500000001</v>
          </cell>
          <cell r="W50">
            <v>37555.829579999998</v>
          </cell>
          <cell r="X50">
            <v>38383.77521</v>
          </cell>
          <cell r="Y50">
            <v>39288.507210000003</v>
          </cell>
          <cell r="Z50">
            <v>40285.309650000003</v>
          </cell>
          <cell r="AA50">
            <v>41389.975149999998</v>
          </cell>
          <cell r="AB50">
            <v>42623.280460000002</v>
          </cell>
          <cell r="AC50">
            <v>44010.724300000002</v>
          </cell>
          <cell r="AD50">
            <v>45582.95192</v>
          </cell>
          <cell r="AE50">
            <v>47376.175080000001</v>
          </cell>
          <cell r="AF50">
            <v>49433.390919999998</v>
          </cell>
          <cell r="AG50">
            <v>51807.24912</v>
          </cell>
          <cell r="AH50">
            <v>54564.696609999999</v>
          </cell>
          <cell r="AI50">
            <v>57793.554300000003</v>
          </cell>
          <cell r="AJ50">
            <v>61612.834369999997</v>
          </cell>
          <cell r="AK50">
            <v>66189.816890000002</v>
          </cell>
        </row>
        <row r="51">
          <cell r="B51">
            <v>27533.715670000001</v>
          </cell>
          <cell r="C51">
            <v>27854.844639999999</v>
          </cell>
          <cell r="D51">
            <v>28176.650259999999</v>
          </cell>
          <cell r="E51">
            <v>28498.946810000001</v>
          </cell>
          <cell r="F51">
            <v>28818.463059999998</v>
          </cell>
          <cell r="G51">
            <v>29134.0389</v>
          </cell>
          <cell r="H51">
            <v>29446.675999999999</v>
          </cell>
          <cell r="I51">
            <v>29758.056840000001</v>
          </cell>
          <cell r="J51">
            <v>30069.665659999999</v>
          </cell>
          <cell r="K51">
            <v>30382.48561</v>
          </cell>
          <cell r="L51">
            <v>30697.820339999998</v>
          </cell>
          <cell r="M51">
            <v>31015.744699999999</v>
          </cell>
          <cell r="N51">
            <v>31335.42467</v>
          </cell>
          <cell r="O51">
            <v>31654.580569999998</v>
          </cell>
          <cell r="P51">
            <v>31971.15727</v>
          </cell>
          <cell r="Q51">
            <v>32284.0694</v>
          </cell>
          <cell r="R51">
            <v>32592.716049999999</v>
          </cell>
          <cell r="S51">
            <v>32897.869740000002</v>
          </cell>
          <cell r="T51">
            <v>33201.630109999998</v>
          </cell>
          <cell r="U51">
            <v>33507.037510000002</v>
          </cell>
          <cell r="V51">
            <v>33817.289290000001</v>
          </cell>
          <cell r="W51">
            <v>34136.615109999999</v>
          </cell>
          <cell r="X51">
            <v>34469.770839999997</v>
          </cell>
          <cell r="Y51">
            <v>34821.833200000001</v>
          </cell>
          <cell r="Z51">
            <v>35197.900840000002</v>
          </cell>
          <cell r="AA51">
            <v>35601.490680000003</v>
          </cell>
          <cell r="AB51">
            <v>36036.953289999998</v>
          </cell>
          <cell r="AC51">
            <v>36508.849240000003</v>
          </cell>
          <cell r="AD51">
            <v>37021.595150000001</v>
          </cell>
          <cell r="AE51">
            <v>37578.83268</v>
          </cell>
          <cell r="AF51">
            <v>38183.000829999997</v>
          </cell>
          <cell r="AG51">
            <v>38835.300510000001</v>
          </cell>
          <cell r="AH51">
            <v>39535.850109999999</v>
          </cell>
          <cell r="AI51">
            <v>40283.824999999997</v>
          </cell>
          <cell r="AJ51">
            <v>41077.554349999999</v>
          </cell>
          <cell r="AK51">
            <v>41914.589809999998</v>
          </cell>
        </row>
        <row r="52">
          <cell r="B52">
            <v>548.74308729999996</v>
          </cell>
          <cell r="C52">
            <v>555.1431427</v>
          </cell>
          <cell r="D52">
            <v>561.55668360000004</v>
          </cell>
          <cell r="E52">
            <v>567.98000839999997</v>
          </cell>
          <cell r="F52">
            <v>574.34792249999998</v>
          </cell>
          <cell r="G52">
            <v>580.63730480000004</v>
          </cell>
          <cell r="H52">
            <v>586.85515650000002</v>
          </cell>
          <cell r="I52">
            <v>593.0216193</v>
          </cell>
          <cell r="J52">
            <v>599.22428019999995</v>
          </cell>
          <cell r="K52">
            <v>605.55061620000004</v>
          </cell>
          <cell r="L52">
            <v>611.94861209999999</v>
          </cell>
          <cell r="M52">
            <v>618.19353490000003</v>
          </cell>
          <cell r="N52">
            <v>624.08511480000004</v>
          </cell>
          <cell r="O52">
            <v>629.47455209999998</v>
          </cell>
          <cell r="P52">
            <v>634.2862652</v>
          </cell>
          <cell r="Q52">
            <v>638.49772989999997</v>
          </cell>
          <cell r="R52">
            <v>642.11029150000002</v>
          </cell>
          <cell r="S52">
            <v>645.14727500000004</v>
          </cell>
          <cell r="T52">
            <v>647.63114089999999</v>
          </cell>
          <cell r="U52">
            <v>649.58165199999996</v>
          </cell>
          <cell r="V52">
            <v>651.01062060000004</v>
          </cell>
          <cell r="W52">
            <v>651.94267360000003</v>
          </cell>
          <cell r="X52">
            <v>652.40612920000001</v>
          </cell>
          <cell r="Y52">
            <v>652.42333799999994</v>
          </cell>
          <cell r="Z52">
            <v>652.00126230000001</v>
          </cell>
          <cell r="AA52">
            <v>651.10305149999999</v>
          </cell>
          <cell r="AB52">
            <v>649.69055969999999</v>
          </cell>
          <cell r="AC52">
            <v>647.69998820000001</v>
          </cell>
          <cell r="AD52">
            <v>645.02209960000005</v>
          </cell>
          <cell r="AE52">
            <v>641.47727799999996</v>
          </cell>
          <cell r="AF52">
            <v>636.79115939999997</v>
          </cell>
          <cell r="AG52">
            <v>630.57173769999997</v>
          </cell>
          <cell r="AH52">
            <v>622.2778935</v>
          </cell>
          <cell r="AI52">
            <v>611.16661580000005</v>
          </cell>
          <cell r="AJ52">
            <v>596.20924620000005</v>
          </cell>
          <cell r="AK52">
            <v>575.95040429999995</v>
          </cell>
        </row>
        <row r="53">
          <cell r="B53">
            <v>548.74308729999996</v>
          </cell>
          <cell r="C53">
            <v>555.1431427</v>
          </cell>
          <cell r="D53">
            <v>561.55668360000004</v>
          </cell>
          <cell r="E53">
            <v>567.98000839999997</v>
          </cell>
          <cell r="F53">
            <v>574.34792249999998</v>
          </cell>
          <cell r="G53">
            <v>580.63730469999996</v>
          </cell>
          <cell r="H53">
            <v>586.86811809999995</v>
          </cell>
          <cell r="I53">
            <v>593.07389450000005</v>
          </cell>
          <cell r="J53">
            <v>599.28421470000001</v>
          </cell>
          <cell r="K53">
            <v>605.51867240000001</v>
          </cell>
          <cell r="L53">
            <v>611.80324919999998</v>
          </cell>
          <cell r="M53">
            <v>618.13943710000001</v>
          </cell>
          <cell r="N53">
            <v>624.51061400000003</v>
          </cell>
          <cell r="O53">
            <v>630.87134619999995</v>
          </cell>
          <cell r="P53">
            <v>637.18067550000001</v>
          </cell>
          <cell r="Q53">
            <v>643.4169703</v>
          </cell>
          <cell r="R53">
            <v>649.56825470000001</v>
          </cell>
          <cell r="S53">
            <v>655.64992480000001</v>
          </cell>
          <cell r="T53">
            <v>661.70382640000003</v>
          </cell>
          <cell r="U53">
            <v>667.79055289999997</v>
          </cell>
          <cell r="V53">
            <v>673.9738274</v>
          </cell>
          <cell r="W53">
            <v>680.33794609999995</v>
          </cell>
          <cell r="X53">
            <v>686.97769310000001</v>
          </cell>
          <cell r="Y53">
            <v>693.9942466</v>
          </cell>
          <cell r="Z53">
            <v>701.48922170000003</v>
          </cell>
          <cell r="AA53">
            <v>709.53271059999997</v>
          </cell>
          <cell r="AB53">
            <v>718.21141920000002</v>
          </cell>
          <cell r="AC53">
            <v>727.61623929999996</v>
          </cell>
          <cell r="AD53">
            <v>737.83519320000005</v>
          </cell>
          <cell r="AE53">
            <v>748.94085910000001</v>
          </cell>
          <cell r="AF53">
            <v>760.9818454</v>
          </cell>
          <cell r="AG53">
            <v>773.98208650000004</v>
          </cell>
          <cell r="AH53">
            <v>787.94394160000002</v>
          </cell>
          <cell r="AI53">
            <v>802.85097610000003</v>
          </cell>
          <cell r="AJ53">
            <v>818.66989079999996</v>
          </cell>
          <cell r="AK53">
            <v>835.35188979999998</v>
          </cell>
        </row>
        <row r="54">
          <cell r="B54">
            <v>797.41588769999998</v>
          </cell>
          <cell r="C54">
            <v>806.71624320000001</v>
          </cell>
          <cell r="D54">
            <v>816.03619560000004</v>
          </cell>
          <cell r="E54">
            <v>825.37036560000001</v>
          </cell>
          <cell r="F54">
            <v>834.62401450000004</v>
          </cell>
          <cell r="G54">
            <v>843.76354349999997</v>
          </cell>
          <cell r="H54">
            <v>852.79912650000006</v>
          </cell>
          <cell r="I54">
            <v>861.67272430000003</v>
          </cell>
          <cell r="J54">
            <v>870.47846960000004</v>
          </cell>
          <cell r="K54">
            <v>879.32758079999996</v>
          </cell>
          <cell r="L54">
            <v>888.13394119999998</v>
          </cell>
          <cell r="M54">
            <v>896.56394839999996</v>
          </cell>
          <cell r="N54">
            <v>904.32106820000001</v>
          </cell>
          <cell r="O54">
            <v>911.18406059999995</v>
          </cell>
          <cell r="P54">
            <v>917.03726489999997</v>
          </cell>
          <cell r="Q54">
            <v>921.84060069999998</v>
          </cell>
          <cell r="R54">
            <v>925.58700469999997</v>
          </cell>
          <cell r="S54">
            <v>928.29895409999995</v>
          </cell>
          <cell r="T54">
            <v>929.99541350000004</v>
          </cell>
          <cell r="U54">
            <v>930.68871590000003</v>
          </cell>
          <cell r="V54">
            <v>930.3766134</v>
          </cell>
          <cell r="W54">
            <v>929.07026689999998</v>
          </cell>
          <cell r="X54">
            <v>926.78001830000005</v>
          </cell>
          <cell r="Y54">
            <v>923.5003696</v>
          </cell>
          <cell r="Z54">
            <v>919.19521580000003</v>
          </cell>
          <cell r="AA54">
            <v>913.75770720000003</v>
          </cell>
          <cell r="AB54">
            <v>907.06460059999995</v>
          </cell>
          <cell r="AC54">
            <v>898.93910860000005</v>
          </cell>
          <cell r="AD54">
            <v>889.11954679999997</v>
          </cell>
          <cell r="AE54">
            <v>877.22082560000001</v>
          </cell>
          <cell r="AF54">
            <v>862.69597599999997</v>
          </cell>
          <cell r="AG54">
            <v>844.79747529999997</v>
          </cell>
          <cell r="AH54">
            <v>822.52362879999998</v>
          </cell>
          <cell r="AI54">
            <v>794.53106500000001</v>
          </cell>
          <cell r="AJ54">
            <v>758.98562179999999</v>
          </cell>
          <cell r="AK54">
            <v>713.1702027</v>
          </cell>
        </row>
        <row r="55">
          <cell r="B55">
            <v>797.41588769999998</v>
          </cell>
          <cell r="C55">
            <v>806.71624320000001</v>
          </cell>
          <cell r="D55">
            <v>816.03619560000004</v>
          </cell>
          <cell r="E55">
            <v>825.37036560000001</v>
          </cell>
          <cell r="F55">
            <v>834.62401439999996</v>
          </cell>
          <cell r="G55">
            <v>843.7635434</v>
          </cell>
          <cell r="H55">
            <v>852.8179619</v>
          </cell>
          <cell r="I55">
            <v>861.83599760000004</v>
          </cell>
          <cell r="J55">
            <v>870.860636</v>
          </cell>
          <cell r="K55">
            <v>879.9203503</v>
          </cell>
          <cell r="L55">
            <v>889.05289619999996</v>
          </cell>
          <cell r="M55">
            <v>898.26044160000004</v>
          </cell>
          <cell r="N55">
            <v>907.51883190000001</v>
          </cell>
          <cell r="O55">
            <v>916.76204429999996</v>
          </cell>
          <cell r="P55">
            <v>925.9305597</v>
          </cell>
          <cell r="Q55">
            <v>934.99294359999999</v>
          </cell>
          <cell r="R55">
            <v>943.93179320000002</v>
          </cell>
          <cell r="S55">
            <v>952.76948149999998</v>
          </cell>
          <cell r="T55">
            <v>961.56681749999996</v>
          </cell>
          <cell r="U55">
            <v>970.41185359999997</v>
          </cell>
          <cell r="V55">
            <v>979.39719019999995</v>
          </cell>
          <cell r="W55">
            <v>988.64532369999995</v>
          </cell>
          <cell r="X55">
            <v>998.29399149999995</v>
          </cell>
          <cell r="Y55">
            <v>1008.490222</v>
          </cell>
          <cell r="Z55">
            <v>1019.38168</v>
          </cell>
          <cell r="AA55">
            <v>1031.0702209999999</v>
          </cell>
          <cell r="AB55">
            <v>1043.681842</v>
          </cell>
          <cell r="AC55">
            <v>1057.348626</v>
          </cell>
          <cell r="AD55">
            <v>1072.1984829999999</v>
          </cell>
          <cell r="AE55">
            <v>1088.3368809999999</v>
          </cell>
          <cell r="AF55">
            <v>1105.8344569999999</v>
          </cell>
          <cell r="AG55">
            <v>1124.725991</v>
          </cell>
          <cell r="AH55">
            <v>1145.0149120000001</v>
          </cell>
          <cell r="AI55">
            <v>1166.6773370000001</v>
          </cell>
          <cell r="AJ55">
            <v>1189.6648769999999</v>
          </cell>
          <cell r="AK55">
            <v>1213.906624</v>
          </cell>
        </row>
        <row r="56">
          <cell r="B56">
            <v>724.45685130000004</v>
          </cell>
          <cell r="C56">
            <v>732.90627700000005</v>
          </cell>
          <cell r="D56">
            <v>741.37350649999996</v>
          </cell>
          <cell r="E56">
            <v>749.85365290000004</v>
          </cell>
          <cell r="F56">
            <v>758.26064529999996</v>
          </cell>
          <cell r="G56">
            <v>766.5639592</v>
          </cell>
          <cell r="H56">
            <v>774.7728376</v>
          </cell>
          <cell r="I56">
            <v>782.83874270000001</v>
          </cell>
          <cell r="J56">
            <v>790.84878530000003</v>
          </cell>
          <cell r="K56">
            <v>798.90476920000003</v>
          </cell>
          <cell r="L56">
            <v>806.92895950000002</v>
          </cell>
          <cell r="M56">
            <v>814.6186103</v>
          </cell>
          <cell r="N56">
            <v>821.7045779</v>
          </cell>
          <cell r="O56">
            <v>827.98609899999997</v>
          </cell>
          <cell r="P56">
            <v>833.35836730000005</v>
          </cell>
          <cell r="Q56">
            <v>837.78531299999997</v>
          </cell>
          <cell r="R56">
            <v>841.26094039999998</v>
          </cell>
          <cell r="S56">
            <v>843.80620380000005</v>
          </cell>
          <cell r="T56">
            <v>845.43897159999995</v>
          </cell>
          <cell r="U56">
            <v>846.17121269999996</v>
          </cell>
          <cell r="V56">
            <v>846.00178900000003</v>
          </cell>
          <cell r="W56">
            <v>844.94198710000001</v>
          </cell>
          <cell r="X56">
            <v>843.0026355</v>
          </cell>
          <cell r="Y56">
            <v>840.18050229999994</v>
          </cell>
          <cell r="Z56">
            <v>836.44492500000001</v>
          </cell>
          <cell r="AA56">
            <v>831.70128309999996</v>
          </cell>
          <cell r="AB56">
            <v>825.84071989999995</v>
          </cell>
          <cell r="AC56">
            <v>818.70645839999997</v>
          </cell>
          <cell r="AD56">
            <v>810.06541600000003</v>
          </cell>
          <cell r="AE56">
            <v>799.57328900000005</v>
          </cell>
          <cell r="AF56">
            <v>786.73968500000001</v>
          </cell>
          <cell r="AG56">
            <v>770.89314939999997</v>
          </cell>
          <cell r="AH56">
            <v>751.13269349999996</v>
          </cell>
          <cell r="AI56">
            <v>726.24872000000005</v>
          </cell>
          <cell r="AJ56">
            <v>694.58982560000004</v>
          </cell>
          <cell r="AK56">
            <v>653.73365939999996</v>
          </cell>
        </row>
        <row r="57">
          <cell r="B57">
            <v>724.45685130000004</v>
          </cell>
          <cell r="C57">
            <v>732.90627700000005</v>
          </cell>
          <cell r="D57">
            <v>741.37350649999996</v>
          </cell>
          <cell r="E57">
            <v>749.85365279999996</v>
          </cell>
          <cell r="F57">
            <v>758.2606452</v>
          </cell>
          <cell r="G57">
            <v>766.56395910000003</v>
          </cell>
          <cell r="H57">
            <v>774.7899496</v>
          </cell>
          <cell r="I57">
            <v>782.98288609999997</v>
          </cell>
          <cell r="J57">
            <v>791.18182119999994</v>
          </cell>
          <cell r="K57">
            <v>799.41262300000005</v>
          </cell>
          <cell r="L57">
            <v>807.70959259999995</v>
          </cell>
          <cell r="M57">
            <v>816.07469979999996</v>
          </cell>
          <cell r="N57">
            <v>824.48599990000002</v>
          </cell>
          <cell r="O57">
            <v>832.88351069999999</v>
          </cell>
          <cell r="P57">
            <v>841.21315890000005</v>
          </cell>
          <cell r="Q57">
            <v>849.44638599999996</v>
          </cell>
          <cell r="R57">
            <v>857.56738150000001</v>
          </cell>
          <cell r="S57">
            <v>865.59647140000004</v>
          </cell>
          <cell r="T57">
            <v>873.5889009</v>
          </cell>
          <cell r="U57">
            <v>881.62466640000002</v>
          </cell>
          <cell r="V57">
            <v>889.78789559999996</v>
          </cell>
          <cell r="W57">
            <v>898.18987719999996</v>
          </cell>
          <cell r="X57">
            <v>906.9557466</v>
          </cell>
          <cell r="Y57">
            <v>916.21908010000004</v>
          </cell>
          <cell r="Z57">
            <v>926.11403129999997</v>
          </cell>
          <cell r="AA57">
            <v>936.73313670000005</v>
          </cell>
          <cell r="AB57">
            <v>948.19086619999996</v>
          </cell>
          <cell r="AC57">
            <v>960.60721639999997</v>
          </cell>
          <cell r="AD57">
            <v>974.09839539999996</v>
          </cell>
          <cell r="AE57">
            <v>988.76022149999994</v>
          </cell>
          <cell r="AF57">
            <v>1004.656868</v>
          </cell>
          <cell r="AG57">
            <v>1021.819934</v>
          </cell>
          <cell r="AH57">
            <v>1040.252534</v>
          </cell>
          <cell r="AI57">
            <v>1059.9329700000001</v>
          </cell>
          <cell r="AJ57">
            <v>1080.81728</v>
          </cell>
          <cell r="AK57">
            <v>1102.8410449999999</v>
          </cell>
        </row>
        <row r="58">
          <cell r="B58">
            <v>1425.718447</v>
          </cell>
          <cell r="C58">
            <v>1442.346628</v>
          </cell>
          <cell r="D58">
            <v>1459.0098029999999</v>
          </cell>
          <cell r="E58">
            <v>1475.69839</v>
          </cell>
          <cell r="F58">
            <v>1492.243013</v>
          </cell>
          <cell r="G58">
            <v>1508.583603</v>
          </cell>
          <cell r="H58">
            <v>1524.7383520000001</v>
          </cell>
          <cell r="I58">
            <v>1564.4055530000001</v>
          </cell>
          <cell r="J58">
            <v>1637.649719</v>
          </cell>
          <cell r="K58">
            <v>1750.73992</v>
          </cell>
          <cell r="L58">
            <v>1908.566687</v>
          </cell>
          <cell r="M58">
            <v>2114.964442</v>
          </cell>
          <cell r="N58">
            <v>2373.7332500000002</v>
          </cell>
          <cell r="O58">
            <v>2688.954252</v>
          </cell>
          <cell r="P58">
            <v>3065.4053100000001</v>
          </cell>
          <cell r="Q58">
            <v>3508.718312</v>
          </cell>
          <cell r="R58">
            <v>4025.3669989999999</v>
          </cell>
          <cell r="S58">
            <v>4622.941014</v>
          </cell>
          <cell r="T58">
            <v>5310.1051729999999</v>
          </cell>
          <cell r="U58">
            <v>6096.8355389999997</v>
          </cell>
          <cell r="V58">
            <v>6994.6315080000004</v>
          </cell>
          <cell r="W58">
            <v>8017.5220589999999</v>
          </cell>
          <cell r="X58">
            <v>9182.6500329999999</v>
          </cell>
          <cell r="Y58">
            <v>10510.94131</v>
          </cell>
          <cell r="Z58">
            <v>12027.91221</v>
          </cell>
          <cell r="AA58">
            <v>13763.66577</v>
          </cell>
          <cell r="AB58">
            <v>15756.694589999999</v>
          </cell>
          <cell r="AC58">
            <v>18055.6751</v>
          </cell>
          <cell r="AD58">
            <v>20722.08538</v>
          </cell>
          <cell r="AE58">
            <v>23833.38853</v>
          </cell>
          <cell r="AF58">
            <v>27487.67828</v>
          </cell>
          <cell r="AG58">
            <v>31811.221300000001</v>
          </cell>
          <cell r="AH58">
            <v>36970.197829999997</v>
          </cell>
          <cell r="AI58">
            <v>43188.392590000003</v>
          </cell>
          <cell r="AJ58">
            <v>50775.343269999998</v>
          </cell>
          <cell r="AK58">
            <v>60173.244570000003</v>
          </cell>
        </row>
        <row r="59">
          <cell r="B59">
            <v>1425.718447</v>
          </cell>
          <cell r="C59">
            <v>1442.3466269999999</v>
          </cell>
          <cell r="D59">
            <v>1459.0098029999999</v>
          </cell>
          <cell r="E59">
            <v>1475.69839</v>
          </cell>
          <cell r="F59">
            <v>1492.243013</v>
          </cell>
          <cell r="G59">
            <v>1508.583603</v>
          </cell>
          <cell r="H59">
            <v>1524.7720280000001</v>
          </cell>
          <cell r="I59">
            <v>1540.8954100000001</v>
          </cell>
          <cell r="J59">
            <v>1557.0306029999999</v>
          </cell>
          <cell r="K59">
            <v>1573.228515</v>
          </cell>
          <cell r="L59">
            <v>1589.556652</v>
          </cell>
          <cell r="M59">
            <v>1606.0188869999999</v>
          </cell>
          <cell r="N59">
            <v>1622.5720369999999</v>
          </cell>
          <cell r="O59">
            <v>1639.0980549999999</v>
          </cell>
          <cell r="P59">
            <v>1655.490528</v>
          </cell>
          <cell r="Q59">
            <v>1671.6932529999999</v>
          </cell>
          <cell r="R59">
            <v>1687.675115</v>
          </cell>
          <cell r="S59">
            <v>1703.4761149999999</v>
          </cell>
          <cell r="T59">
            <v>1719.204974</v>
          </cell>
          <cell r="U59">
            <v>1735.0191239999999</v>
          </cell>
          <cell r="V59">
            <v>1751.0841250000001</v>
          </cell>
          <cell r="W59">
            <v>1767.6189910000001</v>
          </cell>
          <cell r="X59">
            <v>1784.869987</v>
          </cell>
          <cell r="Y59">
            <v>1803.0999859999999</v>
          </cell>
          <cell r="Z59">
            <v>1822.5730000000001</v>
          </cell>
          <cell r="AA59">
            <v>1843.4711400000001</v>
          </cell>
          <cell r="AB59">
            <v>1866.019679</v>
          </cell>
          <cell r="AC59">
            <v>1890.4547669999999</v>
          </cell>
          <cell r="AD59">
            <v>1917.0051000000001</v>
          </cell>
          <cell r="AE59">
            <v>1945.859246</v>
          </cell>
          <cell r="AF59">
            <v>1977.143497</v>
          </cell>
          <cell r="AG59">
            <v>2010.9200370000001</v>
          </cell>
          <cell r="AH59">
            <v>2047.1949979999999</v>
          </cell>
          <cell r="AI59">
            <v>2085.9256770000002</v>
          </cell>
          <cell r="AJ59">
            <v>2127.02556</v>
          </cell>
          <cell r="AK59">
            <v>2170.3678679999998</v>
          </cell>
        </row>
        <row r="60">
          <cell r="B60">
            <v>518.30310889999998</v>
          </cell>
          <cell r="C60">
            <v>524.34813919999999</v>
          </cell>
          <cell r="D60">
            <v>530.40590699999996</v>
          </cell>
          <cell r="E60">
            <v>536.47291600000005</v>
          </cell>
          <cell r="F60">
            <v>542.48758789999999</v>
          </cell>
          <cell r="G60">
            <v>548.42808439999999</v>
          </cell>
          <cell r="H60">
            <v>554.30101830000001</v>
          </cell>
          <cell r="I60">
            <v>582.83462589999999</v>
          </cell>
          <cell r="J60">
            <v>645.22589870000002</v>
          </cell>
          <cell r="K60">
            <v>749.71090809999998</v>
          </cell>
          <cell r="L60">
            <v>903.34786599999995</v>
          </cell>
          <cell r="M60">
            <v>1112.2535809999999</v>
          </cell>
          <cell r="N60">
            <v>1382.269395</v>
          </cell>
          <cell r="O60">
            <v>1719.2159019999999</v>
          </cell>
          <cell r="P60">
            <v>2129.2914190000001</v>
          </cell>
          <cell r="Q60">
            <v>2619.2933819999998</v>
          </cell>
          <cell r="R60">
            <v>3196.6791840000001</v>
          </cell>
          <cell r="S60">
            <v>3869.8958419999999</v>
          </cell>
          <cell r="T60">
            <v>4648.3970390000004</v>
          </cell>
          <cell r="U60">
            <v>5542.925193</v>
          </cell>
          <cell r="V60">
            <v>6565.7691260000001</v>
          </cell>
          <cell r="W60">
            <v>7731.865855</v>
          </cell>
          <cell r="X60">
            <v>9059.4748519999994</v>
          </cell>
          <cell r="Y60">
            <v>10570.936019999999</v>
          </cell>
          <cell r="Z60">
            <v>12293.56861</v>
          </cell>
          <cell r="AA60">
            <v>14259.673640000001</v>
          </cell>
          <cell r="AB60">
            <v>16510.684880000001</v>
          </cell>
          <cell r="AC60">
            <v>19099.137849999999</v>
          </cell>
          <cell r="AD60">
            <v>22091.520280000001</v>
          </cell>
          <cell r="AE60">
            <v>25571.722450000001</v>
          </cell>
          <cell r="AF60">
            <v>29646.06957</v>
          </cell>
          <cell r="AG60">
            <v>34451.509259999999</v>
          </cell>
          <cell r="AH60">
            <v>40168.369409999999</v>
          </cell>
          <cell r="AI60">
            <v>47039.580040000001</v>
          </cell>
          <cell r="AJ60">
            <v>55401.258159999998</v>
          </cell>
          <cell r="AK60">
            <v>65733.671530000007</v>
          </cell>
        </row>
        <row r="61">
          <cell r="B61">
            <v>518.30310889999998</v>
          </cell>
          <cell r="C61">
            <v>524.34813919999999</v>
          </cell>
          <cell r="D61">
            <v>530.40590699999996</v>
          </cell>
          <cell r="E61">
            <v>536.47291600000005</v>
          </cell>
          <cell r="F61">
            <v>542.48758789999999</v>
          </cell>
          <cell r="G61">
            <v>548.42808439999999</v>
          </cell>
          <cell r="H61">
            <v>554.31326090000005</v>
          </cell>
          <cell r="I61">
            <v>560.17478940000001</v>
          </cell>
          <cell r="J61">
            <v>566.04060949999996</v>
          </cell>
          <cell r="K61">
            <v>571.92922820000001</v>
          </cell>
          <cell r="L61">
            <v>577.86518579999995</v>
          </cell>
          <cell r="M61">
            <v>583.84989150000001</v>
          </cell>
          <cell r="N61">
            <v>589.86764530000005</v>
          </cell>
          <cell r="O61">
            <v>595.87553379999997</v>
          </cell>
          <cell r="P61">
            <v>601.83487079999998</v>
          </cell>
          <cell r="Q61">
            <v>607.72522470000001</v>
          </cell>
          <cell r="R61">
            <v>613.53528389999997</v>
          </cell>
          <cell r="S61">
            <v>619.27959050000004</v>
          </cell>
          <cell r="T61">
            <v>624.99766890000001</v>
          </cell>
          <cell r="U61">
            <v>630.74675139999999</v>
          </cell>
          <cell r="V61">
            <v>636.58702619999997</v>
          </cell>
          <cell r="W61">
            <v>642.59811319999994</v>
          </cell>
          <cell r="X61">
            <v>648.86953900000003</v>
          </cell>
          <cell r="Y61">
            <v>655.49686889999998</v>
          </cell>
          <cell r="Z61">
            <v>662.57608140000002</v>
          </cell>
          <cell r="AA61">
            <v>670.17338040000004</v>
          </cell>
          <cell r="AB61">
            <v>678.37066200000004</v>
          </cell>
          <cell r="AC61">
            <v>687.25377619999995</v>
          </cell>
          <cell r="AD61">
            <v>696.90586240000005</v>
          </cell>
          <cell r="AE61">
            <v>707.39547270000003</v>
          </cell>
          <cell r="AF61">
            <v>718.76851920000001</v>
          </cell>
          <cell r="AG61">
            <v>731.04760850000002</v>
          </cell>
          <cell r="AH61">
            <v>744.23496899999998</v>
          </cell>
          <cell r="AI61">
            <v>758.31507769999996</v>
          </cell>
          <cell r="AJ61">
            <v>773.25648260000003</v>
          </cell>
          <cell r="AK61">
            <v>789.01309470000001</v>
          </cell>
        </row>
        <row r="62">
          <cell r="B62">
            <v>3989.9757450000002</v>
          </cell>
          <cell r="C62">
            <v>4036.5113030000002</v>
          </cell>
          <cell r="D62">
            <v>4083.1449160000002</v>
          </cell>
          <cell r="E62">
            <v>4129.8496690000002</v>
          </cell>
          <cell r="F62">
            <v>4176.1515230000005</v>
          </cell>
          <cell r="G62">
            <v>4221.8823640000001</v>
          </cell>
          <cell r="H62">
            <v>4267.0930980000003</v>
          </cell>
          <cell r="I62">
            <v>4320.2298719999999</v>
          </cell>
          <cell r="J62">
            <v>4385.1134240000001</v>
          </cell>
          <cell r="K62">
            <v>4463.9726229999997</v>
          </cell>
          <cell r="L62">
            <v>4557.546472</v>
          </cell>
          <cell r="M62">
            <v>4665.0203529999999</v>
          </cell>
          <cell r="N62">
            <v>4785.6516689999999</v>
          </cell>
          <cell r="O62">
            <v>4919.0666419999998</v>
          </cell>
          <cell r="P62">
            <v>5065.5496039999998</v>
          </cell>
          <cell r="Q62">
            <v>5225.9707509999998</v>
          </cell>
          <cell r="R62">
            <v>5401.5971250000002</v>
          </cell>
          <cell r="S62">
            <v>5594.162523</v>
          </cell>
          <cell r="T62">
            <v>5805.7027429999998</v>
          </cell>
          <cell r="U62">
            <v>6038.6074179999996</v>
          </cell>
          <cell r="V62">
            <v>6295.6391940000003</v>
          </cell>
          <cell r="W62">
            <v>6580.3425800000005</v>
          </cell>
          <cell r="X62">
            <v>6897.1286270000001</v>
          </cell>
          <cell r="Y62">
            <v>7251.3759600000003</v>
          </cell>
          <cell r="Z62">
            <v>7649.5680700000003</v>
          </cell>
          <cell r="AA62">
            <v>8099.0849459999999</v>
          </cell>
          <cell r="AB62">
            <v>8609.4813630000008</v>
          </cell>
          <cell r="AC62">
            <v>9192.7662629999995</v>
          </cell>
          <cell r="AD62">
            <v>9863.9246149999999</v>
          </cell>
          <cell r="AE62">
            <v>10641.543879999999</v>
          </cell>
          <cell r="AF62">
            <v>11548.812250000001</v>
          </cell>
          <cell r="AG62">
            <v>12615.25569</v>
          </cell>
          <cell r="AH62">
            <v>13879.46312</v>
          </cell>
          <cell r="AI62">
            <v>15393.137049999999</v>
          </cell>
          <cell r="AJ62">
            <v>17227.51974</v>
          </cell>
          <cell r="AK62">
            <v>19484.087390000001</v>
          </cell>
        </row>
        <row r="63">
          <cell r="B63">
            <v>3989.9757450000002</v>
          </cell>
          <cell r="C63">
            <v>4036.5113030000002</v>
          </cell>
          <cell r="D63">
            <v>4083.1449160000002</v>
          </cell>
          <cell r="E63">
            <v>4129.8496690000002</v>
          </cell>
          <cell r="F63">
            <v>4176.1515230000005</v>
          </cell>
          <cell r="G63">
            <v>4221.8823640000001</v>
          </cell>
          <cell r="H63">
            <v>4267.1873429999996</v>
          </cell>
          <cell r="I63">
            <v>4312.3102760000002</v>
          </cell>
          <cell r="J63">
            <v>4357.466246</v>
          </cell>
          <cell r="K63">
            <v>4402.797724</v>
          </cell>
          <cell r="L63">
            <v>4448.4936239999997</v>
          </cell>
          <cell r="M63">
            <v>4494.5647939999999</v>
          </cell>
          <cell r="N63">
            <v>4540.8903730000002</v>
          </cell>
          <cell r="O63">
            <v>4587.1400080000003</v>
          </cell>
          <cell r="P63">
            <v>4633.0158860000001</v>
          </cell>
          <cell r="Q63">
            <v>4678.360721</v>
          </cell>
          <cell r="R63">
            <v>4723.0874359999998</v>
          </cell>
          <cell r="S63">
            <v>4767.3079770000004</v>
          </cell>
          <cell r="T63">
            <v>4811.3266089999997</v>
          </cell>
          <cell r="U63">
            <v>4855.5839159999996</v>
          </cell>
          <cell r="V63">
            <v>4900.5432350000001</v>
          </cell>
          <cell r="W63">
            <v>4946.8174929999996</v>
          </cell>
          <cell r="X63">
            <v>4995.0958769999997</v>
          </cell>
          <cell r="Y63">
            <v>5046.1140649999998</v>
          </cell>
          <cell r="Z63">
            <v>5100.6109139999999</v>
          </cell>
          <cell r="AA63">
            <v>5159.0960709999999</v>
          </cell>
          <cell r="AB63">
            <v>5222.1999850000002</v>
          </cell>
          <cell r="AC63">
            <v>5290.5835420000003</v>
          </cell>
          <cell r="AD63">
            <v>5364.8867620000001</v>
          </cell>
          <cell r="AE63">
            <v>5445.637369</v>
          </cell>
          <cell r="AF63">
            <v>5533.1888010000002</v>
          </cell>
          <cell r="AG63">
            <v>5627.7150890000003</v>
          </cell>
          <cell r="AH63">
            <v>5729.2333850000005</v>
          </cell>
          <cell r="AI63">
            <v>5837.6241920000002</v>
          </cell>
          <cell r="AJ63">
            <v>5952.6453869999996</v>
          </cell>
          <cell r="AK63">
            <v>6073.9421709999997</v>
          </cell>
        </row>
        <row r="64">
          <cell r="B64">
            <v>4700.0919050000002</v>
          </cell>
          <cell r="C64">
            <v>4754.1308589999999</v>
          </cell>
          <cell r="D64">
            <v>4808.0940920000003</v>
          </cell>
          <cell r="E64">
            <v>4861.8621880000001</v>
          </cell>
          <cell r="F64">
            <v>4915.0951150000001</v>
          </cell>
          <cell r="G64">
            <v>4967.8345609999997</v>
          </cell>
          <cell r="H64">
            <v>5020.1907359999996</v>
          </cell>
          <cell r="I64">
            <v>5077.2756280000003</v>
          </cell>
          <cell r="J64">
            <v>5141.145192</v>
          </cell>
          <cell r="K64">
            <v>5213.6284050000004</v>
          </cell>
          <cell r="L64">
            <v>5296.1398179999997</v>
          </cell>
          <cell r="M64">
            <v>5388.7114810000003</v>
          </cell>
          <cell r="N64">
            <v>5491.2565119999999</v>
          </cell>
          <cell r="O64">
            <v>5603.6719679999997</v>
          </cell>
          <cell r="P64">
            <v>5726.053441</v>
          </cell>
          <cell r="Q64">
            <v>5858.727003</v>
          </cell>
          <cell r="R64">
            <v>6002.1903229999998</v>
          </cell>
          <cell r="S64">
            <v>6157.0840829999997</v>
          </cell>
          <cell r="T64">
            <v>6324.2113069999996</v>
          </cell>
          <cell r="U64">
            <v>6504.640155</v>
          </cell>
          <cell r="V64">
            <v>6699.5826580000003</v>
          </cell>
          <cell r="W64">
            <v>6911.0009380000001</v>
          </cell>
          <cell r="X64">
            <v>7141.4605549999997</v>
          </cell>
          <cell r="Y64">
            <v>7394.1453629999996</v>
          </cell>
          <cell r="Z64">
            <v>7672.9309780000003</v>
          </cell>
          <cell r="AA64">
            <v>7981.8101919999999</v>
          </cell>
          <cell r="AB64">
            <v>8326.4572169999992</v>
          </cell>
          <cell r="AC64">
            <v>8714.114028</v>
          </cell>
          <cell r="AD64">
            <v>9153.7990809999992</v>
          </cell>
          <cell r="AE64">
            <v>9656.6358349999991</v>
          </cell>
          <cell r="AF64">
            <v>10236.42297</v>
          </cell>
          <cell r="AG64">
            <v>10910.65033</v>
          </cell>
          <cell r="AH64">
            <v>11702.07531</v>
          </cell>
          <cell r="AI64">
            <v>12641.08561</v>
          </cell>
          <cell r="AJ64">
            <v>13769.46297</v>
          </cell>
          <cell r="AK64">
            <v>15146.63931</v>
          </cell>
        </row>
        <row r="65">
          <cell r="B65">
            <v>4700.0919050000002</v>
          </cell>
          <cell r="C65">
            <v>4754.1308589999999</v>
          </cell>
          <cell r="D65">
            <v>4808.0940929999997</v>
          </cell>
          <cell r="E65">
            <v>4861.8621890000004</v>
          </cell>
          <cell r="F65">
            <v>4915.0951169999998</v>
          </cell>
          <cell r="G65">
            <v>4967.8345639999998</v>
          </cell>
          <cell r="H65">
            <v>5019.9537799999998</v>
          </cell>
          <cell r="I65">
            <v>5071.3101269999997</v>
          </cell>
          <cell r="J65">
            <v>5121.7906030000004</v>
          </cell>
          <cell r="K65">
            <v>5171.3240619999997</v>
          </cell>
          <cell r="L65">
            <v>5220.1817680000004</v>
          </cell>
          <cell r="M65">
            <v>5268.2918909999999</v>
          </cell>
          <cell r="N65">
            <v>5315.5230590000001</v>
          </cell>
          <cell r="O65">
            <v>5361.6562020000001</v>
          </cell>
          <cell r="P65">
            <v>5406.531027</v>
          </cell>
          <cell r="Q65">
            <v>5450.1003689999998</v>
          </cell>
          <cell r="R65">
            <v>5492.5976840000003</v>
          </cell>
          <cell r="S65">
            <v>5534.4458549999999</v>
          </cell>
          <cell r="T65">
            <v>5576.139913</v>
          </cell>
          <cell r="U65">
            <v>5618.1644340000003</v>
          </cell>
          <cell r="V65">
            <v>5660.803817</v>
          </cell>
          <cell r="W65">
            <v>5704.5863710000003</v>
          </cell>
          <cell r="X65">
            <v>5750.0829949999998</v>
          </cell>
          <cell r="Y65">
            <v>5797.8664090000002</v>
          </cell>
          <cell r="Z65">
            <v>5848.4777029999996</v>
          </cell>
          <cell r="AA65">
            <v>5901.8964660000001</v>
          </cell>
          <cell r="AB65">
            <v>5958.4990440000001</v>
          </cell>
          <cell r="AC65">
            <v>6018.7631869999996</v>
          </cell>
          <cell r="AD65">
            <v>6083.1690850000005</v>
          </cell>
          <cell r="AE65">
            <v>6152.1216899999999</v>
          </cell>
          <cell r="AF65">
            <v>6225.9040500000001</v>
          </cell>
          <cell r="AG65">
            <v>6304.6716429999997</v>
          </cell>
          <cell r="AH65">
            <v>6388.4661859999997</v>
          </cell>
          <cell r="AI65">
            <v>6477.2282340000002</v>
          </cell>
          <cell r="AJ65">
            <v>6570.8058979999996</v>
          </cell>
          <cell r="AK65">
            <v>6668.9611590000004</v>
          </cell>
        </row>
        <row r="66">
          <cell r="B66">
            <v>65.176447120000006</v>
          </cell>
          <cell r="C66">
            <v>65.936607710000004</v>
          </cell>
          <cell r="D66">
            <v>66.69837004</v>
          </cell>
          <cell r="E66">
            <v>67.461294440000003</v>
          </cell>
          <cell r="F66">
            <v>68.217637479999993</v>
          </cell>
          <cell r="G66">
            <v>68.964652979999997</v>
          </cell>
          <cell r="H66">
            <v>69.703172499999994</v>
          </cell>
          <cell r="I66">
            <v>70.470458260000001</v>
          </cell>
          <cell r="J66">
            <v>71.290190960000004</v>
          </cell>
          <cell r="K66">
            <v>72.179211159999994</v>
          </cell>
          <cell r="L66">
            <v>73.135692149999997</v>
          </cell>
          <cell r="M66">
            <v>74.135941630000005</v>
          </cell>
          <cell r="N66">
            <v>75.158619869999995</v>
          </cell>
          <cell r="O66">
            <v>76.188361279999995</v>
          </cell>
          <cell r="P66">
            <v>77.218894759999998</v>
          </cell>
          <cell r="Q66">
            <v>78.250942769999995</v>
          </cell>
          <cell r="R66">
            <v>79.288830799999999</v>
          </cell>
          <cell r="S66">
            <v>80.340579669999997</v>
          </cell>
          <cell r="T66">
            <v>81.415163160000006</v>
          </cell>
          <cell r="U66">
            <v>82.522512910000003</v>
          </cell>
          <cell r="V66">
            <v>83.673072559999994</v>
          </cell>
          <cell r="W66">
            <v>84.881226530000006</v>
          </cell>
          <cell r="X66">
            <v>86.164714380000007</v>
          </cell>
          <cell r="Y66">
            <v>87.544027439999994</v>
          </cell>
          <cell r="Z66">
            <v>89.041926090000004</v>
          </cell>
          <cell r="AA66">
            <v>90.679839020000003</v>
          </cell>
          <cell r="AB66">
            <v>92.486389520000003</v>
          </cell>
          <cell r="AC66">
            <v>94.49582264</v>
          </cell>
          <cell r="AD66">
            <v>96.747612399999994</v>
          </cell>
          <cell r="AE66">
            <v>99.285755929999993</v>
          </cell>
          <cell r="AF66">
            <v>102.15917229999999</v>
          </cell>
          <cell r="AG66">
            <v>105.42444450000001</v>
          </cell>
          <cell r="AH66">
            <v>109.1505205</v>
          </cell>
          <cell r="AI66">
            <v>113.424806</v>
          </cell>
          <cell r="AJ66">
            <v>118.36252020000001</v>
          </cell>
          <cell r="AK66">
            <v>124.1220179</v>
          </cell>
        </row>
        <row r="67">
          <cell r="B67">
            <v>65.176447120000006</v>
          </cell>
          <cell r="C67">
            <v>65.936607710000004</v>
          </cell>
          <cell r="D67">
            <v>66.69837004</v>
          </cell>
          <cell r="E67">
            <v>67.461294440000003</v>
          </cell>
          <cell r="F67">
            <v>68.217637479999993</v>
          </cell>
          <cell r="G67">
            <v>68.964652970000003</v>
          </cell>
          <cell r="H67">
            <v>69.704712009999994</v>
          </cell>
          <cell r="I67">
            <v>70.441797300000005</v>
          </cell>
          <cell r="J67">
            <v>71.179422259999996</v>
          </cell>
          <cell r="K67">
            <v>71.919914149999997</v>
          </cell>
          <cell r="L67">
            <v>72.666358889999998</v>
          </cell>
          <cell r="M67">
            <v>73.418933679999995</v>
          </cell>
          <cell r="N67">
            <v>74.175664260000005</v>
          </cell>
          <cell r="O67">
            <v>74.931154280000001</v>
          </cell>
          <cell r="P67">
            <v>75.680538970000001</v>
          </cell>
          <cell r="Q67">
            <v>76.42124905</v>
          </cell>
          <cell r="R67">
            <v>77.151862100000002</v>
          </cell>
          <cell r="S67">
            <v>77.874206790000002</v>
          </cell>
          <cell r="T67">
            <v>78.593253279999999</v>
          </cell>
          <cell r="U67">
            <v>79.316198540000002</v>
          </cell>
          <cell r="V67">
            <v>80.050611189999998</v>
          </cell>
          <cell r="W67">
            <v>80.806503430000006</v>
          </cell>
          <cell r="X67">
            <v>81.595133169999997</v>
          </cell>
          <cell r="Y67">
            <v>82.428517749999997</v>
          </cell>
          <cell r="Z67">
            <v>83.318726409999996</v>
          </cell>
          <cell r="AA67">
            <v>84.274084290000005</v>
          </cell>
          <cell r="AB67">
            <v>85.304889779999996</v>
          </cell>
          <cell r="AC67">
            <v>86.421938490000002</v>
          </cell>
          <cell r="AD67">
            <v>87.635685190000004</v>
          </cell>
          <cell r="AE67">
            <v>88.954750279999999</v>
          </cell>
          <cell r="AF67">
            <v>90.384907170000005</v>
          </cell>
          <cell r="AG67">
            <v>91.928998649999997</v>
          </cell>
          <cell r="AH67">
            <v>93.587304939999996</v>
          </cell>
          <cell r="AI67">
            <v>95.357874019999997</v>
          </cell>
          <cell r="AJ67">
            <v>97.236750819999997</v>
          </cell>
          <cell r="AK67">
            <v>99.218139649999998</v>
          </cell>
        </row>
      </sheetData>
      <sheetData sheetId="6">
        <row r="3">
          <cell r="F3">
            <v>32317.940999999999</v>
          </cell>
          <cell r="G3">
            <v>31911.216659999998</v>
          </cell>
          <cell r="H3">
            <v>31732.934720000001</v>
          </cell>
          <cell r="I3">
            <v>31702.28557</v>
          </cell>
          <cell r="J3">
            <v>31792.126219999998</v>
          </cell>
          <cell r="K3">
            <v>31964.154709999999</v>
          </cell>
          <cell r="L3">
            <v>32183.57087</v>
          </cell>
          <cell r="M3">
            <v>32332.232909999999</v>
          </cell>
          <cell r="N3">
            <v>32472.487809999999</v>
          </cell>
          <cell r="O3">
            <v>32635.149949999999</v>
          </cell>
          <cell r="P3">
            <v>32833.745239999997</v>
          </cell>
          <cell r="Q3">
            <v>33096.137840000003</v>
          </cell>
          <cell r="R3">
            <v>33409.64574</v>
          </cell>
          <cell r="S3">
            <v>33754.897490000003</v>
          </cell>
          <cell r="T3">
            <v>34116.663589999996</v>
          </cell>
          <cell r="U3">
            <v>34484.600870000002</v>
          </cell>
          <cell r="V3">
            <v>34840.394919999999</v>
          </cell>
          <cell r="W3">
            <v>35187.660450000003</v>
          </cell>
          <cell r="X3">
            <v>35530.931279999997</v>
          </cell>
          <cell r="Y3">
            <v>35873.49944</v>
          </cell>
          <cell r="Z3">
            <v>36214.109199999999</v>
          </cell>
          <cell r="AA3">
            <v>36560.303870000003</v>
          </cell>
          <cell r="AB3">
            <v>36915.081420000002</v>
          </cell>
          <cell r="AC3">
            <v>37282.354650000001</v>
          </cell>
          <cell r="AD3">
            <v>37665.714229999998</v>
          </cell>
          <cell r="AE3">
            <v>38057.367299999998</v>
          </cell>
          <cell r="AF3">
            <v>38467.847979999999</v>
          </cell>
          <cell r="AG3">
            <v>38900.336900000002</v>
          </cell>
          <cell r="AH3">
            <v>39360.046240000003</v>
          </cell>
          <cell r="AI3">
            <v>39852.565289999999</v>
          </cell>
          <cell r="AJ3">
            <v>40381.920310000001</v>
          </cell>
          <cell r="AK3">
            <v>40950.018239999998</v>
          </cell>
          <cell r="AL3">
            <v>41557.48515</v>
          </cell>
          <cell r="AM3">
            <v>42205.076200000003</v>
          </cell>
          <cell r="AN3">
            <v>42893.874450000003</v>
          </cell>
          <cell r="AO3">
            <v>43625.428269999997</v>
          </cell>
        </row>
        <row r="4">
          <cell r="F4">
            <v>32271.24</v>
          </cell>
          <cell r="G4">
            <v>31846.407179999998</v>
          </cell>
          <cell r="H4">
            <v>31648.242030000001</v>
          </cell>
          <cell r="I4">
            <v>31596.227709999999</v>
          </cell>
          <cell r="J4">
            <v>31663.112730000001</v>
          </cell>
          <cell r="K4">
            <v>31810.955089999999</v>
          </cell>
          <cell r="L4">
            <v>32005.276620000001</v>
          </cell>
          <cell r="M4">
            <v>32128.17137</v>
          </cell>
          <cell r="N4">
            <v>32237.637269999999</v>
          </cell>
          <cell r="O4">
            <v>32360.6273</v>
          </cell>
          <cell r="P4">
            <v>32506.312180000001</v>
          </cell>
          <cell r="Q4">
            <v>32698.95004</v>
          </cell>
          <cell r="R4">
            <v>32925.862760000004</v>
          </cell>
          <cell r="S4">
            <v>33168.13983</v>
          </cell>
          <cell r="T4">
            <v>33411.081230000003</v>
          </cell>
          <cell r="U4">
            <v>33644.806109999998</v>
          </cell>
          <cell r="V4">
            <v>33851.64806</v>
          </cell>
          <cell r="W4">
            <v>34034.31439</v>
          </cell>
          <cell r="X4">
            <v>34196.539109999998</v>
          </cell>
          <cell r="Y4">
            <v>34340.955750000001</v>
          </cell>
          <cell r="Z4">
            <v>34466.048439999999</v>
          </cell>
          <cell r="AA4">
            <v>34578.300309999999</v>
          </cell>
          <cell r="AB4">
            <v>34679.920469999997</v>
          </cell>
          <cell r="AC4">
            <v>34773.821080000002</v>
          </cell>
          <cell r="AD4">
            <v>34862.480179999999</v>
          </cell>
          <cell r="AE4">
            <v>34938.34448</v>
          </cell>
          <cell r="AF4">
            <v>35009.76513</v>
          </cell>
          <cell r="AG4">
            <v>35078.42267</v>
          </cell>
          <cell r="AH4">
            <v>35147.499369999998</v>
          </cell>
          <cell r="AI4">
            <v>35220.220659999999</v>
          </cell>
          <cell r="AJ4">
            <v>35298.2399</v>
          </cell>
          <cell r="AK4">
            <v>35381.248119999997</v>
          </cell>
          <cell r="AL4">
            <v>35467.734270000001</v>
          </cell>
          <cell r="AM4">
            <v>35556.155989999999</v>
          </cell>
          <cell r="AN4">
            <v>35645.092219999999</v>
          </cell>
          <cell r="AO4">
            <v>35733.333030000002</v>
          </cell>
        </row>
        <row r="12">
          <cell r="F12">
            <v>44.765000000000001</v>
          </cell>
          <cell r="G12">
            <v>62.819187579999998</v>
          </cell>
          <cell r="H12">
            <v>82.635225599999998</v>
          </cell>
          <cell r="I12">
            <v>103.9264514</v>
          </cell>
          <cell r="J12">
            <v>126.80310470000001</v>
          </cell>
          <cell r="K12">
            <v>150.90795199999999</v>
          </cell>
          <cell r="L12">
            <v>175.9215088</v>
          </cell>
          <cell r="M12">
            <v>201.61753300000001</v>
          </cell>
          <cell r="N12">
            <v>232.34003079999999</v>
          </cell>
          <cell r="O12">
            <v>271.94795449999998</v>
          </cell>
          <cell r="P12">
            <v>324.79548060000002</v>
          </cell>
          <cell r="Q12">
            <v>394.48635519999999</v>
          </cell>
          <cell r="R12">
            <v>481.0175395</v>
          </cell>
          <cell r="S12">
            <v>583.92944120000004</v>
          </cell>
          <cell r="T12">
            <v>702.69364540000004</v>
          </cell>
          <cell r="U12">
            <v>836.84850800000004</v>
          </cell>
          <cell r="V12">
            <v>985.74742030000004</v>
          </cell>
          <cell r="W12">
            <v>1150.297409</v>
          </cell>
          <cell r="X12">
            <v>1331.2979270000001</v>
          </cell>
          <cell r="Y12">
            <v>1529.4071220000001</v>
          </cell>
          <cell r="Z12">
            <v>1744.8852159999999</v>
          </cell>
          <cell r="AA12">
            <v>1978.7917190000001</v>
          </cell>
          <cell r="AB12">
            <v>2231.9152370000002</v>
          </cell>
          <cell r="AC12">
            <v>2505.2560990000002</v>
          </cell>
          <cell r="AD12">
            <v>2799.9266189999998</v>
          </cell>
          <cell r="AE12">
            <v>3115.6878059999999</v>
          </cell>
          <cell r="AF12">
            <v>3454.7218480000001</v>
          </cell>
          <cell r="AG12">
            <v>3818.5286270000001</v>
          </cell>
          <cell r="AH12">
            <v>4209.1377329999996</v>
          </cell>
          <cell r="AI12">
            <v>4628.9126630000001</v>
          </cell>
          <cell r="AJ12">
            <v>5080.2261189999999</v>
          </cell>
          <cell r="AK12">
            <v>5565.2939740000002</v>
          </cell>
          <cell r="AL12">
            <v>6086.2534070000002</v>
          </cell>
          <cell r="AM12">
            <v>6645.4020179999998</v>
          </cell>
          <cell r="AN12">
            <v>7245.2439949999998</v>
          </cell>
          <cell r="AO12">
            <v>7888.5376919999999</v>
          </cell>
        </row>
        <row r="20">
          <cell r="F20">
            <v>1.9359999999999999</v>
          </cell>
          <cell r="G20">
            <v>1.990292951</v>
          </cell>
          <cell r="H20">
            <v>2.057457689</v>
          </cell>
          <cell r="I20">
            <v>2.1314073379999998</v>
          </cell>
          <cell r="J20">
            <v>2.210383926</v>
          </cell>
          <cell r="K20">
            <v>2.291663067</v>
          </cell>
          <cell r="L20">
            <v>2.3727335890000001</v>
          </cell>
          <cell r="M20">
            <v>2.4440070079999998</v>
          </cell>
          <cell r="N20">
            <v>2.5105011319999999</v>
          </cell>
          <cell r="O20">
            <v>2.5746912160000002</v>
          </cell>
          <cell r="P20">
            <v>2.6375801239999999</v>
          </cell>
          <cell r="Q20">
            <v>2.701435504</v>
          </cell>
          <cell r="R20">
            <v>2.7654388179999998</v>
          </cell>
          <cell r="S20">
            <v>2.8282162149999999</v>
          </cell>
          <cell r="T20">
            <v>2.8887098</v>
          </cell>
          <cell r="U20">
            <v>2.946236554</v>
          </cell>
          <cell r="V20">
            <v>2.9994374750000001</v>
          </cell>
          <cell r="W20">
            <v>3.0486346169999998</v>
          </cell>
          <cell r="X20">
            <v>3.0942338569999999</v>
          </cell>
          <cell r="Y20">
            <v>3.1365476659999998</v>
          </cell>
          <cell r="Z20">
            <v>3.1755376069999999</v>
          </cell>
          <cell r="AA20">
            <v>3.2118297409999998</v>
          </cell>
          <cell r="AB20">
            <v>3.245694319</v>
          </cell>
          <cell r="AC20">
            <v>3.2774582080000001</v>
          </cell>
          <cell r="AD20">
            <v>3.307410414</v>
          </cell>
          <cell r="AE20">
            <v>3.3349953409999999</v>
          </cell>
          <cell r="AF20">
            <v>3.3609788819999999</v>
          </cell>
          <cell r="AG20">
            <v>3.3855732559999998</v>
          </cell>
          <cell r="AH20">
            <v>3.4091145649999999</v>
          </cell>
          <cell r="AI20">
            <v>3.4319423389999999</v>
          </cell>
          <cell r="AJ20">
            <v>3.4542639039999998</v>
          </cell>
          <cell r="AK20">
            <v>3.4761195740000002</v>
          </cell>
          <cell r="AL20">
            <v>3.497444142</v>
          </cell>
          <cell r="AM20">
            <v>3.5181639649999998</v>
          </cell>
          <cell r="AN20">
            <v>3.5382101100000001</v>
          </cell>
          <cell r="AO20">
            <v>3.5575263960000001</v>
          </cell>
        </row>
        <row r="28">
          <cell r="F28">
            <v>32317.940999999999</v>
          </cell>
          <cell r="G28">
            <v>31911.216659999998</v>
          </cell>
          <cell r="H28">
            <v>31732.934720000001</v>
          </cell>
          <cell r="I28">
            <v>31702.28557</v>
          </cell>
          <cell r="J28">
            <v>31792.126209999999</v>
          </cell>
          <cell r="K28">
            <v>31964.154699999999</v>
          </cell>
          <cell r="L28">
            <v>32173.160110000001</v>
          </cell>
          <cell r="M28">
            <v>32399.008249999999</v>
          </cell>
          <cell r="N28">
            <v>32634.390940000001</v>
          </cell>
          <cell r="O28">
            <v>32877.537949999998</v>
          </cell>
          <cell r="P28">
            <v>33133.71372</v>
          </cell>
          <cell r="Q28">
            <v>33397.410689999997</v>
          </cell>
          <cell r="R28">
            <v>33668.683129999998</v>
          </cell>
          <cell r="S28">
            <v>33944.055690000001</v>
          </cell>
          <cell r="T28">
            <v>34219.220130000002</v>
          </cell>
          <cell r="U28">
            <v>34490.593789999999</v>
          </cell>
          <cell r="V28">
            <v>34772.085460000002</v>
          </cell>
          <cell r="W28">
            <v>35066.281009999999</v>
          </cell>
          <cell r="X28">
            <v>35370.113519999999</v>
          </cell>
          <cell r="Y28">
            <v>35679.906410000003</v>
          </cell>
          <cell r="Z28">
            <v>35989.47997</v>
          </cell>
          <cell r="AA28">
            <v>36303.221839999998</v>
          </cell>
          <cell r="AB28">
            <v>36622.349739999998</v>
          </cell>
          <cell r="AC28">
            <v>36949.230280000003</v>
          </cell>
          <cell r="AD28">
            <v>37286.195590000003</v>
          </cell>
          <cell r="AE28">
            <v>37624.944280000003</v>
          </cell>
          <cell r="AF28">
            <v>37976.069259999997</v>
          </cell>
          <cell r="AG28">
            <v>38343.27261</v>
          </cell>
          <cell r="AH28">
            <v>38730.571960000001</v>
          </cell>
          <cell r="AI28">
            <v>39141.653980000003</v>
          </cell>
          <cell r="AJ28">
            <v>39578.548790000001</v>
          </cell>
          <cell r="AK28">
            <v>40041.385849999999</v>
          </cell>
          <cell r="AL28">
            <v>40528.705009999998</v>
          </cell>
          <cell r="AM28">
            <v>41037.810469999997</v>
          </cell>
          <cell r="AN28">
            <v>41565.103629999998</v>
          </cell>
          <cell r="AO28">
            <v>42106.337339999998</v>
          </cell>
        </row>
        <row r="29">
          <cell r="F29">
            <v>32271.24</v>
          </cell>
          <cell r="G29">
            <v>31846.407179999998</v>
          </cell>
          <cell r="H29">
            <v>31648.242030000001</v>
          </cell>
          <cell r="I29">
            <v>31596.227699999999</v>
          </cell>
          <cell r="J29">
            <v>31663.112720000001</v>
          </cell>
          <cell r="K29">
            <v>31810.955089999999</v>
          </cell>
          <cell r="L29">
            <v>31994.922859999999</v>
          </cell>
          <cell r="M29">
            <v>32194.828699999998</v>
          </cell>
          <cell r="N29">
            <v>32403.05286</v>
          </cell>
          <cell r="O29">
            <v>32617.374459999999</v>
          </cell>
          <cell r="P29">
            <v>32842.462780000002</v>
          </cell>
          <cell r="Q29">
            <v>33072.342199999999</v>
          </cell>
          <cell r="R29">
            <v>33306.521719999997</v>
          </cell>
          <cell r="S29">
            <v>33541.054100000001</v>
          </cell>
          <cell r="T29">
            <v>33771.202120000002</v>
          </cell>
          <cell r="U29">
            <v>33992.964390000001</v>
          </cell>
          <cell r="V29">
            <v>34219.569960000001</v>
          </cell>
          <cell r="W29">
            <v>34453.40812</v>
          </cell>
          <cell r="X29">
            <v>34691.436119999998</v>
          </cell>
          <cell r="Y29">
            <v>34930.011250000003</v>
          </cell>
          <cell r="Z29">
            <v>35163.030290000002</v>
          </cell>
          <cell r="AA29">
            <v>35394.533990000004</v>
          </cell>
          <cell r="AB29">
            <v>35625.400679999999</v>
          </cell>
          <cell r="AC29">
            <v>35857.521139999997</v>
          </cell>
          <cell r="AD29">
            <v>36092.655550000003</v>
          </cell>
          <cell r="AE29">
            <v>36322.35456</v>
          </cell>
          <cell r="AF29">
            <v>36556.102129999999</v>
          </cell>
          <cell r="AG29">
            <v>36796.680930000002</v>
          </cell>
          <cell r="AH29">
            <v>37047.049769999998</v>
          </cell>
          <cell r="AI29">
            <v>37309.729420000003</v>
          </cell>
          <cell r="AJ29">
            <v>37585.568010000003</v>
          </cell>
          <cell r="AK29">
            <v>37873.541530000002</v>
          </cell>
          <cell r="AL29">
            <v>38171.077310000001</v>
          </cell>
          <cell r="AM29">
            <v>38474.414380000002</v>
          </cell>
          <cell r="AN29">
            <v>38778.940459999998</v>
          </cell>
          <cell r="AO29">
            <v>39079.453049999996</v>
          </cell>
        </row>
        <row r="37">
          <cell r="F37">
            <v>44.765000000000001</v>
          </cell>
          <cell r="G37">
            <v>62.819187579999998</v>
          </cell>
          <cell r="H37">
            <v>82.635225599999998</v>
          </cell>
          <cell r="I37">
            <v>103.9264514</v>
          </cell>
          <cell r="J37">
            <v>126.80310470000001</v>
          </cell>
          <cell r="K37">
            <v>150.90795209999999</v>
          </cell>
          <cell r="L37">
            <v>175.86537910000001</v>
          </cell>
          <cell r="M37">
            <v>201.72995420000001</v>
          </cell>
          <cell r="N37">
            <v>228.8136106</v>
          </cell>
          <cell r="O37">
            <v>257.56693890000003</v>
          </cell>
          <cell r="P37">
            <v>288.58452770000002</v>
          </cell>
          <cell r="Q37">
            <v>322.3346995</v>
          </cell>
          <cell r="R37">
            <v>359.3625783</v>
          </cell>
          <cell r="S37">
            <v>400.14023739999999</v>
          </cell>
          <cell r="T37">
            <v>445.09687050000002</v>
          </cell>
          <cell r="U37">
            <v>494.65141080000001</v>
          </cell>
          <cell r="V37">
            <v>549.48235529999999</v>
          </cell>
          <cell r="W37">
            <v>609.78595080000002</v>
          </cell>
          <cell r="X37">
            <v>675.53814639999996</v>
          </cell>
          <cell r="Y37">
            <v>746.70526050000001</v>
          </cell>
          <cell r="Z37">
            <v>823.21120329999997</v>
          </cell>
          <cell r="AA37">
            <v>905.40243880000003</v>
          </cell>
          <cell r="AB37">
            <v>993.61819930000001</v>
          </cell>
          <cell r="AC37">
            <v>1088.3340450000001</v>
          </cell>
          <cell r="AD37">
            <v>1190.121707</v>
          </cell>
          <cell r="AE37">
            <v>1299.129768</v>
          </cell>
          <cell r="AF37">
            <v>1416.4663210000001</v>
          </cell>
          <cell r="AG37">
            <v>1543.0504679999999</v>
          </cell>
          <cell r="AH37">
            <v>1679.9406939999999</v>
          </cell>
          <cell r="AI37">
            <v>1828.302631</v>
          </cell>
          <cell r="AJ37">
            <v>1989.3181279999999</v>
          </cell>
          <cell r="AK37">
            <v>2164.1406649999999</v>
          </cell>
          <cell r="AL37">
            <v>2353.8829230000001</v>
          </cell>
          <cell r="AM37">
            <v>2559.610326</v>
          </cell>
          <cell r="AN37">
            <v>2782.336898</v>
          </cell>
          <cell r="AO37">
            <v>3023.0183950000001</v>
          </cell>
        </row>
        <row r="45">
          <cell r="F45">
            <v>1.9359999999999999</v>
          </cell>
          <cell r="G45">
            <v>1.990292951</v>
          </cell>
          <cell r="H45">
            <v>2.057457688</v>
          </cell>
          <cell r="I45">
            <v>2.1314073379999998</v>
          </cell>
          <cell r="J45">
            <v>2.210383926</v>
          </cell>
          <cell r="K45">
            <v>2.291663067</v>
          </cell>
          <cell r="L45">
            <v>2.3718637600000001</v>
          </cell>
          <cell r="M45">
            <v>2.4495936299999999</v>
          </cell>
          <cell r="N45">
            <v>2.5244711629999999</v>
          </cell>
          <cell r="O45">
            <v>2.5965424349999999</v>
          </cell>
          <cell r="P45">
            <v>2.6664149699999999</v>
          </cell>
          <cell r="Q45">
            <v>2.7337945640000001</v>
          </cell>
          <cell r="R45">
            <v>2.7988271</v>
          </cell>
          <cell r="S45">
            <v>2.8613557699999999</v>
          </cell>
          <cell r="T45">
            <v>2.9211413949999998</v>
          </cell>
          <cell r="U45">
            <v>2.977990589</v>
          </cell>
          <cell r="V45">
            <v>3.033143441</v>
          </cell>
          <cell r="W45">
            <v>3.0869383629999998</v>
          </cell>
          <cell r="X45">
            <v>3.139251888</v>
          </cell>
          <cell r="Y45">
            <v>3.1898979660000002</v>
          </cell>
          <cell r="Z45">
            <v>3.238471654</v>
          </cell>
          <cell r="AA45">
            <v>3.2854056169999999</v>
          </cell>
          <cell r="AB45">
            <v>3.330866221</v>
          </cell>
          <cell r="AC45">
            <v>3.3751002329999999</v>
          </cell>
          <cell r="AD45">
            <v>3.4183403860000001</v>
          </cell>
          <cell r="AE45">
            <v>3.4599586630000001</v>
          </cell>
          <cell r="AF45">
            <v>3.5008176519999998</v>
          </cell>
          <cell r="AG45">
            <v>3.5412250520000002</v>
          </cell>
          <cell r="AH45">
            <v>3.581502322</v>
          </cell>
          <cell r="AI45">
            <v>3.6219333730000001</v>
          </cell>
          <cell r="AJ45">
            <v>3.6626603310000001</v>
          </cell>
          <cell r="AK45">
            <v>3.703664705</v>
          </cell>
          <cell r="AL45">
            <v>3.7447923589999998</v>
          </cell>
          <cell r="AM45">
            <v>3.785782143</v>
          </cell>
          <cell r="AN45">
            <v>3.8262931189999998</v>
          </cell>
          <cell r="AO45">
            <v>3.8659259179999999</v>
          </cell>
        </row>
        <row r="104">
          <cell r="F104">
            <v>3.476542051</v>
          </cell>
          <cell r="G104">
            <v>8.5373483500000003</v>
          </cell>
          <cell r="H104">
            <v>14.69205107</v>
          </cell>
          <cell r="I104">
            <v>21.391993660000001</v>
          </cell>
          <cell r="J104">
            <v>28.503846119999999</v>
          </cell>
          <cell r="K104">
            <v>35.432174349999997</v>
          </cell>
          <cell r="L104">
            <v>41.982731899999997</v>
          </cell>
          <cell r="M104">
            <v>48.793801909999999</v>
          </cell>
          <cell r="N104">
            <v>61.06705367</v>
          </cell>
          <cell r="O104">
            <v>80.353474160000005</v>
          </cell>
          <cell r="P104">
            <v>107.3697387</v>
          </cell>
          <cell r="Q104">
            <v>140.68911869999999</v>
          </cell>
          <cell r="R104">
            <v>175.22674839999999</v>
          </cell>
          <cell r="S104">
            <v>208.3850683</v>
          </cell>
          <cell r="T104">
            <v>239.09270979999999</v>
          </cell>
          <cell r="U104">
            <v>267.09817409999999</v>
          </cell>
          <cell r="V104">
            <v>292.95611760000003</v>
          </cell>
          <cell r="W104">
            <v>318.23906529999999</v>
          </cell>
          <cell r="X104">
            <v>343.5208677</v>
          </cell>
          <cell r="Y104">
            <v>368.86657639999999</v>
          </cell>
          <cell r="Z104">
            <v>394.05935169999998</v>
          </cell>
          <cell r="AA104">
            <v>418.8507275</v>
          </cell>
          <cell r="AB104">
            <v>442.88857510000003</v>
          </cell>
          <cell r="AC104">
            <v>465.86060950000001</v>
          </cell>
          <cell r="AD104">
            <v>487.51352709999998</v>
          </cell>
          <cell r="AE104">
            <v>507.59572029999998</v>
          </cell>
          <cell r="AF104">
            <v>526.11339169999997</v>
          </cell>
          <cell r="AG104">
            <v>543.00086739999995</v>
          </cell>
          <cell r="AH104">
            <v>558.30284919999997</v>
          </cell>
          <cell r="AI104">
            <v>572.12537810000003</v>
          </cell>
          <cell r="AJ104">
            <v>584.60849410000003</v>
          </cell>
          <cell r="AK104">
            <v>595.90173519999996</v>
          </cell>
          <cell r="AL104">
            <v>606.1495688</v>
          </cell>
          <cell r="AM104">
            <v>615.48671460000003</v>
          </cell>
          <cell r="AN104">
            <v>624.03703410000003</v>
          </cell>
          <cell r="AO104">
            <v>631.91072910000003</v>
          </cell>
        </row>
        <row r="105">
          <cell r="F105">
            <v>68.80476281</v>
          </cell>
          <cell r="G105">
            <v>75.130066929999998</v>
          </cell>
          <cell r="H105">
            <v>80.746061499999996</v>
          </cell>
          <cell r="I105">
            <v>85.701617639999995</v>
          </cell>
          <cell r="J105">
            <v>90.337252530000001</v>
          </cell>
          <cell r="K105">
            <v>94.77873597</v>
          </cell>
          <cell r="L105">
            <v>98.501493730000007</v>
          </cell>
          <cell r="M105">
            <v>102.1508388</v>
          </cell>
          <cell r="N105">
            <v>106.29103379999999</v>
          </cell>
          <cell r="O105">
            <v>110.9436041</v>
          </cell>
          <cell r="P105">
            <v>117.2289174</v>
          </cell>
          <cell r="Q105">
            <v>123.01618449999999</v>
          </cell>
          <cell r="R105">
            <v>128.8126446</v>
          </cell>
          <cell r="S105">
            <v>134.3792938</v>
          </cell>
          <cell r="T105">
            <v>139.63404209999999</v>
          </cell>
          <cell r="U105">
            <v>144.57455469999999</v>
          </cell>
          <cell r="V105">
            <v>149.271545</v>
          </cell>
          <cell r="W105">
            <v>153.88735980000001</v>
          </cell>
          <cell r="X105">
            <v>158.49073469999999</v>
          </cell>
          <cell r="Y105">
            <v>163.0994681</v>
          </cell>
          <cell r="Z105">
            <v>167.0170492</v>
          </cell>
          <cell r="AA105">
            <v>171.59035729999999</v>
          </cell>
          <cell r="AB105">
            <v>176.11053029999999</v>
          </cell>
          <cell r="AC105">
            <v>180.55079939999999</v>
          </cell>
          <cell r="AD105">
            <v>184.8885659</v>
          </cell>
          <cell r="AE105">
            <v>187.23143569999999</v>
          </cell>
          <cell r="AF105">
            <v>190.42747979999999</v>
          </cell>
          <cell r="AG105">
            <v>193.48282589999999</v>
          </cell>
          <cell r="AH105">
            <v>196.3999839</v>
          </cell>
          <cell r="AI105">
            <v>199.1866</v>
          </cell>
          <cell r="AJ105">
            <v>201.85326090000001</v>
          </cell>
          <cell r="AK105">
            <v>204.4116239</v>
          </cell>
          <cell r="AL105">
            <v>206.87327619999999</v>
          </cell>
          <cell r="AM105">
            <v>209.2492647</v>
          </cell>
          <cell r="AN105">
            <v>211.5501333</v>
          </cell>
          <cell r="AO105">
            <v>213.78586000000001</v>
          </cell>
        </row>
        <row r="106">
          <cell r="F106">
            <v>408.28039699999999</v>
          </cell>
          <cell r="G106">
            <v>422.13433900000001</v>
          </cell>
          <cell r="H106">
            <v>435.39236940000001</v>
          </cell>
          <cell r="I106">
            <v>447.44191310000002</v>
          </cell>
          <cell r="J106">
            <v>458.88957169999998</v>
          </cell>
          <cell r="K106">
            <v>469.94269850000001</v>
          </cell>
          <cell r="L106">
            <v>479.0531009</v>
          </cell>
          <cell r="M106">
            <v>488.02614080000001</v>
          </cell>
          <cell r="N106">
            <v>497.90821549999998</v>
          </cell>
          <cell r="O106">
            <v>508.00506100000001</v>
          </cell>
          <cell r="P106">
            <v>520.63793310000005</v>
          </cell>
          <cell r="Q106">
            <v>529.69444139999996</v>
          </cell>
          <cell r="R106">
            <v>538.24935270000003</v>
          </cell>
          <cell r="S106">
            <v>546.51797339999996</v>
          </cell>
          <cell r="T106">
            <v>554.6337284</v>
          </cell>
          <cell r="U106">
            <v>562.66224980000004</v>
          </cell>
          <cell r="V106">
            <v>570.62171090000004</v>
          </cell>
          <cell r="W106">
            <v>578.47892730000001</v>
          </cell>
          <cell r="X106">
            <v>586.20415349999996</v>
          </cell>
          <cell r="Y106">
            <v>593.78542230000005</v>
          </cell>
          <cell r="Z106">
            <v>599.2987723</v>
          </cell>
          <cell r="AA106">
            <v>606.61614340000006</v>
          </cell>
          <cell r="AB106">
            <v>613.83507669999995</v>
          </cell>
          <cell r="AC106">
            <v>620.98152640000001</v>
          </cell>
          <cell r="AD106">
            <v>628.08066329999997</v>
          </cell>
          <cell r="AE106">
            <v>629.88913339999999</v>
          </cell>
          <cell r="AF106">
            <v>634.47425269999997</v>
          </cell>
          <cell r="AG106">
            <v>639.05758279999998</v>
          </cell>
          <cell r="AH106">
            <v>643.64924229999997</v>
          </cell>
          <cell r="AI106">
            <v>648.25558079999996</v>
          </cell>
          <cell r="AJ106">
            <v>652.88035560000003</v>
          </cell>
          <cell r="AK106">
            <v>657.52575049999996</v>
          </cell>
          <cell r="AL106">
            <v>662.19308530000001</v>
          </cell>
          <cell r="AM106">
            <v>666.88326519999998</v>
          </cell>
          <cell r="AN106">
            <v>671.5968355</v>
          </cell>
          <cell r="AO106">
            <v>676.33414779999998</v>
          </cell>
        </row>
        <row r="107">
          <cell r="F107">
            <v>954.38155940000001</v>
          </cell>
          <cell r="G107">
            <v>951.24267320000001</v>
          </cell>
          <cell r="H107">
            <v>950.1526265</v>
          </cell>
          <cell r="I107">
            <v>950.18990880000001</v>
          </cell>
          <cell r="J107">
            <v>950.96815049999998</v>
          </cell>
          <cell r="K107">
            <v>951.42001000000005</v>
          </cell>
          <cell r="L107">
            <v>951.35751170000003</v>
          </cell>
          <cell r="M107">
            <v>951.95562259999997</v>
          </cell>
          <cell r="N107">
            <v>963.35311160000003</v>
          </cell>
          <cell r="O107">
            <v>985.73959279999997</v>
          </cell>
          <cell r="P107">
            <v>1013.916782</v>
          </cell>
          <cell r="Q107">
            <v>1041.477545</v>
          </cell>
          <cell r="R107">
            <v>1065.1625039999999</v>
          </cell>
          <cell r="S107">
            <v>1084.774175</v>
          </cell>
          <cell r="T107">
            <v>1101.020156</v>
          </cell>
          <cell r="U107">
            <v>1114.63049</v>
          </cell>
          <cell r="V107">
            <v>1126.1636920000001</v>
          </cell>
          <cell r="W107">
            <v>1135.7427769999999</v>
          </cell>
          <cell r="X107">
            <v>1143.004342</v>
          </cell>
          <cell r="Y107">
            <v>1147.7328580000001</v>
          </cell>
          <cell r="Z107">
            <v>1149.983467</v>
          </cell>
          <cell r="AA107">
            <v>1150.0290419999999</v>
          </cell>
          <cell r="AB107">
            <v>1148.2700339999999</v>
          </cell>
          <cell r="AC107">
            <v>1145.1639929999999</v>
          </cell>
          <cell r="AD107">
            <v>1141.1523420000001</v>
          </cell>
          <cell r="AE107">
            <v>1136.620122</v>
          </cell>
          <cell r="AF107">
            <v>1131.8765550000001</v>
          </cell>
          <cell r="AG107">
            <v>1127.1482860000001</v>
          </cell>
          <cell r="AH107">
            <v>1122.577509</v>
          </cell>
          <cell r="AI107">
            <v>1118.2322859999999</v>
          </cell>
          <cell r="AJ107">
            <v>1114.13049</v>
          </cell>
          <cell r="AK107">
            <v>1110.26223</v>
          </cell>
          <cell r="AL107">
            <v>1106.6045260000001</v>
          </cell>
          <cell r="AM107">
            <v>1103.128297</v>
          </cell>
          <cell r="AN107">
            <v>1099.801479</v>
          </cell>
          <cell r="AO107">
            <v>1096.5925070000001</v>
          </cell>
        </row>
        <row r="108">
          <cell r="F108">
            <v>878.79999729999997</v>
          </cell>
          <cell r="G108">
            <v>866.98908919999997</v>
          </cell>
          <cell r="H108">
            <v>855.83697519999998</v>
          </cell>
          <cell r="I108">
            <v>844.89793910000003</v>
          </cell>
          <cell r="J108">
            <v>833.74052659999995</v>
          </cell>
          <cell r="K108">
            <v>823.70473819999995</v>
          </cell>
          <cell r="L108">
            <v>814.84197359999996</v>
          </cell>
          <cell r="M108">
            <v>805.25567320000005</v>
          </cell>
          <cell r="N108">
            <v>777.94036040000003</v>
          </cell>
          <cell r="O108">
            <v>731.86710879999998</v>
          </cell>
          <cell r="P108">
            <v>672.10026549999998</v>
          </cell>
          <cell r="Q108">
            <v>606.77343499999995</v>
          </cell>
          <cell r="R108">
            <v>544.65994130000001</v>
          </cell>
          <cell r="S108">
            <v>488.58014159999999</v>
          </cell>
          <cell r="T108">
            <v>438.83650569999998</v>
          </cell>
          <cell r="U108">
            <v>394.87512020000003</v>
          </cell>
          <cell r="V108">
            <v>355.48250480000002</v>
          </cell>
          <cell r="W108">
            <v>318.82309070000002</v>
          </cell>
          <cell r="X108">
            <v>284.64504099999999</v>
          </cell>
          <cell r="Y108">
            <v>253.09280749999999</v>
          </cell>
          <cell r="Z108">
            <v>224.30516180000001</v>
          </cell>
          <cell r="AA108">
            <v>198.31310350000001</v>
          </cell>
          <cell r="AB108">
            <v>175.04332690000001</v>
          </cell>
          <cell r="AC108">
            <v>154.3489573</v>
          </cell>
          <cell r="AD108">
            <v>136.0375047</v>
          </cell>
          <cell r="AE108">
            <v>119.89633379999999</v>
          </cell>
          <cell r="AF108">
            <v>105.7085469</v>
          </cell>
          <cell r="AG108">
            <v>93.264616270000005</v>
          </cell>
          <cell r="AH108">
            <v>82.364934059999996</v>
          </cell>
          <cell r="AI108">
            <v>72.822835999999995</v>
          </cell>
          <cell r="AJ108">
            <v>64.468741989999998</v>
          </cell>
          <cell r="AK108">
            <v>57.15238145</v>
          </cell>
          <cell r="AL108">
            <v>50.74251142</v>
          </cell>
          <cell r="AM108">
            <v>45.1246206</v>
          </cell>
          <cell r="AN108">
            <v>40.199088629999999</v>
          </cell>
          <cell r="AO108">
            <v>35.880311140000003</v>
          </cell>
        </row>
        <row r="109">
          <cell r="F109">
            <v>139.85209269999999</v>
          </cell>
          <cell r="G109">
            <v>137.96769699999999</v>
          </cell>
          <cell r="H109">
            <v>136.10651730000001</v>
          </cell>
          <cell r="I109">
            <v>134.27016879999999</v>
          </cell>
          <cell r="J109">
            <v>132.4628103</v>
          </cell>
          <cell r="K109">
            <v>130.67505320000001</v>
          </cell>
          <cell r="L109">
            <v>128.90884740000001</v>
          </cell>
          <cell r="M109">
            <v>127.1793322</v>
          </cell>
          <cell r="N109">
            <v>125.5384652</v>
          </cell>
          <cell r="O109">
            <v>123.9503089</v>
          </cell>
          <cell r="P109">
            <v>122.38476900000001</v>
          </cell>
          <cell r="Q109">
            <v>120.8158707</v>
          </cell>
          <cell r="R109">
            <v>119.2126281</v>
          </cell>
          <cell r="S109">
            <v>117.5731242</v>
          </cell>
          <cell r="T109">
            <v>115.9066128</v>
          </cell>
          <cell r="U109">
            <v>114.22456270000001</v>
          </cell>
          <cell r="V109">
            <v>112.5379423</v>
          </cell>
          <cell r="W109">
            <v>110.85720600000001</v>
          </cell>
          <cell r="X109">
            <v>109.1848755</v>
          </cell>
          <cell r="Y109">
            <v>107.5214265</v>
          </cell>
          <cell r="Z109">
            <v>105.867923</v>
          </cell>
          <cell r="AA109">
            <v>104.2265726</v>
          </cell>
          <cell r="AB109">
            <v>102.60026190000001</v>
          </cell>
          <cell r="AC109">
            <v>100.99161290000001</v>
          </cell>
          <cell r="AD109">
            <v>99.402635360000005</v>
          </cell>
          <cell r="AE109">
            <v>97.834840959999994</v>
          </cell>
          <cell r="AF109">
            <v>96.289364090000007</v>
          </cell>
          <cell r="AG109">
            <v>94.767174760000003</v>
          </cell>
          <cell r="AH109">
            <v>93.268515339999993</v>
          </cell>
          <cell r="AI109">
            <v>91.792150179999993</v>
          </cell>
          <cell r="AJ109">
            <v>90.33562603</v>
          </cell>
          <cell r="AK109">
            <v>88.895952309999998</v>
          </cell>
          <cell r="AL109">
            <v>87.470187240000001</v>
          </cell>
          <cell r="AM109">
            <v>86.055443949999997</v>
          </cell>
          <cell r="AN109">
            <v>84.648643919999998</v>
          </cell>
          <cell r="AO109">
            <v>83.246598890000001</v>
          </cell>
        </row>
        <row r="110">
          <cell r="F110">
            <v>3.874567114</v>
          </cell>
          <cell r="G110">
            <v>3.7251598189999999</v>
          </cell>
          <cell r="H110">
            <v>3.5815059109999998</v>
          </cell>
          <cell r="I110">
            <v>3.4434435909999999</v>
          </cell>
          <cell r="J110">
            <v>3.311055664</v>
          </cell>
          <cell r="K110">
            <v>3.1835897630000001</v>
          </cell>
          <cell r="L110">
            <v>3.0611304750000001</v>
          </cell>
          <cell r="M110">
            <v>2.944439284</v>
          </cell>
          <cell r="N110">
            <v>2.8360374429999999</v>
          </cell>
          <cell r="O110">
            <v>2.7330260009999998</v>
          </cell>
          <cell r="P110">
            <v>2.6334755689999998</v>
          </cell>
          <cell r="Q110">
            <v>2.536061218</v>
          </cell>
          <cell r="R110">
            <v>2.439433298</v>
          </cell>
          <cell r="S110">
            <v>2.3439921130000001</v>
          </cell>
          <cell r="T110">
            <v>2.250553338</v>
          </cell>
          <cell r="U110">
            <v>2.159822449</v>
          </cell>
          <cell r="V110">
            <v>2.0723550400000001</v>
          </cell>
          <cell r="W110">
            <v>1.988668307</v>
          </cell>
          <cell r="X110">
            <v>1.908742916</v>
          </cell>
          <cell r="Y110">
            <v>1.832399973</v>
          </cell>
          <cell r="Z110">
            <v>1.759465711</v>
          </cell>
          <cell r="AA110">
            <v>1.6898126449999999</v>
          </cell>
          <cell r="AB110">
            <v>1.6233461119999999</v>
          </cell>
          <cell r="AC110">
            <v>1.5599721719999999</v>
          </cell>
          <cell r="AD110">
            <v>1.4995857669999999</v>
          </cell>
          <cell r="AE110">
            <v>1.4420754570000001</v>
          </cell>
          <cell r="AF110">
            <v>1.387326885</v>
          </cell>
          <cell r="AG110">
            <v>1.3352271330000001</v>
          </cell>
          <cell r="AH110">
            <v>1.28564477</v>
          </cell>
          <cell r="AI110">
            <v>1.2384082620000001</v>
          </cell>
          <cell r="AJ110">
            <v>1.1933196230000001</v>
          </cell>
          <cell r="AK110">
            <v>1.15017952</v>
          </cell>
          <cell r="AL110">
            <v>1.1088056449999999</v>
          </cell>
          <cell r="AM110">
            <v>1.069031397</v>
          </cell>
          <cell r="AN110">
            <v>1.0306977980000001</v>
          </cell>
          <cell r="AO110">
            <v>0.99365589170000002</v>
          </cell>
        </row>
        <row r="112">
          <cell r="F112">
            <v>3.476542051</v>
          </cell>
          <cell r="G112">
            <v>8.5373482410000001</v>
          </cell>
          <cell r="H112">
            <v>14.69205081</v>
          </cell>
          <cell r="I112">
            <v>21.391993230000001</v>
          </cell>
          <cell r="J112">
            <v>28.50384549</v>
          </cell>
          <cell r="K112">
            <v>35.432173519999999</v>
          </cell>
          <cell r="L112">
            <v>42.026715369999998</v>
          </cell>
          <cell r="M112">
            <v>48.455513850000003</v>
          </cell>
          <cell r="N112">
            <v>54.885775889999998</v>
          </cell>
          <cell r="O112">
            <v>61.465849230000003</v>
          </cell>
          <cell r="P112">
            <v>68.36174939</v>
          </cell>
          <cell r="Q112">
            <v>75.609314670000003</v>
          </cell>
          <cell r="R112">
            <v>83.345109789999995</v>
          </cell>
          <cell r="S112">
            <v>91.280268480000004</v>
          </cell>
          <cell r="T112">
            <v>99.270168630000001</v>
          </cell>
          <cell r="U112">
            <v>107.24626499999999</v>
          </cell>
          <cell r="V112">
            <v>115.17981229999999</v>
          </cell>
          <cell r="W112">
            <v>123.0446321</v>
          </cell>
          <cell r="X112">
            <v>130.79547099999999</v>
          </cell>
          <cell r="Y112">
            <v>138.383701</v>
          </cell>
          <cell r="Z112">
            <v>145.74041399999999</v>
          </cell>
          <cell r="AA112">
            <v>152.87494530000001</v>
          </cell>
          <cell r="AB112">
            <v>159.3717815</v>
          </cell>
          <cell r="AC112">
            <v>164.9566604</v>
          </cell>
          <cell r="AD112">
            <v>169.805262</v>
          </cell>
          <cell r="AE112">
            <v>174.0917728</v>
          </cell>
          <cell r="AF112">
            <v>178.10063629999999</v>
          </cell>
          <cell r="AG112">
            <v>181.89811309999999</v>
          </cell>
          <cell r="AH112">
            <v>185.54526849999999</v>
          </cell>
          <cell r="AI112">
            <v>189.0804851</v>
          </cell>
          <cell r="AJ112">
            <v>192.53231940000001</v>
          </cell>
          <cell r="AK112">
            <v>195.9251089</v>
          </cell>
          <cell r="AL112">
            <v>199.28097099999999</v>
          </cell>
          <cell r="AM112">
            <v>202.62055789999999</v>
          </cell>
          <cell r="AN112">
            <v>205.96333920000001</v>
          </cell>
          <cell r="AO112">
            <v>209.32762579999999</v>
          </cell>
        </row>
        <row r="113">
          <cell r="F113">
            <v>68.80476281</v>
          </cell>
          <cell r="G113">
            <v>75.130066909999996</v>
          </cell>
          <cell r="H113">
            <v>80.746061440000005</v>
          </cell>
          <cell r="I113">
            <v>85.701617549999995</v>
          </cell>
          <cell r="J113">
            <v>90.337252410000005</v>
          </cell>
          <cell r="K113">
            <v>94.778735800000007</v>
          </cell>
          <cell r="L113">
            <v>98.504765480000003</v>
          </cell>
          <cell r="M113">
            <v>102.20557549999999</v>
          </cell>
          <cell r="N113">
            <v>105.92260760000001</v>
          </cell>
          <cell r="O113">
            <v>109.68460090000001</v>
          </cell>
          <cell r="P113">
            <v>114.55535930000001</v>
          </cell>
          <cell r="Q113">
            <v>118.48853130000001</v>
          </cell>
          <cell r="R113">
            <v>122.5418722</v>
          </cell>
          <cell r="S113">
            <v>126.6341358</v>
          </cell>
          <cell r="T113">
            <v>130.72461440000001</v>
          </cell>
          <cell r="U113">
            <v>134.79531940000001</v>
          </cell>
          <cell r="V113">
            <v>138.84792959999999</v>
          </cell>
          <cell r="W113">
            <v>142.90222410000001</v>
          </cell>
          <cell r="X113">
            <v>146.9695777</v>
          </cell>
          <cell r="Y113">
            <v>151.05602619999999</v>
          </cell>
          <cell r="Z113">
            <v>154.47776189999999</v>
          </cell>
          <cell r="AA113">
            <v>158.60515459999999</v>
          </cell>
          <cell r="AB113">
            <v>162.6288174</v>
          </cell>
          <cell r="AC113">
            <v>166.43884639999999</v>
          </cell>
          <cell r="AD113">
            <v>170.0745421</v>
          </cell>
          <cell r="AE113">
            <v>171.7334869</v>
          </cell>
          <cell r="AF113">
            <v>174.33577880000001</v>
          </cell>
          <cell r="AG113">
            <v>176.92210449999999</v>
          </cell>
          <cell r="AH113">
            <v>179.51154389999999</v>
          </cell>
          <cell r="AI113">
            <v>182.11359770000001</v>
          </cell>
          <cell r="AJ113">
            <v>184.7312526</v>
          </cell>
          <cell r="AK113">
            <v>187.3630114</v>
          </cell>
          <cell r="AL113">
            <v>190.0045983</v>
          </cell>
          <cell r="AM113">
            <v>192.650305</v>
          </cell>
          <cell r="AN113">
            <v>195.29412740000001</v>
          </cell>
          <cell r="AO113">
            <v>197.93084339999999</v>
          </cell>
        </row>
        <row r="114">
          <cell r="F114">
            <v>408.28039699999999</v>
          </cell>
          <cell r="G114">
            <v>422.13433900000001</v>
          </cell>
          <cell r="H114">
            <v>435.39236929999998</v>
          </cell>
          <cell r="I114">
            <v>447.441913</v>
          </cell>
          <cell r="J114">
            <v>458.88957149999999</v>
          </cell>
          <cell r="K114">
            <v>469.94269839999998</v>
          </cell>
          <cell r="L114">
            <v>479.05933110000001</v>
          </cell>
          <cell r="M114">
            <v>488.1260097</v>
          </cell>
          <cell r="N114">
            <v>497.23102770000003</v>
          </cell>
          <cell r="O114">
            <v>506.43719709999999</v>
          </cell>
          <cell r="P114">
            <v>518.71588380000003</v>
          </cell>
          <cell r="Q114">
            <v>528.3058906</v>
          </cell>
          <cell r="R114">
            <v>538.16179829999999</v>
          </cell>
          <cell r="S114">
            <v>548.0918451</v>
          </cell>
          <cell r="T114">
            <v>558.00247039999999</v>
          </cell>
          <cell r="U114">
            <v>567.85416959999998</v>
          </cell>
          <cell r="V114">
            <v>577.65909450000004</v>
          </cell>
          <cell r="W114">
            <v>587.48683310000001</v>
          </cell>
          <cell r="X114">
            <v>597.37869609999996</v>
          </cell>
          <cell r="Y114">
            <v>607.35416610000004</v>
          </cell>
          <cell r="Z114">
            <v>615.49039440000001</v>
          </cell>
          <cell r="AA114">
            <v>625.62904579999997</v>
          </cell>
          <cell r="AB114">
            <v>635.52436160000002</v>
          </cell>
          <cell r="AC114">
            <v>644.87844299999995</v>
          </cell>
          <cell r="AD114">
            <v>653.77078559999995</v>
          </cell>
          <cell r="AE114">
            <v>657.10752909999997</v>
          </cell>
          <cell r="AF114">
            <v>663.06372260000001</v>
          </cell>
          <cell r="AG114">
            <v>668.93310459999998</v>
          </cell>
          <cell r="AH114">
            <v>674.76330929999995</v>
          </cell>
          <cell r="AI114">
            <v>680.58081849999996</v>
          </cell>
          <cell r="AJ114">
            <v>686.39942599999995</v>
          </cell>
          <cell r="AK114">
            <v>692.22501390000002</v>
          </cell>
          <cell r="AL114">
            <v>698.05875140000001</v>
          </cell>
          <cell r="AM114">
            <v>703.89930370000002</v>
          </cell>
          <cell r="AN114">
            <v>709.74456599999996</v>
          </cell>
          <cell r="AO114">
            <v>715.59327470000005</v>
          </cell>
        </row>
        <row r="115">
          <cell r="F115">
            <v>954.38155940000001</v>
          </cell>
          <cell r="G115">
            <v>951.24267350000002</v>
          </cell>
          <cell r="H115">
            <v>950.15262700000005</v>
          </cell>
          <cell r="I115">
            <v>950.18990989999998</v>
          </cell>
          <cell r="J115">
            <v>950.9681521</v>
          </cell>
          <cell r="K115">
            <v>951.42001219999997</v>
          </cell>
          <cell r="L115">
            <v>951.28782590000003</v>
          </cell>
          <cell r="M115">
            <v>950.46086530000002</v>
          </cell>
          <cell r="N115">
            <v>948.97830999999996</v>
          </cell>
          <cell r="O115">
            <v>946.8772937</v>
          </cell>
          <cell r="P115">
            <v>944.15133820000005</v>
          </cell>
          <cell r="Q115">
            <v>940.75105150000002</v>
          </cell>
          <cell r="R115">
            <v>936.61526830000003</v>
          </cell>
          <cell r="S115">
            <v>932.25176380000005</v>
          </cell>
          <cell r="T115">
            <v>927.87090000000001</v>
          </cell>
          <cell r="U115">
            <v>923.54761380000002</v>
          </cell>
          <cell r="V115">
            <v>919.26486850000003</v>
          </cell>
          <cell r="W115">
            <v>914.94023240000001</v>
          </cell>
          <cell r="X115">
            <v>910.54951510000001</v>
          </cell>
          <cell r="Y115">
            <v>906.09887730000003</v>
          </cell>
          <cell r="Z115">
            <v>901.61007900000004</v>
          </cell>
          <cell r="AA115">
            <v>897.13155589999997</v>
          </cell>
          <cell r="AB115">
            <v>893.37638300000003</v>
          </cell>
          <cell r="AC115">
            <v>890.84594000000004</v>
          </cell>
          <cell r="AD115">
            <v>889.18772239999998</v>
          </cell>
          <cell r="AE115">
            <v>887.96656700000005</v>
          </cell>
          <cell r="AF115">
            <v>886.92074579999996</v>
          </cell>
          <cell r="AG115">
            <v>885.92886469999996</v>
          </cell>
          <cell r="AH115">
            <v>884.94155179999996</v>
          </cell>
          <cell r="AI115">
            <v>883.94050990000005</v>
          </cell>
          <cell r="AJ115">
            <v>882.91931390000002</v>
          </cell>
          <cell r="AK115">
            <v>881.87607939999998</v>
          </cell>
          <cell r="AL115">
            <v>880.81064490000006</v>
          </cell>
          <cell r="AM115">
            <v>879.72322510000004</v>
          </cell>
          <cell r="AN115">
            <v>878.61340600000005</v>
          </cell>
          <cell r="AO115">
            <v>877.47905920000005</v>
          </cell>
        </row>
        <row r="116">
          <cell r="F116">
            <v>878.79999729999997</v>
          </cell>
          <cell r="G116">
            <v>866.9890891</v>
          </cell>
          <cell r="H116">
            <v>855.83697510000002</v>
          </cell>
          <cell r="I116">
            <v>844.89793870000005</v>
          </cell>
          <cell r="J116">
            <v>833.74052589999997</v>
          </cell>
          <cell r="K116">
            <v>823.70473730000003</v>
          </cell>
          <cell r="L116">
            <v>814.85592999999994</v>
          </cell>
          <cell r="M116">
            <v>806.93246620000002</v>
          </cell>
          <cell r="N116">
            <v>799.59545360000004</v>
          </cell>
          <cell r="O116">
            <v>792.56999059999998</v>
          </cell>
          <cell r="P116">
            <v>785.65769799999998</v>
          </cell>
          <cell r="Q116">
            <v>778.71304220000002</v>
          </cell>
          <cell r="R116">
            <v>771.63083080000001</v>
          </cell>
          <cell r="S116">
            <v>764.46838760000003</v>
          </cell>
          <cell r="T116">
            <v>757.29645410000001</v>
          </cell>
          <cell r="U116">
            <v>750.1670752</v>
          </cell>
          <cell r="V116">
            <v>743.11364549999996</v>
          </cell>
          <cell r="W116">
            <v>736.15938189999997</v>
          </cell>
          <cell r="X116">
            <v>729.320108</v>
          </cell>
          <cell r="Y116">
            <v>722.60971789999996</v>
          </cell>
          <cell r="Z116">
            <v>716.03604099999995</v>
          </cell>
          <cell r="AA116">
            <v>709.60277259999998</v>
          </cell>
          <cell r="AB116">
            <v>703.4322545</v>
          </cell>
          <cell r="AC116">
            <v>697.70457080000006</v>
          </cell>
          <cell r="AD116">
            <v>692.47796760000006</v>
          </cell>
          <cell r="AE116">
            <v>687.69686109999998</v>
          </cell>
          <cell r="AF116">
            <v>683.25961059999997</v>
          </cell>
          <cell r="AG116">
            <v>679.06876399999999</v>
          </cell>
          <cell r="AH116">
            <v>675.0482121</v>
          </cell>
          <cell r="AI116">
            <v>671.14450820000002</v>
          </cell>
          <cell r="AJ116">
            <v>667.3216496</v>
          </cell>
          <cell r="AK116">
            <v>663.55573709999999</v>
          </cell>
          <cell r="AL116">
            <v>659.83069120000005</v>
          </cell>
          <cell r="AM116">
            <v>656.13513409999996</v>
          </cell>
          <cell r="AN116">
            <v>652.46013689999995</v>
          </cell>
          <cell r="AO116">
            <v>648.79755050000006</v>
          </cell>
        </row>
        <row r="117">
          <cell r="F117">
            <v>139.85209269999999</v>
          </cell>
          <cell r="G117">
            <v>137.96769699999999</v>
          </cell>
          <cell r="H117">
            <v>136.10651720000001</v>
          </cell>
          <cell r="I117">
            <v>134.27016879999999</v>
          </cell>
          <cell r="J117">
            <v>132.4628103</v>
          </cell>
          <cell r="K117">
            <v>130.67505310000001</v>
          </cell>
          <cell r="L117">
            <v>128.91107120000001</v>
          </cell>
          <cell r="M117">
            <v>127.1815747</v>
          </cell>
          <cell r="N117">
            <v>125.4897055</v>
          </cell>
          <cell r="O117">
            <v>123.8338332</v>
          </cell>
          <cell r="P117">
            <v>122.2103398</v>
          </cell>
          <cell r="Q117">
            <v>120.6154051</v>
          </cell>
          <cell r="R117">
            <v>119.045445</v>
          </cell>
          <cell r="S117">
            <v>117.4974864</v>
          </cell>
          <cell r="T117">
            <v>115.96951660000001</v>
          </cell>
          <cell r="U117">
            <v>114.46074299999999</v>
          </cell>
          <cell r="V117">
            <v>112.96982939999999</v>
          </cell>
          <cell r="W117">
            <v>111.49284350000001</v>
          </cell>
          <cell r="X117">
            <v>110.03066990000001</v>
          </cell>
          <cell r="Y117">
            <v>108.5863676</v>
          </cell>
          <cell r="Z117">
            <v>107.1633945</v>
          </cell>
          <cell r="AA117">
            <v>105.7646396</v>
          </cell>
          <cell r="AB117">
            <v>104.39198210000001</v>
          </cell>
          <cell r="AC117">
            <v>103.0463178</v>
          </cell>
          <cell r="AD117">
            <v>101.72773979999999</v>
          </cell>
          <cell r="AE117">
            <v>100.43574460000001</v>
          </cell>
          <cell r="AF117">
            <v>99.169250570000003</v>
          </cell>
          <cell r="AG117">
            <v>97.926618110000007</v>
          </cell>
          <cell r="AH117">
            <v>96.705781459999997</v>
          </cell>
          <cell r="AI117">
            <v>95.504345580000006</v>
          </cell>
          <cell r="AJ117">
            <v>94.319620799999996</v>
          </cell>
          <cell r="AK117">
            <v>93.148873929999993</v>
          </cell>
          <cell r="AL117">
            <v>91.989519490000006</v>
          </cell>
          <cell r="AM117">
            <v>90.839272510000001</v>
          </cell>
          <cell r="AN117">
            <v>89.696251360000005</v>
          </cell>
          <cell r="AO117">
            <v>88.559021259999994</v>
          </cell>
        </row>
        <row r="118">
          <cell r="F118">
            <v>3.874567114</v>
          </cell>
          <cell r="G118">
            <v>3.7251598189999999</v>
          </cell>
          <cell r="H118">
            <v>3.5815059109999998</v>
          </cell>
          <cell r="I118">
            <v>3.4434435900000002</v>
          </cell>
          <cell r="J118">
            <v>3.3110556619999998</v>
          </cell>
          <cell r="K118">
            <v>3.1835897609999999</v>
          </cell>
          <cell r="L118">
            <v>3.0611505449999998</v>
          </cell>
          <cell r="M118">
            <v>2.9438434870000001</v>
          </cell>
          <cell r="N118">
            <v>2.8313970639999999</v>
          </cell>
          <cell r="O118">
            <v>2.7234110949999999</v>
          </cell>
          <cell r="P118">
            <v>2.619513172</v>
          </cell>
          <cell r="Q118">
            <v>2.519421876</v>
          </cell>
          <cell r="R118">
            <v>2.4229280059999998</v>
          </cell>
          <cell r="S118">
            <v>2.3298813439999999</v>
          </cell>
          <cell r="T118">
            <v>2.2401839350000001</v>
          </cell>
          <cell r="U118">
            <v>2.1537876919999999</v>
          </cell>
          <cell r="V118">
            <v>2.0706883290000002</v>
          </cell>
          <cell r="W118">
            <v>1.990947713</v>
          </cell>
          <cell r="X118">
            <v>1.914719284</v>
          </cell>
          <cell r="Y118">
            <v>1.8421029760000001</v>
          </cell>
          <cell r="Z118">
            <v>1.7731060320000001</v>
          </cell>
          <cell r="AA118">
            <v>1.7076457140000001</v>
          </cell>
          <cell r="AB118">
            <v>1.6455709140000001</v>
          </cell>
          <cell r="AC118">
            <v>1.5866923989999999</v>
          </cell>
          <cell r="AD118">
            <v>1.530804716</v>
          </cell>
          <cell r="AE118">
            <v>1.4777005219999999</v>
          </cell>
          <cell r="AF118">
            <v>1.4271722570000001</v>
          </cell>
          <cell r="AG118">
            <v>1.3790110900000001</v>
          </cell>
          <cell r="AH118">
            <v>1.3330115140000001</v>
          </cell>
          <cell r="AI118">
            <v>1.28897416</v>
          </cell>
          <cell r="AJ118">
            <v>1.246705945</v>
          </cell>
          <cell r="AK118">
            <v>1.206028694</v>
          </cell>
          <cell r="AL118">
            <v>1.1667846690000001</v>
          </cell>
          <cell r="AM118">
            <v>1.1288398500000001</v>
          </cell>
          <cell r="AN118">
            <v>1.092084979</v>
          </cell>
          <cell r="AO118">
            <v>1.056434614</v>
          </cell>
        </row>
        <row r="205">
          <cell r="E205" t="str">
            <v>YG_toe_2</v>
          </cell>
          <cell r="F205">
            <v>148.5608263</v>
          </cell>
          <cell r="G205">
            <v>149.66962799999999</v>
          </cell>
          <cell r="H205">
            <v>150.6691395</v>
          </cell>
          <cell r="I205">
            <v>151.72016500000001</v>
          </cell>
          <cell r="J205">
            <v>152.9218486</v>
          </cell>
          <cell r="K205">
            <v>154.31153320000001</v>
          </cell>
          <cell r="L205">
            <v>155.83471900000001</v>
          </cell>
          <cell r="M205">
            <v>158.30281980000001</v>
          </cell>
          <cell r="N205">
            <v>161.03545260000001</v>
          </cell>
          <cell r="O205">
            <v>164.47703189999999</v>
          </cell>
          <cell r="P205">
            <v>168.0820224</v>
          </cell>
          <cell r="Q205">
            <v>171.6566167</v>
          </cell>
          <cell r="R205">
            <v>175.22567230000001</v>
          </cell>
          <cell r="S205">
            <v>178.7836547</v>
          </cell>
          <cell r="T205">
            <v>182.4998823</v>
          </cell>
          <cell r="U205">
            <v>186.4792434</v>
          </cell>
          <cell r="V205">
            <v>190.54468439999999</v>
          </cell>
          <cell r="W205">
            <v>194.96933799999999</v>
          </cell>
          <cell r="X205">
            <v>199.8129739</v>
          </cell>
          <cell r="Y205">
            <v>205.14416929999999</v>
          </cell>
          <cell r="Z205">
            <v>211.0114183</v>
          </cell>
          <cell r="AA205">
            <v>217.58223050000001</v>
          </cell>
          <cell r="AB205">
            <v>224.98267129999999</v>
          </cell>
          <cell r="AC205">
            <v>233.34179739999999</v>
          </cell>
          <cell r="AD205">
            <v>242.79622509999999</v>
          </cell>
          <cell r="AE205">
            <v>253.3840203</v>
          </cell>
          <cell r="AF205">
            <v>265.54184029999999</v>
          </cell>
          <cell r="AG205">
            <v>279.52873249999999</v>
          </cell>
          <cell r="AH205">
            <v>295.68914150000001</v>
          </cell>
          <cell r="AI205">
            <v>314.3987932</v>
          </cell>
          <cell r="AJ205">
            <v>336.13051380000002</v>
          </cell>
          <cell r="AK205">
            <v>361.56279760000001</v>
          </cell>
          <cell r="AL205">
            <v>391.67332499999998</v>
          </cell>
          <cell r="AM205">
            <v>427.84522170000002</v>
          </cell>
          <cell r="AN205">
            <v>472.11234889999997</v>
          </cell>
          <cell r="AO205">
            <v>527.58747430000005</v>
          </cell>
        </row>
        <row r="206">
          <cell r="E206" t="str">
            <v>YG_toe_ccoa_2</v>
          </cell>
          <cell r="F206">
            <v>2.3689359419999998</v>
          </cell>
          <cell r="G206">
            <v>2.3707003929999999</v>
          </cell>
          <cell r="H206">
            <v>2.3703505580000002</v>
          </cell>
          <cell r="I206">
            <v>2.3635460730000002</v>
          </cell>
          <cell r="J206">
            <v>2.370865298</v>
          </cell>
          <cell r="K206">
            <v>2.389294676</v>
          </cell>
          <cell r="L206">
            <v>2.414790709</v>
          </cell>
          <cell r="M206">
            <v>2.345689519</v>
          </cell>
          <cell r="N206">
            <v>2.2637434000000001</v>
          </cell>
          <cell r="O206">
            <v>2.1945962630000002</v>
          </cell>
          <cell r="P206">
            <v>2.1306487409999999</v>
          </cell>
          <cell r="Q206">
            <v>2.081841963</v>
          </cell>
          <cell r="R206">
            <v>2.0417080429999999</v>
          </cell>
          <cell r="S206">
            <v>2.0053085899999998</v>
          </cell>
          <cell r="T206">
            <v>1.9725209340000001</v>
          </cell>
          <cell r="U206">
            <v>1.9432777779999999</v>
          </cell>
          <cell r="V206">
            <v>1.9110157130000001</v>
          </cell>
          <cell r="W206">
            <v>1.8787298649999999</v>
          </cell>
          <cell r="X206">
            <v>1.8480242499999999</v>
          </cell>
          <cell r="Y206">
            <v>1.8195858119999999</v>
          </cell>
          <cell r="Z206">
            <v>1.793695037</v>
          </cell>
          <cell r="AA206">
            <v>1.770573403</v>
          </cell>
          <cell r="AB206">
            <v>1.7504396630000001</v>
          </cell>
          <cell r="AC206">
            <v>1.7332867759999999</v>
          </cell>
          <cell r="AD206">
            <v>1.7188885819999999</v>
          </cell>
          <cell r="AE206">
            <v>1.7069302719999999</v>
          </cell>
          <cell r="AF206">
            <v>1.697846787</v>
          </cell>
          <cell r="AG206">
            <v>1.691809423</v>
          </cell>
          <cell r="AH206">
            <v>1.6888698719999999</v>
          </cell>
          <cell r="AI206">
            <v>1.688638402</v>
          </cell>
          <cell r="AJ206">
            <v>1.690711597</v>
          </cell>
          <cell r="AK206">
            <v>1.6951666379999999</v>
          </cell>
          <cell r="AL206">
            <v>1.7026579989999999</v>
          </cell>
          <cell r="AM206">
            <v>1.714373256</v>
          </cell>
          <cell r="AN206">
            <v>1.732374678</v>
          </cell>
          <cell r="AO206">
            <v>1.760435124</v>
          </cell>
        </row>
        <row r="209">
          <cell r="E209" t="str">
            <v>YG_toe_ccoi_2</v>
          </cell>
          <cell r="F209">
            <v>1.0946754059999999</v>
          </cell>
          <cell r="G209">
            <v>1.1012928340000001</v>
          </cell>
          <cell r="H209">
            <v>1.106706035</v>
          </cell>
          <cell r="I209">
            <v>1.112429023</v>
          </cell>
          <cell r="J209">
            <v>1.120408635</v>
          </cell>
          <cell r="K209">
            <v>1.1307074560000001</v>
          </cell>
          <cell r="L209">
            <v>1.142633843</v>
          </cell>
          <cell r="M209">
            <v>1.1307581520000001</v>
          </cell>
          <cell r="N209">
            <v>1.1161215819999999</v>
          </cell>
          <cell r="O209">
            <v>1.1047638689999999</v>
          </cell>
          <cell r="P209">
            <v>1.093786879</v>
          </cell>
          <cell r="Q209">
            <v>1.0830033130000001</v>
          </cell>
          <cell r="R209">
            <v>1.0718497229999999</v>
          </cell>
          <cell r="S209">
            <v>1.05965606</v>
          </cell>
          <cell r="T209">
            <v>1.0469282630000001</v>
          </cell>
          <cell r="U209">
            <v>1.033988425</v>
          </cell>
          <cell r="V209">
            <v>1.019510997</v>
          </cell>
          <cell r="W209">
            <v>1.0046039769999999</v>
          </cell>
          <cell r="X209">
            <v>0.98954572829999998</v>
          </cell>
          <cell r="Y209">
            <v>0.97442645539999995</v>
          </cell>
          <cell r="Z209">
            <v>0.95921039689999998</v>
          </cell>
          <cell r="AA209">
            <v>0.94406592060000005</v>
          </cell>
          <cell r="AB209">
            <v>0.92905762140000003</v>
          </cell>
          <cell r="AC209">
            <v>0.91416878700000004</v>
          </cell>
          <cell r="AD209">
            <v>0.89928893629999995</v>
          </cell>
          <cell r="AE209">
            <v>0.88406078470000005</v>
          </cell>
          <cell r="AF209">
            <v>0.86899196469999995</v>
          </cell>
          <cell r="AG209">
            <v>0.85385007189999995</v>
          </cell>
          <cell r="AH209">
            <v>0.83850322610000005</v>
          </cell>
          <cell r="AI209">
            <v>0.82261631810000002</v>
          </cell>
          <cell r="AJ209">
            <v>0.80575735240000002</v>
          </cell>
          <cell r="AK209">
            <v>0.78755414720000005</v>
          </cell>
          <cell r="AL209">
            <v>0.76770974739999998</v>
          </cell>
          <cell r="AM209">
            <v>0.74593608739999995</v>
          </cell>
          <cell r="AN209">
            <v>0.72194172160000003</v>
          </cell>
          <cell r="AO209">
            <v>0.69542897729999997</v>
          </cell>
        </row>
        <row r="212">
          <cell r="E212" t="str">
            <v>YG_toe_cfut_2</v>
          </cell>
          <cell r="F212">
            <v>42.288296580000001</v>
          </cell>
          <cell r="G212">
            <v>42.459370669999998</v>
          </cell>
          <cell r="H212">
            <v>42.595230090000001</v>
          </cell>
          <cell r="I212">
            <v>42.759564740000002</v>
          </cell>
          <cell r="J212">
            <v>43.026380330000002</v>
          </cell>
          <cell r="K212">
            <v>43.385579499999999</v>
          </cell>
          <cell r="L212">
            <v>43.807511980000001</v>
          </cell>
          <cell r="M212">
            <v>44.524592900000002</v>
          </cell>
          <cell r="N212">
            <v>45.282093789999998</v>
          </cell>
          <cell r="O212">
            <v>46.141237869999998</v>
          </cell>
          <cell r="P212">
            <v>47.057294040000002</v>
          </cell>
          <cell r="Q212">
            <v>48.050346179999998</v>
          </cell>
          <cell r="R212">
            <v>49.10345229</v>
          </cell>
          <cell r="S212">
            <v>50.194146760000002</v>
          </cell>
          <cell r="T212">
            <v>51.325417530000003</v>
          </cell>
          <cell r="U212">
            <v>52.500103420000002</v>
          </cell>
          <cell r="V212">
            <v>53.69845883</v>
          </cell>
          <cell r="W212">
            <v>54.9321178</v>
          </cell>
          <cell r="X212">
            <v>56.214132249999999</v>
          </cell>
          <cell r="Y212">
            <v>57.555484290000003</v>
          </cell>
          <cell r="Z212">
            <v>58.960530329999997</v>
          </cell>
          <cell r="AA212">
            <v>60.447985969999998</v>
          </cell>
          <cell r="AB212">
            <v>62.030220829999998</v>
          </cell>
          <cell r="AC212">
            <v>63.71830069</v>
          </cell>
          <cell r="AD212">
            <v>65.521392969999994</v>
          </cell>
          <cell r="AE212">
            <v>67.430282349999999</v>
          </cell>
          <cell r="AF212">
            <v>69.473645790000006</v>
          </cell>
          <cell r="AG212">
            <v>71.671573370000004</v>
          </cell>
          <cell r="AH212">
            <v>74.041306500000005</v>
          </cell>
          <cell r="AI212">
            <v>76.594354480000007</v>
          </cell>
          <cell r="AJ212">
            <v>79.340131979999995</v>
          </cell>
          <cell r="AK212">
            <v>82.292869440000004</v>
          </cell>
          <cell r="AL212">
            <v>85.474434799999997</v>
          </cell>
          <cell r="AM212">
            <v>88.914291759999998</v>
          </cell>
          <cell r="AN212">
            <v>92.655210089999997</v>
          </cell>
          <cell r="AO212">
            <v>96.763633470000002</v>
          </cell>
        </row>
        <row r="215">
          <cell r="E215" t="str">
            <v>YG_toe_cfuh_2</v>
          </cell>
          <cell r="F215">
            <v>7.921345187</v>
          </cell>
          <cell r="G215">
            <v>7.9566753810000002</v>
          </cell>
          <cell r="H215">
            <v>7.9842468289999999</v>
          </cell>
          <cell r="I215">
            <v>8.0057627660000001</v>
          </cell>
          <cell r="J215">
            <v>8.0438682769999996</v>
          </cell>
          <cell r="K215">
            <v>8.0960920289999994</v>
          </cell>
          <cell r="L215">
            <v>8.1549256719999992</v>
          </cell>
          <cell r="M215">
            <v>7.8640699500000002</v>
          </cell>
          <cell r="N215">
            <v>7.5529568490000001</v>
          </cell>
          <cell r="O215">
            <v>7.2456215850000003</v>
          </cell>
          <cell r="P215">
            <v>6.9360721889999999</v>
          </cell>
          <cell r="Q215">
            <v>6.6352444799999999</v>
          </cell>
          <cell r="R215">
            <v>6.3447464140000003</v>
          </cell>
          <cell r="S215">
            <v>6.0637860229999996</v>
          </cell>
          <cell r="T215">
            <v>5.7937783390000002</v>
          </cell>
          <cell r="U215">
            <v>5.5342862860000004</v>
          </cell>
          <cell r="V215">
            <v>5.2813279880000001</v>
          </cell>
          <cell r="W215">
            <v>5.0339838439999998</v>
          </cell>
          <cell r="X215">
            <v>4.7915998530000001</v>
          </cell>
          <cell r="Y215">
            <v>4.5536009569999996</v>
          </cell>
          <cell r="Z215">
            <v>4.3183892760000004</v>
          </cell>
          <cell r="AA215">
            <v>4.0873924539999997</v>
          </cell>
          <cell r="AB215">
            <v>3.859540188</v>
          </cell>
          <cell r="AC215">
            <v>3.6338629130000002</v>
          </cell>
          <cell r="AD215">
            <v>3.409149754</v>
          </cell>
          <cell r="AE215">
            <v>3.1816990199999999</v>
          </cell>
          <cell r="AF215">
            <v>2.9529886329999999</v>
          </cell>
          <cell r="AG215">
            <v>2.721670772</v>
          </cell>
          <cell r="AH215">
            <v>2.4861230070000002</v>
          </cell>
          <cell r="AI215">
            <v>2.2442748789999998</v>
          </cell>
          <cell r="AJ215">
            <v>1.993923326</v>
          </cell>
          <cell r="AK215">
            <v>1.732987198</v>
          </cell>
          <cell r="AL215">
            <v>1.4594827889999999</v>
          </cell>
          <cell r="AM215">
            <v>1.171374014</v>
          </cell>
          <cell r="AN215">
            <v>0.86641248999999998</v>
          </cell>
          <cell r="AO215">
            <v>0.54188645260000001</v>
          </cell>
        </row>
        <row r="217">
          <cell r="E217" t="str">
            <v>YG_toe_cgas_2</v>
          </cell>
          <cell r="F217">
            <v>6.6386592799999997</v>
          </cell>
          <cell r="G217">
            <v>6.5613082619999998</v>
          </cell>
          <cell r="H217">
            <v>6.5090563689999996</v>
          </cell>
          <cell r="I217">
            <v>6.462288</v>
          </cell>
          <cell r="J217">
            <v>6.4606659000000004</v>
          </cell>
          <cell r="K217">
            <v>6.4694575309999998</v>
          </cell>
          <cell r="L217">
            <v>6.4718945720000001</v>
          </cell>
          <cell r="M217">
            <v>6.3101835980000001</v>
          </cell>
          <cell r="N217">
            <v>6.2069291590000004</v>
          </cell>
          <cell r="O217">
            <v>6.1092080409999996</v>
          </cell>
          <cell r="P217">
            <v>6.0303635419999999</v>
          </cell>
          <cell r="Q217">
            <v>5.9797978819999997</v>
          </cell>
          <cell r="R217">
            <v>5.9365090519999999</v>
          </cell>
          <cell r="S217">
            <v>5.8967629749999997</v>
          </cell>
          <cell r="T217">
            <v>5.853823083</v>
          </cell>
          <cell r="U217">
            <v>5.8048490160000004</v>
          </cell>
          <cell r="V217">
            <v>5.7417925570000001</v>
          </cell>
          <cell r="W217">
            <v>5.6716238089999997</v>
          </cell>
          <cell r="X217">
            <v>5.5944502250000001</v>
          </cell>
          <cell r="Y217">
            <v>5.5089276659999999</v>
          </cell>
          <cell r="Z217">
            <v>5.4125893129999998</v>
          </cell>
          <cell r="AA217">
            <v>5.3050302260000004</v>
          </cell>
          <cell r="AB217">
            <v>5.1820131839999997</v>
          </cell>
          <cell r="AC217">
            <v>5.0408388860000004</v>
          </cell>
          <cell r="AD217">
            <v>4.8804403709999997</v>
          </cell>
          <cell r="AE217">
            <v>4.6981407639999997</v>
          </cell>
          <cell r="AF217">
            <v>4.4944795490000002</v>
          </cell>
          <cell r="AG217">
            <v>4.2654891130000001</v>
          </cell>
          <cell r="AH217">
            <v>4.0082524849999999</v>
          </cell>
          <cell r="AI217">
            <v>3.7210820889999998</v>
          </cell>
          <cell r="AJ217">
            <v>3.4019029930000002</v>
          </cell>
          <cell r="AK217">
            <v>3.0462634419999999</v>
          </cell>
          <cell r="AL217">
            <v>2.6466469369999999</v>
          </cell>
          <cell r="AM217">
            <v>2.1921732230000002</v>
          </cell>
          <cell r="AN217">
            <v>1.6665323400000001</v>
          </cell>
          <cell r="AO217">
            <v>1.044249175</v>
          </cell>
        </row>
        <row r="223">
          <cell r="E223" t="str">
            <v>YG_toe_cele_2</v>
          </cell>
          <cell r="F223">
            <v>57.5470325</v>
          </cell>
          <cell r="G223">
            <v>58.27871442</v>
          </cell>
          <cell r="H223">
            <v>58.928756419999999</v>
          </cell>
          <cell r="I223">
            <v>59.618527010000001</v>
          </cell>
          <cell r="J223">
            <v>60.223700309999998</v>
          </cell>
          <cell r="K223">
            <v>60.836327689999997</v>
          </cell>
          <cell r="L223">
            <v>61.478479280000002</v>
          </cell>
          <cell r="M223">
            <v>63.658882640000002</v>
          </cell>
          <cell r="N223">
            <v>66.071160730000003</v>
          </cell>
          <cell r="O223">
            <v>68.8830308</v>
          </cell>
          <cell r="P223">
            <v>71.768722620000005</v>
          </cell>
          <cell r="Q223">
            <v>74.490004369999994</v>
          </cell>
          <cell r="R223">
            <v>77.128761870000005</v>
          </cell>
          <cell r="S223">
            <v>79.727836280000005</v>
          </cell>
          <cell r="T223">
            <v>82.416769220000006</v>
          </cell>
          <cell r="U223">
            <v>85.280086710000006</v>
          </cell>
          <cell r="V223">
            <v>88.281071949999998</v>
          </cell>
          <cell r="W223">
            <v>91.578671749999998</v>
          </cell>
          <cell r="X223">
            <v>95.207780209999996</v>
          </cell>
          <cell r="Y223">
            <v>99.219075630000006</v>
          </cell>
          <cell r="Z223">
            <v>103.6615905</v>
          </cell>
          <cell r="AA223">
            <v>108.6572498</v>
          </cell>
          <cell r="AB223">
            <v>114.3151506</v>
          </cell>
          <cell r="AC223">
            <v>120.74936750000001</v>
          </cell>
          <cell r="AD223">
            <v>128.08516560000001</v>
          </cell>
          <cell r="AE223">
            <v>136.39930330000001</v>
          </cell>
          <cell r="AF223">
            <v>146.02743559999999</v>
          </cell>
          <cell r="AG223">
            <v>157.21991610000001</v>
          </cell>
          <cell r="AH223">
            <v>170.29553780000001</v>
          </cell>
          <cell r="AI223">
            <v>185.6185074</v>
          </cell>
          <cell r="AJ223">
            <v>203.6524096</v>
          </cell>
          <cell r="AK223">
            <v>225.05215759999999</v>
          </cell>
          <cell r="AL223">
            <v>250.75258149999999</v>
          </cell>
          <cell r="AM223">
            <v>282.07389449999999</v>
          </cell>
          <cell r="AN223">
            <v>320.95435750000001</v>
          </cell>
          <cell r="AO223">
            <v>370.35647599999999</v>
          </cell>
        </row>
        <row r="233">
          <cell r="E233" t="str">
            <v>YG_toe_chea_2</v>
          </cell>
          <cell r="F233">
            <v>5.7001631780000004</v>
          </cell>
          <cell r="G233">
            <v>5.7535772039999999</v>
          </cell>
          <cell r="H233">
            <v>5.8050982810000002</v>
          </cell>
          <cell r="I233">
            <v>5.8529118149999997</v>
          </cell>
          <cell r="J233">
            <v>5.9032649419999998</v>
          </cell>
          <cell r="K233">
            <v>5.9620159140000002</v>
          </cell>
          <cell r="L233">
            <v>6.0252490590000001</v>
          </cell>
          <cell r="M233">
            <v>6.060142022</v>
          </cell>
          <cell r="N233">
            <v>6.0806621290000002</v>
          </cell>
          <cell r="O233">
            <v>6.124091913</v>
          </cell>
          <cell r="P233">
            <v>6.1915866519999998</v>
          </cell>
          <cell r="Q233">
            <v>6.2683687299999997</v>
          </cell>
          <cell r="R233">
            <v>6.3532678259999997</v>
          </cell>
          <cell r="S233">
            <v>6.4397286200000003</v>
          </cell>
          <cell r="T233">
            <v>6.5258629099999999</v>
          </cell>
          <cell r="U233">
            <v>6.6109524899999998</v>
          </cell>
          <cell r="V233">
            <v>6.692051405</v>
          </cell>
          <cell r="W233">
            <v>6.7669852879999999</v>
          </cell>
          <cell r="X233">
            <v>6.837370656</v>
          </cell>
          <cell r="Y233">
            <v>6.9055455969999997</v>
          </cell>
          <cell r="Z233">
            <v>6.9693161860000004</v>
          </cell>
          <cell r="AA233">
            <v>7.0382845779999998</v>
          </cell>
          <cell r="AB233">
            <v>7.1131617379999996</v>
          </cell>
          <cell r="AC233">
            <v>7.195146373</v>
          </cell>
          <cell r="AD233">
            <v>7.2854633880000002</v>
          </cell>
          <cell r="AE233">
            <v>7.3726281460000003</v>
          </cell>
          <cell r="AF233">
            <v>7.4725557550000001</v>
          </cell>
          <cell r="AG233">
            <v>7.5862487109999996</v>
          </cell>
          <cell r="AH233">
            <v>7.7144502360000002</v>
          </cell>
          <cell r="AI233">
            <v>7.8571462570000001</v>
          </cell>
          <cell r="AJ233">
            <v>8.0141320159999996</v>
          </cell>
          <cell r="AK233">
            <v>8.1857142730000003</v>
          </cell>
          <cell r="AL233">
            <v>8.3723067929999999</v>
          </cell>
          <cell r="AM233">
            <v>8.5747945170000008</v>
          </cell>
          <cell r="AN233">
            <v>8.7950298569999994</v>
          </cell>
          <cell r="AO233">
            <v>9.0361591370000003</v>
          </cell>
        </row>
        <row r="235">
          <cell r="E235" t="str">
            <v>YG_toe_cbio_2</v>
          </cell>
          <cell r="F235">
            <v>11.16413483</v>
          </cell>
          <cell r="G235">
            <v>11.140353360000001</v>
          </cell>
          <cell r="H235">
            <v>11.109803980000001</v>
          </cell>
          <cell r="I235">
            <v>11.07141039</v>
          </cell>
          <cell r="J235">
            <v>11.0682201</v>
          </cell>
          <cell r="K235">
            <v>11.0878982</v>
          </cell>
          <cell r="L235">
            <v>11.12005287</v>
          </cell>
          <cell r="M235">
            <v>11.05057622</v>
          </cell>
          <cell r="N235">
            <v>10.972639819999999</v>
          </cell>
          <cell r="O235">
            <v>10.895295669999999</v>
          </cell>
          <cell r="P235">
            <v>10.804116090000001</v>
          </cell>
          <cell r="Q235">
            <v>10.716722430000001</v>
          </cell>
          <cell r="R235">
            <v>10.63638871</v>
          </cell>
          <cell r="S235">
            <v>10.569040940000001</v>
          </cell>
          <cell r="T235">
            <v>10.52380254</v>
          </cell>
          <cell r="U235">
            <v>10.5045676</v>
          </cell>
          <cell r="V235">
            <v>10.49451326</v>
          </cell>
          <cell r="W235">
            <v>10.50412972</v>
          </cell>
          <cell r="X235">
            <v>10.53496039</v>
          </cell>
          <cell r="Y235">
            <v>10.589113960000001</v>
          </cell>
          <cell r="Z235">
            <v>10.665652189999999</v>
          </cell>
          <cell r="AA235">
            <v>10.77452272</v>
          </cell>
          <cell r="AB235">
            <v>10.91937349</v>
          </cell>
          <cell r="AC235">
            <v>11.103914980000001</v>
          </cell>
          <cell r="AD235">
            <v>11.33201083</v>
          </cell>
          <cell r="AE235">
            <v>11.596716580000001</v>
          </cell>
          <cell r="AF235">
            <v>11.91919042</v>
          </cell>
          <cell r="AG235">
            <v>12.306376909999999</v>
          </cell>
          <cell r="AH235">
            <v>12.76748971</v>
          </cell>
          <cell r="AI235">
            <v>13.31220164</v>
          </cell>
          <cell r="AJ235">
            <v>13.952699770000001</v>
          </cell>
          <cell r="AK235">
            <v>14.707014819999999</v>
          </cell>
          <cell r="AL235">
            <v>15.60166269</v>
          </cell>
          <cell r="AM235">
            <v>16.674731220000002</v>
          </cell>
          <cell r="AN235">
            <v>17.98258594</v>
          </cell>
          <cell r="AO235">
            <v>19.611117700000001</v>
          </cell>
        </row>
        <row r="238">
          <cell r="E238" t="str">
            <v>YG_toe_cote_2</v>
          </cell>
          <cell r="F238">
            <v>13.83758336</v>
          </cell>
          <cell r="G238">
            <v>14.04763552</v>
          </cell>
          <cell r="H238">
            <v>14.25989098</v>
          </cell>
          <cell r="I238">
            <v>14.473725160000001</v>
          </cell>
          <cell r="J238">
            <v>14.704474830000001</v>
          </cell>
          <cell r="K238">
            <v>14.954160229999999</v>
          </cell>
          <cell r="L238">
            <v>15.21918104</v>
          </cell>
          <cell r="M238">
            <v>15.35792477</v>
          </cell>
          <cell r="N238">
            <v>15.48914517</v>
          </cell>
          <cell r="O238">
            <v>15.77918586</v>
          </cell>
          <cell r="P238">
            <v>16.069431689999998</v>
          </cell>
          <cell r="Q238">
            <v>16.351287360000001</v>
          </cell>
          <cell r="R238">
            <v>16.60898839</v>
          </cell>
          <cell r="S238">
            <v>16.82738844</v>
          </cell>
          <cell r="T238">
            <v>17.040979499999999</v>
          </cell>
          <cell r="U238">
            <v>17.267131639999999</v>
          </cell>
          <cell r="V238">
            <v>17.424941709999999</v>
          </cell>
          <cell r="W238">
            <v>17.59849196</v>
          </cell>
          <cell r="X238">
            <v>17.79511029</v>
          </cell>
          <cell r="Y238">
            <v>18.01840898</v>
          </cell>
          <cell r="Z238">
            <v>18.270445079999998</v>
          </cell>
          <cell r="AA238">
            <v>18.557125419999998</v>
          </cell>
          <cell r="AB238">
            <v>18.883713969999999</v>
          </cell>
          <cell r="AC238">
            <v>19.252910570000001</v>
          </cell>
          <cell r="AD238">
            <v>19.664424740000001</v>
          </cell>
          <cell r="AE238">
            <v>20.114259050000001</v>
          </cell>
          <cell r="AF238">
            <v>20.634705790000002</v>
          </cell>
          <cell r="AG238">
            <v>21.211798040000001</v>
          </cell>
          <cell r="AH238">
            <v>21.848608720000001</v>
          </cell>
          <cell r="AI238">
            <v>22.539971730000001</v>
          </cell>
          <cell r="AJ238">
            <v>23.278845239999999</v>
          </cell>
          <cell r="AK238">
            <v>24.06307005</v>
          </cell>
          <cell r="AL238">
            <v>24.895841749999999</v>
          </cell>
          <cell r="AM238">
            <v>25.783653040000001</v>
          </cell>
          <cell r="AN238">
            <v>26.737904310000001</v>
          </cell>
          <cell r="AO238">
            <v>27.778088260000001</v>
          </cell>
        </row>
        <row r="241">
          <cell r="E241" t="str">
            <v>YG_toe_0</v>
          </cell>
          <cell r="F241">
            <v>148.56082459999999</v>
          </cell>
          <cell r="G241">
            <v>149.6696264</v>
          </cell>
          <cell r="H241">
            <v>150.66913790000001</v>
          </cell>
          <cell r="I241">
            <v>151.72016339999999</v>
          </cell>
          <cell r="J241">
            <v>152.92184700000001</v>
          </cell>
          <cell r="K241">
            <v>154.3115316</v>
          </cell>
          <cell r="L241">
            <v>155.81162470000001</v>
          </cell>
          <cell r="M241">
            <v>157.3833592</v>
          </cell>
          <cell r="N241">
            <v>158.99627649999999</v>
          </cell>
          <cell r="O241">
            <v>160.6343234</v>
          </cell>
          <cell r="P241">
            <v>162.3442216</v>
          </cell>
          <cell r="Q241">
            <v>164.04524190000001</v>
          </cell>
          <cell r="R241">
            <v>165.70192639999999</v>
          </cell>
          <cell r="S241">
            <v>167.22253850000001</v>
          </cell>
          <cell r="T241">
            <v>168.65807789999999</v>
          </cell>
          <cell r="U241">
            <v>170.0677584</v>
          </cell>
          <cell r="V241">
            <v>171.52803750000001</v>
          </cell>
          <cell r="W241">
            <v>173.11371729999999</v>
          </cell>
          <cell r="X241">
            <v>174.87131539999999</v>
          </cell>
          <cell r="Y241">
            <v>176.82196930000001</v>
          </cell>
          <cell r="Z241">
            <v>178.94755509999999</v>
          </cell>
          <cell r="AA241">
            <v>181.31247619999999</v>
          </cell>
          <cell r="AB241">
            <v>183.93442590000001</v>
          </cell>
          <cell r="AC241">
            <v>186.82847609999999</v>
          </cell>
          <cell r="AD241">
            <v>189.99401330000001</v>
          </cell>
          <cell r="AE241">
            <v>193.32934080000001</v>
          </cell>
          <cell r="AF241">
            <v>196.93440140000001</v>
          </cell>
          <cell r="AG241">
            <v>200.82152719999999</v>
          </cell>
          <cell r="AH241">
            <v>204.98961869999999</v>
          </cell>
          <cell r="AI241">
            <v>209.39775890000001</v>
          </cell>
          <cell r="AJ241">
            <v>213.9873681</v>
          </cell>
          <cell r="AK241">
            <v>218.7063958</v>
          </cell>
          <cell r="AL241">
            <v>223.51360629999999</v>
          </cell>
          <cell r="AM241">
            <v>228.37213740000001</v>
          </cell>
          <cell r="AN241">
            <v>233.24661889999999</v>
          </cell>
          <cell r="AO241">
            <v>238.10204540000001</v>
          </cell>
        </row>
        <row r="242">
          <cell r="E242" t="str">
            <v>YG_toe_ccoa_0</v>
          </cell>
          <cell r="F242">
            <v>2.3689359379999999</v>
          </cell>
          <cell r="G242">
            <v>2.3707003879999999</v>
          </cell>
          <cell r="H242">
            <v>2.3703505539999998</v>
          </cell>
          <cell r="I242">
            <v>2.3635460699999999</v>
          </cell>
          <cell r="J242">
            <v>2.3708652940000001</v>
          </cell>
          <cell r="K242">
            <v>2.3892946720000001</v>
          </cell>
          <cell r="L242">
            <v>2.4113444030000002</v>
          </cell>
          <cell r="M242">
            <v>2.4334552110000001</v>
          </cell>
          <cell r="N242">
            <v>2.454480362</v>
          </cell>
          <cell r="O242">
            <v>2.474632459</v>
          </cell>
          <cell r="P242">
            <v>2.494680003</v>
          </cell>
          <cell r="Q242">
            <v>2.5148762960000002</v>
          </cell>
          <cell r="R242">
            <v>2.5344621049999998</v>
          </cell>
          <cell r="S242">
            <v>2.5512063380000001</v>
          </cell>
          <cell r="T242">
            <v>2.5664506070000002</v>
          </cell>
          <cell r="U242">
            <v>2.5817674629999998</v>
          </cell>
          <cell r="V242">
            <v>2.6022157250000002</v>
          </cell>
          <cell r="W242">
            <v>2.6294474669999999</v>
          </cell>
          <cell r="X242">
            <v>2.6637798890000002</v>
          </cell>
          <cell r="Y242">
            <v>2.704761231</v>
          </cell>
          <cell r="Z242">
            <v>2.7517447869999998</v>
          </cell>
          <cell r="AA242">
            <v>2.8044333460000002</v>
          </cell>
          <cell r="AB242">
            <v>2.8628100719999998</v>
          </cell>
          <cell r="AC242">
            <v>2.9267845640000001</v>
          </cell>
          <cell r="AD242">
            <v>2.9960424790000002</v>
          </cell>
          <cell r="AE242">
            <v>3.0699681239999999</v>
          </cell>
          <cell r="AF242">
            <v>3.1487885850000001</v>
          </cell>
          <cell r="AG242">
            <v>3.232997568</v>
          </cell>
          <cell r="AH242">
            <v>3.322730328</v>
          </cell>
          <cell r="AI242">
            <v>3.4171938850000001</v>
          </cell>
          <cell r="AJ242">
            <v>3.5151863470000002</v>
          </cell>
          <cell r="AK242">
            <v>3.6157265010000001</v>
          </cell>
          <cell r="AL242">
            <v>3.7181462519999999</v>
          </cell>
          <cell r="AM242">
            <v>3.821890561</v>
          </cell>
          <cell r="AN242">
            <v>3.9264091990000001</v>
          </cell>
          <cell r="AO242">
            <v>4.0311098259999998</v>
          </cell>
        </row>
        <row r="245">
          <cell r="E245" t="str">
            <v>YG_toe_ccoi_0</v>
          </cell>
          <cell r="F245">
            <v>1.0946754030000001</v>
          </cell>
          <cell r="G245">
            <v>1.1012928310000001</v>
          </cell>
          <cell r="H245">
            <v>1.106706032</v>
          </cell>
          <cell r="I245">
            <v>1.11242902</v>
          </cell>
          <cell r="J245">
            <v>1.120408632</v>
          </cell>
          <cell r="K245">
            <v>1.130707452</v>
          </cell>
          <cell r="L245">
            <v>1.1421073429999999</v>
          </cell>
          <cell r="M245">
            <v>1.1538805029999999</v>
          </cell>
          <cell r="N245">
            <v>1.165682806</v>
          </cell>
          <cell r="O245">
            <v>1.1774379239999999</v>
          </cell>
          <cell r="P245">
            <v>1.189387422</v>
          </cell>
          <cell r="Q245">
            <v>1.201363398</v>
          </cell>
          <cell r="R245">
            <v>1.213120046</v>
          </cell>
          <cell r="S245">
            <v>1.224005891</v>
          </cell>
          <cell r="T245">
            <v>1.234292999</v>
          </cell>
          <cell r="U245">
            <v>1.244387371</v>
          </cell>
          <cell r="V245">
            <v>1.2551817160000001</v>
          </cell>
          <cell r="W245">
            <v>1.267281383</v>
          </cell>
          <cell r="X245">
            <v>1.280945373</v>
          </cell>
          <cell r="Y245">
            <v>1.296196154</v>
          </cell>
          <cell r="Z245">
            <v>1.3128855340000001</v>
          </cell>
          <cell r="AA245">
            <v>1.331158431</v>
          </cell>
          <cell r="AB245">
            <v>1.351106385</v>
          </cell>
          <cell r="AC245">
            <v>1.3727876699999999</v>
          </cell>
          <cell r="AD245">
            <v>1.396175028</v>
          </cell>
          <cell r="AE245">
            <v>1.4208771200000001</v>
          </cell>
          <cell r="AF245">
            <v>1.447204334</v>
          </cell>
          <cell r="AG245">
            <v>1.4753428420000001</v>
          </cell>
          <cell r="AH245">
            <v>1.505356143</v>
          </cell>
          <cell r="AI245">
            <v>1.5370337700000001</v>
          </cell>
          <cell r="AJ245">
            <v>1.570015454</v>
          </cell>
          <cell r="AK245">
            <v>1.60396907</v>
          </cell>
          <cell r="AL245">
            <v>1.6386317690000001</v>
          </cell>
          <cell r="AM245">
            <v>1.6737661589999999</v>
          </cell>
          <cell r="AN245">
            <v>1.709133886</v>
          </cell>
          <cell r="AO245">
            <v>1.7444850709999999</v>
          </cell>
        </row>
        <row r="248">
          <cell r="E248" t="str">
            <v>YG_toe_cfut_0</v>
          </cell>
          <cell r="F248">
            <v>42.28829657</v>
          </cell>
          <cell r="G248">
            <v>42.459370659999998</v>
          </cell>
          <cell r="H248">
            <v>42.59523008</v>
          </cell>
          <cell r="I248">
            <v>42.759564730000001</v>
          </cell>
          <cell r="J248">
            <v>43.026380320000001</v>
          </cell>
          <cell r="K248">
            <v>43.385579479999997</v>
          </cell>
          <cell r="L248">
            <v>43.799341429999998</v>
          </cell>
          <cell r="M248">
            <v>44.235743110000001</v>
          </cell>
          <cell r="N248">
            <v>44.678572240000001</v>
          </cell>
          <cell r="O248">
            <v>45.122469189999997</v>
          </cell>
          <cell r="P248">
            <v>45.575709959999998</v>
          </cell>
          <cell r="Q248">
            <v>46.028838059999998</v>
          </cell>
          <cell r="R248">
            <v>46.477108739999998</v>
          </cell>
          <cell r="S248">
            <v>46.90496864</v>
          </cell>
          <cell r="T248">
            <v>47.317409329999997</v>
          </cell>
          <cell r="U248">
            <v>47.72222687</v>
          </cell>
          <cell r="V248">
            <v>48.140508750000002</v>
          </cell>
          <cell r="W248">
            <v>48.591535110000002</v>
          </cell>
          <cell r="X248">
            <v>49.083818389999998</v>
          </cell>
          <cell r="Y248">
            <v>49.618801220000002</v>
          </cell>
          <cell r="Z248">
            <v>50.190379110000002</v>
          </cell>
          <cell r="AA248">
            <v>50.805833249999999</v>
          </cell>
          <cell r="AB248">
            <v>51.466767949999998</v>
          </cell>
          <cell r="AC248">
            <v>52.174923669999998</v>
          </cell>
          <cell r="AD248">
            <v>52.93056928</v>
          </cell>
          <cell r="AE248">
            <v>53.717432459999998</v>
          </cell>
          <cell r="AF248">
            <v>54.550631160000002</v>
          </cell>
          <cell r="AG248">
            <v>55.43442795</v>
          </cell>
          <cell r="AH248">
            <v>56.371086740000003</v>
          </cell>
          <cell r="AI248">
            <v>57.356475199999998</v>
          </cell>
          <cell r="AJ248">
            <v>58.382499639999999</v>
          </cell>
          <cell r="AK248">
            <v>59.440790919999998</v>
          </cell>
          <cell r="AL248">
            <v>60.523637960000002</v>
          </cell>
          <cell r="AM248">
            <v>61.623242750000003</v>
          </cell>
          <cell r="AN248">
            <v>62.731436729999999</v>
          </cell>
          <cell r="AO248">
            <v>63.839648459999999</v>
          </cell>
        </row>
        <row r="251">
          <cell r="E251" t="str">
            <v>YG_toe_cfuh_0</v>
          </cell>
          <cell r="F251">
            <v>7.9213451880000001</v>
          </cell>
          <cell r="G251">
            <v>7.9566753810000002</v>
          </cell>
          <cell r="H251">
            <v>7.9842468289999999</v>
          </cell>
          <cell r="I251">
            <v>8.0057627660000001</v>
          </cell>
          <cell r="J251">
            <v>8.0438682759999995</v>
          </cell>
          <cell r="K251">
            <v>8.0960920279999993</v>
          </cell>
          <cell r="L251">
            <v>8.1482864559999992</v>
          </cell>
          <cell r="M251">
            <v>8.1967251310000009</v>
          </cell>
          <cell r="N251">
            <v>8.2416869100000003</v>
          </cell>
          <cell r="O251">
            <v>8.2847655390000003</v>
          </cell>
          <cell r="P251">
            <v>8.3307812959999996</v>
          </cell>
          <cell r="Q251">
            <v>8.3757214490000003</v>
          </cell>
          <cell r="R251">
            <v>8.4193635189999991</v>
          </cell>
          <cell r="S251">
            <v>8.4586482479999994</v>
          </cell>
          <cell r="T251">
            <v>8.4951963720000006</v>
          </cell>
          <cell r="U251">
            <v>8.5311406040000008</v>
          </cell>
          <cell r="V251">
            <v>8.5761861130000003</v>
          </cell>
          <cell r="W251">
            <v>8.6334805039999996</v>
          </cell>
          <cell r="X251">
            <v>8.7027430710000004</v>
          </cell>
          <cell r="Y251">
            <v>8.7829425499999996</v>
          </cell>
          <cell r="Z251">
            <v>8.8712641449999996</v>
          </cell>
          <cell r="AA251">
            <v>8.970939499</v>
          </cell>
          <cell r="AB251">
            <v>9.0822201699999994</v>
          </cell>
          <cell r="AC251">
            <v>9.2056800069999998</v>
          </cell>
          <cell r="AD251">
            <v>9.3413237749999993</v>
          </cell>
          <cell r="AE251">
            <v>9.4825935809999997</v>
          </cell>
          <cell r="AF251">
            <v>9.6360599489999998</v>
          </cell>
          <cell r="AG251">
            <v>9.8020774900000003</v>
          </cell>
          <cell r="AH251">
            <v>9.9807887310000005</v>
          </cell>
          <cell r="AI251">
            <v>10.170982049999999</v>
          </cell>
          <cell r="AJ251">
            <v>10.370610660000001</v>
          </cell>
          <cell r="AK251">
            <v>10.57758932</v>
          </cell>
          <cell r="AL251">
            <v>10.79006693</v>
          </cell>
          <cell r="AM251">
            <v>11.0063557</v>
          </cell>
          <cell r="AN251">
            <v>11.2247985</v>
          </cell>
          <cell r="AO251">
            <v>11.44371359</v>
          </cell>
        </row>
        <row r="253">
          <cell r="E253" t="str">
            <v>YG_toe_cgas_0</v>
          </cell>
          <cell r="F253">
            <v>6.6386576159999997</v>
          </cell>
          <cell r="G253">
            <v>6.5613066460000002</v>
          </cell>
          <cell r="H253">
            <v>6.5090547809999997</v>
          </cell>
          <cell r="I253">
            <v>6.462286432</v>
          </cell>
          <cell r="J253">
            <v>6.4606643269999999</v>
          </cell>
          <cell r="K253">
            <v>6.4694559480000002</v>
          </cell>
          <cell r="L253">
            <v>6.4563608600000002</v>
          </cell>
          <cell r="M253">
            <v>6.442353089</v>
          </cell>
          <cell r="N253">
            <v>6.435580871</v>
          </cell>
          <cell r="O253">
            <v>6.4379205370000001</v>
          </cell>
          <cell r="P253">
            <v>6.4492616900000002</v>
          </cell>
          <cell r="Q253">
            <v>6.4654567839999997</v>
          </cell>
          <cell r="R253">
            <v>6.4879320180000004</v>
          </cell>
          <cell r="S253">
            <v>6.5223888390000004</v>
          </cell>
          <cell r="T253">
            <v>6.564945314</v>
          </cell>
          <cell r="U253">
            <v>6.6111403270000002</v>
          </cell>
          <cell r="V253">
            <v>6.6662424790000001</v>
          </cell>
          <cell r="W253">
            <v>6.7123237060000003</v>
          </cell>
          <cell r="X253">
            <v>6.7425116420000002</v>
          </cell>
          <cell r="Y253">
            <v>6.755032945</v>
          </cell>
          <cell r="Z253">
            <v>6.7490469610000003</v>
          </cell>
          <cell r="AA253">
            <v>6.7266951959999997</v>
          </cell>
          <cell r="AB253">
            <v>6.6887471200000004</v>
          </cell>
          <cell r="AC253">
            <v>6.6364329299999998</v>
          </cell>
          <cell r="AD253">
            <v>6.5706248110000001</v>
          </cell>
          <cell r="AE253">
            <v>6.489374153</v>
          </cell>
          <cell r="AF253">
            <v>6.3948819649999997</v>
          </cell>
          <cell r="AG253">
            <v>6.2861215550000002</v>
          </cell>
          <cell r="AH253">
            <v>6.1628233110000004</v>
          </cell>
          <cell r="AI253">
            <v>6.0272917020000003</v>
          </cell>
          <cell r="AJ253">
            <v>5.8829330310000003</v>
          </cell>
          <cell r="AK253">
            <v>5.7323571940000004</v>
          </cell>
          <cell r="AL253">
            <v>5.5775975180000001</v>
          </cell>
          <cell r="AM253">
            <v>5.4206286639999997</v>
          </cell>
          <cell r="AN253">
            <v>5.263466084</v>
          </cell>
          <cell r="AO253">
            <v>5.1081956999999996</v>
          </cell>
        </row>
        <row r="259">
          <cell r="E259" t="str">
            <v>YG_toe_cele_0</v>
          </cell>
          <cell r="F259">
            <v>57.547032489999999</v>
          </cell>
          <cell r="G259">
            <v>58.278714409999999</v>
          </cell>
          <cell r="H259">
            <v>58.928756409999998</v>
          </cell>
          <cell r="I259">
            <v>59.618526989999999</v>
          </cell>
          <cell r="J259">
            <v>60.223700299999997</v>
          </cell>
          <cell r="K259">
            <v>60.836327679999997</v>
          </cell>
          <cell r="L259">
            <v>61.498187340000001</v>
          </cell>
          <cell r="M259">
            <v>62.205253839999997</v>
          </cell>
          <cell r="N259">
            <v>62.943867359999999</v>
          </cell>
          <cell r="O259">
            <v>63.700859379999997</v>
          </cell>
          <cell r="P259">
            <v>64.49151157</v>
          </cell>
          <cell r="Q259">
            <v>65.27613418</v>
          </cell>
          <cell r="R259">
            <v>66.031917719999996</v>
          </cell>
          <cell r="S259">
            <v>66.708437349999997</v>
          </cell>
          <cell r="T259">
            <v>67.333958789999997</v>
          </cell>
          <cell r="U259">
            <v>67.942287010000001</v>
          </cell>
          <cell r="V259">
            <v>68.545091099999993</v>
          </cell>
          <cell r="W259">
            <v>69.188139280000001</v>
          </cell>
          <cell r="X259">
            <v>69.905327389999997</v>
          </cell>
          <cell r="Y259">
            <v>70.717392259999997</v>
          </cell>
          <cell r="Z259">
            <v>71.625144329999998</v>
          </cell>
          <cell r="AA259">
            <v>72.662674580000001</v>
          </cell>
          <cell r="AB259">
            <v>73.842028409999998</v>
          </cell>
          <cell r="AC259">
            <v>75.172687929999995</v>
          </cell>
          <cell r="AD259">
            <v>76.655597970000002</v>
          </cell>
          <cell r="AE259">
            <v>78.245859929999995</v>
          </cell>
          <cell r="AF259">
            <v>79.987558519999993</v>
          </cell>
          <cell r="AG259">
            <v>81.884579380000005</v>
          </cell>
          <cell r="AH259">
            <v>83.933776469999998</v>
          </cell>
          <cell r="AI259">
            <v>86.109807270000005</v>
          </cell>
          <cell r="AJ259">
            <v>88.37818695</v>
          </cell>
          <cell r="AK259">
            <v>90.708704909999994</v>
          </cell>
          <cell r="AL259">
            <v>93.077551099999994</v>
          </cell>
          <cell r="AM259">
            <v>95.463922120000007</v>
          </cell>
          <cell r="AN259">
            <v>97.848582910000005</v>
          </cell>
          <cell r="AO259">
            <v>100.2132802</v>
          </cell>
        </row>
        <row r="269">
          <cell r="E269" t="str">
            <v>YG_toe_chea_0</v>
          </cell>
          <cell r="F269">
            <v>5.7001631799999997</v>
          </cell>
          <cell r="G269">
            <v>5.7535772109999996</v>
          </cell>
          <cell r="H269">
            <v>5.8050982949999996</v>
          </cell>
          <cell r="I269">
            <v>5.8529118369999997</v>
          </cell>
          <cell r="J269">
            <v>5.9032649700000004</v>
          </cell>
          <cell r="K269">
            <v>5.9620159460000002</v>
          </cell>
          <cell r="L269">
            <v>6.0149406939999999</v>
          </cell>
          <cell r="M269">
            <v>6.0619706830000002</v>
          </cell>
          <cell r="N269">
            <v>6.1042519710000001</v>
          </cell>
          <cell r="O269">
            <v>6.1433977579999999</v>
          </cell>
          <cell r="P269">
            <v>6.1879885229999996</v>
          </cell>
          <cell r="Q269">
            <v>6.2278482840000002</v>
          </cell>
          <cell r="R269">
            <v>6.264845137</v>
          </cell>
          <cell r="S269">
            <v>6.2979099190000003</v>
          </cell>
          <cell r="T269">
            <v>6.3287209420000003</v>
          </cell>
          <cell r="U269">
            <v>6.3589871640000002</v>
          </cell>
          <cell r="V269">
            <v>6.3979921959999997</v>
          </cell>
          <cell r="W269">
            <v>6.4471382369999999</v>
          </cell>
          <cell r="X269">
            <v>6.5056752700000002</v>
          </cell>
          <cell r="Y269">
            <v>6.5719551620000001</v>
          </cell>
          <cell r="Z269">
            <v>6.640738872</v>
          </cell>
          <cell r="AA269">
            <v>6.719073088</v>
          </cell>
          <cell r="AB269">
            <v>6.8058425619999996</v>
          </cell>
          <cell r="AC269">
            <v>6.9006713890000002</v>
          </cell>
          <cell r="AD269">
            <v>7.0029119910000004</v>
          </cell>
          <cell r="AE269">
            <v>7.0996441370000003</v>
          </cell>
          <cell r="AF269">
            <v>7.2049306929999997</v>
          </cell>
          <cell r="AG269">
            <v>7.318415087</v>
          </cell>
          <cell r="AH269">
            <v>7.4398977080000002</v>
          </cell>
          <cell r="AI269">
            <v>7.5682733310000003</v>
          </cell>
          <cell r="AJ269">
            <v>7.701967561</v>
          </cell>
          <cell r="AK269">
            <v>7.8395178830000001</v>
          </cell>
          <cell r="AL269">
            <v>7.9796967419999998</v>
          </cell>
          <cell r="AM269">
            <v>8.121370164</v>
          </cell>
          <cell r="AN269">
            <v>8.2634328830000001</v>
          </cell>
          <cell r="AO269">
            <v>8.4047885210000004</v>
          </cell>
        </row>
        <row r="271">
          <cell r="E271" t="str">
            <v>YG_toe_cbio_0</v>
          </cell>
          <cell r="F271">
            <v>11.16413483</v>
          </cell>
          <cell r="G271">
            <v>11.140353360000001</v>
          </cell>
          <cell r="H271">
            <v>11.109803980000001</v>
          </cell>
          <cell r="I271">
            <v>11.07141038</v>
          </cell>
          <cell r="J271">
            <v>11.068220090000001</v>
          </cell>
          <cell r="K271">
            <v>11.0878982</v>
          </cell>
          <cell r="L271">
            <v>11.122543540000001</v>
          </cell>
          <cell r="M271">
            <v>11.16699043</v>
          </cell>
          <cell r="N271">
            <v>11.21685428</v>
          </cell>
          <cell r="O271">
            <v>11.269913089999999</v>
          </cell>
          <cell r="P271">
            <v>11.33095898</v>
          </cell>
          <cell r="Q271">
            <v>11.3892743</v>
          </cell>
          <cell r="R271">
            <v>11.443599409999999</v>
          </cell>
          <cell r="S271">
            <v>11.490811539999999</v>
          </cell>
          <cell r="T271">
            <v>11.53344323</v>
          </cell>
          <cell r="U271">
            <v>11.57449104</v>
          </cell>
          <cell r="V271">
            <v>11.6139663</v>
          </cell>
          <cell r="W271">
            <v>11.656564339999999</v>
          </cell>
          <cell r="X271">
            <v>11.705352</v>
          </cell>
          <cell r="Y271">
            <v>11.76202226</v>
          </cell>
          <cell r="Z271">
            <v>11.8238229</v>
          </cell>
          <cell r="AA271">
            <v>11.898194650000001</v>
          </cell>
          <cell r="AB271">
            <v>11.986171390000001</v>
          </cell>
          <cell r="AC271">
            <v>12.08902312</v>
          </cell>
          <cell r="AD271">
            <v>12.20686813</v>
          </cell>
          <cell r="AE271">
            <v>12.32764345</v>
          </cell>
          <cell r="AF271">
            <v>12.462890829999999</v>
          </cell>
          <cell r="AG271">
            <v>12.612562759999999</v>
          </cell>
          <cell r="AH271">
            <v>12.775947800000001</v>
          </cell>
          <cell r="AI271">
            <v>12.950808459999999</v>
          </cell>
          <cell r="AJ271">
            <v>13.134195289999999</v>
          </cell>
          <cell r="AK271">
            <v>13.32344378</v>
          </cell>
          <cell r="AL271">
            <v>13.51644323</v>
          </cell>
          <cell r="AM271">
            <v>13.711353559999999</v>
          </cell>
          <cell r="AN271">
            <v>13.906467210000001</v>
          </cell>
          <cell r="AO271">
            <v>14.100148170000001</v>
          </cell>
        </row>
        <row r="274">
          <cell r="E274" t="str">
            <v>YG_toe_cote_0</v>
          </cell>
          <cell r="F274">
            <v>13.83758336</v>
          </cell>
          <cell r="G274">
            <v>14.047635509999999</v>
          </cell>
          <cell r="H274">
            <v>14.25989098</v>
          </cell>
          <cell r="I274">
            <v>14.47372515</v>
          </cell>
          <cell r="J274">
            <v>14.70447482</v>
          </cell>
          <cell r="K274">
            <v>14.954160229999999</v>
          </cell>
          <cell r="L274">
            <v>15.21851264</v>
          </cell>
          <cell r="M274">
            <v>15.4869872</v>
          </cell>
          <cell r="N274">
            <v>15.75529976</v>
          </cell>
          <cell r="O274">
            <v>16.022927540000001</v>
          </cell>
          <cell r="P274">
            <v>16.293942120000001</v>
          </cell>
          <cell r="Q274">
            <v>16.565729130000001</v>
          </cell>
          <cell r="R274">
            <v>16.82957773</v>
          </cell>
          <cell r="S274">
            <v>17.06416179</v>
          </cell>
          <cell r="T274">
            <v>17.283660350000002</v>
          </cell>
          <cell r="U274">
            <v>17.501330580000001</v>
          </cell>
          <cell r="V274">
            <v>17.730653119999999</v>
          </cell>
          <cell r="W274">
            <v>17.987807279999998</v>
          </cell>
          <cell r="X274">
            <v>18.28116236</v>
          </cell>
          <cell r="Y274">
            <v>18.612865530000001</v>
          </cell>
          <cell r="Z274">
            <v>18.982528420000001</v>
          </cell>
          <cell r="AA274">
            <v>19.393474179999998</v>
          </cell>
          <cell r="AB274">
            <v>19.848731860000001</v>
          </cell>
          <cell r="AC274">
            <v>20.34948485</v>
          </cell>
          <cell r="AD274">
            <v>20.89389984</v>
          </cell>
          <cell r="AE274">
            <v>21.47594784</v>
          </cell>
          <cell r="AF274">
            <v>22.101455319999999</v>
          </cell>
          <cell r="AG274">
            <v>22.775002560000001</v>
          </cell>
          <cell r="AH274">
            <v>23.49721151</v>
          </cell>
          <cell r="AI274">
            <v>24.25989324</v>
          </cell>
          <cell r="AJ274">
            <v>25.051773140000002</v>
          </cell>
          <cell r="AK274">
            <v>25.864296199999998</v>
          </cell>
          <cell r="AL274">
            <v>26.691834759999999</v>
          </cell>
          <cell r="AM274">
            <v>27.529607670000001</v>
          </cell>
          <cell r="AN274">
            <v>28.372891460000002</v>
          </cell>
          <cell r="AO274">
            <v>29.21667579</v>
          </cell>
        </row>
        <row r="281">
          <cell r="F281">
            <v>161.694278</v>
          </cell>
          <cell r="G281">
            <v>162.00031569999999</v>
          </cell>
          <cell r="H281">
            <v>162.18906329999999</v>
          </cell>
          <cell r="I281">
            <v>162.30168649999999</v>
          </cell>
          <cell r="J281">
            <v>162.9375407</v>
          </cell>
          <cell r="K281">
            <v>164.00585380000001</v>
          </cell>
          <cell r="L281">
            <v>165.38249640000001</v>
          </cell>
          <cell r="M281">
            <v>164.86224240000001</v>
          </cell>
          <cell r="N281">
            <v>164.06499020000001</v>
          </cell>
          <cell r="O281">
            <v>163.6938102</v>
          </cell>
          <cell r="P281">
            <v>163.48425019999999</v>
          </cell>
          <cell r="Q281">
            <v>163.54712910000001</v>
          </cell>
          <cell r="R281">
            <v>163.7961262</v>
          </cell>
          <cell r="S281">
            <v>164.13651569999999</v>
          </cell>
          <cell r="T281">
            <v>164.61511010000001</v>
          </cell>
          <cell r="U281">
            <v>165.257946</v>
          </cell>
          <cell r="V281">
            <v>165.94908530000001</v>
          </cell>
          <cell r="W281">
            <v>166.72131289999999</v>
          </cell>
          <cell r="X281">
            <v>167.62318379999999</v>
          </cell>
          <cell r="Y281">
            <v>168.69692570000001</v>
          </cell>
          <cell r="Z281">
            <v>169.94349349999999</v>
          </cell>
          <cell r="AA281">
            <v>171.46837120000001</v>
          </cell>
          <cell r="AB281">
            <v>173.3027147</v>
          </cell>
          <cell r="AC281">
            <v>175.47361710000001</v>
          </cell>
          <cell r="AD281">
            <v>177.9999028</v>
          </cell>
          <cell r="AE281">
            <v>180.7815444</v>
          </cell>
          <cell r="AF281">
            <v>183.97043790000001</v>
          </cell>
          <cell r="AG281">
            <v>187.62290100000001</v>
          </cell>
          <cell r="AH281">
            <v>191.77181580000001</v>
          </cell>
          <cell r="AI281">
            <v>196.41792140000001</v>
          </cell>
          <cell r="AJ281">
            <v>201.55329900000001</v>
          </cell>
          <cell r="AK281">
            <v>207.19316180000001</v>
          </cell>
          <cell r="AL281">
            <v>213.38371269999999</v>
          </cell>
          <cell r="AM281">
            <v>220.1988532</v>
          </cell>
          <cell r="AN281">
            <v>227.7620173</v>
          </cell>
          <cell r="AO281">
            <v>236.28394449999999</v>
          </cell>
        </row>
        <row r="282">
          <cell r="E282" t="str">
            <v>CF_toe_ccoa_2</v>
          </cell>
          <cell r="F282">
            <v>5.4028819029999999</v>
          </cell>
          <cell r="G282">
            <v>5.4011148279999999</v>
          </cell>
          <cell r="H282">
            <v>5.395820273</v>
          </cell>
          <cell r="I282">
            <v>5.3712028519999997</v>
          </cell>
          <cell r="J282">
            <v>5.3828505409999998</v>
          </cell>
          <cell r="K282">
            <v>5.4222657830000003</v>
          </cell>
          <cell r="L282">
            <v>5.4788150089999998</v>
          </cell>
          <cell r="M282">
            <v>5.3372403610000001</v>
          </cell>
          <cell r="N282">
            <v>5.1691072900000004</v>
          </cell>
          <cell r="O282">
            <v>5.0323781319999998</v>
          </cell>
          <cell r="P282">
            <v>4.9079325039999997</v>
          </cell>
          <cell r="Q282">
            <v>4.820390572</v>
          </cell>
          <cell r="R282">
            <v>4.7548020629999996</v>
          </cell>
          <cell r="S282">
            <v>4.7001749100000003</v>
          </cell>
          <cell r="T282">
            <v>4.6568955619999999</v>
          </cell>
          <cell r="U282">
            <v>4.6251161889999999</v>
          </cell>
          <cell r="V282">
            <v>4.5916777140000002</v>
          </cell>
          <cell r="W282">
            <v>4.5610622469999997</v>
          </cell>
          <cell r="X282">
            <v>4.5369059580000002</v>
          </cell>
          <cell r="Y282">
            <v>4.5211511409999998</v>
          </cell>
          <cell r="Z282">
            <v>4.5145698620000001</v>
          </cell>
          <cell r="AA282">
            <v>4.5187627370000003</v>
          </cell>
          <cell r="AB282">
            <v>4.5347587230000004</v>
          </cell>
          <cell r="AC282">
            <v>4.5628346830000002</v>
          </cell>
          <cell r="AD282">
            <v>4.602631573</v>
          </cell>
          <cell r="AE282">
            <v>4.6524015070000004</v>
          </cell>
          <cell r="AF282">
            <v>4.7132129960000002</v>
          </cell>
          <cell r="AG282">
            <v>4.78674278</v>
          </cell>
          <cell r="AH282">
            <v>4.8729278750000002</v>
          </cell>
          <cell r="AI282">
            <v>4.9701131360000002</v>
          </cell>
          <cell r="AJ282">
            <v>5.0762421880000002</v>
          </cell>
          <cell r="AK282">
            <v>5.1901367770000002</v>
          </cell>
          <cell r="AL282">
            <v>5.3115071240000002</v>
          </cell>
          <cell r="AM282">
            <v>5.4403382560000004</v>
          </cell>
          <cell r="AN282">
            <v>5.5771703290000003</v>
          </cell>
          <cell r="AO282">
            <v>5.7234461330000004</v>
          </cell>
        </row>
        <row r="285">
          <cell r="E285" t="str">
            <v>CF_toe_ccoi_2</v>
          </cell>
          <cell r="F285">
            <v>8.3953620399999998E-2</v>
          </cell>
          <cell r="G285">
            <v>8.3997829100000004E-2</v>
          </cell>
          <cell r="H285">
            <v>8.3941880900000002E-2</v>
          </cell>
          <cell r="I285">
            <v>8.3645996099999995E-2</v>
          </cell>
          <cell r="J285">
            <v>8.3822487200000004E-2</v>
          </cell>
          <cell r="K285">
            <v>8.4387731399999999E-2</v>
          </cell>
          <cell r="L285">
            <v>8.5057577400000001E-2</v>
          </cell>
          <cell r="M285">
            <v>8.3326416400000006E-2</v>
          </cell>
          <cell r="N285">
            <v>8.1193401100000007E-2</v>
          </cell>
          <cell r="O285">
            <v>7.9444265799999997E-2</v>
          </cell>
          <cell r="P285">
            <v>7.7916658799999997E-2</v>
          </cell>
          <cell r="Q285">
            <v>7.6896169099999995E-2</v>
          </cell>
          <cell r="R285">
            <v>7.6185878999999998E-2</v>
          </cell>
          <cell r="S285">
            <v>7.5622913900000005E-2</v>
          </cell>
          <cell r="T285">
            <v>7.5194069500000002E-2</v>
          </cell>
          <cell r="U285">
            <v>7.4892576299999999E-2</v>
          </cell>
          <cell r="V285">
            <v>7.4667225500000003E-2</v>
          </cell>
          <cell r="W285">
            <v>7.4522814399999998E-2</v>
          </cell>
          <cell r="X285">
            <v>7.4484249500000002E-2</v>
          </cell>
          <cell r="Y285">
            <v>7.4570494700000003E-2</v>
          </cell>
          <cell r="Z285">
            <v>7.4784724699999999E-2</v>
          </cell>
          <cell r="AA285">
            <v>7.5165837099999994E-2</v>
          </cell>
          <cell r="AB285">
            <v>7.5731636099999999E-2</v>
          </cell>
          <cell r="AC285">
            <v>7.6492220499999999E-2</v>
          </cell>
          <cell r="AD285">
            <v>7.7449105300000001E-2</v>
          </cell>
          <cell r="AE285">
            <v>7.8563729299999996E-2</v>
          </cell>
          <cell r="AF285">
            <v>7.9886553900000004E-2</v>
          </cell>
          <cell r="AG285">
            <v>8.1449763199999997E-2</v>
          </cell>
          <cell r="AH285">
            <v>8.3264936900000003E-2</v>
          </cell>
          <cell r="AI285">
            <v>8.5319677900000002E-2</v>
          </cell>
          <cell r="AJ285">
            <v>8.7594800200000003E-2</v>
          </cell>
          <cell r="AK285">
            <v>9.0086375199999999E-2</v>
          </cell>
          <cell r="AL285">
            <v>9.2809578899999995E-2</v>
          </cell>
          <cell r="AM285">
            <v>9.5792723999999996E-2</v>
          </cell>
          <cell r="AN285">
            <v>9.9089831099999998E-2</v>
          </cell>
          <cell r="AO285">
            <v>0.10280218319999999</v>
          </cell>
        </row>
        <row r="288">
          <cell r="E288" t="str">
            <v>CF_toe_cfut_2</v>
          </cell>
          <cell r="F288">
            <v>47.250386450000001</v>
          </cell>
          <cell r="G288">
            <v>47.318438120000003</v>
          </cell>
          <cell r="H288">
            <v>47.339131989999998</v>
          </cell>
          <cell r="I288">
            <v>47.395623479999998</v>
          </cell>
          <cell r="J288">
            <v>47.611719460000003</v>
          </cell>
          <cell r="K288">
            <v>47.969931979999998</v>
          </cell>
          <cell r="L288">
            <v>48.42195925</v>
          </cell>
          <cell r="M288">
            <v>48.495967550000003</v>
          </cell>
          <cell r="N288">
            <v>48.491102619999999</v>
          </cell>
          <cell r="O288">
            <v>48.601059599999999</v>
          </cell>
          <cell r="P288">
            <v>48.773655310000002</v>
          </cell>
          <cell r="Q288">
            <v>49.047390640000003</v>
          </cell>
          <cell r="R288">
            <v>49.386903539999999</v>
          </cell>
          <cell r="S288">
            <v>49.750723919999999</v>
          </cell>
          <cell r="T288">
            <v>50.135980400000001</v>
          </cell>
          <cell r="U288">
            <v>50.540775349999997</v>
          </cell>
          <cell r="V288">
            <v>50.935818300000001</v>
          </cell>
          <cell r="W288">
            <v>51.3329314</v>
          </cell>
          <cell r="X288">
            <v>51.747836569999997</v>
          </cell>
          <cell r="Y288">
            <v>52.192895839999998</v>
          </cell>
          <cell r="Z288">
            <v>52.67117322</v>
          </cell>
          <cell r="AA288">
            <v>53.203580209999998</v>
          </cell>
          <cell r="AB288">
            <v>53.801557520000003</v>
          </cell>
          <cell r="AC288">
            <v>54.474115830000002</v>
          </cell>
          <cell r="AD288">
            <v>55.227260469999997</v>
          </cell>
          <cell r="AE288">
            <v>56.044135249999997</v>
          </cell>
          <cell r="AF288">
            <v>56.954143770000002</v>
          </cell>
          <cell r="AG288">
            <v>57.97515903</v>
          </cell>
          <cell r="AH288">
            <v>59.120256779999998</v>
          </cell>
          <cell r="AI288">
            <v>60.395306009999999</v>
          </cell>
          <cell r="AJ288">
            <v>61.803795649999998</v>
          </cell>
          <cell r="AK288">
            <v>63.354798459999998</v>
          </cell>
          <cell r="AL288">
            <v>65.065730669999994</v>
          </cell>
          <cell r="AM288">
            <v>66.962226290000004</v>
          </cell>
          <cell r="AN288">
            <v>69.084839880000004</v>
          </cell>
          <cell r="AO288">
            <v>71.50076722</v>
          </cell>
        </row>
        <row r="291">
          <cell r="E291" t="str">
            <v>CF_toe_cfuh_2</v>
          </cell>
          <cell r="F291">
            <v>14.789342299999999</v>
          </cell>
          <cell r="G291">
            <v>14.82761024</v>
          </cell>
          <cell r="H291">
            <v>14.84633943</v>
          </cell>
          <cell r="I291">
            <v>14.849404209999999</v>
          </cell>
          <cell r="J291">
            <v>14.889166100000001</v>
          </cell>
          <cell r="K291">
            <v>14.959936539999999</v>
          </cell>
          <cell r="L291">
            <v>15.045414750000001</v>
          </cell>
          <cell r="M291">
            <v>14.94999922</v>
          </cell>
          <cell r="N291">
            <v>14.803646240000001</v>
          </cell>
          <cell r="O291">
            <v>14.65127788</v>
          </cell>
          <cell r="P291">
            <v>14.48342222</v>
          </cell>
          <cell r="Q291">
            <v>14.330409080000001</v>
          </cell>
          <cell r="R291">
            <v>14.19922229</v>
          </cell>
          <cell r="S291">
            <v>14.09121038</v>
          </cell>
          <cell r="T291">
            <v>14.011991800000001</v>
          </cell>
          <cell r="U291">
            <v>13.962851260000001</v>
          </cell>
          <cell r="V291">
            <v>13.93449702</v>
          </cell>
          <cell r="W291">
            <v>13.92594354</v>
          </cell>
          <cell r="X291">
            <v>13.937282420000001</v>
          </cell>
          <cell r="Y291">
            <v>13.96947306</v>
          </cell>
          <cell r="Z291">
            <v>14.02031103</v>
          </cell>
          <cell r="AA291">
            <v>14.098970339999999</v>
          </cell>
          <cell r="AB291">
            <v>14.20655829</v>
          </cell>
          <cell r="AC291">
            <v>14.34519225</v>
          </cell>
          <cell r="AD291">
            <v>14.51666747</v>
          </cell>
          <cell r="AE291">
            <v>14.71041943</v>
          </cell>
          <cell r="AF291">
            <v>14.94147757</v>
          </cell>
          <cell r="AG291">
            <v>15.213194120000001</v>
          </cell>
          <cell r="AH291">
            <v>15.52852996</v>
          </cell>
          <cell r="AI291">
            <v>15.888617310000001</v>
          </cell>
          <cell r="AJ291">
            <v>16.294026129999999</v>
          </cell>
          <cell r="AK291">
            <v>16.746719129999999</v>
          </cell>
          <cell r="AL291">
            <v>17.25108329</v>
          </cell>
          <cell r="AM291">
            <v>17.814575040000001</v>
          </cell>
          <cell r="AN291">
            <v>18.449387959999999</v>
          </cell>
          <cell r="AO291">
            <v>19.175818700000001</v>
          </cell>
        </row>
        <row r="293">
          <cell r="E293" t="str">
            <v>CF_toe_cgas_2</v>
          </cell>
          <cell r="F293">
            <v>34.131798230000001</v>
          </cell>
          <cell r="G293">
            <v>33.809733469999998</v>
          </cell>
          <cell r="H293">
            <v>33.496928359999998</v>
          </cell>
          <cell r="I293">
            <v>33.086331809999997</v>
          </cell>
          <cell r="J293">
            <v>32.972736660000002</v>
          </cell>
          <cell r="K293">
            <v>33.039193529999999</v>
          </cell>
          <cell r="L293">
            <v>33.242291440000002</v>
          </cell>
          <cell r="M293">
            <v>32.281771710000001</v>
          </cell>
          <cell r="N293">
            <v>31.346923109999999</v>
          </cell>
          <cell r="O293">
            <v>30.623508399999999</v>
          </cell>
          <cell r="P293">
            <v>30.057081119999999</v>
          </cell>
          <cell r="Q293">
            <v>29.785782520000001</v>
          </cell>
          <cell r="R293">
            <v>29.679458199999999</v>
          </cell>
          <cell r="S293">
            <v>29.662281249999999</v>
          </cell>
          <cell r="T293">
            <v>29.715080589999999</v>
          </cell>
          <cell r="U293">
            <v>29.829735540000001</v>
          </cell>
          <cell r="V293">
            <v>29.903157190000002</v>
          </cell>
          <cell r="W293">
            <v>29.979263769999999</v>
          </cell>
          <cell r="X293">
            <v>30.08637242</v>
          </cell>
          <cell r="Y293">
            <v>30.241455500000001</v>
          </cell>
          <cell r="Z293">
            <v>30.44757714</v>
          </cell>
          <cell r="AA293">
            <v>30.730147760000001</v>
          </cell>
          <cell r="AB293">
            <v>31.092104339999999</v>
          </cell>
          <cell r="AC293">
            <v>31.53797294</v>
          </cell>
          <cell r="AD293">
            <v>32.073453110000003</v>
          </cell>
          <cell r="AE293">
            <v>32.678968619999999</v>
          </cell>
          <cell r="AF293">
            <v>33.393336679999997</v>
          </cell>
          <cell r="AG293">
            <v>34.232405059999998</v>
          </cell>
          <cell r="AH293">
            <v>35.210232009999999</v>
          </cell>
          <cell r="AI293">
            <v>36.337597440000003</v>
          </cell>
          <cell r="AJ293">
            <v>37.626735150000002</v>
          </cell>
          <cell r="AK293">
            <v>39.097888279999999</v>
          </cell>
          <cell r="AL293">
            <v>40.782793789999999</v>
          </cell>
          <cell r="AM293">
            <v>42.727602599999997</v>
          </cell>
          <cell r="AN293">
            <v>45.001932449999998</v>
          </cell>
          <cell r="AO293">
            <v>47.715956339999998</v>
          </cell>
        </row>
        <row r="299">
          <cell r="E299" t="str">
            <v>CF_toe_cele_2</v>
          </cell>
          <cell r="F299">
            <v>38.0292125</v>
          </cell>
          <cell r="G299">
            <v>38.462350219999998</v>
          </cell>
          <cell r="H299">
            <v>38.841756619999998</v>
          </cell>
          <cell r="I299">
            <v>39.260083620000003</v>
          </cell>
          <cell r="J299">
            <v>39.613090470000003</v>
          </cell>
          <cell r="K299">
            <v>39.970482369999999</v>
          </cell>
          <cell r="L299">
            <v>40.346919069999998</v>
          </cell>
          <cell r="M299">
            <v>41.050759460000002</v>
          </cell>
          <cell r="N299">
            <v>41.670909600000002</v>
          </cell>
          <cell r="O299">
            <v>42.314375679999998</v>
          </cell>
          <cell r="P299">
            <v>42.903872380000003</v>
          </cell>
          <cell r="Q299">
            <v>43.292696059999997</v>
          </cell>
          <cell r="R299">
            <v>43.578066560000003</v>
          </cell>
          <cell r="S299">
            <v>43.801578169999999</v>
          </cell>
          <cell r="T299">
            <v>44.011471110000002</v>
          </cell>
          <cell r="U299">
            <v>44.234809310000003</v>
          </cell>
          <cell r="V299">
            <v>44.52685486</v>
          </cell>
          <cell r="W299">
            <v>44.857079830000004</v>
          </cell>
          <cell r="X299">
            <v>45.219316030000002</v>
          </cell>
          <cell r="Y299">
            <v>45.61839372</v>
          </cell>
          <cell r="Z299">
            <v>46.053242650000001</v>
          </cell>
          <cell r="AA299">
            <v>46.555552560000002</v>
          </cell>
          <cell r="AB299">
            <v>47.13676177</v>
          </cell>
          <cell r="AC299">
            <v>47.80602931</v>
          </cell>
          <cell r="AD299">
            <v>48.5689159</v>
          </cell>
          <cell r="AE299">
            <v>49.395021200000002</v>
          </cell>
          <cell r="AF299">
            <v>50.327603629999999</v>
          </cell>
          <cell r="AG299">
            <v>51.378159119999999</v>
          </cell>
          <cell r="AH299">
            <v>52.549122629999999</v>
          </cell>
          <cell r="AI299">
            <v>53.83101319</v>
          </cell>
          <cell r="AJ299">
            <v>55.209542810000002</v>
          </cell>
          <cell r="AK299">
            <v>56.674654779999997</v>
          </cell>
          <cell r="AL299">
            <v>58.221471940000001</v>
          </cell>
          <cell r="AM299">
            <v>59.846244890000001</v>
          </cell>
          <cell r="AN299">
            <v>61.549482429999998</v>
          </cell>
          <cell r="AO299">
            <v>63.340285979999997</v>
          </cell>
        </row>
        <row r="309">
          <cell r="E309" t="str">
            <v>CF_toe_chea_2</v>
          </cell>
          <cell r="F309">
            <v>5.1300730300000001</v>
          </cell>
          <cell r="G309">
            <v>5.1781325770000004</v>
          </cell>
          <cell r="H309">
            <v>5.2244954049999999</v>
          </cell>
          <cell r="I309">
            <v>5.2675153830000001</v>
          </cell>
          <cell r="J309">
            <v>5.3128333310000002</v>
          </cell>
          <cell r="K309">
            <v>5.3657193220000003</v>
          </cell>
          <cell r="L309">
            <v>5.4226432139999998</v>
          </cell>
          <cell r="M309">
            <v>5.4538692470000001</v>
          </cell>
          <cell r="N309">
            <v>5.4721047020000002</v>
          </cell>
          <cell r="O309">
            <v>5.5109534040000003</v>
          </cell>
          <cell r="P309">
            <v>5.5714651079999999</v>
          </cell>
          <cell r="Q309">
            <v>5.6403521039999998</v>
          </cell>
          <cell r="R309">
            <v>5.7165535260000002</v>
          </cell>
          <cell r="S309">
            <v>5.7941576359999996</v>
          </cell>
          <cell r="T309">
            <v>5.8714557640000002</v>
          </cell>
          <cell r="U309">
            <v>5.9477946460000002</v>
          </cell>
          <cell r="V309">
            <v>6.0205144160000001</v>
          </cell>
          <cell r="W309">
            <v>6.087651342</v>
          </cell>
          <cell r="X309">
            <v>6.1506588249999998</v>
          </cell>
          <cell r="Y309">
            <v>6.2116380680000001</v>
          </cell>
          <cell r="Z309">
            <v>6.2686080820000001</v>
          </cell>
          <cell r="AA309">
            <v>6.3302060310000003</v>
          </cell>
          <cell r="AB309">
            <v>6.3970602000000003</v>
          </cell>
          <cell r="AC309">
            <v>6.4702376309999998</v>
          </cell>
          <cell r="AD309">
            <v>6.5508270770000001</v>
          </cell>
          <cell r="AE309">
            <v>6.6284740869999998</v>
          </cell>
          <cell r="AF309">
            <v>6.7174832550000003</v>
          </cell>
          <cell r="AG309">
            <v>6.8187260490000003</v>
          </cell>
          <cell r="AH309">
            <v>6.9328353030000001</v>
          </cell>
          <cell r="AI309">
            <v>7.0597545720000001</v>
          </cell>
          <cell r="AJ309">
            <v>7.199243976</v>
          </cell>
          <cell r="AK309">
            <v>7.3515041490000002</v>
          </cell>
          <cell r="AL309">
            <v>7.5168013709999997</v>
          </cell>
          <cell r="AM309">
            <v>7.695781932</v>
          </cell>
          <cell r="AN309">
            <v>7.889893518</v>
          </cell>
          <cell r="AO309">
            <v>8.1016337780000001</v>
          </cell>
        </row>
        <row r="311">
          <cell r="E311" t="str">
            <v>CF_toe_cbio_2</v>
          </cell>
          <cell r="F311">
            <v>8.1755841379999996</v>
          </cell>
          <cell r="G311">
            <v>8.0946882969999994</v>
          </cell>
          <cell r="H311">
            <v>8.0074133159999992</v>
          </cell>
          <cell r="I311">
            <v>7.9060003959999996</v>
          </cell>
          <cell r="J311">
            <v>7.8501549910000001</v>
          </cell>
          <cell r="K311">
            <v>7.8214753180000001</v>
          </cell>
          <cell r="L311">
            <v>7.8081368189999996</v>
          </cell>
          <cell r="M311">
            <v>7.6135511219999996</v>
          </cell>
          <cell r="N311">
            <v>7.389891972</v>
          </cell>
          <cell r="O311">
            <v>7.1391145109999998</v>
          </cell>
          <cell r="P311">
            <v>6.8627466190000002</v>
          </cell>
          <cell r="Q311">
            <v>6.6043935710000001</v>
          </cell>
          <cell r="R311">
            <v>6.36402965</v>
          </cell>
          <cell r="S311">
            <v>6.1458410649999999</v>
          </cell>
          <cell r="T311">
            <v>5.9531338419999997</v>
          </cell>
          <cell r="U311">
            <v>5.7857110299999999</v>
          </cell>
          <cell r="V311">
            <v>5.6247267479999996</v>
          </cell>
          <cell r="W311">
            <v>5.474231219</v>
          </cell>
          <cell r="X311">
            <v>5.3353041809999997</v>
          </cell>
          <cell r="Y311">
            <v>5.2086167999999997</v>
          </cell>
          <cell r="Z311">
            <v>5.0927694130000001</v>
          </cell>
          <cell r="AA311">
            <v>4.9918032820000002</v>
          </cell>
          <cell r="AB311">
            <v>4.9055755359999997</v>
          </cell>
          <cell r="AC311">
            <v>4.8339269519999997</v>
          </cell>
          <cell r="AD311">
            <v>4.7765474980000002</v>
          </cell>
          <cell r="AE311">
            <v>4.7273723470000002</v>
          </cell>
          <cell r="AF311">
            <v>4.6924715409999997</v>
          </cell>
          <cell r="AG311">
            <v>4.6714697269999998</v>
          </cell>
          <cell r="AH311">
            <v>4.6636199979999997</v>
          </cell>
          <cell r="AI311">
            <v>4.6677183729999996</v>
          </cell>
          <cell r="AJ311">
            <v>4.6824423069999996</v>
          </cell>
          <cell r="AK311">
            <v>4.7067814339999998</v>
          </cell>
          <cell r="AL311">
            <v>4.7400532650000002</v>
          </cell>
          <cell r="AM311">
            <v>4.7817081540000004</v>
          </cell>
          <cell r="AN311">
            <v>4.831500922</v>
          </cell>
          <cell r="AO311">
            <v>4.8896338349999997</v>
          </cell>
        </row>
        <row r="314">
          <cell r="E314" t="str">
            <v>CF_toe_cote_2</v>
          </cell>
          <cell r="F314">
            <v>8.7010457809999995</v>
          </cell>
          <cell r="G314">
            <v>8.8242501359999999</v>
          </cell>
          <cell r="H314">
            <v>8.9532360220000005</v>
          </cell>
          <cell r="I314">
            <v>9.0818786970000005</v>
          </cell>
          <cell r="J314">
            <v>9.2211666650000002</v>
          </cell>
          <cell r="K314">
            <v>9.3724612179999998</v>
          </cell>
          <cell r="L314">
            <v>9.5312592239999994</v>
          </cell>
          <cell r="M314">
            <v>9.5957573010000008</v>
          </cell>
          <cell r="N314">
            <v>9.6401113029999994</v>
          </cell>
          <cell r="O314">
            <v>9.7416983389999992</v>
          </cell>
          <cell r="P314">
            <v>9.8461582669999999</v>
          </cell>
          <cell r="Q314">
            <v>9.9488183540000001</v>
          </cell>
          <cell r="R314">
            <v>10.040904469999999</v>
          </cell>
          <cell r="S314">
            <v>10.11492541</v>
          </cell>
          <cell r="T314">
            <v>10.183906990000001</v>
          </cell>
          <cell r="U314">
            <v>10.2562601</v>
          </cell>
          <cell r="V314">
            <v>10.337171789999999</v>
          </cell>
          <cell r="W314">
            <v>10.42862673</v>
          </cell>
          <cell r="X314">
            <v>10.535023170000001</v>
          </cell>
          <cell r="Y314">
            <v>10.65873109</v>
          </cell>
          <cell r="Z314">
            <v>10.80045737</v>
          </cell>
          <cell r="AA314">
            <v>10.964182470000001</v>
          </cell>
          <cell r="AB314">
            <v>11.15260674</v>
          </cell>
          <cell r="AC314">
            <v>11.366815259999999</v>
          </cell>
          <cell r="AD314">
            <v>11.60615056</v>
          </cell>
          <cell r="AE314">
            <v>11.8661882</v>
          </cell>
          <cell r="AF314">
            <v>12.15082194</v>
          </cell>
          <cell r="AG314">
            <v>12.46559534</v>
          </cell>
          <cell r="AH314">
            <v>12.8110263</v>
          </cell>
          <cell r="AI314">
            <v>13.182481640000001</v>
          </cell>
          <cell r="AJ314">
            <v>13.57367601</v>
          </cell>
          <cell r="AK314">
            <v>13.98059239</v>
          </cell>
          <cell r="AL314">
            <v>14.401461640000001</v>
          </cell>
          <cell r="AM314">
            <v>14.83458327</v>
          </cell>
          <cell r="AN314">
            <v>15.27871996</v>
          </cell>
          <cell r="AO314">
            <v>15.733600300000001</v>
          </cell>
        </row>
        <row r="317">
          <cell r="E317" t="str">
            <v>CF_toe_0</v>
          </cell>
          <cell r="F317">
            <v>161.694278</v>
          </cell>
          <cell r="G317">
            <v>162.000316</v>
          </cell>
          <cell r="H317">
            <v>162.18906369999999</v>
          </cell>
          <cell r="I317">
            <v>162.30168699999999</v>
          </cell>
          <cell r="J317">
            <v>162.93754139999999</v>
          </cell>
          <cell r="K317">
            <v>164.0058545</v>
          </cell>
          <cell r="L317">
            <v>165.0498135</v>
          </cell>
          <cell r="M317">
            <v>166.06860320000001</v>
          </cell>
          <cell r="N317">
            <v>167.06642500000001</v>
          </cell>
          <cell r="O317">
            <v>168.0586801</v>
          </cell>
          <cell r="P317">
            <v>169.12673620000001</v>
          </cell>
          <cell r="Q317">
            <v>170.18294209999999</v>
          </cell>
          <cell r="R317">
            <v>171.20516799999999</v>
          </cell>
          <cell r="S317">
            <v>172.10490010000001</v>
          </cell>
          <cell r="T317">
            <v>172.92613990000001</v>
          </cell>
          <cell r="U317">
            <v>173.7267803</v>
          </cell>
          <cell r="V317">
            <v>174.7668334</v>
          </cell>
          <cell r="W317">
            <v>176.06237519999999</v>
          </cell>
          <cell r="X317">
            <v>177.62062169999999</v>
          </cell>
          <cell r="Y317">
            <v>179.4376374</v>
          </cell>
          <cell r="Z317">
            <v>181.47009890000001</v>
          </cell>
          <cell r="AA317">
            <v>183.78562059999999</v>
          </cell>
          <cell r="AB317">
            <v>186.39391409999999</v>
          </cell>
          <cell r="AC317">
            <v>189.3086011</v>
          </cell>
          <cell r="AD317">
            <v>192.52955030000001</v>
          </cell>
          <cell r="AE317">
            <v>195.93044069999999</v>
          </cell>
          <cell r="AF317">
            <v>199.6369555</v>
          </cell>
          <cell r="AG317">
            <v>203.65994449999999</v>
          </cell>
          <cell r="AH317">
            <v>208.0019638</v>
          </cell>
          <cell r="AI317">
            <v>212.62712970000001</v>
          </cell>
          <cell r="AJ317">
            <v>217.47857920000001</v>
          </cell>
          <cell r="AK317">
            <v>222.5012045</v>
          </cell>
          <cell r="AL317">
            <v>227.6480013</v>
          </cell>
          <cell r="AM317">
            <v>232.87513319999999</v>
          </cell>
          <cell r="AN317">
            <v>238.1392294</v>
          </cell>
          <cell r="AO317">
            <v>243.3964407</v>
          </cell>
        </row>
        <row r="318">
          <cell r="E318" t="str">
            <v>CF_toe_ccoa_0</v>
          </cell>
          <cell r="F318">
            <v>5.4028819019999998</v>
          </cell>
          <cell r="G318">
            <v>5.4011148279999999</v>
          </cell>
          <cell r="H318">
            <v>5.395820273</v>
          </cell>
          <cell r="I318">
            <v>5.3712028519999997</v>
          </cell>
          <cell r="J318">
            <v>5.3828505409999998</v>
          </cell>
          <cell r="K318">
            <v>5.4222657830000003</v>
          </cell>
          <cell r="L318">
            <v>5.4715862</v>
          </cell>
          <cell r="M318">
            <v>5.5218077379999997</v>
          </cell>
          <cell r="N318">
            <v>5.5699139500000001</v>
          </cell>
          <cell r="O318">
            <v>5.616236411</v>
          </cell>
          <cell r="P318">
            <v>5.663036527</v>
          </cell>
          <cell r="Q318">
            <v>5.7099166600000002</v>
          </cell>
          <cell r="R318">
            <v>5.7547144570000004</v>
          </cell>
          <cell r="S318">
            <v>5.7914030849999998</v>
          </cell>
          <cell r="T318">
            <v>5.8237096150000003</v>
          </cell>
          <cell r="U318">
            <v>5.8559866789999999</v>
          </cell>
          <cell r="V318">
            <v>5.9013405419999998</v>
          </cell>
          <cell r="W318">
            <v>5.9644242050000003</v>
          </cell>
          <cell r="X318">
            <v>6.0465245010000004</v>
          </cell>
          <cell r="Y318">
            <v>6.1469367019999996</v>
          </cell>
          <cell r="Z318">
            <v>6.2640442570000001</v>
          </cell>
          <cell r="AA318">
            <v>6.3978917019999999</v>
          </cell>
          <cell r="AB318">
            <v>6.5485544349999998</v>
          </cell>
          <cell r="AC318">
            <v>6.7158902710000001</v>
          </cell>
          <cell r="AD318">
            <v>6.8991325200000002</v>
          </cell>
          <cell r="AE318">
            <v>7.0956642040000002</v>
          </cell>
          <cell r="AF318">
            <v>7.3070475439999996</v>
          </cell>
          <cell r="AG318">
            <v>7.5344191680000003</v>
          </cell>
          <cell r="AH318">
            <v>7.7779344420000003</v>
          </cell>
          <cell r="AI318">
            <v>8.0351895649999996</v>
          </cell>
          <cell r="AJ318">
            <v>8.3026826630000006</v>
          </cell>
          <cell r="AK318">
            <v>8.5775104320000004</v>
          </cell>
          <cell r="AL318">
            <v>8.8576197489999995</v>
          </cell>
          <cell r="AM318">
            <v>9.1412875329999999</v>
          </cell>
          <cell r="AN318">
            <v>9.4268527439999996</v>
          </cell>
          <cell r="AO318">
            <v>9.712601523</v>
          </cell>
        </row>
        <row r="321">
          <cell r="E321" t="str">
            <v>CF_toe_ccoi_0</v>
          </cell>
          <cell r="F321">
            <v>8.3953620399999998E-2</v>
          </cell>
          <cell r="G321">
            <v>8.3997829100000004E-2</v>
          </cell>
          <cell r="H321">
            <v>8.3941880999999996E-2</v>
          </cell>
          <cell r="I321">
            <v>8.3645996200000003E-2</v>
          </cell>
          <cell r="J321">
            <v>8.3822487299999998E-2</v>
          </cell>
          <cell r="K321">
            <v>8.4387731499999993E-2</v>
          </cell>
          <cell r="L321">
            <v>8.4625568600000006E-2</v>
          </cell>
          <cell r="M321">
            <v>8.4644958800000003E-2</v>
          </cell>
          <cell r="N321">
            <v>8.4528113500000002E-2</v>
          </cell>
          <cell r="O321">
            <v>8.4342676399999997E-2</v>
          </cell>
          <cell r="P321">
            <v>8.4167297500000002E-2</v>
          </cell>
          <cell r="Q321">
            <v>8.3989609899999998E-2</v>
          </cell>
          <cell r="R321">
            <v>8.38014017E-2</v>
          </cell>
          <cell r="S321">
            <v>8.3537291999999999E-2</v>
          </cell>
          <cell r="T321">
            <v>8.3234589900000003E-2</v>
          </cell>
          <cell r="U321">
            <v>8.2938958600000001E-2</v>
          </cell>
          <cell r="V321">
            <v>8.3030955000000004E-2</v>
          </cell>
          <cell r="W321">
            <v>8.3448517E-2</v>
          </cell>
          <cell r="X321">
            <v>8.41525095E-2</v>
          </cell>
          <cell r="Y321">
            <v>8.5113054800000004E-2</v>
          </cell>
          <cell r="Z321">
            <v>8.6294193899999996E-2</v>
          </cell>
          <cell r="AA321">
            <v>8.7712574299999999E-2</v>
          </cell>
          <cell r="AB321">
            <v>8.9366777699999997E-2</v>
          </cell>
          <cell r="AC321">
            <v>9.1257961200000001E-2</v>
          </cell>
          <cell r="AD321">
            <v>9.3382097999999997E-2</v>
          </cell>
          <cell r="AE321">
            <v>9.5684644299999996E-2</v>
          </cell>
          <cell r="AF321">
            <v>9.8220225699999997E-2</v>
          </cell>
          <cell r="AG321">
            <v>0.1010006204</v>
          </cell>
          <cell r="AH321">
            <v>0.1040304718</v>
          </cell>
          <cell r="AI321">
            <v>0.10728617109999999</v>
          </cell>
          <cell r="AJ321">
            <v>0.1107280274</v>
          </cell>
          <cell r="AK321">
            <v>0.1143176018</v>
          </cell>
          <cell r="AL321">
            <v>0.1180214616</v>
          </cell>
          <cell r="AM321">
            <v>0.1218071806</v>
          </cell>
          <cell r="AN321">
            <v>0.12564151500000001</v>
          </cell>
          <cell r="AO321">
            <v>0.12948968429999999</v>
          </cell>
        </row>
        <row r="324">
          <cell r="E324" t="str">
            <v>CF_toe_cfut_0</v>
          </cell>
          <cell r="F324">
            <v>47.250386450000001</v>
          </cell>
          <cell r="G324">
            <v>47.318438110000002</v>
          </cell>
          <cell r="H324">
            <v>47.339131979999998</v>
          </cell>
          <cell r="I324">
            <v>47.395623469999997</v>
          </cell>
          <cell r="J324">
            <v>47.611719440000002</v>
          </cell>
          <cell r="K324">
            <v>47.969931959999997</v>
          </cell>
          <cell r="L324">
            <v>48.405640269999999</v>
          </cell>
          <cell r="M324">
            <v>48.87308659</v>
          </cell>
          <cell r="N324">
            <v>49.349075720000002</v>
          </cell>
          <cell r="O324">
            <v>49.826081330000001</v>
          </cell>
          <cell r="P324">
            <v>50.316250510000003</v>
          </cell>
          <cell r="Q324">
            <v>50.805765520000001</v>
          </cell>
          <cell r="R324">
            <v>51.287033510000001</v>
          </cell>
          <cell r="S324">
            <v>51.736054520000003</v>
          </cell>
          <cell r="T324">
            <v>52.160164860000002</v>
          </cell>
          <cell r="U324">
            <v>52.570558030000001</v>
          </cell>
          <cell r="V324">
            <v>53.002312330000002</v>
          </cell>
          <cell r="W324">
            <v>53.481523619999997</v>
          </cell>
          <cell r="X324">
            <v>54.019670720000001</v>
          </cell>
          <cell r="Y324">
            <v>54.618662669999999</v>
          </cell>
          <cell r="Z324">
            <v>55.269781530000003</v>
          </cell>
          <cell r="AA324">
            <v>55.984192290000003</v>
          </cell>
          <cell r="AB324">
            <v>56.764893919999999</v>
          </cell>
          <cell r="AC324">
            <v>57.61491813</v>
          </cell>
          <cell r="AD324">
            <v>58.535044020000001</v>
          </cell>
          <cell r="AE324">
            <v>59.501569189999998</v>
          </cell>
          <cell r="AF324">
            <v>60.537055109999997</v>
          </cell>
          <cell r="AG324">
            <v>61.648424339999998</v>
          </cell>
          <cell r="AH324">
            <v>62.839499109999998</v>
          </cell>
          <cell r="AI324">
            <v>64.104411339999999</v>
          </cell>
          <cell r="AJ324">
            <v>65.431247310000003</v>
          </cell>
          <cell r="AK324">
            <v>66.807522559999995</v>
          </cell>
          <cell r="AL324">
            <v>68.221515179999997</v>
          </cell>
          <cell r="AM324">
            <v>69.661154010000004</v>
          </cell>
          <cell r="AN324">
            <v>71.113659870000006</v>
          </cell>
          <cell r="AO324">
            <v>72.565538129999993</v>
          </cell>
        </row>
        <row r="327">
          <cell r="E327" t="str">
            <v>CF_toe_cfuh_0</v>
          </cell>
          <cell r="F327">
            <v>14.789342299999999</v>
          </cell>
          <cell r="G327">
            <v>14.82761024</v>
          </cell>
          <cell r="H327">
            <v>14.84633943</v>
          </cell>
          <cell r="I327">
            <v>14.849404209999999</v>
          </cell>
          <cell r="J327">
            <v>14.889166100000001</v>
          </cell>
          <cell r="K327">
            <v>14.95993653</v>
          </cell>
          <cell r="L327">
            <v>15.031143549999999</v>
          </cell>
          <cell r="M327">
            <v>15.094680909999999</v>
          </cell>
          <cell r="N327">
            <v>15.15104721</v>
          </cell>
          <cell r="O327">
            <v>15.20351604</v>
          </cell>
          <cell r="P327">
            <v>15.261729519999999</v>
          </cell>
          <cell r="Q327">
            <v>15.317566879999999</v>
          </cell>
          <cell r="R327">
            <v>15.370904360000001</v>
          </cell>
          <cell r="S327">
            <v>15.416406609999999</v>
          </cell>
          <cell r="T327">
            <v>15.457038389999999</v>
          </cell>
          <cell r="U327">
            <v>15.496619369999999</v>
          </cell>
          <cell r="V327">
            <v>15.55514219</v>
          </cell>
          <cell r="W327">
            <v>15.638322860000001</v>
          </cell>
          <cell r="X327">
            <v>15.74482731</v>
          </cell>
          <cell r="Y327">
            <v>15.872140740000001</v>
          </cell>
          <cell r="Z327">
            <v>16.01443909</v>
          </cell>
          <cell r="AA327">
            <v>16.178053139999999</v>
          </cell>
          <cell r="AB327">
            <v>16.3634065</v>
          </cell>
          <cell r="AC327">
            <v>16.571682849999998</v>
          </cell>
          <cell r="AD327">
            <v>16.802987569999999</v>
          </cell>
          <cell r="AE327">
            <v>17.044407280000001</v>
          </cell>
          <cell r="AF327">
            <v>17.309058589999999</v>
          </cell>
          <cell r="AG327">
            <v>17.597483910000001</v>
          </cell>
          <cell r="AH327">
            <v>17.909935140000002</v>
          </cell>
          <cell r="AI327">
            <v>18.24424402</v>
          </cell>
          <cell r="AJ327">
            <v>18.596716709999999</v>
          </cell>
          <cell r="AK327">
            <v>18.963496809999999</v>
          </cell>
          <cell r="AL327">
            <v>19.341077389999999</v>
          </cell>
          <cell r="AM327">
            <v>19.72623866</v>
          </cell>
          <cell r="AN327">
            <v>20.1157954</v>
          </cell>
          <cell r="AO327">
            <v>20.506491390000001</v>
          </cell>
        </row>
        <row r="329">
          <cell r="E329" t="str">
            <v>CF_toe_cgas_0</v>
          </cell>
          <cell r="F329">
            <v>34.131798310000001</v>
          </cell>
          <cell r="G329">
            <v>33.809733729999998</v>
          </cell>
          <cell r="H329">
            <v>33.496928779999998</v>
          </cell>
          <cell r="I329">
            <v>33.086332409999997</v>
          </cell>
          <cell r="J329">
            <v>32.972737350000003</v>
          </cell>
          <cell r="K329">
            <v>33.039194270000003</v>
          </cell>
          <cell r="L329">
            <v>32.944399990000001</v>
          </cell>
          <cell r="M329">
            <v>32.764933419999998</v>
          </cell>
          <cell r="N329">
            <v>32.546012210000001</v>
          </cell>
          <cell r="O329">
            <v>32.316818419999997</v>
          </cell>
          <cell r="P329">
            <v>32.108922309999997</v>
          </cell>
          <cell r="Q329">
            <v>31.905415319999999</v>
          </cell>
          <cell r="R329">
            <v>31.707312160000001</v>
          </cell>
          <cell r="S329">
            <v>31.500474480000001</v>
          </cell>
          <cell r="T329">
            <v>31.29366873</v>
          </cell>
          <cell r="U329">
            <v>31.09681857</v>
          </cell>
          <cell r="V329">
            <v>31.07930812</v>
          </cell>
          <cell r="W329">
            <v>31.178408000000001</v>
          </cell>
          <cell r="X329">
            <v>31.36206022</v>
          </cell>
          <cell r="Y329">
            <v>31.61222038</v>
          </cell>
          <cell r="Z329">
            <v>31.910009550000002</v>
          </cell>
          <cell r="AA329">
            <v>32.266691960000003</v>
          </cell>
          <cell r="AB329">
            <v>32.680974620000001</v>
          </cell>
          <cell r="AC329">
            <v>33.154451180000002</v>
          </cell>
          <cell r="AD329">
            <v>33.685983139999998</v>
          </cell>
          <cell r="AE329">
            <v>34.2465264</v>
          </cell>
          <cell r="AF329">
            <v>34.865997180000001</v>
          </cell>
          <cell r="AG329">
            <v>35.545072599999997</v>
          </cell>
          <cell r="AH329">
            <v>36.28418645</v>
          </cell>
          <cell r="AI329">
            <v>37.077849569999998</v>
          </cell>
          <cell r="AJ329">
            <v>37.916829569999997</v>
          </cell>
          <cell r="AK329">
            <v>38.79144265</v>
          </cell>
          <cell r="AL329">
            <v>39.693365370000002</v>
          </cell>
          <cell r="AM329">
            <v>40.61487674</v>
          </cell>
          <cell r="AN329">
            <v>41.548250230000001</v>
          </cell>
          <cell r="AO329">
            <v>42.485502029999999</v>
          </cell>
        </row>
        <row r="335">
          <cell r="E335" t="str">
            <v>CF_toe_cele_0</v>
          </cell>
          <cell r="F335">
            <v>38.029212489999999</v>
          </cell>
          <cell r="G335">
            <v>38.462350209999997</v>
          </cell>
          <cell r="H335">
            <v>38.841756609999997</v>
          </cell>
          <cell r="I335">
            <v>39.260083600000002</v>
          </cell>
          <cell r="J335">
            <v>39.613090450000001</v>
          </cell>
          <cell r="K335">
            <v>39.970482359999998</v>
          </cell>
          <cell r="L335">
            <v>40.365956449999999</v>
          </cell>
          <cell r="M335">
            <v>40.797015170000002</v>
          </cell>
          <cell r="N335">
            <v>41.253622999999997</v>
          </cell>
          <cell r="O335">
            <v>41.725584689999998</v>
          </cell>
          <cell r="P335">
            <v>42.224140310000003</v>
          </cell>
          <cell r="Q335">
            <v>42.718513280000003</v>
          </cell>
          <cell r="R335">
            <v>43.198284200000003</v>
          </cell>
          <cell r="S335">
            <v>43.63831107</v>
          </cell>
          <cell r="T335">
            <v>44.049001279999999</v>
          </cell>
          <cell r="U335">
            <v>44.447142169999999</v>
          </cell>
          <cell r="V335">
            <v>44.830662189999998</v>
          </cell>
          <cell r="W335">
            <v>45.228158020000002</v>
          </cell>
          <cell r="X335">
            <v>45.661762590000002</v>
          </cell>
          <cell r="Y335">
            <v>46.146643089999998</v>
          </cell>
          <cell r="Z335">
            <v>46.68266011</v>
          </cell>
          <cell r="AA335">
            <v>47.296232160000002</v>
          </cell>
          <cell r="AB335">
            <v>47.994755310000002</v>
          </cell>
          <cell r="AC335">
            <v>48.785554570000002</v>
          </cell>
          <cell r="AD335">
            <v>49.671319769999997</v>
          </cell>
          <cell r="AE335">
            <v>50.618507639999997</v>
          </cell>
          <cell r="AF335">
            <v>51.662037089999998</v>
          </cell>
          <cell r="AG335">
            <v>52.802601660000001</v>
          </cell>
          <cell r="AH335">
            <v>54.038906439999998</v>
          </cell>
          <cell r="AI335">
            <v>55.358298079999997</v>
          </cell>
          <cell r="AJ335">
            <v>56.742320280000001</v>
          </cell>
          <cell r="AK335">
            <v>58.173304680000001</v>
          </cell>
          <cell r="AL335">
            <v>59.636128569999997</v>
          </cell>
          <cell r="AM335">
            <v>61.117051619999998</v>
          </cell>
          <cell r="AN335">
            <v>62.603117109999999</v>
          </cell>
          <cell r="AO335">
            <v>64.081938800000003</v>
          </cell>
        </row>
        <row r="345">
          <cell r="E345" t="str">
            <v>CF_toe_chea_0</v>
          </cell>
          <cell r="F345">
            <v>5.1300730310000002</v>
          </cell>
          <cell r="G345">
            <v>5.1781325840000001</v>
          </cell>
          <cell r="H345">
            <v>5.224495417</v>
          </cell>
          <cell r="I345">
            <v>5.267515403</v>
          </cell>
          <cell r="J345">
            <v>5.3128333559999996</v>
          </cell>
          <cell r="K345">
            <v>5.3657193510000001</v>
          </cell>
          <cell r="L345">
            <v>5.413355857</v>
          </cell>
          <cell r="M345">
            <v>5.4556808730000004</v>
          </cell>
          <cell r="N345">
            <v>5.4937268670000003</v>
          </cell>
          <cell r="O345">
            <v>5.5289474360000002</v>
          </cell>
          <cell r="P345">
            <v>5.56906941</v>
          </cell>
          <cell r="Q345">
            <v>5.6049298040000002</v>
          </cell>
          <cell r="R345">
            <v>5.6382128659999999</v>
          </cell>
          <cell r="S345">
            <v>5.6679567899999999</v>
          </cell>
          <cell r="T345">
            <v>5.6956727159999998</v>
          </cell>
          <cell r="U345">
            <v>5.7228986920000002</v>
          </cell>
          <cell r="V345">
            <v>5.7579976459999997</v>
          </cell>
          <cell r="W345">
            <v>5.8022299860000004</v>
          </cell>
          <cell r="X345">
            <v>5.8549184240000001</v>
          </cell>
          <cell r="Y345">
            <v>5.9145774910000002</v>
          </cell>
          <cell r="Z345">
            <v>5.9764890380000004</v>
          </cell>
          <cell r="AA345">
            <v>6.0469978820000003</v>
          </cell>
          <cell r="AB345">
            <v>6.1250981790000001</v>
          </cell>
          <cell r="AC345">
            <v>6.2104508230000004</v>
          </cell>
          <cell r="AD345">
            <v>6.3024724049999996</v>
          </cell>
          <cell r="AE345">
            <v>6.3895296129999997</v>
          </cell>
          <cell r="AF345">
            <v>6.484286494</v>
          </cell>
          <cell r="AG345">
            <v>6.5864203269999999</v>
          </cell>
          <cell r="AH345">
            <v>6.6957513950000003</v>
          </cell>
          <cell r="AI345">
            <v>6.8112850480000002</v>
          </cell>
          <cell r="AJ345">
            <v>6.9316044899999998</v>
          </cell>
          <cell r="AK345">
            <v>7.0553936879999997</v>
          </cell>
          <cell r="AL345">
            <v>7.1815480450000004</v>
          </cell>
          <cell r="AM345">
            <v>7.3090471040000002</v>
          </cell>
          <cell r="AN345">
            <v>7.4368961799999997</v>
          </cell>
          <cell r="AO345">
            <v>7.5641085270000001</v>
          </cell>
        </row>
        <row r="347">
          <cell r="E347" t="str">
            <v>CF_toe_cbio_0</v>
          </cell>
          <cell r="F347">
            <v>8.1755841379999996</v>
          </cell>
          <cell r="G347">
            <v>8.0946882969999994</v>
          </cell>
          <cell r="H347">
            <v>8.0074133169999993</v>
          </cell>
          <cell r="I347">
            <v>7.9060003969999997</v>
          </cell>
          <cell r="J347">
            <v>7.8501549920000002</v>
          </cell>
          <cell r="K347">
            <v>7.8214753190000001</v>
          </cell>
          <cell r="L347">
            <v>7.807181301</v>
          </cell>
          <cell r="M347">
            <v>7.8018011820000002</v>
          </cell>
          <cell r="N347">
            <v>7.8009270160000002</v>
          </cell>
          <cell r="O347">
            <v>7.8025669860000004</v>
          </cell>
          <cell r="P347">
            <v>7.8092036800000004</v>
          </cell>
          <cell r="Q347">
            <v>7.813707387</v>
          </cell>
          <cell r="R347">
            <v>7.8156332810000002</v>
          </cell>
          <cell r="S347">
            <v>7.8138613689999996</v>
          </cell>
          <cell r="T347">
            <v>7.8096882430000001</v>
          </cell>
          <cell r="U347">
            <v>7.804650241</v>
          </cell>
          <cell r="V347">
            <v>7.8005315140000002</v>
          </cell>
          <cell r="W347">
            <v>7.7991262890000002</v>
          </cell>
          <cell r="X347">
            <v>7.8017329560000004</v>
          </cell>
          <cell r="Y347">
            <v>7.8091723320000002</v>
          </cell>
          <cell r="Z347">
            <v>7.819479587</v>
          </cell>
          <cell r="AA347">
            <v>7.8370436000000003</v>
          </cell>
          <cell r="AB347">
            <v>7.8622427640000003</v>
          </cell>
          <cell r="AC347">
            <v>7.8959804839999999</v>
          </cell>
          <cell r="AD347">
            <v>7.9384359470000003</v>
          </cell>
          <cell r="AE347">
            <v>7.9820924670000002</v>
          </cell>
          <cell r="AF347">
            <v>8.0339891560000005</v>
          </cell>
          <cell r="AG347">
            <v>8.0934622399999991</v>
          </cell>
          <cell r="AH347">
            <v>8.1598898179999999</v>
          </cell>
          <cell r="AI347">
            <v>8.2321130989999993</v>
          </cell>
          <cell r="AJ347">
            <v>8.3086827250000006</v>
          </cell>
          <cell r="AK347">
            <v>8.3882394379999994</v>
          </cell>
          <cell r="AL347">
            <v>8.4696847999999996</v>
          </cell>
          <cell r="AM347">
            <v>8.5520577099999997</v>
          </cell>
          <cell r="AN347">
            <v>8.6344680379999996</v>
          </cell>
          <cell r="AO347">
            <v>8.7160667059999994</v>
          </cell>
        </row>
        <row r="350">
          <cell r="E350" t="str">
            <v>CF_toe_cote_0</v>
          </cell>
          <cell r="F350">
            <v>8.7010457809999995</v>
          </cell>
          <cell r="G350">
            <v>8.8242501359999999</v>
          </cell>
          <cell r="H350">
            <v>8.9532360220000005</v>
          </cell>
          <cell r="I350">
            <v>9.0818786970000005</v>
          </cell>
          <cell r="J350">
            <v>9.2211666650000002</v>
          </cell>
          <cell r="K350">
            <v>9.3724612189999998</v>
          </cell>
          <cell r="L350">
            <v>9.5259243159999993</v>
          </cell>
          <cell r="M350">
            <v>9.6749523649999993</v>
          </cell>
          <cell r="N350">
            <v>9.8175709199999996</v>
          </cell>
          <cell r="O350">
            <v>9.9545861070000008</v>
          </cell>
          <cell r="P350">
            <v>10.090216590000001</v>
          </cell>
          <cell r="Q350">
            <v>10.223137599999999</v>
          </cell>
          <cell r="R350">
            <v>10.349271740000001</v>
          </cell>
          <cell r="S350">
            <v>10.45689486</v>
          </cell>
          <cell r="T350">
            <v>10.553961470000001</v>
          </cell>
          <cell r="U350">
            <v>10.649167540000001</v>
          </cell>
          <cell r="V350">
            <v>10.75650791</v>
          </cell>
          <cell r="W350">
            <v>10.88673373</v>
          </cell>
          <cell r="X350">
            <v>11.0449725</v>
          </cell>
          <cell r="Y350">
            <v>11.232170930000001</v>
          </cell>
          <cell r="Z350">
            <v>11.44690157</v>
          </cell>
          <cell r="AA350">
            <v>11.69080525</v>
          </cell>
          <cell r="AB350">
            <v>11.96462163</v>
          </cell>
          <cell r="AC350">
            <v>12.26841482</v>
          </cell>
          <cell r="AD350">
            <v>12.60079283</v>
          </cell>
          <cell r="AE350">
            <v>12.956459260000001</v>
          </cell>
          <cell r="AF350">
            <v>13.33926413</v>
          </cell>
          <cell r="AG350">
            <v>13.75105961</v>
          </cell>
          <cell r="AH350">
            <v>14.19183052</v>
          </cell>
          <cell r="AI350">
            <v>14.656452809999999</v>
          </cell>
          <cell r="AJ350">
            <v>15.137767439999999</v>
          </cell>
          <cell r="AK350">
            <v>15.62997661</v>
          </cell>
          <cell r="AL350">
            <v>16.12904078</v>
          </cell>
          <cell r="AM350">
            <v>16.631612690000001</v>
          </cell>
          <cell r="AN350">
            <v>17.134548349999999</v>
          </cell>
          <cell r="AO350">
            <v>17.63470388</v>
          </cell>
        </row>
        <row r="353">
          <cell r="F353">
            <v>64.301440170000006</v>
          </cell>
          <cell r="G353">
            <v>63.916926250000003</v>
          </cell>
          <cell r="H353">
            <v>63.417061769999997</v>
          </cell>
          <cell r="I353">
            <v>62.919764360000002</v>
          </cell>
          <cell r="J353">
            <v>62.64937381</v>
          </cell>
          <cell r="K353">
            <v>62.537234290000001</v>
          </cell>
          <cell r="L353">
            <v>62.51770793</v>
          </cell>
          <cell r="M353">
            <v>61.981808059999999</v>
          </cell>
          <cell r="N353">
            <v>61.40800428</v>
          </cell>
          <cell r="O353">
            <v>60.784545360000003</v>
          </cell>
          <cell r="P353">
            <v>60.135343159999998</v>
          </cell>
          <cell r="Q353">
            <v>59.5450059</v>
          </cell>
          <cell r="R353">
            <v>59.035825840000001</v>
          </cell>
          <cell r="S353">
            <v>58.621501819999999</v>
          </cell>
          <cell r="T353">
            <v>58.299969699999998</v>
          </cell>
          <cell r="U353">
            <v>58.059952729999999</v>
          </cell>
          <cell r="V353">
            <v>57.842968290000002</v>
          </cell>
          <cell r="W353">
            <v>57.642623489999998</v>
          </cell>
          <cell r="X353">
            <v>57.45562563</v>
          </cell>
          <cell r="Y353">
            <v>57.283701090000001</v>
          </cell>
          <cell r="Z353">
            <v>57.114276599999997</v>
          </cell>
          <cell r="AA353">
            <v>56.981123510000003</v>
          </cell>
          <cell r="AB353">
            <v>56.880426399999997</v>
          </cell>
          <cell r="AC353">
            <v>56.813382109999999</v>
          </cell>
          <cell r="AD353">
            <v>56.784098710000002</v>
          </cell>
          <cell r="AE353">
            <v>56.747706979999997</v>
          </cell>
          <cell r="AF353">
            <v>56.759053399999999</v>
          </cell>
          <cell r="AG353">
            <v>56.819020119999998</v>
          </cell>
          <cell r="AH353">
            <v>56.929874239999997</v>
          </cell>
          <cell r="AI353">
            <v>57.094329209999998</v>
          </cell>
          <cell r="AJ353">
            <v>57.314716079999997</v>
          </cell>
          <cell r="AK353">
            <v>57.592528450000003</v>
          </cell>
          <cell r="AL353">
            <v>57.928684859999997</v>
          </cell>
          <cell r="AM353">
            <v>58.325602449999998</v>
          </cell>
          <cell r="AN353">
            <v>58.788110920000001</v>
          </cell>
          <cell r="AO353">
            <v>59.32462881</v>
          </cell>
        </row>
        <row r="354">
          <cell r="F354">
            <v>42.52087745</v>
          </cell>
          <cell r="G354">
            <v>42.433004529999998</v>
          </cell>
          <cell r="H354">
            <v>42.077798340000001</v>
          </cell>
          <cell r="I354">
            <v>41.627286020000007</v>
          </cell>
          <cell r="J354">
            <v>41.324126229999997</v>
          </cell>
          <cell r="K354">
            <v>41.12506724</v>
          </cell>
          <cell r="L354">
            <v>40.987527979999996</v>
          </cell>
          <cell r="M354">
            <v>40.3810176</v>
          </cell>
          <cell r="N354">
            <v>39.744252029999998</v>
          </cell>
          <cell r="O354">
            <v>39.04607378</v>
          </cell>
          <cell r="P354">
            <v>38.302551890000004</v>
          </cell>
          <cell r="Q354">
            <v>37.580716170000002</v>
          </cell>
          <cell r="R354">
            <v>36.91092295</v>
          </cell>
          <cell r="S354">
            <v>36.319255140000003</v>
          </cell>
          <cell r="T354">
            <v>35.813323729999993</v>
          </cell>
          <cell r="U354">
            <v>35.38837083</v>
          </cell>
          <cell r="V354">
            <v>34.997668900000001</v>
          </cell>
          <cell r="W354">
            <v>34.632650929999997</v>
          </cell>
          <cell r="X354">
            <v>34.287212840000002</v>
          </cell>
          <cell r="Y354">
            <v>33.961060700000004</v>
          </cell>
          <cell r="Z354">
            <v>33.6424983</v>
          </cell>
          <cell r="AA354">
            <v>33.360644270000002</v>
          </cell>
          <cell r="AB354">
            <v>33.109959510000003</v>
          </cell>
          <cell r="AC354">
            <v>32.889390559999995</v>
          </cell>
          <cell r="AD354">
            <v>32.701051120000002</v>
          </cell>
          <cell r="AE354">
            <v>32.505180600000003</v>
          </cell>
          <cell r="AF354">
            <v>32.350396350000004</v>
          </cell>
          <cell r="AG354">
            <v>32.235996050000004</v>
          </cell>
          <cell r="AH354">
            <v>32.161473030000003</v>
          </cell>
          <cell r="AI354">
            <v>32.126591339999997</v>
          </cell>
          <cell r="AJ354">
            <v>32.131736429999997</v>
          </cell>
          <cell r="AK354">
            <v>32.177783269999999</v>
          </cell>
          <cell r="AL354">
            <v>32.265835580000001</v>
          </cell>
          <cell r="AM354">
            <v>32.398441420000005</v>
          </cell>
          <cell r="AN354">
            <v>32.5803893</v>
          </cell>
          <cell r="AO354">
            <v>32.819810480000001</v>
          </cell>
        </row>
        <row r="362">
          <cell r="F362">
            <v>21.78056273</v>
          </cell>
          <cell r="G362">
            <v>21.483921729999999</v>
          </cell>
          <cell r="H362">
            <v>21.339263420000002</v>
          </cell>
          <cell r="I362">
            <v>21.292478339999999</v>
          </cell>
          <cell r="J362">
            <v>21.325247579999999</v>
          </cell>
          <cell r="K362">
            <v>21.412167050000001</v>
          </cell>
          <cell r="L362">
            <v>21.530179950000001</v>
          </cell>
          <cell r="M362">
            <v>21.600790460000002</v>
          </cell>
          <cell r="N362">
            <v>21.663752250000002</v>
          </cell>
          <cell r="O362">
            <v>21.738471579999999</v>
          </cell>
          <cell r="P362">
            <v>21.832791270000001</v>
          </cell>
          <cell r="Q362">
            <v>21.964289730000001</v>
          </cell>
          <cell r="R362">
            <v>22.124902890000001</v>
          </cell>
          <cell r="S362">
            <v>22.30224668</v>
          </cell>
          <cell r="T362">
            <v>22.486645969999998</v>
          </cell>
          <cell r="U362">
            <v>22.6715819</v>
          </cell>
          <cell r="V362">
            <v>22.845299390000001</v>
          </cell>
          <cell r="W362">
            <v>23.009972559999998</v>
          </cell>
          <cell r="X362">
            <v>23.168412789999998</v>
          </cell>
          <cell r="Y362">
            <v>23.322640399999997</v>
          </cell>
          <cell r="Z362">
            <v>23.47177829</v>
          </cell>
          <cell r="AA362">
            <v>23.620479239999998</v>
          </cell>
          <cell r="AB362">
            <v>23.770466890000002</v>
          </cell>
          <cell r="AC362">
            <v>23.92399155</v>
          </cell>
          <cell r="AD362">
            <v>24.08304759</v>
          </cell>
          <cell r="AE362">
            <v>24.242526379999997</v>
          </cell>
          <cell r="AF362">
            <v>24.408657050000002</v>
          </cell>
          <cell r="AG362">
            <v>24.58302407</v>
          </cell>
          <cell r="AH362">
            <v>24.76840121</v>
          </cell>
          <cell r="AI362">
            <v>24.967737870000001</v>
          </cell>
          <cell r="AJ362">
            <v>25.18297965</v>
          </cell>
          <cell r="AK362">
            <v>25.414745180000001</v>
          </cell>
          <cell r="AL362">
            <v>25.66284928</v>
          </cell>
          <cell r="AM362">
            <v>25.927161030000001</v>
          </cell>
          <cell r="AN362">
            <v>26.207721629999998</v>
          </cell>
          <cell r="AO362">
            <v>26.504818329999999</v>
          </cell>
        </row>
        <row r="366">
          <cell r="F366">
            <v>26.32744194</v>
          </cell>
          <cell r="G366">
            <v>26.659812550000002</v>
          </cell>
          <cell r="H366">
            <v>27.00831762</v>
          </cell>
          <cell r="I366">
            <v>27.365780440000002</v>
          </cell>
          <cell r="J366">
            <v>27.750415799999999</v>
          </cell>
          <cell r="K366">
            <v>28.164101680000002</v>
          </cell>
          <cell r="L366">
            <v>28.59510873</v>
          </cell>
          <cell r="M366">
            <v>28.880766120000001</v>
          </cell>
          <cell r="N366">
            <v>29.138808139999998</v>
          </cell>
          <cell r="O366">
            <v>29.52109377</v>
          </cell>
          <cell r="P366">
            <v>29.944752579999999</v>
          </cell>
          <cell r="Q366">
            <v>30.38243559</v>
          </cell>
          <cell r="R366">
            <v>30.811912060000001</v>
          </cell>
          <cell r="S366">
            <v>31.210445839999998</v>
          </cell>
          <cell r="T366">
            <v>31.59538221</v>
          </cell>
          <cell r="U366">
            <v>31.980600129999999</v>
          </cell>
          <cell r="V366">
            <v>32.368119149999998</v>
          </cell>
          <cell r="W366">
            <v>32.77103194</v>
          </cell>
          <cell r="X366">
            <v>33.202720829999997</v>
          </cell>
          <cell r="Y366">
            <v>33.672397760000003</v>
          </cell>
          <cell r="Z366">
            <v>34.180571620000002</v>
          </cell>
          <cell r="AA366">
            <v>34.746035380000002</v>
          </cell>
          <cell r="AB366">
            <v>35.376668160000001</v>
          </cell>
          <cell r="AC366">
            <v>36.077898679999997</v>
          </cell>
          <cell r="AD366">
            <v>36.85168213</v>
          </cell>
          <cell r="AE366">
            <v>37.677641850000001</v>
          </cell>
          <cell r="AF366">
            <v>38.584429120000003</v>
          </cell>
          <cell r="AG366">
            <v>39.583621460000003</v>
          </cell>
          <cell r="AH366">
            <v>40.681212129999999</v>
          </cell>
          <cell r="AI366">
            <v>41.873785050000002</v>
          </cell>
          <cell r="AJ366">
            <v>43.153805650000002</v>
          </cell>
          <cell r="AK366">
            <v>44.517807699999999</v>
          </cell>
          <cell r="AL366">
            <v>45.967691649999999</v>
          </cell>
          <cell r="AM366">
            <v>47.507374130000002</v>
          </cell>
          <cell r="AN366">
            <v>49.144525880000003</v>
          </cell>
          <cell r="AO366">
            <v>50.893275000000003</v>
          </cell>
        </row>
        <row r="378">
          <cell r="F378">
            <v>4.8754571579999997</v>
          </cell>
          <cell r="G378">
            <v>4.9056919380000004</v>
          </cell>
          <cell r="H378">
            <v>4.9381162590000001</v>
          </cell>
          <cell r="I378">
            <v>4.972205261</v>
          </cell>
          <cell r="J378">
            <v>5.0215283880000001</v>
          </cell>
          <cell r="K378">
            <v>5.085021276</v>
          </cell>
          <cell r="L378">
            <v>5.1585124799999997</v>
          </cell>
          <cell r="M378">
            <v>5.1716271860000003</v>
          </cell>
          <cell r="N378">
            <v>5.1688636990000001</v>
          </cell>
          <cell r="O378">
            <v>5.1822537750000004</v>
          </cell>
          <cell r="P378">
            <v>5.2028318359999997</v>
          </cell>
          <cell r="Q378">
            <v>5.2350789149999999</v>
          </cell>
          <cell r="R378">
            <v>5.2752766500000003</v>
          </cell>
          <cell r="S378">
            <v>5.3184289979999999</v>
          </cell>
          <cell r="T378">
            <v>5.3654712959999999</v>
          </cell>
          <cell r="U378">
            <v>5.4171401259999996</v>
          </cell>
          <cell r="V378">
            <v>5.4703270279999998</v>
          </cell>
          <cell r="W378">
            <v>5.5261452020000004</v>
          </cell>
          <cell r="X378">
            <v>5.5868853500000002</v>
          </cell>
          <cell r="Y378">
            <v>5.6546993280000004</v>
          </cell>
          <cell r="Z378">
            <v>5.730542604</v>
          </cell>
          <cell r="AA378">
            <v>5.8178531610000004</v>
          </cell>
          <cell r="AB378">
            <v>5.9190010370000001</v>
          </cell>
          <cell r="AC378">
            <v>6.035817615</v>
          </cell>
          <cell r="AD378">
            <v>6.1696270090000001</v>
          </cell>
          <cell r="AE378">
            <v>6.3183207890000004</v>
          </cell>
          <cell r="AF378">
            <v>6.485147156</v>
          </cell>
          <cell r="AG378">
            <v>6.6739645129999996</v>
          </cell>
          <cell r="AH378">
            <v>6.8871551269999998</v>
          </cell>
          <cell r="AI378">
            <v>7.1256468499999999</v>
          </cell>
          <cell r="AJ378">
            <v>7.3897669639999997</v>
          </cell>
          <cell r="AK378">
            <v>7.6804025390000001</v>
          </cell>
          <cell r="AL378">
            <v>7.9994216270000003</v>
          </cell>
          <cell r="AM378">
            <v>8.3496944670000008</v>
          </cell>
          <cell r="AN378">
            <v>8.7356852329999999</v>
          </cell>
          <cell r="AO378">
            <v>9.1643535299999996</v>
          </cell>
        </row>
        <row r="390">
          <cell r="F390">
            <v>43.906102930000003</v>
          </cell>
          <cell r="G390">
            <v>44.199203590000003</v>
          </cell>
          <cell r="H390">
            <v>44.481295809999999</v>
          </cell>
          <cell r="I390">
            <v>44.706220719999997</v>
          </cell>
          <cell r="J390">
            <v>45.081474129999997</v>
          </cell>
          <cell r="K390">
            <v>45.597479970000002</v>
          </cell>
          <cell r="L390">
            <v>46.229654670000002</v>
          </cell>
          <cell r="M390">
            <v>46.065819810000001</v>
          </cell>
          <cell r="N390">
            <v>45.758658320000002</v>
          </cell>
          <cell r="O390">
            <v>45.716444420000002</v>
          </cell>
          <cell r="P390">
            <v>45.749128470000002</v>
          </cell>
          <cell r="Q390">
            <v>45.896962850000001</v>
          </cell>
          <cell r="R390">
            <v>46.096647040000001</v>
          </cell>
          <cell r="S390">
            <v>46.291970480000003</v>
          </cell>
          <cell r="T390">
            <v>46.517574349999997</v>
          </cell>
          <cell r="U390">
            <v>46.797007909999998</v>
          </cell>
          <cell r="V390">
            <v>47.100048260000001</v>
          </cell>
          <cell r="W390">
            <v>47.44475422</v>
          </cell>
          <cell r="X390">
            <v>47.857411720000002</v>
          </cell>
          <cell r="Y390">
            <v>48.356792839999997</v>
          </cell>
          <cell r="Z390">
            <v>48.953396140000002</v>
          </cell>
          <cell r="AA390">
            <v>49.67209811</v>
          </cell>
          <cell r="AB390">
            <v>50.531070839999998</v>
          </cell>
          <cell r="AC390">
            <v>51.54138193</v>
          </cell>
          <cell r="AD390">
            <v>52.7077034</v>
          </cell>
          <cell r="AE390">
            <v>54.016485279999998</v>
          </cell>
          <cell r="AF390">
            <v>55.493876700000001</v>
          </cell>
          <cell r="AG390">
            <v>57.171922889999998</v>
          </cell>
          <cell r="AH390">
            <v>59.064232969999999</v>
          </cell>
          <cell r="AI390">
            <v>61.166017269999998</v>
          </cell>
          <cell r="AJ390">
            <v>63.469090860000001</v>
          </cell>
          <cell r="AK390">
            <v>65.979667140000004</v>
          </cell>
          <cell r="AL390">
            <v>68.721840929999999</v>
          </cell>
          <cell r="AM390">
            <v>71.734238680000004</v>
          </cell>
          <cell r="AN390">
            <v>75.081551289999993</v>
          </cell>
          <cell r="AO390">
            <v>78.875544140000002</v>
          </cell>
        </row>
        <row r="402">
          <cell r="F402">
            <v>22.283835759999999</v>
          </cell>
          <cell r="G402">
            <v>22.318681380000001</v>
          </cell>
          <cell r="H402">
            <v>22.34427183</v>
          </cell>
          <cell r="I402">
            <v>22.337715670000001</v>
          </cell>
          <cell r="J402">
            <v>22.434748580000001</v>
          </cell>
          <cell r="K402">
            <v>22.62201657</v>
          </cell>
          <cell r="L402">
            <v>22.88151255</v>
          </cell>
          <cell r="M402">
            <v>22.76222121</v>
          </cell>
          <cell r="N402">
            <v>22.590655779999999</v>
          </cell>
          <cell r="O402">
            <v>22.489472889999998</v>
          </cell>
          <cell r="P402">
            <v>22.452194129999999</v>
          </cell>
          <cell r="Q402">
            <v>22.48764581</v>
          </cell>
          <cell r="R402">
            <v>22.57646458</v>
          </cell>
          <cell r="S402">
            <v>22.694168520000002</v>
          </cell>
          <cell r="T402">
            <v>22.836712559999999</v>
          </cell>
          <cell r="U402">
            <v>23.003245100000001</v>
          </cell>
          <cell r="V402">
            <v>23.167622550000001</v>
          </cell>
          <cell r="W402">
            <v>23.33675805</v>
          </cell>
          <cell r="X402">
            <v>23.52054029</v>
          </cell>
          <cell r="Y402">
            <v>23.729334699999999</v>
          </cell>
          <cell r="Z402">
            <v>23.964706549999999</v>
          </cell>
          <cell r="AA402">
            <v>24.251261070000002</v>
          </cell>
          <cell r="AB402">
            <v>24.595548310000002</v>
          </cell>
          <cell r="AC402">
            <v>25.005136740000001</v>
          </cell>
          <cell r="AD402">
            <v>25.486791520000001</v>
          </cell>
          <cell r="AE402">
            <v>26.021389460000002</v>
          </cell>
          <cell r="AF402">
            <v>26.647931570000001</v>
          </cell>
          <cell r="AG402">
            <v>27.374372000000001</v>
          </cell>
          <cell r="AH402">
            <v>28.209341340000002</v>
          </cell>
          <cell r="AI402">
            <v>29.15814297</v>
          </cell>
          <cell r="AJ402">
            <v>30.225919470000001</v>
          </cell>
          <cell r="AK402">
            <v>31.422755949999999</v>
          </cell>
          <cell r="AL402">
            <v>32.766073599999999</v>
          </cell>
          <cell r="AM402">
            <v>34.281943429999998</v>
          </cell>
          <cell r="AN402">
            <v>36.012143960000003</v>
          </cell>
          <cell r="AO402">
            <v>38.026143009999998</v>
          </cell>
        </row>
        <row r="414">
          <cell r="F414">
            <v>64.301440170000006</v>
          </cell>
          <cell r="G414">
            <v>63.916926349999997</v>
          </cell>
          <cell r="H414">
            <v>63.417061930000003</v>
          </cell>
          <cell r="I414">
            <v>62.91976459</v>
          </cell>
          <cell r="J414">
            <v>62.64937406</v>
          </cell>
          <cell r="K414">
            <v>62.53723454</v>
          </cell>
          <cell r="L414">
            <v>62.373026189999997</v>
          </cell>
          <cell r="M414">
            <v>62.192817609999999</v>
          </cell>
          <cell r="N414">
            <v>62.013502219999999</v>
          </cell>
          <cell r="O414">
            <v>61.844335119999997</v>
          </cell>
          <cell r="P414">
            <v>61.715362159999998</v>
          </cell>
          <cell r="Q414">
            <v>61.58556669</v>
          </cell>
          <cell r="R414">
            <v>61.46116602</v>
          </cell>
          <cell r="S414">
            <v>61.346177699999998</v>
          </cell>
          <cell r="T414">
            <v>61.240763129999998</v>
          </cell>
          <cell r="U414">
            <v>61.142803149999999</v>
          </cell>
          <cell r="V414">
            <v>61.140933689999997</v>
          </cell>
          <cell r="W414">
            <v>61.193917149999997</v>
          </cell>
          <cell r="X414">
            <v>61.275338529999999</v>
          </cell>
          <cell r="Y414">
            <v>61.368571009999997</v>
          </cell>
          <cell r="Z414">
            <v>61.447589030000003</v>
          </cell>
          <cell r="AA414">
            <v>61.536212040000002</v>
          </cell>
          <cell r="AB414">
            <v>61.63478173</v>
          </cell>
          <cell r="AC414">
            <v>61.74877609</v>
          </cell>
          <cell r="AD414">
            <v>61.87961241</v>
          </cell>
          <cell r="AE414">
            <v>61.977811080000002</v>
          </cell>
          <cell r="AF414">
            <v>62.092468750000002</v>
          </cell>
          <cell r="AG414">
            <v>62.221902829999998</v>
          </cell>
          <cell r="AH414">
            <v>62.36637855</v>
          </cell>
          <cell r="AI414">
            <v>62.527540600000002</v>
          </cell>
          <cell r="AJ414">
            <v>62.706661099999998</v>
          </cell>
          <cell r="AK414">
            <v>62.902975259999998</v>
          </cell>
          <cell r="AL414">
            <v>63.114669820000003</v>
          </cell>
          <cell r="AM414">
            <v>63.339445269999999</v>
          </cell>
          <cell r="AN414">
            <v>63.57444521</v>
          </cell>
          <cell r="AO414">
            <v>63.816332860000003</v>
          </cell>
        </row>
        <row r="415">
          <cell r="F415">
            <v>42.52087745</v>
          </cell>
          <cell r="G415">
            <v>42.433004619999998</v>
          </cell>
          <cell r="H415">
            <v>42.077798510000001</v>
          </cell>
          <cell r="I415">
            <v>41.627286249999997</v>
          </cell>
          <cell r="J415">
            <v>41.324126490000005</v>
          </cell>
          <cell r="K415">
            <v>41.1250675</v>
          </cell>
          <cell r="L415">
            <v>40.849754930000003</v>
          </cell>
          <cell r="M415">
            <v>40.547698479999994</v>
          </cell>
          <cell r="N415">
            <v>40.240758419999999</v>
          </cell>
          <cell r="O415">
            <v>39.939485220000002</v>
          </cell>
          <cell r="P415">
            <v>39.670582179999997</v>
          </cell>
          <cell r="Q415">
            <v>39.396734020000004</v>
          </cell>
          <cell r="R415">
            <v>39.124172639999998</v>
          </cell>
          <cell r="S415">
            <v>38.859213520000004</v>
          </cell>
          <cell r="T415">
            <v>38.604847849999999</v>
          </cell>
          <cell r="U415">
            <v>38.36131855</v>
          </cell>
          <cell r="V415">
            <v>38.208189149999995</v>
          </cell>
          <cell r="W415">
            <v>38.102460869999994</v>
          </cell>
          <cell r="X415">
            <v>38.019656079999997</v>
          </cell>
          <cell r="Y415">
            <v>37.945534760000001</v>
          </cell>
          <cell r="Z415">
            <v>37.858133619999997</v>
          </cell>
          <cell r="AA415">
            <v>37.778544780000004</v>
          </cell>
          <cell r="AB415">
            <v>37.70648276</v>
          </cell>
          <cell r="AC415">
            <v>37.646097099999999</v>
          </cell>
          <cell r="AD415">
            <v>37.597540450000004</v>
          </cell>
          <cell r="AE415">
            <v>37.516928869999994</v>
          </cell>
          <cell r="AF415">
            <v>37.446838280000001</v>
          </cell>
          <cell r="AG415">
            <v>37.383524789999996</v>
          </cell>
          <cell r="AH415">
            <v>37.325014329999995</v>
          </cell>
          <cell r="AI415">
            <v>37.27093781</v>
          </cell>
          <cell r="AJ415">
            <v>37.2216174</v>
          </cell>
          <cell r="AK415">
            <v>37.176548450000006</v>
          </cell>
          <cell r="AL415">
            <v>37.135181280000005</v>
          </cell>
          <cell r="AM415">
            <v>37.097251749999998</v>
          </cell>
          <cell r="AN415">
            <v>37.062493689999997</v>
          </cell>
          <cell r="AO415">
            <v>37.030549619999995</v>
          </cell>
        </row>
        <row r="423">
          <cell r="F423">
            <v>21.78056273</v>
          </cell>
          <cell r="G423">
            <v>21.483921729999999</v>
          </cell>
          <cell r="H423">
            <v>21.339263420000002</v>
          </cell>
          <cell r="I423">
            <v>21.292478339999999</v>
          </cell>
          <cell r="J423">
            <v>21.325247579999999</v>
          </cell>
          <cell r="K423">
            <v>21.412167050000001</v>
          </cell>
          <cell r="L423">
            <v>21.523271260000001</v>
          </cell>
          <cell r="M423">
            <v>21.645119140000002</v>
          </cell>
          <cell r="N423">
            <v>21.772743800000001</v>
          </cell>
          <cell r="O423">
            <v>21.904849890000001</v>
          </cell>
          <cell r="P423">
            <v>22.044779980000001</v>
          </cell>
          <cell r="Q423">
            <v>22.18883267</v>
          </cell>
          <cell r="R423">
            <v>22.336993370000002</v>
          </cell>
          <cell r="S423">
            <v>22.486964180000001</v>
          </cell>
          <cell r="T423">
            <v>22.635915280000003</v>
          </cell>
          <cell r="U423">
            <v>22.781484600000002</v>
          </cell>
          <cell r="V423">
            <v>22.932744550000002</v>
          </cell>
          <cell r="W423">
            <v>23.091456280000003</v>
          </cell>
          <cell r="X423">
            <v>23.255682449999998</v>
          </cell>
          <cell r="Y423">
            <v>23.423036249999999</v>
          </cell>
          <cell r="Z423">
            <v>23.589455409999999</v>
          </cell>
          <cell r="AA423">
            <v>23.757667260000002</v>
          </cell>
          <cell r="AB423">
            <v>23.92829897</v>
          </cell>
          <cell r="AC423">
            <v>24.102678989999998</v>
          </cell>
          <cell r="AD423">
            <v>24.28207196</v>
          </cell>
          <cell r="AE423">
            <v>24.460882219999998</v>
          </cell>
          <cell r="AF423">
            <v>24.645630480000001</v>
          </cell>
          <cell r="AG423">
            <v>24.838378039999998</v>
          </cell>
          <cell r="AH423">
            <v>25.041364219999998</v>
          </cell>
          <cell r="AI423">
            <v>25.2566028</v>
          </cell>
          <cell r="AJ423">
            <v>25.485043699999999</v>
          </cell>
          <cell r="AK423">
            <v>25.72642681</v>
          </cell>
          <cell r="AL423">
            <v>25.979488530000001</v>
          </cell>
          <cell r="AM423">
            <v>26.242193520000001</v>
          </cell>
          <cell r="AN423">
            <v>26.51195152</v>
          </cell>
          <cell r="AO423">
            <v>26.78578323</v>
          </cell>
        </row>
        <row r="427">
          <cell r="F427">
            <v>26.32744194</v>
          </cell>
          <cell r="G427">
            <v>26.659812550000002</v>
          </cell>
          <cell r="H427">
            <v>27.00831762</v>
          </cell>
          <cell r="I427">
            <v>27.365780440000002</v>
          </cell>
          <cell r="J427">
            <v>27.750415799999999</v>
          </cell>
          <cell r="K427">
            <v>28.164101680000002</v>
          </cell>
          <cell r="L427">
            <v>28.58388953</v>
          </cell>
          <cell r="M427">
            <v>29.00275791</v>
          </cell>
          <cell r="N427">
            <v>29.418714850000001</v>
          </cell>
          <cell r="O427">
            <v>29.833229209999999</v>
          </cell>
          <cell r="P427">
            <v>30.260107999999999</v>
          </cell>
          <cell r="Q427">
            <v>30.686012720000001</v>
          </cell>
          <cell r="R427">
            <v>31.103860820000001</v>
          </cell>
          <cell r="S427">
            <v>31.49036327</v>
          </cell>
          <cell r="T427">
            <v>31.855829360000001</v>
          </cell>
          <cell r="U427">
            <v>32.214411130000002</v>
          </cell>
          <cell r="V427">
            <v>32.591447010000003</v>
          </cell>
          <cell r="W427">
            <v>33.004599319999997</v>
          </cell>
          <cell r="X427">
            <v>33.464163790000001</v>
          </cell>
          <cell r="Y427">
            <v>33.9741474</v>
          </cell>
          <cell r="Z427">
            <v>34.529581700000001</v>
          </cell>
          <cell r="AA427">
            <v>35.143937219999998</v>
          </cell>
          <cell r="AB427">
            <v>35.820318870000001</v>
          </cell>
          <cell r="AC427">
            <v>36.561081680000001</v>
          </cell>
          <cell r="AD427">
            <v>37.365584849999998</v>
          </cell>
          <cell r="AE427">
            <v>38.210553439999998</v>
          </cell>
          <cell r="AF427">
            <v>39.118266779999999</v>
          </cell>
          <cell r="AG427">
            <v>40.092563169999998</v>
          </cell>
          <cell r="AH427">
            <v>41.134439999999998</v>
          </cell>
          <cell r="AI427">
            <v>42.235412650000001</v>
          </cell>
          <cell r="AJ427">
            <v>43.38195357</v>
          </cell>
          <cell r="AK427">
            <v>44.561683479999999</v>
          </cell>
          <cell r="AL427">
            <v>45.764688120000002</v>
          </cell>
          <cell r="AM427">
            <v>46.982062450000001</v>
          </cell>
          <cell r="AN427">
            <v>48.205238219999998</v>
          </cell>
          <cell r="AO427">
            <v>49.42571281</v>
          </cell>
        </row>
        <row r="439">
          <cell r="F439">
            <v>4.8754571579999997</v>
          </cell>
          <cell r="G439">
            <v>4.9056919380000004</v>
          </cell>
          <cell r="H439">
            <v>4.9381162600000001</v>
          </cell>
          <cell r="I439">
            <v>4.9722052630000002</v>
          </cell>
          <cell r="J439">
            <v>5.0215283900000003</v>
          </cell>
          <cell r="K439">
            <v>5.0850212790000002</v>
          </cell>
          <cell r="L439">
            <v>5.1540596460000003</v>
          </cell>
          <cell r="M439">
            <v>5.22461514</v>
          </cell>
          <cell r="N439">
            <v>5.2949176849999997</v>
          </cell>
          <cell r="O439">
            <v>5.364692121</v>
          </cell>
          <cell r="P439">
            <v>5.4361442120000003</v>
          </cell>
          <cell r="Q439">
            <v>5.5075306169999996</v>
          </cell>
          <cell r="R439">
            <v>5.5771716810000003</v>
          </cell>
          <cell r="S439">
            <v>5.6407337259999997</v>
          </cell>
          <cell r="T439">
            <v>5.6995576540000004</v>
          </cell>
          <cell r="U439">
            <v>5.755908722</v>
          </cell>
          <cell r="V439">
            <v>5.8159734959999998</v>
          </cell>
          <cell r="W439">
            <v>5.8837877970000001</v>
          </cell>
          <cell r="X439">
            <v>5.9617043560000003</v>
          </cell>
          <cell r="Y439">
            <v>6.0507436050000001</v>
          </cell>
          <cell r="Z439">
            <v>6.1502876979999996</v>
          </cell>
          <cell r="AA439">
            <v>6.2623356010000002</v>
          </cell>
          <cell r="AB439">
            <v>6.3878924010000002</v>
          </cell>
          <cell r="AC439">
            <v>6.5276143700000002</v>
          </cell>
          <cell r="AD439">
            <v>6.6816557100000002</v>
          </cell>
          <cell r="AE439">
            <v>6.8464941960000001</v>
          </cell>
          <cell r="AF439">
            <v>7.0250661140000004</v>
          </cell>
          <cell r="AG439">
            <v>7.2188020990000004</v>
          </cell>
          <cell r="AH439">
            <v>7.428266453</v>
          </cell>
          <cell r="AI439">
            <v>7.6521874849999998</v>
          </cell>
          <cell r="AJ439">
            <v>7.8881557769999997</v>
          </cell>
          <cell r="AK439">
            <v>8.1336568459999992</v>
          </cell>
          <cell r="AL439">
            <v>8.3863710329999996</v>
          </cell>
          <cell r="AM439">
            <v>8.6440062340000008</v>
          </cell>
          <cell r="AN439">
            <v>8.9042337880000009</v>
          </cell>
          <cell r="AO439">
            <v>9.1646758350000006</v>
          </cell>
        </row>
        <row r="451">
          <cell r="F451">
            <v>43.906102959999998</v>
          </cell>
          <cell r="G451">
            <v>44.199203660000002</v>
          </cell>
          <cell r="H451">
            <v>44.481295930000002</v>
          </cell>
          <cell r="I451">
            <v>44.706220889999997</v>
          </cell>
          <cell r="J451">
            <v>45.081474329999999</v>
          </cell>
          <cell r="K451">
            <v>45.5974802</v>
          </cell>
          <cell r="L451">
            <v>46.11973235</v>
          </cell>
          <cell r="M451">
            <v>46.626541690000003</v>
          </cell>
          <cell r="N451">
            <v>47.11248338</v>
          </cell>
          <cell r="O451">
            <v>47.582775060000003</v>
          </cell>
          <cell r="P451">
            <v>48.057386180000002</v>
          </cell>
          <cell r="Q451">
            <v>48.527435670000003</v>
          </cell>
          <cell r="R451">
            <v>48.973239909999997</v>
          </cell>
          <cell r="S451">
            <v>49.342990350000001</v>
          </cell>
          <cell r="T451">
            <v>49.666530350000002</v>
          </cell>
          <cell r="U451">
            <v>49.980306089999999</v>
          </cell>
          <cell r="V451">
            <v>50.382801520000001</v>
          </cell>
          <cell r="W451">
            <v>50.904424069999997</v>
          </cell>
          <cell r="X451">
            <v>51.561063539999999</v>
          </cell>
          <cell r="Y451">
            <v>52.356400620000002</v>
          </cell>
          <cell r="Z451">
            <v>53.284930850000002</v>
          </cell>
          <cell r="AA451">
            <v>54.356477079999998</v>
          </cell>
          <cell r="AB451">
            <v>55.576537860000002</v>
          </cell>
          <cell r="AC451">
            <v>56.947730030000002</v>
          </cell>
          <cell r="AD451">
            <v>58.467080629999998</v>
          </cell>
          <cell r="AE451">
            <v>60.111579519999999</v>
          </cell>
          <cell r="AF451">
            <v>61.899923829999999</v>
          </cell>
          <cell r="AG451">
            <v>63.841481530000003</v>
          </cell>
          <cell r="AH451">
            <v>65.936989589999996</v>
          </cell>
          <cell r="AI451">
            <v>68.164427009999997</v>
          </cell>
          <cell r="AJ451">
            <v>70.491424850000001</v>
          </cell>
          <cell r="AK451">
            <v>72.889387859999999</v>
          </cell>
          <cell r="AL451">
            <v>75.335901030000002</v>
          </cell>
          <cell r="AM451">
            <v>77.81093482</v>
          </cell>
          <cell r="AN451">
            <v>80.295026829999998</v>
          </cell>
          <cell r="AO451">
            <v>82.768563540000002</v>
          </cell>
        </row>
        <row r="463">
          <cell r="F463">
            <v>22.283835799999999</v>
          </cell>
          <cell r="G463">
            <v>22.318681470000001</v>
          </cell>
          <cell r="H463">
            <v>22.344271970000001</v>
          </cell>
          <cell r="I463">
            <v>22.337715849999999</v>
          </cell>
          <cell r="J463">
            <v>22.434748800000001</v>
          </cell>
          <cell r="K463">
            <v>22.622016819999999</v>
          </cell>
          <cell r="L463">
            <v>22.81910577</v>
          </cell>
          <cell r="M463">
            <v>23.021870839999998</v>
          </cell>
          <cell r="N463">
            <v>23.22680686</v>
          </cell>
          <cell r="O463">
            <v>23.433648590000001</v>
          </cell>
          <cell r="P463">
            <v>23.65773562</v>
          </cell>
          <cell r="Q463">
            <v>23.876396360000001</v>
          </cell>
          <cell r="R463">
            <v>24.089729550000001</v>
          </cell>
          <cell r="S463">
            <v>24.28463502</v>
          </cell>
          <cell r="T463">
            <v>24.463459400000001</v>
          </cell>
          <cell r="U463">
            <v>24.633351170000001</v>
          </cell>
          <cell r="V463">
            <v>24.835677669999999</v>
          </cell>
          <cell r="W463">
            <v>25.075646880000001</v>
          </cell>
          <cell r="X463">
            <v>25.358351509999999</v>
          </cell>
          <cell r="Y463">
            <v>25.68777476</v>
          </cell>
          <cell r="Z463">
            <v>26.05770965</v>
          </cell>
          <cell r="AA463">
            <v>26.486658609999999</v>
          </cell>
          <cell r="AB463">
            <v>26.974383270000001</v>
          </cell>
          <cell r="AC463">
            <v>27.523398920000002</v>
          </cell>
          <cell r="AD463">
            <v>28.135616689999999</v>
          </cell>
          <cell r="AE463">
            <v>28.784002470000001</v>
          </cell>
          <cell r="AF463">
            <v>29.501230039999999</v>
          </cell>
          <cell r="AG463">
            <v>30.28519485</v>
          </cell>
          <cell r="AH463">
            <v>31.13588919</v>
          </cell>
          <cell r="AI463">
            <v>32.047561950000002</v>
          </cell>
          <cell r="AJ463">
            <v>33.010383930000003</v>
          </cell>
          <cell r="AK463">
            <v>34.013501009999999</v>
          </cell>
          <cell r="AL463">
            <v>35.04637134</v>
          </cell>
          <cell r="AM463">
            <v>36.098684470000002</v>
          </cell>
          <cell r="AN463">
            <v>37.160285399999999</v>
          </cell>
          <cell r="AO463">
            <v>38.221155619999998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4.189966151812996E-8</v>
          </cell>
          <cell r="L1365">
            <v>2.6451680448857928E-2</v>
          </cell>
          <cell r="M1365">
            <v>-0.15565591366692999</v>
          </cell>
          <cell r="N1365">
            <v>-0.32186234162195904</v>
          </cell>
          <cell r="O1365">
            <v>-0.12420399640338253</v>
          </cell>
          <cell r="P1365">
            <v>9.8600801079706812E-2</v>
          </cell>
          <cell r="Q1365">
            <v>0.30532883553020529</v>
          </cell>
          <cell r="R1365">
            <v>0.48520094102038058</v>
          </cell>
          <cell r="S1365">
            <v>0.64779487227404342</v>
          </cell>
          <cell r="T1365">
            <v>0.81299232965130752</v>
          </cell>
          <cell r="U1365">
            <v>0.97990508546070831</v>
          </cell>
          <cell r="V1365">
            <v>1.096498022914405</v>
          </cell>
          <cell r="W1365">
            <v>1.1724440438024786</v>
          </cell>
          <cell r="X1365">
            <v>1.2159579893547878</v>
          </cell>
          <cell r="Y1365">
            <v>1.2379319034204972</v>
          </cell>
          <cell r="Z1365">
            <v>1.2472318505114766</v>
          </cell>
          <cell r="AA1365">
            <v>1.2488008570635589</v>
          </cell>
          <cell r="AB1365">
            <v>1.2470361271508912</v>
          </cell>
          <cell r="AC1365">
            <v>1.2458265970272109</v>
          </cell>
          <cell r="AD1365">
            <v>1.2488462631096375</v>
          </cell>
          <cell r="AE1365">
            <v>1.2591457289297781</v>
          </cell>
          <cell r="AF1365">
            <v>1.2795069228018541</v>
          </cell>
          <cell r="AG1365">
            <v>1.3096553926756238</v>
          </cell>
          <cell r="AH1365">
            <v>1.3537455737539839</v>
          </cell>
          <cell r="AI1365">
            <v>1.4172629264254111</v>
          </cell>
          <cell r="AJ1365">
            <v>1.5054165799928132</v>
          </cell>
          <cell r="AK1365">
            <v>1.6227132461245075</v>
          </cell>
          <cell r="AL1365">
            <v>1.7744441417009149</v>
          </cell>
          <cell r="AM1365">
            <v>1.9684968828021843</v>
          </cell>
          <cell r="AN1365">
            <v>2.2161472996350184</v>
          </cell>
          <cell r="AO1365">
            <v>2.5334746559109611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-6.1644800375404429E-9</v>
          </cell>
          <cell r="I1366">
            <v>0</v>
          </cell>
          <cell r="J1366">
            <v>0</v>
          </cell>
          <cell r="K1366">
            <v>0</v>
          </cell>
          <cell r="L1366">
            <v>2.798226162479267E-2</v>
          </cell>
          <cell r="M1366">
            <v>-0.21743509031737496</v>
          </cell>
          <cell r="N1366">
            <v>-0.43868980647734368</v>
          </cell>
          <cell r="O1366">
            <v>-0.20566382621648449</v>
          </cell>
          <cell r="P1366">
            <v>3.8832121188647761E-2</v>
          </cell>
          <cell r="Q1366">
            <v>0.24809441446058678</v>
          </cell>
          <cell r="R1366">
            <v>0.41280093398470274</v>
          </cell>
          <cell r="S1366">
            <v>0.55195245249572977</v>
          </cell>
          <cell r="T1366">
            <v>0.69479511820942363</v>
          </cell>
          <cell r="U1366">
            <v>0.84154858905991503</v>
          </cell>
          <cell r="V1366">
            <v>0.93207066461673538</v>
          </cell>
          <cell r="W1366">
            <v>0.97930067189759828</v>
          </cell>
          <cell r="X1366">
            <v>0.99111111132172969</v>
          </cell>
          <cell r="Y1366">
            <v>0.97900573959381898</v>
          </cell>
          <cell r="Z1366">
            <v>0.95253647806832209</v>
          </cell>
          <cell r="AA1366">
            <v>0.91795258887470421</v>
          </cell>
          <cell r="AB1366">
            <v>0.88016736964733333</v>
          </cell>
          <cell r="AC1366">
            <v>0.8433337698836807</v>
          </cell>
          <cell r="AD1366">
            <v>0.8113286356308036</v>
          </cell>
          <cell r="AE1366">
            <v>0.78666215858507194</v>
          </cell>
          <cell r="AF1366">
            <v>0.7738613688534679</v>
          </cell>
          <cell r="AG1366">
            <v>0.77192501300304972</v>
          </cell>
          <cell r="AH1366">
            <v>0.78402715705641057</v>
          </cell>
          <cell r="AI1366">
            <v>0.81464814925731321</v>
          </cell>
          <cell r="AJ1366">
            <v>0.86777573963228161</v>
          </cell>
          <cell r="AK1366">
            <v>0.94646455425555498</v>
          </cell>
          <cell r="AL1366">
            <v>1.0538629188955539</v>
          </cell>
          <cell r="AM1366">
            <v>1.1943606380804273</v>
          </cell>
          <cell r="AN1366">
            <v>1.374327083457727</v>
          </cell>
          <cell r="AO1366">
            <v>1.6026741447201287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2.9225118781274435E-2</v>
          </cell>
          <cell r="M1367">
            <v>5.0580215157313355E-2</v>
          </cell>
          <cell r="N1367">
            <v>5.9778939448091671E-2</v>
          </cell>
          <cell r="O1367">
            <v>0.14685618965827746</v>
          </cell>
          <cell r="P1367">
            <v>0.31612890215195466</v>
          </cell>
          <cell r="Q1367">
            <v>0.53959173411600703</v>
          </cell>
          <cell r="R1367">
            <v>0.80226313327946519</v>
          </cell>
          <cell r="S1367">
            <v>1.0739349691541145</v>
          </cell>
          <cell r="T1367">
            <v>1.3357265325683076</v>
          </cell>
          <cell r="U1367">
            <v>1.5790758619174192</v>
          </cell>
          <cell r="V1367">
            <v>1.7792017602471073</v>
          </cell>
          <cell r="W1367">
            <v>1.929896911976968</v>
          </cell>
          <cell r="X1367">
            <v>2.0440198451027873</v>
          </cell>
          <cell r="Y1367">
            <v>2.133373292400075</v>
          </cell>
          <cell r="Z1367">
            <v>2.2052311260556805</v>
          </cell>
          <cell r="AA1367">
            <v>2.2599203151430958</v>
          </cell>
          <cell r="AB1367">
            <v>2.2985997084652601</v>
          </cell>
          <cell r="AC1367">
            <v>2.3239186209058094</v>
          </cell>
          <cell r="AD1367">
            <v>2.3382130707591418</v>
          </cell>
          <cell r="AE1367">
            <v>2.3438521652229078</v>
          </cell>
          <cell r="AF1367">
            <v>2.3345755725213779</v>
          </cell>
          <cell r="AG1367">
            <v>2.3084266089647443</v>
          </cell>
          <cell r="AH1367">
            <v>2.2714511121747512</v>
          </cell>
          <cell r="AI1367">
            <v>2.2303238794391493</v>
          </cell>
          <cell r="AJ1367">
            <v>2.1902459934347829</v>
          </cell>
          <cell r="AK1367">
            <v>2.1533369960587527</v>
          </cell>
          <cell r="AL1367">
            <v>2.1219259798680468</v>
          </cell>
          <cell r="AM1367">
            <v>2.1029110398761004</v>
          </cell>
          <cell r="AN1367">
            <v>2.1053366891703904</v>
          </cell>
          <cell r="AO1367">
            <v>2.1401557586048527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4.4833487150658156E-10</v>
          </cell>
          <cell r="H1368">
            <v>8.8255542918011358E-10</v>
          </cell>
          <cell r="I1368">
            <v>1.3018138083390684E-9</v>
          </cell>
          <cell r="J1368">
            <v>1.7059750869438073E-9</v>
          </cell>
          <cell r="K1368">
            <v>2.5139789760404027E-9</v>
          </cell>
          <cell r="L1368">
            <v>7.2892850146234357E-3</v>
          </cell>
          <cell r="M1368">
            <v>-4.966432986799358E-2</v>
          </cell>
          <cell r="N1368">
            <v>-8.8609412930934273E-2</v>
          </cell>
          <cell r="O1368">
            <v>-9.7962469470296548E-2</v>
          </cell>
          <cell r="P1368">
            <v>-8.9020453639083383E-2</v>
          </cell>
          <cell r="Q1368">
            <v>-5.1127265390929044E-2</v>
          </cell>
          <cell r="R1368">
            <v>-8.1382860592386485E-3</v>
          </cell>
          <cell r="S1368">
            <v>2.7491472480141711E-2</v>
          </cell>
          <cell r="T1368">
            <v>5.3361581298563075E-2</v>
          </cell>
          <cell r="U1368">
            <v>7.1026020330391099E-2</v>
          </cell>
          <cell r="V1368">
            <v>6.6287277542660394E-2</v>
          </cell>
          <cell r="W1368">
            <v>5.2074133958039809E-2</v>
          </cell>
          <cell r="X1368">
            <v>3.7894739765194994E-2</v>
          </cell>
          <cell r="Y1368">
            <v>2.7511329503952759E-2</v>
          </cell>
          <cell r="Z1368">
            <v>2.1345315160636875E-2</v>
          </cell>
          <cell r="AA1368">
            <v>1.8520189472215589E-2</v>
          </cell>
          <cell r="AB1368">
            <v>1.7870376971095114E-2</v>
          </cell>
          <cell r="AC1368">
            <v>1.8743048180181313E-2</v>
          </cell>
          <cell r="AD1368">
            <v>2.0707504113632275E-2</v>
          </cell>
          <cell r="AE1368">
            <v>2.3238184388898759E-2</v>
          </cell>
          <cell r="AF1368">
            <v>2.5816416935166547E-2</v>
          </cell>
          <cell r="AG1368">
            <v>2.8023318993263605E-2</v>
          </cell>
          <cell r="AH1368">
            <v>3.0481191535583738E-2</v>
          </cell>
          <cell r="AI1368">
            <v>3.3779589777695594E-2</v>
          </cell>
          <cell r="AJ1368">
            <v>3.8200078646671284E-2</v>
          </cell>
          <cell r="AK1368">
            <v>4.374982328543086E-2</v>
          </cell>
          <cell r="AL1368">
            <v>5.0541852953668802E-2</v>
          </cell>
          <cell r="AM1368">
            <v>5.9162055615531263E-2</v>
          </cell>
          <cell r="AN1368">
            <v>7.0327602476037449E-2</v>
          </cell>
          <cell r="AO1368">
            <v>8.4748563501460664E-2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4.3393776772291649E-9</v>
          </cell>
          <cell r="J1370">
            <v>0</v>
          </cell>
          <cell r="K1370">
            <v>4.1899647568273066E-9</v>
          </cell>
          <cell r="L1370">
            <v>5.2619148530291442E-3</v>
          </cell>
          <cell r="M1370">
            <v>-4.0345173521861719E-2</v>
          </cell>
          <cell r="N1370">
            <v>-9.6862610115736408E-2</v>
          </cell>
          <cell r="O1370">
            <v>-9.7053292248052078E-2</v>
          </cell>
          <cell r="P1370">
            <v>-6.5977628242263206E-2</v>
          </cell>
          <cell r="Q1370">
            <v>-1.5253255673408451E-2</v>
          </cell>
          <cell r="R1370">
            <v>4.5114489957226077E-2</v>
          </cell>
          <cell r="S1370">
            <v>0.11203332821508891</v>
          </cell>
          <cell r="T1370">
            <v>0.18774564735309673</v>
          </cell>
          <cell r="U1370">
            <v>0.27336459248367806</v>
          </cell>
          <cell r="V1370">
            <v>0.35585589290295783</v>
          </cell>
          <cell r="W1370">
            <v>0.43395604062822513</v>
          </cell>
          <cell r="X1370">
            <v>0.50966813416707446</v>
          </cell>
          <cell r="Y1370">
            <v>0.58618156256921827</v>
          </cell>
          <cell r="Z1370">
            <v>0.66676914741666204</v>
          </cell>
          <cell r="AA1370">
            <v>0.75328616841228091</v>
          </cell>
          <cell r="AB1370">
            <v>0.84757261813650009</v>
          </cell>
          <cell r="AC1370">
            <v>0.95140176780635788</v>
          </cell>
          <cell r="AD1370">
            <v>1.0665618078840311</v>
          </cell>
          <cell r="AE1370">
            <v>1.1954962764737351</v>
          </cell>
          <cell r="AF1370">
            <v>1.3385487251072941</v>
          </cell>
          <cell r="AG1370">
            <v>1.4960206273849275</v>
          </cell>
          <cell r="AH1370">
            <v>1.6698943457489088</v>
          </cell>
          <cell r="AI1370">
            <v>1.8636556868202183</v>
          </cell>
          <cell r="AJ1370">
            <v>2.0819744560385161</v>
          </cell>
          <cell r="AK1370">
            <v>2.3304363119799545</v>
          </cell>
          <cell r="AL1370">
            <v>2.6164796232690288</v>
          </cell>
          <cell r="AM1370">
            <v>2.9512133696435736</v>
          </cell>
          <cell r="AN1370">
            <v>3.350959886892082</v>
          </cell>
          <cell r="AO1370">
            <v>3.8400739412897047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-4.4833500198915822E-9</v>
          </cell>
          <cell r="H1372">
            <v>-4.4127732930403357E-9</v>
          </cell>
          <cell r="I1372">
            <v>-4.3393827289323538E-9</v>
          </cell>
          <cell r="J1372">
            <v>-1.2794811600503211E-8</v>
          </cell>
          <cell r="K1372">
            <v>-1.2569896709362283E-8</v>
          </cell>
          <cell r="L1372">
            <v>-8.0353861280557624E-3</v>
          </cell>
          <cell r="M1372">
            <v>-0.16589097149322188</v>
          </cell>
          <cell r="N1372">
            <v>-0.28477865503707905</v>
          </cell>
          <cell r="O1372">
            <v>-0.17400689772584171</v>
          </cell>
          <cell r="P1372">
            <v>-0.15155046514255452</v>
          </cell>
          <cell r="Q1372">
            <v>-0.21900966180094483</v>
          </cell>
          <cell r="R1372">
            <v>-0.36217669335714953</v>
          </cell>
          <cell r="S1372">
            <v>-0.53817342509514066</v>
          </cell>
          <cell r="T1372">
            <v>-0.71047985027008898</v>
          </cell>
          <cell r="U1372">
            <v>-0.87253540080351011</v>
          </cell>
          <cell r="V1372">
            <v>-1.0385596232666863</v>
          </cell>
          <cell r="W1372">
            <v>-1.191408908802704</v>
          </cell>
          <cell r="X1372">
            <v>-1.3377300067613456</v>
          </cell>
          <cell r="Y1372">
            <v>-1.4816229581676867</v>
          </cell>
          <cell r="Z1372">
            <v>-1.6247683969651443</v>
          </cell>
          <cell r="AA1372">
            <v>-1.7644056169306466</v>
          </cell>
          <cell r="AB1372">
            <v>-1.8991362338025619</v>
          </cell>
          <cell r="AC1372">
            <v>-2.02949378862795</v>
          </cell>
          <cell r="AD1372">
            <v>-2.1559286245026712</v>
          </cell>
          <cell r="AE1372">
            <v>-2.2802027156913081</v>
          </cell>
          <cell r="AF1372">
            <v>-2.3936173833992127</v>
          </cell>
          <cell r="AG1372">
            <v>-2.4947918101980187</v>
          </cell>
          <cell r="AH1372">
            <v>-2.5875998950544679</v>
          </cell>
          <cell r="AI1372">
            <v>-2.6767166424865794</v>
          </cell>
          <cell r="AJ1372">
            <v>-2.7668038410491587</v>
          </cell>
          <cell r="AK1372">
            <v>-2.861060056878479</v>
          </cell>
          <cell r="AL1372">
            <v>-2.9639614614361491</v>
          </cell>
          <cell r="AM1372">
            <v>-3.0856275506105915</v>
          </cell>
          <cell r="AN1372">
            <v>-3.2401492764274513</v>
          </cell>
          <cell r="AO1372">
            <v>-3.4467550666782412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2.8705479581099091E-2</v>
          </cell>
          <cell r="M1373">
            <v>5.0591118066927329E-2</v>
          </cell>
          <cell r="N1373">
            <v>6.141423125531361E-2</v>
          </cell>
          <cell r="O1373">
            <v>0.14917872088045445</v>
          </cell>
          <cell r="P1373">
            <v>0.31777659454325974</v>
          </cell>
          <cell r="Q1373">
            <v>0.53925679765299439</v>
          </cell>
          <cell r="R1373">
            <v>0.79864921738239536</v>
          </cell>
          <cell r="S1373">
            <v>1.0663247088512948</v>
          </cell>
          <cell r="T1373">
            <v>1.3239145161854298</v>
          </cell>
          <cell r="U1373">
            <v>1.5631780340367059</v>
          </cell>
          <cell r="V1373">
            <v>1.759987221766643</v>
          </cell>
          <cell r="W1373">
            <v>1.908437512704277</v>
          </cell>
          <cell r="X1373">
            <v>2.0211310229032424</v>
          </cell>
          <cell r="Y1373">
            <v>2.1095207371175975</v>
          </cell>
          <cell r="Z1373">
            <v>2.1806227871915325</v>
          </cell>
          <cell r="AA1373">
            <v>2.2346955289051262</v>
          </cell>
          <cell r="AB1373">
            <v>2.2728766785222718</v>
          </cell>
          <cell r="AC1373">
            <v>2.2977979099846055</v>
          </cell>
          <cell r="AD1373">
            <v>2.3117924002992081</v>
          </cell>
          <cell r="AE1373">
            <v>2.3172272114146244</v>
          </cell>
          <cell r="AF1373">
            <v>2.308015694341282</v>
          </cell>
          <cell r="AG1373">
            <v>2.2823308323674119</v>
          </cell>
          <cell r="AH1373">
            <v>2.2461864577232751</v>
          </cell>
          <cell r="AI1373">
            <v>2.2061730945929567</v>
          </cell>
          <cell r="AJ1373">
            <v>2.1674173405404984</v>
          </cell>
          <cell r="AK1373">
            <v>2.1320290656396623</v>
          </cell>
          <cell r="AL1373">
            <v>2.1023485657991046</v>
          </cell>
          <cell r="AM1373">
            <v>2.0852204767596487</v>
          </cell>
          <cell r="AN1373">
            <v>2.0896076850166279</v>
          </cell>
          <cell r="AO1373">
            <v>2.126377982188548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4.3393776772291649E-9</v>
          </cell>
          <cell r="J1374">
            <v>0</v>
          </cell>
          <cell r="K1374">
            <v>4.1899671957076697E-9</v>
          </cell>
          <cell r="L1374">
            <v>5.7815540532140742E-3</v>
          </cell>
          <cell r="M1374">
            <v>-4.0356076431475693E-2</v>
          </cell>
          <cell r="N1374">
            <v>-9.8497901922953698E-2</v>
          </cell>
          <cell r="O1374">
            <v>-9.9375823470224528E-2</v>
          </cell>
          <cell r="P1374">
            <v>-6.7625320633563774E-2</v>
          </cell>
          <cell r="Q1374">
            <v>-1.491831921039141E-2</v>
          </cell>
          <cell r="R1374">
            <v>4.8728405854291487E-2</v>
          </cell>
          <cell r="S1374">
            <v>0.11964358851791707</v>
          </cell>
          <cell r="T1374">
            <v>0.19955766373597458</v>
          </cell>
          <cell r="U1374">
            <v>0.28926242036438737</v>
          </cell>
          <cell r="V1374">
            <v>0.37507043138342633</v>
          </cell>
          <cell r="W1374">
            <v>0.45541543990091593</v>
          </cell>
          <cell r="X1374">
            <v>0.53255695636661937</v>
          </cell>
          <cell r="Y1374">
            <v>0.61003411785169548</v>
          </cell>
          <cell r="Z1374">
            <v>0.69137748628080975</v>
          </cell>
          <cell r="AA1374">
            <v>0.77851095465025444</v>
          </cell>
          <cell r="AB1374">
            <v>0.8732956480794849</v>
          </cell>
          <cell r="AC1374">
            <v>0.97752247872755793</v>
          </cell>
          <cell r="AD1374">
            <v>1.0929824783439648</v>
          </cell>
          <cell r="AE1374">
            <v>1.2221212302820217</v>
          </cell>
          <cell r="AF1374">
            <v>1.3651086032873907</v>
          </cell>
          <cell r="AG1374">
            <v>1.5221164039822666</v>
          </cell>
          <cell r="AH1374">
            <v>1.6951590002003816</v>
          </cell>
          <cell r="AI1374">
            <v>1.8878064716664138</v>
          </cell>
          <cell r="AJ1374">
            <v>2.104803108932801</v>
          </cell>
          <cell r="AK1374">
            <v>2.351744242399048</v>
          </cell>
          <cell r="AL1374">
            <v>2.636057037337971</v>
          </cell>
          <cell r="AM1374">
            <v>2.9689039327600231</v>
          </cell>
          <cell r="AN1374">
            <v>3.3666888910458446</v>
          </cell>
          <cell r="AO1374">
            <v>3.8538517177060041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4.3393776772291649E-9</v>
          </cell>
          <cell r="J1375">
            <v>0</v>
          </cell>
          <cell r="K1375">
            <v>3.7709675494804684E-9</v>
          </cell>
          <cell r="L1375">
            <v>4.9125761810720802E-3</v>
          </cell>
          <cell r="M1375">
            <v>-3.7717209630484576E-2</v>
          </cell>
          <cell r="N1375">
            <v>-9.1073858996380846E-2</v>
          </cell>
          <cell r="O1375">
            <v>-8.9065172106689017E-2</v>
          </cell>
          <cell r="P1375">
            <v>-5.6474539516857401E-2</v>
          </cell>
          <cell r="Q1375">
            <v>-5.5671296628511981E-3</v>
          </cell>
          <cell r="R1375">
            <v>5.3971903880556643E-2</v>
          </cell>
          <cell r="S1375">
            <v>0.1193363809434293</v>
          </cell>
          <cell r="T1375">
            <v>0.19292720654586318</v>
          </cell>
          <cell r="U1375">
            <v>0.2759643176067717</v>
          </cell>
          <cell r="V1375">
            <v>0.35621964679003781</v>
          </cell>
          <cell r="W1375">
            <v>0.43241703752925448</v>
          </cell>
          <cell r="X1375">
            <v>0.50635679900199204</v>
          </cell>
          <cell r="Y1375">
            <v>0.58102310381357092</v>
          </cell>
          <cell r="Z1375">
            <v>0.65954460385938418</v>
          </cell>
          <cell r="AA1375">
            <v>0.74374703640159623</v>
          </cell>
          <cell r="AB1375">
            <v>0.83547535501596304</v>
          </cell>
          <cell r="AC1375">
            <v>0.93649546144200735</v>
          </cell>
          <cell r="AD1375">
            <v>1.0486034026632063</v>
          </cell>
          <cell r="AE1375">
            <v>1.1742777593548261</v>
          </cell>
          <cell r="AF1375">
            <v>1.3140456052212499</v>
          </cell>
          <cell r="AG1375">
            <v>1.4684064520585334</v>
          </cell>
          <cell r="AH1375">
            <v>1.6393914499325253</v>
          </cell>
          <cell r="AI1375">
            <v>1.8304915455329258</v>
          </cell>
          <cell r="AJ1375">
            <v>2.0463746564730303</v>
          </cell>
          <cell r="AK1375">
            <v>2.2926668379123361</v>
          </cell>
          <cell r="AL1375">
            <v>2.5768482103954331</v>
          </cell>
          <cell r="AM1375">
            <v>2.9099911243378744</v>
          </cell>
          <cell r="AN1375">
            <v>3.3083376991849214</v>
          </cell>
          <cell r="AO1375">
            <v>3.7961287746046324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5.1963920018223376E-4</v>
          </cell>
          <cell r="M1376">
            <v>-1.0902909612650337E-5</v>
          </cell>
          <cell r="N1376">
            <v>-1.6352918072193312E-3</v>
          </cell>
          <cell r="O1376">
            <v>-2.3225312221731654E-3</v>
          </cell>
          <cell r="P1376">
            <v>-1.6476923912997225E-3</v>
          </cell>
          <cell r="Q1376">
            <v>3.3493646301621806E-4</v>
          </cell>
          <cell r="R1376">
            <v>3.6139158970670275E-3</v>
          </cell>
          <cell r="S1376">
            <v>7.6102603028271078E-3</v>
          </cell>
          <cell r="T1376">
            <v>1.1812016382874869E-2</v>
          </cell>
          <cell r="U1376">
            <v>1.5897827880708943E-2</v>
          </cell>
          <cell r="V1376">
            <v>1.9214538480469272E-2</v>
          </cell>
          <cell r="W1376">
            <v>2.1459399272691592E-2</v>
          </cell>
          <cell r="X1376">
            <v>2.288882219954276E-2</v>
          </cell>
          <cell r="Y1376">
            <v>2.3852555282478548E-2</v>
          </cell>
          <cell r="Z1376">
            <v>2.4608338864146973E-2</v>
          </cell>
          <cell r="AA1376">
            <v>2.5224786237973407E-2</v>
          </cell>
          <cell r="AB1376">
            <v>2.5723029942986177E-2</v>
          </cell>
          <cell r="AC1376">
            <v>2.6120710921202637E-2</v>
          </cell>
          <cell r="AD1376">
            <v>2.6420670459933765E-2</v>
          </cell>
          <cell r="AE1376">
            <v>2.6624953808284453E-2</v>
          </cell>
          <cell r="AF1376">
            <v>2.655987818009704E-2</v>
          </cell>
          <cell r="AG1376">
            <v>2.6095776597336029E-2</v>
          </cell>
          <cell r="AH1376">
            <v>2.5264654451473439E-2</v>
          </cell>
          <cell r="AI1376">
            <v>2.4150784846194966E-2</v>
          </cell>
          <cell r="AJ1376">
            <v>2.2828652894285584E-2</v>
          </cell>
          <cell r="AK1376">
            <v>2.1307930419090869E-2</v>
          </cell>
          <cell r="AL1376">
            <v>1.9577414068942343E-2</v>
          </cell>
          <cell r="AM1376">
            <v>1.7690563116450578E-2</v>
          </cell>
          <cell r="AN1376">
            <v>1.5729004153763031E-2</v>
          </cell>
          <cell r="AO1376">
            <v>1.3777776416300246E-2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4.1899659762674882E-10</v>
          </cell>
          <cell r="L1377">
            <v>3.4933867195766256E-4</v>
          </cell>
          <cell r="M1377">
            <v>-2.6279638913765521E-3</v>
          </cell>
          <cell r="N1377">
            <v>-5.7887511193535296E-3</v>
          </cell>
          <cell r="O1377">
            <v>-7.9881201413624855E-3</v>
          </cell>
          <cell r="P1377">
            <v>-9.5030887254069288E-3</v>
          </cell>
          <cell r="Q1377">
            <v>-9.6861260105597282E-3</v>
          </cell>
          <cell r="R1377">
            <v>-8.8574139233289478E-3</v>
          </cell>
          <cell r="S1377">
            <v>-7.303052728342258E-3</v>
          </cell>
          <cell r="T1377">
            <v>-5.1815591927677545E-3</v>
          </cell>
          <cell r="U1377">
            <v>-2.599725123092094E-3</v>
          </cell>
          <cell r="V1377">
            <v>-3.6375388708078109E-4</v>
          </cell>
          <cell r="W1377">
            <v>1.5390030989706155E-3</v>
          </cell>
          <cell r="X1377">
            <v>3.3113351650815902E-3</v>
          </cell>
          <cell r="Y1377">
            <v>5.1584587556456766E-3</v>
          </cell>
          <cell r="Z1377">
            <v>7.2245435572768713E-3</v>
          </cell>
          <cell r="AA1377">
            <v>9.5391320106827712E-3</v>
          </cell>
          <cell r="AB1377">
            <v>1.2097263120537317E-2</v>
          </cell>
          <cell r="AC1377">
            <v>1.4906306364349312E-2</v>
          </cell>
          <cell r="AD1377">
            <v>1.7958405220824557E-2</v>
          </cell>
          <cell r="AE1377">
            <v>2.1218517118910846E-2</v>
          </cell>
          <cell r="AF1377">
            <v>2.4503119886046098E-2</v>
          </cell>
          <cell r="AG1377">
            <v>2.7614175326392355E-2</v>
          </cell>
          <cell r="AH1377">
            <v>3.050289581638338E-2</v>
          </cell>
          <cell r="AI1377">
            <v>3.3164141287293572E-2</v>
          </cell>
          <cell r="AJ1377">
            <v>3.5599799565486784E-2</v>
          </cell>
          <cell r="AK1377">
            <v>3.776947406761863E-2</v>
          </cell>
          <cell r="AL1377">
            <v>3.963141287359586E-2</v>
          </cell>
          <cell r="AM1377">
            <v>4.1222245305701406E-2</v>
          </cell>
          <cell r="AN1377">
            <v>4.2622187707160961E-2</v>
          </cell>
          <cell r="AO1377">
            <v>4.3945166685073117E-2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5.3129364817827707E-2</v>
          </cell>
          <cell r="M1378">
            <v>9.1941767512659922E-2</v>
          </cell>
          <cell r="N1378">
            <v>0.10868375564048183</v>
          </cell>
          <cell r="O1378">
            <v>0.26708376802480061</v>
          </cell>
          <cell r="P1378">
            <v>0.575156020690204</v>
          </cell>
          <cell r="Q1378">
            <v>0.98182394736519019</v>
          </cell>
          <cell r="R1378">
            <v>1.4595999178272256</v>
          </cell>
          <cell r="S1378">
            <v>1.9525758622966016</v>
          </cell>
          <cell r="T1378">
            <v>2.4269373069392808</v>
          </cell>
          <cell r="U1378">
            <v>2.8681893091296429</v>
          </cell>
          <cell r="V1378">
            <v>3.2315559135695615</v>
          </cell>
          <cell r="W1378">
            <v>3.5066747961837175</v>
          </cell>
          <cell r="X1378">
            <v>3.7177131198782298</v>
          </cell>
          <cell r="Y1378">
            <v>3.8864301762561171</v>
          </cell>
          <cell r="Z1378">
            <v>4.0260405928795651</v>
          </cell>
          <cell r="AA1378">
            <v>4.1374238078137671</v>
          </cell>
          <cell r="AB1378">
            <v>4.2216031517600561</v>
          </cell>
          <cell r="AC1378">
            <v>4.2828287086770889</v>
          </cell>
          <cell r="AD1378">
            <v>4.3246488141013728</v>
          </cell>
          <cell r="AE1378">
            <v>4.350682538930184</v>
          </cell>
          <cell r="AF1378">
            <v>4.3503675424979127</v>
          </cell>
          <cell r="AG1378">
            <v>4.3182146528483623</v>
          </cell>
          <cell r="AH1378">
            <v>4.2646528198624134</v>
          </cell>
          <cell r="AI1378">
            <v>4.2010244049449863</v>
          </cell>
          <cell r="AJ1378">
            <v>4.1363982876245098</v>
          </cell>
          <cell r="AK1378">
            <v>4.074731968412193</v>
          </cell>
          <cell r="AL1378">
            <v>4.0208073513538389</v>
          </cell>
          <cell r="AM1378">
            <v>3.9882180910665532</v>
          </cell>
          <cell r="AN1378">
            <v>3.9946665105679013</v>
          </cell>
          <cell r="AO1378">
            <v>4.0614310443019441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1.5184098423048908E-8</v>
          </cell>
          <cell r="H1379">
            <v>2.8363378312690202E-8</v>
          </cell>
          <cell r="I1379">
            <v>4.0248782084972845E-8</v>
          </cell>
          <cell r="J1379">
            <v>5.1291371150341547E-8</v>
          </cell>
          <cell r="K1379">
            <v>7.4356321100310652E-8</v>
          </cell>
          <cell r="L1379">
            <v>0.21474393660085855</v>
          </cell>
          <cell r="M1379">
            <v>-1.4695745492169787</v>
          </cell>
          <cell r="N1379">
            <v>-2.6444771621894625</v>
          </cell>
          <cell r="O1379">
            <v>-2.9529144854925082</v>
          </cell>
          <cell r="P1379">
            <v>-2.7093614322248105</v>
          </cell>
          <cell r="Q1379">
            <v>-1.5708270684337111</v>
          </cell>
          <cell r="R1379">
            <v>-0.25228901274055859</v>
          </cell>
          <cell r="S1379">
            <v>0.85950345762044744</v>
          </cell>
          <cell r="T1379">
            <v>1.6830901994164815</v>
          </cell>
          <cell r="U1379">
            <v>2.2617832303996277</v>
          </cell>
          <cell r="V1379">
            <v>2.1271015954568151</v>
          </cell>
          <cell r="W1379">
            <v>1.6822033891844335</v>
          </cell>
          <cell r="X1379">
            <v>1.2329821313224354</v>
          </cell>
          <cell r="Y1379">
            <v>0.9027561895192493</v>
          </cell>
          <cell r="Z1379">
            <v>0.70761364648681546</v>
          </cell>
          <cell r="AA1379">
            <v>0.62083567432031916</v>
          </cell>
          <cell r="AB1379">
            <v>0.60615485485988607</v>
          </cell>
          <cell r="AC1379">
            <v>0.64355862339782188</v>
          </cell>
          <cell r="AD1379">
            <v>0.719912627881647</v>
          </cell>
          <cell r="AE1379">
            <v>0.81878503386816348</v>
          </cell>
          <cell r="AF1379">
            <v>0.92169345060133523</v>
          </cell>
          <cell r="AG1379">
            <v>1.0133442325798603</v>
          </cell>
          <cell r="AH1379">
            <v>1.1158963201389982</v>
          </cell>
          <cell r="AI1379">
            <v>1.2512691954535526</v>
          </cell>
          <cell r="AJ1379">
            <v>1.4309883777950949</v>
          </cell>
          <cell r="AK1379">
            <v>1.6568891045787293</v>
          </cell>
          <cell r="AL1379">
            <v>1.9351037846515817</v>
          </cell>
          <cell r="AM1379">
            <v>2.2904823511399774</v>
          </cell>
          <cell r="AN1379">
            <v>2.7542956820079345</v>
          </cell>
          <cell r="AO1379">
            <v>3.3592151236417012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2.0135426659351197E-8</v>
          </cell>
          <cell r="J1381">
            <v>0</v>
          </cell>
          <cell r="K1381">
            <v>1.9352408564543566E-8</v>
          </cell>
          <cell r="L1381">
            <v>2.422834539270724E-2</v>
          </cell>
          <cell r="M1381">
            <v>-0.18516380187251213</v>
          </cell>
          <cell r="N1381">
            <v>-0.44306014820066908</v>
          </cell>
          <cell r="O1381">
            <v>-0.44239917690721553</v>
          </cell>
          <cell r="P1381">
            <v>-0.29976195970113917</v>
          </cell>
          <cell r="Q1381">
            <v>-6.9034249825872251E-2</v>
          </cell>
          <cell r="R1381">
            <v>0.20332620608034535</v>
          </cell>
          <cell r="S1381">
            <v>0.50256165774935635</v>
          </cell>
          <cell r="T1381">
            <v>0.83807871531842437</v>
          </cell>
          <cell r="U1381">
            <v>1.2141391137109103</v>
          </cell>
          <cell r="V1381">
            <v>1.5724057785655665</v>
          </cell>
          <cell r="W1381">
            <v>1.9073158692328507</v>
          </cell>
          <cell r="X1381">
            <v>2.2277138765197879</v>
          </cell>
          <cell r="Y1381">
            <v>2.5474931550210522</v>
          </cell>
          <cell r="Z1381">
            <v>2.8801979125259169</v>
          </cell>
          <cell r="AA1381">
            <v>3.2348548228434915</v>
          </cell>
          <cell r="AB1381">
            <v>3.6185072251954997</v>
          </cell>
          <cell r="AC1381">
            <v>4.0382928184250488</v>
          </cell>
          <cell r="AD1381">
            <v>4.501220599503486</v>
          </cell>
          <cell r="AE1381">
            <v>5.0143656966503025</v>
          </cell>
          <cell r="AF1381">
            <v>5.5828538887275458</v>
          </cell>
          <cell r="AG1381">
            <v>6.2059353269844131</v>
          </cell>
          <cell r="AH1381">
            <v>6.8909768897203794</v>
          </cell>
          <cell r="AI1381">
            <v>7.6508350274900216</v>
          </cell>
          <cell r="AJ1381">
            <v>8.5027891628948193</v>
          </cell>
          <cell r="AK1381">
            <v>9.4675415900440143</v>
          </cell>
          <cell r="AL1381">
            <v>10.572762855368278</v>
          </cell>
          <cell r="AM1381">
            <v>11.860033709684803</v>
          </cell>
          <cell r="AN1381">
            <v>13.39059441776822</v>
          </cell>
          <cell r="AO1381">
            <v>15.2559303422527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2.1965429475301335E-8</v>
          </cell>
          <cell r="J1382">
            <v>0</v>
          </cell>
          <cell r="K1382">
            <v>1.8991830330605808E-8</v>
          </cell>
          <cell r="L1382">
            <v>2.4657536263994473E-2</v>
          </cell>
          <cell r="M1382">
            <v>-0.18863741038658288</v>
          </cell>
          <cell r="N1382">
            <v>-0.45382203912140984</v>
          </cell>
          <cell r="O1382">
            <v>-0.4421384867465572</v>
          </cell>
          <cell r="P1382">
            <v>-0.27935829873815266</v>
          </cell>
          <cell r="Q1382">
            <v>-2.7423603063769786E-2</v>
          </cell>
          <cell r="R1382">
            <v>0.26466547157080189</v>
          </cell>
          <cell r="S1382">
            <v>0.58230156869505389</v>
          </cell>
          <cell r="T1382">
            <v>0.93657512055707048</v>
          </cell>
          <cell r="U1382">
            <v>1.3326887667764131</v>
          </cell>
          <cell r="V1382">
            <v>1.7111097607821479</v>
          </cell>
          <cell r="W1382">
            <v>2.0656747239665263</v>
          </cell>
          <cell r="X1382">
            <v>2.4049551778119627</v>
          </cell>
          <cell r="Y1382">
            <v>2.743005316753222</v>
          </cell>
          <cell r="Z1382">
            <v>3.0936927632318811</v>
          </cell>
          <cell r="AA1382">
            <v>3.4667603115838386</v>
          </cell>
          <cell r="AB1382">
            <v>3.8697271610220962</v>
          </cell>
          <cell r="AC1382">
            <v>4.310153430994923</v>
          </cell>
          <cell r="AD1382">
            <v>4.7955280663244615</v>
          </cell>
          <cell r="AE1382">
            <v>5.3331035090325107</v>
          </cell>
          <cell r="AF1382">
            <v>5.9295284845536811</v>
          </cell>
          <cell r="AG1382">
            <v>6.5845963554316267</v>
          </cell>
          <cell r="AH1382">
            <v>7.3062018033721809</v>
          </cell>
          <cell r="AI1382">
            <v>8.1080309090254552</v>
          </cell>
          <cell r="AJ1382">
            <v>9.0085330070021961</v>
          </cell>
          <cell r="AK1382">
            <v>10.030001374635811</v>
          </cell>
          <cell r="AL1382">
            <v>11.20217326183306</v>
          </cell>
          <cell r="AM1382">
            <v>12.569324815766802</v>
          </cell>
          <cell r="AN1382">
            <v>14.196557436689439</v>
          </cell>
          <cell r="AO1382">
            <v>16.181142082202427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-1.5155432464553087E-8</v>
          </cell>
          <cell r="I1383">
            <v>-1.484081746383481E-8</v>
          </cell>
          <cell r="J1383">
            <v>-2.9074587182265077E-8</v>
          </cell>
          <cell r="K1383">
            <v>-2.8483437830573166E-8</v>
          </cell>
          <cell r="L1383">
            <v>1.5577327917770667E-2</v>
          </cell>
          <cell r="M1383">
            <v>-0.98581403110499233</v>
          </cell>
          <cell r="N1383">
            <v>-1.8310993189280533</v>
          </cell>
          <cell r="O1383">
            <v>-1.3936117837562767</v>
          </cell>
          <cell r="P1383">
            <v>-1.1085606400528136</v>
          </cell>
          <cell r="Q1383">
            <v>-1.0336973719732634</v>
          </cell>
          <cell r="R1383">
            <v>-1.1880423255198891</v>
          </cell>
          <cell r="S1383">
            <v>-1.4508006030287346</v>
          </cell>
          <cell r="T1383">
            <v>-1.6858021528942779</v>
          </cell>
          <cell r="U1383">
            <v>-1.8731316772186313</v>
          </cell>
          <cell r="V1383">
            <v>-2.1564620926067812</v>
          </cell>
          <cell r="W1383">
            <v>-2.4557873342615277</v>
          </cell>
          <cell r="X1383">
            <v>-2.7657519041753953</v>
          </cell>
          <cell r="Y1383">
            <v>-3.0810065903341011</v>
          </cell>
          <cell r="Z1383">
            <v>-3.3951189559439099</v>
          </cell>
          <cell r="AA1383">
            <v>-3.6983375074547853</v>
          </cell>
          <cell r="AB1383">
            <v>-3.9832839581240509</v>
          </cell>
          <cell r="AC1383">
            <v>-4.2485808801166147</v>
          </cell>
          <cell r="AD1383">
            <v>-4.4934409868307323</v>
          </cell>
          <cell r="AE1383">
            <v>-4.7169545349970088</v>
          </cell>
          <cell r="AF1383">
            <v>-4.8965420214813538</v>
          </cell>
          <cell r="AG1383">
            <v>-5.0306372986433923</v>
          </cell>
          <cell r="AH1383">
            <v>-5.1243157075387185</v>
          </cell>
          <cell r="AI1383">
            <v>-5.1841596366784533</v>
          </cell>
          <cell r="AJ1383">
            <v>-5.2161872173624557</v>
          </cell>
          <cell r="AK1383">
            <v>-5.2214311618935749</v>
          </cell>
          <cell r="AL1383">
            <v>-5.2004041847737215</v>
          </cell>
          <cell r="AM1383">
            <v>-5.1611913605413395</v>
          </cell>
          <cell r="AN1383">
            <v>-5.1143136211262874</v>
          </cell>
          <cell r="AO1383">
            <v>-5.0719494110611052</v>
          </cell>
        </row>
        <row r="1384">
          <cell r="E1384" t="str">
            <v>100*(M_2/M_0-1)</v>
          </cell>
          <cell r="F1384">
            <v>0</v>
          </cell>
          <cell r="G1384">
            <v>1.5049739232608772E-8</v>
          </cell>
          <cell r="H1384">
            <v>0</v>
          </cell>
          <cell r="I1384">
            <v>0</v>
          </cell>
          <cell r="J1384">
            <v>1.4247447666093649E-8</v>
          </cell>
          <cell r="K1384">
            <v>1.3969381207346032E-8</v>
          </cell>
          <cell r="L1384">
            <v>4.2038779744935084E-2</v>
          </cell>
          <cell r="M1384">
            <v>-0.41814228364804862</v>
          </cell>
          <cell r="N1384">
            <v>-0.85788805280926361</v>
          </cell>
          <cell r="O1384">
            <v>-0.79686058294814455</v>
          </cell>
          <cell r="P1384">
            <v>-0.59129647602310653</v>
          </cell>
          <cell r="Q1384">
            <v>-0.29581551491505431</v>
          </cell>
          <cell r="R1384">
            <v>2.3311721974428323E-2</v>
          </cell>
          <cell r="S1384">
            <v>0.34523871161096231</v>
          </cell>
          <cell r="T1384">
            <v>0.68302942761606644</v>
          </cell>
          <cell r="U1384">
            <v>1.033305740909074</v>
          </cell>
          <cell r="V1384">
            <v>1.3018199825310273</v>
          </cell>
          <cell r="W1384">
            <v>1.5093439131241837</v>
          </cell>
          <cell r="X1384">
            <v>1.6815361563534692</v>
          </cell>
          <cell r="Y1384">
            <v>1.8359874762647221</v>
          </cell>
          <cell r="Z1384">
            <v>1.9817094993727302</v>
          </cell>
          <cell r="AA1384">
            <v>2.120929921109882</v>
          </cell>
          <cell r="AB1384">
            <v>2.2542512273691973</v>
          </cell>
          <cell r="AC1384">
            <v>2.3844854893526612</v>
          </cell>
          <cell r="AD1384">
            <v>2.5145655370813591</v>
          </cell>
          <cell r="AE1384">
            <v>2.6457958405784243</v>
          </cell>
          <cell r="AF1384">
            <v>2.780204735811731</v>
          </cell>
          <cell r="AG1384">
            <v>2.9135613048008491</v>
          </cell>
          <cell r="AH1384">
            <v>3.0550844584813497</v>
          </cell>
          <cell r="AI1384">
            <v>3.2168596076149303</v>
          </cell>
          <cell r="AJ1384">
            <v>3.4112431093388906</v>
          </cell>
          <cell r="AK1384">
            <v>3.6493403386574474</v>
          </cell>
          <cell r="AL1384">
            <v>3.9453921037255979</v>
          </cell>
          <cell r="AM1384">
            <v>4.3226944334700645</v>
          </cell>
          <cell r="AN1384">
            <v>4.8136376496882294</v>
          </cell>
          <cell r="AO1384">
            <v>5.4641685636542814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5.2968974567524363E-2</v>
          </cell>
          <cell r="M1385">
            <v>9.3343873562345969E-2</v>
          </cell>
          <cell r="N1385">
            <v>0.11333510852238327</v>
          </cell>
          <cell r="O1385">
            <v>0.27538488516083426</v>
          </cell>
          <cell r="P1385">
            <v>0.58684091726930454</v>
          </cell>
          <cell r="Q1385">
            <v>0.99595824614562289</v>
          </cell>
          <cell r="R1385">
            <v>1.4748641388393269</v>
          </cell>
          <cell r="S1385">
            <v>1.9678966050276081</v>
          </cell>
          <cell r="T1385">
            <v>2.4416876529612219</v>
          </cell>
          <cell r="U1385">
            <v>2.8821120511231202</v>
          </cell>
          <cell r="V1385">
            <v>3.2449210298084452</v>
          </cell>
          <cell r="W1385">
            <v>3.5201411897032076</v>
          </cell>
          <cell r="X1385">
            <v>3.7318125020582515</v>
          </cell>
          <cell r="Y1385">
            <v>3.9013599547821354</v>
          </cell>
          <cell r="Z1385">
            <v>4.0417080311277775</v>
          </cell>
          <cell r="AA1385">
            <v>4.1536043625891805</v>
          </cell>
          <cell r="AB1385">
            <v>4.2380523442860918</v>
          </cell>
          <cell r="AC1385">
            <v>4.2993353511916244</v>
          </cell>
          <cell r="AD1385">
            <v>4.3410565888241104</v>
          </cell>
          <cell r="AE1385">
            <v>4.3668975988643277</v>
          </cell>
          <cell r="AF1385">
            <v>4.3664497080049713</v>
          </cell>
          <cell r="AG1385">
            <v>4.334416769430427</v>
          </cell>
          <cell r="AH1385">
            <v>4.2813484917642919</v>
          </cell>
          <cell r="AI1385">
            <v>4.218625339904003</v>
          </cell>
          <cell r="AJ1385">
            <v>4.1553301252232444</v>
          </cell>
          <cell r="AK1385">
            <v>4.0954694887663345</v>
          </cell>
          <cell r="AL1385">
            <v>4.0439193573671872</v>
          </cell>
          <cell r="AM1385">
            <v>4.0143718965405251</v>
          </cell>
          <cell r="AN1385">
            <v>4.0246331225215259</v>
          </cell>
          <cell r="AO1385">
            <v>4.0961323088918755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1.9404233775333068E-8</v>
          </cell>
          <cell r="J1386">
            <v>0</v>
          </cell>
          <cell r="K1386">
            <v>1.8651435951255735E-8</v>
          </cell>
          <cell r="L1386">
            <v>2.565876239739584E-2</v>
          </cell>
          <cell r="M1386">
            <v>-0.17853845117811185</v>
          </cell>
          <cell r="N1386">
            <v>-0.43435833272565949</v>
          </cell>
          <cell r="O1386">
            <v>-0.43677797773935545</v>
          </cell>
          <cell r="P1386">
            <v>-0.296294927045615</v>
          </cell>
          <cell r="Q1386">
            <v>-6.5120541916807717E-2</v>
          </cell>
          <cell r="R1386">
            <v>0.21184305294958961</v>
          </cell>
          <cell r="S1386">
            <v>0.5177722877812263</v>
          </cell>
          <cell r="T1386">
            <v>0.85948958456938396</v>
          </cell>
          <cell r="U1386">
            <v>1.239732105925162</v>
          </cell>
          <cell r="V1386">
            <v>1.5994330323185757</v>
          </cell>
          <cell r="W1386">
            <v>1.9319907543278614</v>
          </cell>
          <cell r="X1386">
            <v>2.2471140457341665</v>
          </cell>
          <cell r="Y1386">
            <v>2.5597711025288739</v>
          </cell>
          <cell r="Z1386">
            <v>2.8841880079049975</v>
          </cell>
          <cell r="AA1386">
            <v>3.2294472681801745</v>
          </cell>
          <cell r="AB1386">
            <v>3.6024740484710271</v>
          </cell>
          <cell r="AC1386">
            <v>4.0102853646572401</v>
          </cell>
          <cell r="AD1386">
            <v>4.4597103085437961</v>
          </cell>
          <cell r="AE1386">
            <v>4.9576609458121812</v>
          </cell>
          <cell r="AF1386">
            <v>5.5084708956203654</v>
          </cell>
          <cell r="AG1386">
            <v>6.1109112672178112</v>
          </cell>
          <cell r="AH1386">
            <v>6.7722736797641181</v>
          </cell>
          <cell r="AI1386">
            <v>7.5053426426396008</v>
          </cell>
          <cell r="AJ1386">
            <v>8.327144344591586</v>
          </cell>
          <cell r="AK1386">
            <v>9.2577865455602861</v>
          </cell>
          <cell r="AL1386">
            <v>10.324080093373089</v>
          </cell>
          <cell r="AM1386">
            <v>11.566606453631699</v>
          </cell>
          <cell r="AN1386">
            <v>13.045152980852116</v>
          </cell>
          <cell r="AO1386">
            <v>14.848892636585109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6.3801466731883139E-2</v>
          </cell>
          <cell r="M1387">
            <v>-1.3383264622968127E-3</v>
          </cell>
          <cell r="N1387">
            <v>-0.2007809984990061</v>
          </cell>
          <cell r="O1387">
            <v>-0.28529643510769587</v>
          </cell>
          <cell r="P1387">
            <v>-0.20250772629261116</v>
          </cell>
          <cell r="Q1387">
            <v>4.1168427077176162E-2</v>
          </cell>
          <cell r="R1387">
            <v>0.44402776354550699</v>
          </cell>
          <cell r="S1387">
            <v>0.9338642523668339</v>
          </cell>
          <cell r="T1387">
            <v>1.4471099856924852</v>
          </cell>
          <cell r="U1387">
            <v>1.9445481636813033</v>
          </cell>
          <cell r="V1387">
            <v>2.3463549514757709</v>
          </cell>
          <cell r="W1387">
            <v>2.6165045147762855</v>
          </cell>
          <cell r="X1387">
            <v>2.7876867527299343</v>
          </cell>
          <cell r="Y1387">
            <v>2.9036937717888289</v>
          </cell>
          <cell r="Z1387">
            <v>2.9966727083268418</v>
          </cell>
          <cell r="AA1387">
            <v>3.0758970567993815</v>
          </cell>
          <cell r="AB1387">
            <v>3.143527420773462</v>
          </cell>
          <cell r="AC1387">
            <v>3.2015371603924647</v>
          </cell>
          <cell r="AD1387">
            <v>3.2498586061140866</v>
          </cell>
          <cell r="AE1387">
            <v>3.2880858557872372</v>
          </cell>
          <cell r="AF1387">
            <v>3.2955880762310041</v>
          </cell>
          <cell r="AG1387">
            <v>3.2542995342791814</v>
          </cell>
          <cell r="AH1387">
            <v>3.1667394083851441</v>
          </cell>
          <cell r="AI1387">
            <v>3.0417299278500343</v>
          </cell>
          <cell r="AJ1387">
            <v>2.8874108288980738</v>
          </cell>
          <cell r="AK1387">
            <v>2.7045044567686194</v>
          </cell>
          <cell r="AL1387">
            <v>2.4916076433753487</v>
          </cell>
          <cell r="AM1387">
            <v>2.2558552978379609</v>
          </cell>
          <cell r="AN1387">
            <v>2.0081986395369622</v>
          </cell>
          <cell r="AO1387">
            <v>1.7601208833061266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2.3340884780509441E-8</v>
          </cell>
          <cell r="L1388">
            <v>1.9464067978858246E-2</v>
          </cell>
          <cell r="M1388">
            <v>-0.14645727837450107</v>
          </cell>
          <cell r="N1388">
            <v>-0.32267413777860021</v>
          </cell>
          <cell r="O1388">
            <v>-0.44532675460705606</v>
          </cell>
          <cell r="P1388">
            <v>-0.52965657906746122</v>
          </cell>
          <cell r="Q1388">
            <v>-0.5397084349343495</v>
          </cell>
          <cell r="R1388">
            <v>-0.49324789653852896</v>
          </cell>
          <cell r="S1388">
            <v>-0.40605435579690319</v>
          </cell>
          <cell r="T1388">
            <v>-0.28743532530483007</v>
          </cell>
          <cell r="U1388">
            <v>-0.14380902205018975</v>
          </cell>
          <cell r="V1388">
            <v>-2.006083701656669E-2</v>
          </cell>
          <cell r="W1388">
            <v>8.4619528682927658E-2</v>
          </cell>
          <cell r="X1388">
            <v>0.18156256075676502</v>
          </cell>
          <cell r="Y1388">
            <v>0.28216928255690998</v>
          </cell>
          <cell r="Z1388">
            <v>0.39454496886224266</v>
          </cell>
          <cell r="AA1388">
            <v>0.52044195998675047</v>
          </cell>
          <cell r="AB1388">
            <v>0.65988622698180954</v>
          </cell>
          <cell r="AC1388">
            <v>0.81373197405318898</v>
          </cell>
          <cell r="AD1388">
            <v>0.98204713860639004</v>
          </cell>
          <cell r="AE1388">
            <v>1.1640815385124847</v>
          </cell>
          <cell r="AF1388">
            <v>1.3500202633040193</v>
          </cell>
          <cell r="AG1388">
            <v>1.5293136884587888</v>
          </cell>
          <cell r="AH1388">
            <v>1.6996073790143118</v>
          </cell>
          <cell r="AI1388">
            <v>1.8604615271484715</v>
          </cell>
          <cell r="AJ1388">
            <v>2.0114886564868151</v>
          </cell>
          <cell r="AK1388">
            <v>2.1497560588324749</v>
          </cell>
          <cell r="AL1388">
            <v>2.2721181449647965</v>
          </cell>
          <cell r="AM1388">
            <v>2.3798262716201002</v>
          </cell>
          <cell r="AN1388">
            <v>2.4767008196796558</v>
          </cell>
          <cell r="AO1388">
            <v>2.568658953934766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6.8551364584834573E-8</v>
          </cell>
          <cell r="I1389">
            <v>6.6044680835375402E-8</v>
          </cell>
          <cell r="J1389">
            <v>1.2745806632352696E-7</v>
          </cell>
          <cell r="K1389">
            <v>1.2298584373127142E-7</v>
          </cell>
          <cell r="L1389">
            <v>-5.5236212949560937E-3</v>
          </cell>
          <cell r="M1389">
            <v>0.8216165372294526</v>
          </cell>
          <cell r="N1389">
            <v>1.4886474293942076</v>
          </cell>
          <cell r="O1389">
            <v>2.4968587133659792</v>
          </cell>
          <cell r="P1389">
            <v>3.7786553922157795</v>
          </cell>
          <cell r="Q1389">
            <v>4.9581499159768727</v>
          </cell>
          <cell r="R1389">
            <v>6.1455618644278065</v>
          </cell>
          <cell r="S1389">
            <v>7.2766633807306746</v>
          </cell>
          <cell r="T1389">
            <v>8.3285468778052199</v>
          </cell>
          <cell r="U1389">
            <v>9.2887091725464046</v>
          </cell>
          <cell r="V1389">
            <v>10.276868926317251</v>
          </cell>
          <cell r="W1389">
            <v>11.2029255119793</v>
          </cell>
          <cell r="X1389">
            <v>12.069243851025702</v>
          </cell>
          <cell r="Y1389">
            <v>12.866693991919732</v>
          </cell>
          <cell r="Z1389">
            <v>13.584006226956657</v>
          </cell>
          <cell r="AA1389">
            <v>14.207630360400403</v>
          </cell>
          <cell r="AB1389">
            <v>14.732476098312164</v>
          </cell>
          <cell r="AC1389">
            <v>15.152532485439885</v>
          </cell>
          <cell r="AD1389">
            <v>15.462475159428646</v>
          </cell>
          <cell r="AE1389">
            <v>15.661795509184785</v>
          </cell>
          <cell r="AF1389">
            <v>15.752971857925813</v>
          </cell>
          <cell r="AG1389">
            <v>15.755213412591317</v>
          </cell>
          <cell r="AH1389">
            <v>15.685305525673844</v>
          </cell>
          <cell r="AI1389">
            <v>15.558918899588736</v>
          </cell>
          <cell r="AJ1389">
            <v>15.392251414059821</v>
          </cell>
          <cell r="AK1389">
            <v>15.206777717788555</v>
          </cell>
          <cell r="AL1389">
            <v>15.031112057085627</v>
          </cell>
          <cell r="AM1389">
            <v>14.898001211628674</v>
          </cell>
          <cell r="AN1389">
            <v>14.845158211005272</v>
          </cell>
          <cell r="AO1389">
            <v>14.91977347097686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6.8551364584834573E-8</v>
          </cell>
          <cell r="I1390">
            <v>-2.8299962373523613E-8</v>
          </cell>
          <cell r="J1390">
            <v>1.2745806632352696E-7</v>
          </cell>
          <cell r="K1390">
            <v>3.1838531810990389E-8</v>
          </cell>
          <cell r="L1390">
            <v>7.822244889069685E-2</v>
          </cell>
          <cell r="M1390">
            <v>0.10351347663493105</v>
          </cell>
          <cell r="N1390">
            <v>0.1054481446153277</v>
          </cell>
          <cell r="O1390">
            <v>0.33307617853985949</v>
          </cell>
          <cell r="P1390">
            <v>0.70551270894103624</v>
          </cell>
          <cell r="Q1390">
            <v>1.1489551543998999</v>
          </cell>
          <cell r="R1390">
            <v>1.6550834190204311</v>
          </cell>
          <cell r="S1390">
            <v>2.1558720593633174</v>
          </cell>
          <cell r="T1390">
            <v>2.6322754203581979</v>
          </cell>
          <cell r="U1390">
            <v>3.0792867755255573</v>
          </cell>
          <cell r="V1390">
            <v>3.4370532216964067</v>
          </cell>
          <cell r="W1390">
            <v>3.7121264260602693</v>
          </cell>
          <cell r="X1390">
            <v>3.9434684034378442</v>
          </cell>
          <cell r="Y1390">
            <v>4.1459166138176684</v>
          </cell>
          <cell r="Z1390">
            <v>4.3241336007693754</v>
          </cell>
          <cell r="AA1390">
            <v>4.4698562872572243</v>
          </cell>
          <cell r="AB1390">
            <v>4.5834780177282273</v>
          </cell>
          <cell r="AC1390">
            <v>4.6704167885593506</v>
          </cell>
          <cell r="AD1390">
            <v>4.733246223992893</v>
          </cell>
          <cell r="AE1390">
            <v>4.7754021757145715</v>
          </cell>
          <cell r="AF1390">
            <v>4.7784664605815532</v>
          </cell>
          <cell r="AG1390">
            <v>4.741470754980746</v>
          </cell>
          <cell r="AH1390">
            <v>4.6846321676961011</v>
          </cell>
          <cell r="AI1390">
            <v>4.6196430356660656</v>
          </cell>
          <cell r="AJ1390">
            <v>4.5545571534081795</v>
          </cell>
          <cell r="AK1390">
            <v>4.4913277008427066</v>
          </cell>
          <cell r="AL1390">
            <v>4.4367053899645015</v>
          </cell>
          <cell r="AM1390">
            <v>4.4106861308187177</v>
          </cell>
          <cell r="AN1390">
            <v>4.434320890676501</v>
          </cell>
          <cell r="AO1390">
            <v>4.5323544926458847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6.8551364584834573E-8</v>
          </cell>
          <cell r="I1391">
            <v>2.9983659999288648E-8</v>
          </cell>
          <cell r="J1391">
            <v>1.2745806632352696E-7</v>
          </cell>
          <cell r="K1391">
            <v>1.2298584373127142E-7</v>
          </cell>
          <cell r="L1391">
            <v>-1.4697982847100555E-2</v>
          </cell>
          <cell r="M1391">
            <v>0.86107594498729956</v>
          </cell>
          <cell r="N1391">
            <v>1.6053808684309501</v>
          </cell>
          <cell r="O1391">
            <v>2.5094334582277056</v>
          </cell>
          <cell r="P1391">
            <v>3.561685420723415</v>
          </cell>
          <cell r="Q1391">
            <v>4.4749217243119643</v>
          </cell>
          <cell r="R1391">
            <v>5.4136227815805738</v>
          </cell>
          <cell r="S1391">
            <v>6.3318012455988892</v>
          </cell>
          <cell r="T1391">
            <v>7.1986767543350307</v>
          </cell>
          <cell r="U1391">
            <v>7.9921490860623159</v>
          </cell>
          <cell r="V1391">
            <v>8.8398094002178453</v>
          </cell>
          <cell r="W1391">
            <v>9.6555074422025591</v>
          </cell>
          <cell r="X1391">
            <v>10.441836738527321</v>
          </cell>
          <cell r="Y1391">
            <v>11.185383468133626</v>
          </cell>
          <cell r="Z1391">
            <v>11.867998526530753</v>
          </cell>
          <cell r="AA1391">
            <v>12.469250096620254</v>
          </cell>
          <cell r="AB1391">
            <v>12.977016458081426</v>
          </cell>
          <cell r="AC1391">
            <v>13.378923204502179</v>
          </cell>
          <cell r="AD1391">
            <v>13.663769293731786</v>
          </cell>
          <cell r="AE1391">
            <v>13.825193906472389</v>
          </cell>
          <cell r="AF1391">
            <v>13.859785963247484</v>
          </cell>
          <cell r="AG1391">
            <v>13.780406185177728</v>
          </cell>
          <cell r="AH1391">
            <v>13.597043245893193</v>
          </cell>
          <cell r="AI1391">
            <v>13.317350867482691</v>
          </cell>
          <cell r="AJ1391">
            <v>12.94826348243423</v>
          </cell>
          <cell r="AK1391">
            <v>12.500309674242558</v>
          </cell>
          <cell r="AL1391">
            <v>11.988445516267943</v>
          </cell>
          <cell r="AM1391">
            <v>11.427652781715334</v>
          </cell>
          <cell r="AN1391">
            <v>10.830927587936623</v>
          </cell>
          <cell r="AO1391">
            <v>10.20916117445072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6.8551364584834573E-8</v>
          </cell>
          <cell r="I1392">
            <v>-6.4360983209610367E-8</v>
          </cell>
          <cell r="J1392">
            <v>1.2745806632352696E-7</v>
          </cell>
          <cell r="K1392">
            <v>3.1838531810990389E-8</v>
          </cell>
          <cell r="L1392">
            <v>6.9048087338552389E-2</v>
          </cell>
          <cell r="M1392">
            <v>0.142972884392778</v>
          </cell>
          <cell r="N1392">
            <v>0.22218158365207019</v>
          </cell>
          <cell r="O1392">
            <v>0.34565092340158587</v>
          </cell>
          <cell r="P1392">
            <v>0.48854273744867172</v>
          </cell>
          <cell r="Q1392">
            <v>0.66572696273499155</v>
          </cell>
          <cell r="R1392">
            <v>0.92314433617319835</v>
          </cell>
          <cell r="S1392">
            <v>1.211009924231532</v>
          </cell>
          <cell r="T1392">
            <v>1.5024052968880088</v>
          </cell>
          <cell r="U1392">
            <v>1.7827266890414686</v>
          </cell>
          <cell r="V1392">
            <v>1.9999936955970012</v>
          </cell>
          <cell r="W1392">
            <v>2.1647083562835281</v>
          </cell>
          <cell r="X1392">
            <v>2.316061290939464</v>
          </cell>
          <cell r="Y1392">
            <v>2.4646060900315625</v>
          </cell>
          <cell r="Z1392">
            <v>2.608125900343472</v>
          </cell>
          <cell r="AA1392">
            <v>2.7314760234770752</v>
          </cell>
          <cell r="AB1392">
            <v>2.8280183774974894</v>
          </cell>
          <cell r="AC1392">
            <v>2.8968075076216451</v>
          </cell>
          <cell r="AD1392">
            <v>2.934540358296033</v>
          </cell>
          <cell r="AE1392">
            <v>2.938800573002176</v>
          </cell>
          <cell r="AF1392">
            <v>2.8852805659032246</v>
          </cell>
          <cell r="AG1392">
            <v>2.7666635275671574</v>
          </cell>
          <cell r="AH1392">
            <v>2.5963698879154506</v>
          </cell>
          <cell r="AI1392">
            <v>2.3780750035600207</v>
          </cell>
          <cell r="AJ1392">
            <v>2.1105692217825887</v>
          </cell>
          <cell r="AK1392">
            <v>1.7848596572967104</v>
          </cell>
          <cell r="AL1392">
            <v>1.394038849146817</v>
          </cell>
          <cell r="AM1392">
            <v>0.94033770090537772</v>
          </cell>
          <cell r="AN1392">
            <v>0.4200902676078524</v>
          </cell>
          <cell r="AO1392">
            <v>-0.17825780388025514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6.8551364584834573E-8</v>
          </cell>
          <cell r="I1394">
            <v>-2.8299962373523613E-8</v>
          </cell>
          <cell r="J1394">
            <v>1.2745806632352696E-7</v>
          </cell>
          <cell r="K1394">
            <v>3.1838531810990389E-8</v>
          </cell>
          <cell r="L1394">
            <v>7.822244889069685E-2</v>
          </cell>
          <cell r="M1394">
            <v>0.10351347663493105</v>
          </cell>
          <cell r="N1394">
            <v>0.1054481446153277</v>
          </cell>
          <cell r="O1394">
            <v>0.33307617853985949</v>
          </cell>
          <cell r="P1394">
            <v>0.70551270894103624</v>
          </cell>
          <cell r="Q1394">
            <v>1.1489551543998999</v>
          </cell>
          <cell r="R1394">
            <v>1.6550834190204311</v>
          </cell>
          <cell r="S1394">
            <v>2.1558720593633174</v>
          </cell>
          <cell r="T1394">
            <v>2.6322754203581979</v>
          </cell>
          <cell r="U1394">
            <v>3.0792867755255573</v>
          </cell>
          <cell r="V1394">
            <v>3.4370532216964067</v>
          </cell>
          <cell r="W1394">
            <v>3.7121264260602693</v>
          </cell>
          <cell r="X1394">
            <v>3.9434684034378442</v>
          </cell>
          <cell r="Y1394">
            <v>4.1459166138176684</v>
          </cell>
          <cell r="Z1394">
            <v>4.3241336007693754</v>
          </cell>
          <cell r="AA1394">
            <v>4.4698562872572243</v>
          </cell>
          <cell r="AB1394">
            <v>4.5834780177282273</v>
          </cell>
          <cell r="AC1394">
            <v>4.6704167885593506</v>
          </cell>
          <cell r="AD1394">
            <v>4.733246223992893</v>
          </cell>
          <cell r="AE1394">
            <v>4.7754021757145715</v>
          </cell>
          <cell r="AF1394">
            <v>4.7784664605815532</v>
          </cell>
          <cell r="AG1394">
            <v>4.741470754980746</v>
          </cell>
          <cell r="AH1394">
            <v>4.6846321676961011</v>
          </cell>
          <cell r="AI1394">
            <v>4.6196430356660656</v>
          </cell>
          <cell r="AJ1394">
            <v>4.5545571534081795</v>
          </cell>
          <cell r="AK1394">
            <v>4.4913277008427066</v>
          </cell>
          <cell r="AL1394">
            <v>4.4367053899645015</v>
          </cell>
          <cell r="AM1394">
            <v>4.4106861308187177</v>
          </cell>
          <cell r="AN1394">
            <v>4.434320890676501</v>
          </cell>
          <cell r="AO1394">
            <v>4.5323544926458847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9.9932395691837428E-8</v>
          </cell>
          <cell r="G1395">
            <v>0</v>
          </cell>
          <cell r="H1395">
            <v>0</v>
          </cell>
          <cell r="I1395">
            <v>0</v>
          </cell>
          <cell r="J1395">
            <v>9.2654683925275094E-8</v>
          </cell>
          <cell r="K1395">
            <v>9.0982088529756311E-8</v>
          </cell>
          <cell r="L1395">
            <v>-7.2662926974698117E-2</v>
          </cell>
          <cell r="M1395">
            <v>0.29555686198645681</v>
          </cell>
          <cell r="N1395">
            <v>0.7669417469892581</v>
          </cell>
          <cell r="O1395">
            <v>1.4001291249675862</v>
          </cell>
          <cell r="P1395">
            <v>2.2113129074645022</v>
          </cell>
          <cell r="Q1395">
            <v>3.0220303206587751</v>
          </cell>
          <cell r="R1395">
            <v>3.8055271165443605</v>
          </cell>
          <cell r="S1395">
            <v>4.5479317199320191</v>
          </cell>
          <cell r="T1395">
            <v>5.2402407566154663</v>
          </cell>
          <cell r="U1395">
            <v>5.8729524352626905</v>
          </cell>
          <cell r="V1395">
            <v>6.5619273471768214</v>
          </cell>
          <cell r="W1395">
            <v>7.2825649166433637</v>
          </cell>
          <cell r="X1395">
            <v>8.0014064123299367</v>
          </cell>
          <cell r="Y1395">
            <v>8.6913946056717872</v>
          </cell>
          <cell r="Z1395">
            <v>9.3334826795169903</v>
          </cell>
          <cell r="AA1395">
            <v>9.9183626348805944</v>
          </cell>
          <cell r="AB1395">
            <v>10.440119445868024</v>
          </cell>
          <cell r="AC1395">
            <v>10.889567947001911</v>
          </cell>
          <cell r="AD1395">
            <v>11.258723750069333</v>
          </cell>
          <cell r="AE1395">
            <v>11.543048082889417</v>
          </cell>
          <cell r="AF1395">
            <v>11.756270704840777</v>
          </cell>
          <cell r="AG1395">
            <v>11.918731268294014</v>
          </cell>
          <cell r="AH1395">
            <v>12.036165189777325</v>
          </cell>
          <cell r="AI1395">
            <v>12.115015638956805</v>
          </cell>
          <cell r="AJ1395">
            <v>12.165181260561319</v>
          </cell>
          <cell r="AK1395">
            <v>12.206187050462148</v>
          </cell>
          <cell r="AL1395">
            <v>12.263280460059867</v>
          </cell>
          <cell r="AM1395">
            <v>12.358581576172845</v>
          </cell>
          <cell r="AN1395">
            <v>12.518329553263307</v>
          </cell>
          <cell r="AO1395">
            <v>12.778529966457764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9.804792533429918E-8</v>
          </cell>
          <cell r="H1396">
            <v>9.6270302840650857E-8</v>
          </cell>
          <cell r="I1396">
            <v>9.4493723956645681E-8</v>
          </cell>
          <cell r="J1396">
            <v>0</v>
          </cell>
          <cell r="K1396">
            <v>9.1237595256643544E-8</v>
          </cell>
          <cell r="L1396">
            <v>-0.10185675123445259</v>
          </cell>
          <cell r="M1396">
            <v>0.3703516696813125</v>
          </cell>
          <cell r="N1396">
            <v>0.94776916054732929</v>
          </cell>
          <cell r="O1396">
            <v>1.6963525104446653</v>
          </cell>
          <cell r="P1396">
            <v>2.6162785806701727</v>
          </cell>
          <cell r="Q1396">
            <v>3.4630516856465121</v>
          </cell>
          <cell r="R1396">
            <v>4.2026218854255948</v>
          </cell>
          <cell r="S1396">
            <v>4.8440803825228418</v>
          </cell>
          <cell r="T1396">
            <v>5.3976631851660128</v>
          </cell>
          <cell r="U1396">
            <v>5.8687428669365271</v>
          </cell>
          <cell r="V1396">
            <v>6.4301309170396781</v>
          </cell>
          <cell r="W1396">
            <v>7.052338062336716</v>
          </cell>
          <cell r="X1396">
            <v>7.6885859864328054</v>
          </cell>
          <cell r="Y1396">
            <v>8.3037482329587178</v>
          </cell>
          <cell r="Z1396">
            <v>8.8737528920062694</v>
          </cell>
          <cell r="AA1396">
            <v>9.3895433686512106</v>
          </cell>
          <cell r="AB1396">
            <v>9.8444737526749648</v>
          </cell>
          <cell r="AC1396">
            <v>10.225188617225633</v>
          </cell>
          <cell r="AD1396">
            <v>10.521424666066025</v>
          </cell>
          <cell r="AE1396">
            <v>10.72748494275686</v>
          </cell>
          <cell r="AF1396">
            <v>10.86730662675186</v>
          </cell>
          <cell r="AG1396">
            <v>10.967720651894929</v>
          </cell>
          <cell r="AH1396">
            <v>11.025662952249382</v>
          </cell>
          <cell r="AI1396">
            <v>11.041950173803405</v>
          </cell>
          <cell r="AJ1396">
            <v>11.021517311401062</v>
          </cell>
          <cell r="AK1396">
            <v>10.982950855865671</v>
          </cell>
          <cell r="AL1396">
            <v>10.948893803693949</v>
          </cell>
          <cell r="AM1396">
            <v>10.931095617118004</v>
          </cell>
          <cell r="AN1396">
            <v>10.943613754036562</v>
          </cell>
          <cell r="AO1396">
            <v>11.006040476673862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-0.29469069028934536</v>
          </cell>
          <cell r="M1397">
            <v>5.3623139142944254E-2</v>
          </cell>
          <cell r="N1397">
            <v>0.40792812373620091</v>
          </cell>
          <cell r="O1397">
            <v>0.84830499224046729</v>
          </cell>
          <cell r="P1397">
            <v>1.3621329669661009</v>
          </cell>
          <cell r="Q1397">
            <v>1.7253541697817676</v>
          </cell>
          <cell r="R1397">
            <v>1.8475999475478178</v>
          </cell>
          <cell r="S1397">
            <v>1.8342517741261277</v>
          </cell>
          <cell r="T1397">
            <v>1.7297028069188869</v>
          </cell>
          <cell r="U1397">
            <v>1.555091230906025</v>
          </cell>
          <cell r="V1397">
            <v>1.6068024382265955</v>
          </cell>
          <cell r="W1397">
            <v>1.7222284849573333</v>
          </cell>
          <cell r="X1397">
            <v>1.8397051365040218</v>
          </cell>
          <cell r="Y1397">
            <v>1.9419809326582937</v>
          </cell>
          <cell r="Z1397">
            <v>2.0232459272639058</v>
          </cell>
          <cell r="AA1397">
            <v>2.1007176534276084</v>
          </cell>
          <cell r="AB1397">
            <v>2.1740245209940223</v>
          </cell>
          <cell r="AC1397">
            <v>2.2161189646383583</v>
          </cell>
          <cell r="AD1397">
            <v>2.2172981801480418</v>
          </cell>
          <cell r="AE1397">
            <v>2.1749593484193808</v>
          </cell>
          <cell r="AF1397">
            <v>2.1631729762204399</v>
          </cell>
          <cell r="AG1397">
            <v>2.2168126269958899</v>
          </cell>
          <cell r="AH1397">
            <v>2.2755452482101202</v>
          </cell>
          <cell r="AI1397">
            <v>2.3250681464804135</v>
          </cell>
          <cell r="AJ1397">
            <v>2.3630463086458109</v>
          </cell>
          <cell r="AK1397">
            <v>2.4201623419047635</v>
          </cell>
          <cell r="AL1397">
            <v>2.5178522860618724</v>
          </cell>
          <cell r="AM1397">
            <v>2.6334461137192955</v>
          </cell>
          <cell r="AN1397">
            <v>2.7592111040933398</v>
          </cell>
          <cell r="AO1397">
            <v>2.8930289274021748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2.3543722527108457E-8</v>
          </cell>
          <cell r="H1398">
            <v>2.2840107583022018E-8</v>
          </cell>
          <cell r="I1398">
            <v>2.215991834475517E-8</v>
          </cell>
          <cell r="J1398">
            <v>4.2993431037530172E-8</v>
          </cell>
          <cell r="K1398">
            <v>6.2576588355511831E-8</v>
          </cell>
          <cell r="L1398">
            <v>1.3860267636500723E-3</v>
          </cell>
          <cell r="M1398">
            <v>-2.7950123247344472E-2</v>
          </cell>
          <cell r="N1398">
            <v>0.1603471332920936</v>
          </cell>
          <cell r="O1398">
            <v>0.56916195266980552</v>
          </cell>
          <cell r="P1398">
            <v>1.1851358884811036</v>
          </cell>
          <cell r="Q1398">
            <v>1.9891828563950886</v>
          </cell>
          <cell r="R1398">
            <v>2.8769027671816882</v>
          </cell>
          <cell r="S1398">
            <v>3.7832325343542861</v>
          </cell>
          <cell r="T1398">
            <v>4.6704298402865829</v>
          </cell>
          <cell r="U1398">
            <v>5.5153044596509382</v>
          </cell>
          <cell r="V1398">
            <v>6.2979566281540222</v>
          </cell>
          <cell r="W1398">
            <v>7.0562295870880032</v>
          </cell>
          <cell r="X1398">
            <v>7.8049367397267755</v>
          </cell>
          <cell r="Y1398">
            <v>8.5415414277069992</v>
          </cell>
          <cell r="Z1398">
            <v>9.2551412745661032</v>
          </cell>
          <cell r="AA1398">
            <v>9.9317267578319814</v>
          </cell>
          <cell r="AB1398">
            <v>10.559969467019892</v>
          </cell>
          <cell r="AC1398">
            <v>11.131085376380078</v>
          </cell>
          <cell r="AD1398">
            <v>11.63673713137694</v>
          </cell>
          <cell r="AE1398">
            <v>12.070250593385357</v>
          </cell>
          <cell r="AF1398">
            <v>12.426512751704788</v>
          </cell>
          <cell r="AG1398">
            <v>12.709824606489018</v>
          </cell>
          <cell r="AH1398">
            <v>12.932676595319537</v>
          </cell>
          <cell r="AI1398">
            <v>13.107275277625718</v>
          </cell>
          <cell r="AJ1398">
            <v>13.246206287660689</v>
          </cell>
          <cell r="AK1398">
            <v>13.364231556718465</v>
          </cell>
          <cell r="AL1398">
            <v>13.482146439213082</v>
          </cell>
          <cell r="AM1398">
            <v>13.627832440378352</v>
          </cell>
          <cell r="AN1398">
            <v>13.834236107223873</v>
          </cell>
          <cell r="AO1398">
            <v>14.142267673933805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2.3543722527108457E-8</v>
          </cell>
          <cell r="H1399">
            <v>2.2840085378561525E-8</v>
          </cell>
          <cell r="I1399">
            <v>-7.2184713761913599E-8</v>
          </cell>
          <cell r="J1399">
            <v>4.2993431037530172E-8</v>
          </cell>
          <cell r="K1399">
            <v>-2.8570745769229688E-8</v>
          </cell>
          <cell r="L1399">
            <v>8.5203451491566717E-2</v>
          </cell>
          <cell r="M1399">
            <v>-0.74073395067122405</v>
          </cell>
          <cell r="N1399">
            <v>-1.2061684382753346</v>
          </cell>
          <cell r="O1399">
            <v>-1.5608472421356767</v>
          </cell>
          <cell r="P1399">
            <v>-1.8317155620209857</v>
          </cell>
          <cell r="Q1399">
            <v>-1.7532280347246409</v>
          </cell>
          <cell r="R1399">
            <v>-1.5442322613813397</v>
          </cell>
          <cell r="S1399">
            <v>-1.272401748693075</v>
          </cell>
          <cell r="T1399">
            <v>-0.97055610667727832</v>
          </cell>
          <cell r="U1399">
            <v>-0.65353706074704476</v>
          </cell>
          <cell r="V1399">
            <v>-0.50716960984368287</v>
          </cell>
          <cell r="W1399">
            <v>-0.40428529932471369</v>
          </cell>
          <cell r="X1399">
            <v>-0.29672731273645558</v>
          </cell>
          <cell r="Y1399">
            <v>-0.16485896690356938</v>
          </cell>
          <cell r="Z1399">
            <v>-4.3303653092796601E-3</v>
          </cell>
          <cell r="AA1399">
            <v>0.17674195264754111</v>
          </cell>
          <cell r="AB1399">
            <v>0.37310497017439825</v>
          </cell>
          <cell r="AC1399">
            <v>0.58739794708499993</v>
          </cell>
          <cell r="AD1399">
            <v>0.81957420336624676</v>
          </cell>
          <cell r="AE1399">
            <v>1.067630774458439</v>
          </cell>
          <cell r="AF1399">
            <v>1.3084152519190262</v>
          </cell>
          <cell r="AG1399">
            <v>1.5278126007421511</v>
          </cell>
          <cell r="AH1399">
            <v>1.7405328984906765</v>
          </cell>
          <cell r="AI1399">
            <v>1.9542217098679204</v>
          </cell>
          <cell r="AJ1399">
            <v>2.1730080574800414</v>
          </cell>
          <cell r="AK1399">
            <v>2.3924226829834305</v>
          </cell>
          <cell r="AL1399">
            <v>2.6111083364132259</v>
          </cell>
          <cell r="AM1399">
            <v>2.8424234558251493</v>
          </cell>
          <cell r="AN1399">
            <v>3.1006003305300345</v>
          </cell>
          <cell r="AO1399">
            <v>3.4015186969267752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1.7933765583677541E-8</v>
          </cell>
          <cell r="I1400">
            <v>1.7399703899911856E-8</v>
          </cell>
          <cell r="J1400">
            <v>3.3757929784883345E-8</v>
          </cell>
          <cell r="K1400">
            <v>4.9134385449178808E-8</v>
          </cell>
          <cell r="L1400">
            <v>1.3860350272176802E-3</v>
          </cell>
          <cell r="M1400">
            <v>-2.7950129434173299E-2</v>
          </cell>
          <cell r="N1400">
            <v>0.16034713595851624</v>
          </cell>
          <cell r="O1400">
            <v>0.56916196386460616</v>
          </cell>
          <cell r="P1400">
            <v>1.1851358876118434</v>
          </cell>
          <cell r="Q1400">
            <v>1.9891828605556272</v>
          </cell>
          <cell r="R1400">
            <v>2.8769027832418859</v>
          </cell>
          <cell r="S1400">
            <v>3.7832325272240341</v>
          </cell>
          <cell r="T1400">
            <v>4.6704298510803266</v>
          </cell>
          <cell r="U1400">
            <v>5.5153044650749772</v>
          </cell>
          <cell r="V1400">
            <v>6.2979566208037241</v>
          </cell>
          <cell r="W1400">
            <v>7.0562295816159359</v>
          </cell>
          <cell r="X1400">
            <v>7.8049367415311766</v>
          </cell>
          <cell r="Y1400">
            <v>8.5415414111341459</v>
          </cell>
          <cell r="Z1400">
            <v>9.255141223526774</v>
          </cell>
          <cell r="AA1400">
            <v>9.9317267715599566</v>
          </cell>
          <cell r="AB1400">
            <v>10.559969432644877</v>
          </cell>
          <cell r="AC1400">
            <v>11.131085368583115</v>
          </cell>
          <cell r="AD1400">
            <v>11.63673709029036</v>
          </cell>
          <cell r="AE1400">
            <v>12.070250659867776</v>
          </cell>
          <cell r="AF1400">
            <v>12.426512791959876</v>
          </cell>
          <cell r="AG1400">
            <v>12.709824604453379</v>
          </cell>
          <cell r="AH1400">
            <v>12.932676558573064</v>
          </cell>
          <cell r="AI1400">
            <v>13.107275275462493</v>
          </cell>
          <cell r="AJ1400">
            <v>13.246206338057021</v>
          </cell>
          <cell r="AK1400">
            <v>13.364231542278905</v>
          </cell>
          <cell r="AL1400">
            <v>13.482146408227269</v>
          </cell>
          <cell r="AM1400">
            <v>13.627832441644582</v>
          </cell>
          <cell r="AN1400">
            <v>13.834236093740127</v>
          </cell>
          <cell r="AO1400">
            <v>14.142267691987609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1.7933765583677541E-8</v>
          </cell>
          <cell r="I1401">
            <v>-7.7093031958241909E-8</v>
          </cell>
          <cell r="J1401">
            <v>3.3757951989343837E-8</v>
          </cell>
          <cell r="K1401">
            <v>-4.1755365831619429E-8</v>
          </cell>
          <cell r="L1401">
            <v>-1.0631589578380396E-2</v>
          </cell>
          <cell r="M1401">
            <v>9.2198973836254972E-2</v>
          </cell>
          <cell r="N1401">
            <v>4.5133470904268336E-2</v>
          </cell>
          <cell r="O1401">
            <v>2.1793254460678035E-2</v>
          </cell>
          <cell r="P1401">
            <v>-7.3154540684239322E-3</v>
          </cell>
          <cell r="Q1401">
            <v>-6.1397047069688959E-2</v>
          </cell>
          <cell r="R1401">
            <v>-4.9837096392291169E-2</v>
          </cell>
          <cell r="S1401">
            <v>-1.0447352194575821E-3</v>
          </cell>
          <cell r="T1401">
            <v>6.568524020054145E-2</v>
          </cell>
          <cell r="U1401">
            <v>0.14204981034824371</v>
          </cell>
          <cell r="V1401">
            <v>0.24550893273194152</v>
          </cell>
          <cell r="W1401">
            <v>0.29752971782821547</v>
          </cell>
          <cell r="X1401">
            <v>0.33600158516573497</v>
          </cell>
          <cell r="Y1401">
            <v>0.38376902987282691</v>
          </cell>
          <cell r="Z1401">
            <v>0.44933568991283312</v>
          </cell>
          <cell r="AA1401">
            <v>0.53151042564161255</v>
          </cell>
          <cell r="AB1401">
            <v>0.62574225079710111</v>
          </cell>
          <cell r="AC1401">
            <v>0.72922047947054924</v>
          </cell>
          <cell r="AD1401">
            <v>0.84072090702000946</v>
          </cell>
          <cell r="AE1401">
            <v>0.95866407326501424</v>
          </cell>
          <cell r="AF1401">
            <v>1.0745998212874808</v>
          </cell>
          <cell r="AG1401">
            <v>1.1766568601048411</v>
          </cell>
          <cell r="AH1401">
            <v>1.2609120747234304</v>
          </cell>
          <cell r="AI1401">
            <v>1.329269817536427</v>
          </cell>
          <cell r="AJ1401">
            <v>1.3814950523116654</v>
          </cell>
          <cell r="AK1401">
            <v>1.4139089115748682</v>
          </cell>
          <cell r="AL1401">
            <v>1.4207289112700527</v>
          </cell>
          <cell r="AM1401">
            <v>1.3990898726679246</v>
          </cell>
          <cell r="AN1401">
            <v>1.3484437877061106</v>
          </cell>
          <cell r="AO1401">
            <v>1.2658656005539282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3.6061020836086755E-8</v>
          </cell>
          <cell r="J1402">
            <v>0</v>
          </cell>
          <cell r="K1402">
            <v>0</v>
          </cell>
          <cell r="L1402">
            <v>9.174361552144461E-3</v>
          </cell>
          <cell r="M1402">
            <v>-3.9459407757846954E-2</v>
          </cell>
          <cell r="N1402">
            <v>-0.11673343903674249</v>
          </cell>
          <cell r="O1402">
            <v>-1.2574744861726384E-2</v>
          </cell>
          <cell r="P1402">
            <v>0.21696997149236452</v>
          </cell>
          <cell r="Q1402">
            <v>0.48322819166490838</v>
          </cell>
          <cell r="R1402">
            <v>0.73193908284723275</v>
          </cell>
          <cell r="S1402">
            <v>0.94486213513178541</v>
          </cell>
          <cell r="T1402">
            <v>1.1298701234701891</v>
          </cell>
          <cell r="U1402">
            <v>1.2965600864840887</v>
          </cell>
          <cell r="V1402">
            <v>1.4370595260994046</v>
          </cell>
          <cell r="W1402">
            <v>1.5474180697767403</v>
          </cell>
          <cell r="X1402">
            <v>1.6274071124983802</v>
          </cell>
          <cell r="Y1402">
            <v>1.6813105237861059</v>
          </cell>
          <cell r="Z1402">
            <v>1.7160077004259033</v>
          </cell>
          <cell r="AA1402">
            <v>1.7383802637801482</v>
          </cell>
          <cell r="AB1402">
            <v>1.7554596402307387</v>
          </cell>
          <cell r="AC1402">
            <v>1.7736092809377046</v>
          </cell>
          <cell r="AD1402">
            <v>1.7987058656968591</v>
          </cell>
          <cell r="AE1402">
            <v>1.8366016027123955</v>
          </cell>
          <cell r="AF1402">
            <v>1.8931858946783287</v>
          </cell>
          <cell r="AG1402">
            <v>1.9748072274135886</v>
          </cell>
          <cell r="AH1402">
            <v>2.0882622797806505</v>
          </cell>
          <cell r="AI1402">
            <v>2.2415680321060449</v>
          </cell>
          <cell r="AJ1402">
            <v>2.4439879316255908</v>
          </cell>
          <cell r="AK1402">
            <v>2.7064680435459954</v>
          </cell>
          <cell r="AL1402">
            <v>3.0426665408176845</v>
          </cell>
          <cell r="AM1402">
            <v>3.4703484299133391</v>
          </cell>
          <cell r="AN1402">
            <v>4.0142306230686486</v>
          </cell>
          <cell r="AO1402">
            <v>4.7106122965261399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9.9999997473787516E-6</v>
          </cell>
          <cell r="J1403">
            <v>0</v>
          </cell>
          <cell r="K1403">
            <v>0</v>
          </cell>
          <cell r="L1403">
            <v>2.5944799999997485</v>
          </cell>
          <cell r="M1403">
            <v>-11.23203999999896</v>
          </cell>
          <cell r="N1403">
            <v>-33.437040000000707</v>
          </cell>
          <cell r="O1403">
            <v>-3.6236900000003516</v>
          </cell>
          <cell r="P1403">
            <v>62.915399999998044</v>
          </cell>
          <cell r="Q1403">
            <v>140.96867999999813</v>
          </cell>
          <cell r="R1403">
            <v>214.73850999999922</v>
          </cell>
          <cell r="S1403">
            <v>278.58093999999983</v>
          </cell>
          <cell r="T1403">
            <v>334.51627000000008</v>
          </cell>
          <cell r="U1403">
            <v>385.21988000000056</v>
          </cell>
          <cell r="V1403">
            <v>428.33727999999974</v>
          </cell>
          <cell r="W1403">
            <v>462.74541999999929</v>
          </cell>
          <cell r="X1403">
            <v>488.4463399999986</v>
          </cell>
          <cell r="Y1403">
            <v>506.76509000000078</v>
          </cell>
          <cell r="Z1403">
            <v>519.66039999999703</v>
          </cell>
          <cell r="AA1403">
            <v>529.36373000000094</v>
          </cell>
          <cell r="AB1403">
            <v>538.04336999999941</v>
          </cell>
          <cell r="AC1403">
            <v>547.6840400000001</v>
          </cell>
          <cell r="AD1403">
            <v>560.14255000000048</v>
          </cell>
          <cell r="AE1403">
            <v>576.94843000000037</v>
          </cell>
          <cell r="AF1403">
            <v>600.33421000000089</v>
          </cell>
          <cell r="AG1403">
            <v>632.58882000000085</v>
          </cell>
          <cell r="AH1403">
            <v>676.24245999999766</v>
          </cell>
          <cell r="AI1403">
            <v>734.28681000000142</v>
          </cell>
          <cell r="AJ1403">
            <v>810.19842000000062</v>
          </cell>
          <cell r="AK1403">
            <v>908.12767999999778</v>
          </cell>
          <cell r="AL1403">
            <v>1033.2851599999995</v>
          </cell>
          <cell r="AM1403">
            <v>1192.4461200000005</v>
          </cell>
          <cell r="AN1403">
            <v>1394.9696499999991</v>
          </cell>
          <cell r="AO1403">
            <v>1654.4843699999983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-1.000000082740371E-8</v>
          </cell>
          <cell r="I1404">
            <v>-1.000000082740371E-8</v>
          </cell>
          <cell r="J1404">
            <v>-1.000000082740371E-8</v>
          </cell>
          <cell r="K1404">
            <v>-1.000000082740371E-8</v>
          </cell>
          <cell r="L1404">
            <v>-6.7376400000013215E-3</v>
          </cell>
          <cell r="M1404">
            <v>2.9545430000002537E-2</v>
          </cell>
          <cell r="N1404">
            <v>8.4131120000000004E-2</v>
          </cell>
          <cell r="O1404">
            <v>2.0075100000016555E-3</v>
          </cell>
          <cell r="P1404">
            <v>-0.16413224999999865</v>
          </cell>
          <cell r="Q1404">
            <v>-0.34717419999999999</v>
          </cell>
          <cell r="R1404">
            <v>-0.51092193999999891</v>
          </cell>
          <cell r="S1404">
            <v>-0.64628046999999911</v>
          </cell>
          <cell r="T1404">
            <v>-0.76189125999999852</v>
          </cell>
          <cell r="U1404">
            <v>-0.86566347999999937</v>
          </cell>
          <cell r="V1404">
            <v>-0.95175524000000045</v>
          </cell>
          <cell r="W1404">
            <v>-1.0178781500000011</v>
          </cell>
          <cell r="X1404">
            <v>-1.0645016300000005</v>
          </cell>
          <cell r="Y1404">
            <v>-1.0951375400000005</v>
          </cell>
          <cell r="Z1404">
            <v>-1.1154442499999999</v>
          </cell>
          <cell r="AA1404">
            <v>-1.128572080000001</v>
          </cell>
          <cell r="AB1404">
            <v>-1.1401990400000006</v>
          </cell>
          <cell r="AC1404">
            <v>-1.154405180000001</v>
          </cell>
          <cell r="AD1404">
            <v>-1.1749406700000007</v>
          </cell>
          <cell r="AE1404">
            <v>-1.2075057700000003</v>
          </cell>
          <cell r="AF1404">
            <v>-1.2525350899999996</v>
          </cell>
          <cell r="AG1404">
            <v>-1.3161478199999994</v>
          </cell>
          <cell r="AH1404">
            <v>-1.4032236599999997</v>
          </cell>
          <cell r="AI1404">
            <v>-1.5195741399999991</v>
          </cell>
          <cell r="AJ1404">
            <v>-1.6719135300000008</v>
          </cell>
          <cell r="AK1404">
            <v>-1.8682149900000007</v>
          </cell>
          <cell r="AL1404">
            <v>-2.1184934399999999</v>
          </cell>
          <cell r="AM1404">
            <v>-2.4357971200000001</v>
          </cell>
          <cell r="AN1404">
            <v>-2.8382833600000001</v>
          </cell>
          <cell r="AO1404">
            <v>-3.3525798899999999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-9.0850677675335945E-10</v>
          </cell>
          <cell r="G1405">
            <v>1.7543470148817519E-9</v>
          </cell>
          <cell r="H1405">
            <v>3.9953477158627404E-9</v>
          </cell>
          <cell r="I1405">
            <v>6.1558428168274892E-9</v>
          </cell>
          <cell r="J1405">
            <v>6.8459024039901895E-9</v>
          </cell>
          <cell r="K1405">
            <v>6.3687794621403171E-9</v>
          </cell>
          <cell r="L1405">
            <v>4.7637476012459684E-2</v>
          </cell>
          <cell r="M1405">
            <v>-7.8533547744271806E-2</v>
          </cell>
          <cell r="N1405">
            <v>-0.13927049175466211</v>
          </cell>
          <cell r="O1405">
            <v>5.2739845231416019E-2</v>
          </cell>
          <cell r="P1405">
            <v>0.18319922036489183</v>
          </cell>
          <cell r="Q1405">
            <v>0.24565630018840104</v>
          </cell>
          <cell r="R1405">
            <v>0.26801389248212948</v>
          </cell>
          <cell r="S1405">
            <v>0.26715353282843279</v>
          </cell>
          <cell r="T1405">
            <v>0.27062975799161654</v>
          </cell>
          <cell r="U1405">
            <v>0.28133191677926184</v>
          </cell>
          <cell r="V1405">
            <v>0.247312833761763</v>
          </cell>
          <cell r="W1405">
            <v>0.22392436543459421</v>
          </cell>
          <cell r="X1405">
            <v>0.20874731700149374</v>
          </cell>
          <cell r="Y1405">
            <v>0.19368152715821385</v>
          </cell>
          <cell r="Z1405">
            <v>0.17273565797645135</v>
          </cell>
          <cell r="AA1405">
            <v>0.14215063309982767</v>
          </cell>
          <cell r="AB1405">
            <v>0.10201523700565651</v>
          </cell>
          <cell r="AC1405">
            <v>5.5571058499597967E-2</v>
          </cell>
          <cell r="AD1405">
            <v>2.889410538228776E-3</v>
          </cell>
          <cell r="AE1405">
            <v>-5.8554711786976479E-2</v>
          </cell>
          <cell r="AF1405">
            <v>-0.1332299335422133</v>
          </cell>
          <cell r="AG1405">
            <v>-0.22200823688445398</v>
          </cell>
          <cell r="AH1405">
            <v>-0.3143696478874875</v>
          </cell>
          <cell r="AI1405">
            <v>-0.4105079643819266</v>
          </cell>
          <cell r="AJ1405">
            <v>-0.51215939353461348</v>
          </cell>
          <cell r="AK1405">
            <v>-0.62461875773776177</v>
          </cell>
          <cell r="AL1405">
            <v>-0.75115985100339255</v>
          </cell>
          <cell r="AM1405">
            <v>-0.89191046446451949</v>
          </cell>
          <cell r="AN1405">
            <v>-1.0531765718181589</v>
          </cell>
          <cell r="AO1405">
            <v>-1.2451248292675605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1.8170137269790665E-9</v>
          </cell>
          <cell r="G1406">
            <v>0</v>
          </cell>
          <cell r="H1406">
            <v>-2.8833451251597531E-9</v>
          </cell>
          <cell r="I1406">
            <v>-3.6690454494059388E-9</v>
          </cell>
          <cell r="J1406">
            <v>-5.8059381954911338E-9</v>
          </cell>
          <cell r="K1406">
            <v>-6.845889653772641E-9</v>
          </cell>
          <cell r="L1406">
            <v>-7.0172563416543571E-2</v>
          </cell>
          <cell r="M1406">
            <v>-0.17000512193071898</v>
          </cell>
          <cell r="N1406">
            <v>-0.2720346538679641</v>
          </cell>
          <cell r="O1406">
            <v>-0.37685791245087275</v>
          </cell>
          <cell r="P1406">
            <v>-0.47704122829950196</v>
          </cell>
          <cell r="Q1406">
            <v>-0.56792011575088119</v>
          </cell>
          <cell r="R1406">
            <v>-0.65379933333156015</v>
          </cell>
          <cell r="S1406">
            <v>-0.73363801283917118</v>
          </cell>
          <cell r="T1406">
            <v>-0.8088300794399983</v>
          </cell>
          <cell r="U1406">
            <v>-0.88046565466438942</v>
          </cell>
          <cell r="V1406">
            <v>-0.8993497831534738</v>
          </cell>
          <cell r="W1406">
            <v>-0.92384163152619581</v>
          </cell>
          <cell r="X1406">
            <v>-0.95197194842802368</v>
          </cell>
          <cell r="Y1406">
            <v>-0.98169245556467055</v>
          </cell>
          <cell r="Z1406">
            <v>-1.0116843036285725</v>
          </cell>
          <cell r="AA1406">
            <v>-1.0401415893776886</v>
          </cell>
          <cell r="AB1406">
            <v>-1.0667104325056802</v>
          </cell>
          <cell r="AC1406">
            <v>-1.0914376119629727</v>
          </cell>
          <cell r="AD1406">
            <v>-1.1141757968393053</v>
          </cell>
          <cell r="AE1406">
            <v>-1.1351545453141039</v>
          </cell>
          <cell r="AF1406">
            <v>-1.1532051942048673</v>
          </cell>
          <cell r="AG1406">
            <v>-1.1667474300729741</v>
          </cell>
          <cell r="AH1406">
            <v>-1.1765393643772073</v>
          </cell>
          <cell r="AI1406">
            <v>-1.1821720084923282</v>
          </cell>
          <cell r="AJ1406">
            <v>-1.1832760027065941</v>
          </cell>
          <cell r="AK1406">
            <v>-1.1790558289193038</v>
          </cell>
          <cell r="AL1406">
            <v>-1.1688999795852417</v>
          </cell>
          <cell r="AM1406">
            <v>-1.1526879440086424</v>
          </cell>
          <cell r="AN1406">
            <v>-1.1296746934767117</v>
          </cell>
          <cell r="AO1406">
            <v>-1.0984896141729041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1.362760251866213E-9</v>
          </cell>
          <cell r="G1407">
            <v>8.7717350744087597E-10</v>
          </cell>
          <cell r="H1407">
            <v>-1.2033127966271095E-9</v>
          </cell>
          <cell r="I1407">
            <v>-2.8537019969299138E-9</v>
          </cell>
          <cell r="J1407">
            <v>-7.1045684960080457E-9</v>
          </cell>
          <cell r="K1407">
            <v>-1.0237962517686827E-8</v>
          </cell>
          <cell r="L1407">
            <v>-8.2922692005094421E-3</v>
          </cell>
          <cell r="M1407">
            <v>0.12874390933171895</v>
          </cell>
          <cell r="N1407">
            <v>0.19781675305668819</v>
          </cell>
          <cell r="O1407">
            <v>0.115828125994848</v>
          </cell>
          <cell r="P1407">
            <v>-4.9882601216570156E-2</v>
          </cell>
          <cell r="Q1407">
            <v>-0.27169015736020469</v>
          </cell>
          <cell r="R1407">
            <v>-0.48273729473711413</v>
          </cell>
          <cell r="S1407">
            <v>-0.66655679492062825</v>
          </cell>
          <cell r="T1407">
            <v>-0.82635006803105093</v>
          </cell>
          <cell r="U1407">
            <v>-0.96699971699352705</v>
          </cell>
          <cell r="V1407">
            <v>-1.066536987810407</v>
          </cell>
          <cell r="W1407">
            <v>-1.1437932650624063</v>
          </cell>
          <cell r="X1407">
            <v>-1.2049475243033718</v>
          </cell>
          <cell r="Y1407">
            <v>-1.2523950619884734</v>
          </cell>
          <cell r="Z1407">
            <v>-1.2861939653007883</v>
          </cell>
          <cell r="AA1407">
            <v>-1.3081563959033184</v>
          </cell>
          <cell r="AB1407">
            <v>-1.3182989385391544</v>
          </cell>
          <cell r="AC1407">
            <v>-1.3193286914997719</v>
          </cell>
          <cell r="AD1407">
            <v>-1.313762260652972</v>
          </cell>
          <cell r="AE1407">
            <v>-1.3012101116390089</v>
          </cell>
          <cell r="AF1407">
            <v>-1.2868163272238073</v>
          </cell>
          <cell r="AG1407">
            <v>-1.2708035035305272</v>
          </cell>
          <cell r="AH1407">
            <v>-1.259361359054223</v>
          </cell>
          <cell r="AI1407">
            <v>-1.2579706790250085</v>
          </cell>
          <cell r="AJ1407">
            <v>-1.2715322380330267</v>
          </cell>
          <cell r="AK1407">
            <v>-1.3044084260587543</v>
          </cell>
          <cell r="AL1407">
            <v>-1.3625760171772194</v>
          </cell>
          <cell r="AM1407">
            <v>-1.4553811468088234</v>
          </cell>
          <cell r="AN1407">
            <v>-1.5948110935266282</v>
          </cell>
          <cell r="AO1407">
            <v>-1.7972190384138331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1.8170135535067189E-9</v>
          </cell>
          <cell r="G1408">
            <v>7.8945617404402313E-9</v>
          </cell>
          <cell r="H1408">
            <v>5.7674871822843699E-9</v>
          </cell>
          <cell r="I1408">
            <v>8.153434177815555E-9</v>
          </cell>
          <cell r="J1408">
            <v>6.0771311594098876E-9</v>
          </cell>
          <cell r="K1408">
            <v>-4.4578229996261598E-11</v>
          </cell>
          <cell r="L1408">
            <v>-8.5340884386581051E-3</v>
          </cell>
          <cell r="M1408">
            <v>8.3471052104854351E-2</v>
          </cell>
          <cell r="N1408">
            <v>0.50988246745758903</v>
          </cell>
          <cell r="O1408">
            <v>0.53029679088909609</v>
          </cell>
          <cell r="P1408">
            <v>0.4441965933683808</v>
          </cell>
          <cell r="Q1408">
            <v>0.29418314141321833</v>
          </cell>
          <cell r="R1408">
            <v>3.2411467968023737E-2</v>
          </cell>
          <cell r="S1408">
            <v>-0.21655219879024912</v>
          </cell>
          <cell r="T1408">
            <v>-0.44612505535833846</v>
          </cell>
          <cell r="U1408">
            <v>-0.65809766490266086</v>
          </cell>
          <cell r="V1408">
            <v>-0.83034437487280632</v>
          </cell>
          <cell r="W1408">
            <v>-0.92572793450129609</v>
          </cell>
          <cell r="X1408">
            <v>-1.0066065601873988</v>
          </cell>
          <cell r="Y1408">
            <v>-1.0833974794808969</v>
          </cell>
          <cell r="Z1408">
            <v>-1.1558300584107379</v>
          </cell>
          <cell r="AA1408">
            <v>-1.2234760491637111</v>
          </cell>
          <cell r="AB1408">
            <v>-1.2821754511934138</v>
          </cell>
          <cell r="AC1408">
            <v>-1.3329745166976041</v>
          </cell>
          <cell r="AD1408">
            <v>-1.3784726676417354</v>
          </cell>
          <cell r="AE1408">
            <v>-1.4177519210814604</v>
          </cell>
          <cell r="AF1408">
            <v>-1.455113407884228</v>
          </cell>
          <cell r="AG1408">
            <v>-1.4872142093088965</v>
          </cell>
          <cell r="AH1408">
            <v>-1.519985619120106</v>
          </cell>
          <cell r="AI1408">
            <v>-1.5605360690566623</v>
          </cell>
          <cell r="AJ1408">
            <v>-1.6129212649469198</v>
          </cell>
          <cell r="AK1408">
            <v>-1.6809905836456016</v>
          </cell>
          <cell r="AL1408">
            <v>-1.771410005375569</v>
          </cell>
          <cell r="AM1408">
            <v>-1.8957596508838312</v>
          </cell>
          <cell r="AN1408">
            <v>-2.0680868809542674</v>
          </cell>
          <cell r="AO1408">
            <v>-2.3076630894137944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-9.0913121475466596E-8</v>
          </cell>
          <cell r="I1409">
            <v>4.0767178521861069E-8</v>
          </cell>
          <cell r="J1409">
            <v>-8.5636142621581257E-8</v>
          </cell>
          <cell r="K1409">
            <v>-8.3352025281868691E-8</v>
          </cell>
          <cell r="L1409">
            <v>-2.0881468282307747E-2</v>
          </cell>
          <cell r="M1409">
            <v>-0.34478599281412281</v>
          </cell>
          <cell r="N1409">
            <v>-0.21969262238958898</v>
          </cell>
          <cell r="O1409">
            <v>-0.48736357630170257</v>
          </cell>
          <cell r="P1409">
            <v>-0.95707230951682654</v>
          </cell>
          <cell r="Q1409">
            <v>-1.4574288425768467</v>
          </cell>
          <cell r="R1409">
            <v>-2.1436610445174642</v>
          </cell>
          <cell r="S1409">
            <v>-2.9862913247321043</v>
          </cell>
          <cell r="T1409">
            <v>-3.9679925402648974</v>
          </cell>
          <cell r="U1409">
            <v>-5.0622345752424742</v>
          </cell>
          <cell r="V1409">
            <v>-6.2560885484401645</v>
          </cell>
          <cell r="W1409">
            <v>-7.4690536164272459</v>
          </cell>
          <cell r="X1409">
            <v>-8.6753739711547979</v>
          </cell>
          <cell r="Y1409">
            <v>-9.8643978294346741</v>
          </cell>
          <cell r="Z1409">
            <v>-11.032541927530099</v>
          </cell>
          <cell r="AA1409">
            <v>-12.167173337239362</v>
          </cell>
          <cell r="AB1409">
            <v>-13.262122785084369</v>
          </cell>
          <cell r="AC1409">
            <v>-14.3095036804875</v>
          </cell>
          <cell r="AD1409">
            <v>-15.304592398291467</v>
          </cell>
          <cell r="AE1409">
            <v>-16.257238286666432</v>
          </cell>
          <cell r="AF1409">
            <v>-17.149981173036871</v>
          </cell>
          <cell r="AG1409">
            <v>-17.985237677538301</v>
          </cell>
          <cell r="AH1409">
            <v>-18.766055036556345</v>
          </cell>
          <cell r="AI1409">
            <v>-19.504634056361763</v>
          </cell>
          <cell r="AJ1409">
            <v>-20.218566195465488</v>
          </cell>
          <cell r="AK1409">
            <v>-20.92692111319969</v>
          </cell>
          <cell r="AL1409">
            <v>-21.650162189093454</v>
          </cell>
          <cell r="AM1409">
            <v>-22.413356255620805</v>
          </cell>
          <cell r="AN1409">
            <v>-23.246295425258296</v>
          </cell>
          <cell r="AO1409">
            <v>-24.183368141547675</v>
          </cell>
        </row>
        <row r="1410">
          <cell r="C1410" t="str">
            <v>PIB</v>
          </cell>
          <cell r="E1410" t="str">
            <v>GDP_2</v>
          </cell>
          <cell r="F1410">
            <v>2197953.023</v>
          </cell>
          <cell r="G1410">
            <v>2230476.3739999998</v>
          </cell>
          <cell r="H1410">
            <v>2266147.3840000001</v>
          </cell>
          <cell r="I1410">
            <v>2304476.6779999998</v>
          </cell>
          <cell r="J1410">
            <v>2344700.0660000001</v>
          </cell>
          <cell r="K1410">
            <v>2386655.034</v>
          </cell>
          <cell r="L1410">
            <v>2429108.12</v>
          </cell>
          <cell r="M1410">
            <v>2466687.6529999999</v>
          </cell>
          <cell r="N1410">
            <v>2504912.0189999999</v>
          </cell>
          <cell r="O1410">
            <v>2552908.8560000001</v>
          </cell>
          <cell r="P1410">
            <v>2604213.48</v>
          </cell>
          <cell r="Q1410">
            <v>2655187.4169999999</v>
          </cell>
          <cell r="R1410">
            <v>2705856.3909999998</v>
          </cell>
          <cell r="S1410">
            <v>2754847.659</v>
          </cell>
          <cell r="T1410">
            <v>2803431.66</v>
          </cell>
          <cell r="U1410">
            <v>2852261.0819999999</v>
          </cell>
          <cell r="V1410">
            <v>2901323.1490000002</v>
          </cell>
          <cell r="W1410">
            <v>2951703.727</v>
          </cell>
          <cell r="X1410">
            <v>3004110.1830000002</v>
          </cell>
          <cell r="Y1410">
            <v>3059058.148</v>
          </cell>
          <cell r="Z1410">
            <v>3115812.676</v>
          </cell>
          <cell r="AA1410">
            <v>3176868.18</v>
          </cell>
          <cell r="AB1410">
            <v>3242105.7280000001</v>
          </cell>
          <cell r="AC1410">
            <v>3311949.0389999999</v>
          </cell>
          <cell r="AD1410">
            <v>3386572.1549999998</v>
          </cell>
          <cell r="AE1410">
            <v>3462524.787</v>
          </cell>
          <cell r="AF1410">
            <v>3544385.835</v>
          </cell>
          <cell r="AG1410">
            <v>3631601.8969999999</v>
          </cell>
          <cell r="AH1410">
            <v>3724599.2259999998</v>
          </cell>
          <cell r="AI1410">
            <v>3823271.2850000001</v>
          </cell>
          <cell r="AJ1410">
            <v>3927216.5529999998</v>
          </cell>
          <cell r="AK1410">
            <v>4036071.6469999999</v>
          </cell>
          <cell r="AL1410">
            <v>4149602.5520000001</v>
          </cell>
          <cell r="AM1410">
            <v>4267694.5429999996</v>
          </cell>
          <cell r="AN1410">
            <v>4390388.5669999998</v>
          </cell>
          <cell r="AO1410">
            <v>4517957.1100000003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2.4098678608197588E-8</v>
          </cell>
          <cell r="AM1411">
            <v>2.3431856455147226E-8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1178854.173</v>
          </cell>
          <cell r="G1412">
            <v>1219325.7609999999</v>
          </cell>
          <cell r="H1412">
            <v>1257662.656</v>
          </cell>
          <cell r="I1412">
            <v>1297761.371</v>
          </cell>
          <cell r="J1412">
            <v>1339187.9790000001</v>
          </cell>
          <cell r="K1412">
            <v>1379161.1070000001</v>
          </cell>
          <cell r="L1412">
            <v>1419057.5149999999</v>
          </cell>
          <cell r="M1412">
            <v>1467473.702</v>
          </cell>
          <cell r="N1412">
            <v>1530283.513</v>
          </cell>
          <cell r="O1412">
            <v>1590148.564</v>
          </cell>
          <cell r="P1412">
            <v>1656005.5719999999</v>
          </cell>
          <cell r="Q1412">
            <v>1720173.253</v>
          </cell>
          <cell r="R1412">
            <v>1781185.798</v>
          </cell>
          <cell r="S1412">
            <v>1841619.9839999999</v>
          </cell>
          <cell r="T1412">
            <v>1901047.3959999999</v>
          </cell>
          <cell r="U1412">
            <v>1959120.3570000001</v>
          </cell>
          <cell r="V1412">
            <v>2016553.0930000001</v>
          </cell>
          <cell r="W1412">
            <v>2074076.9809999999</v>
          </cell>
          <cell r="X1412">
            <v>2130163.58</v>
          </cell>
          <cell r="Y1412">
            <v>2184830.2519999999</v>
          </cell>
          <cell r="Z1412">
            <v>2235826.4210000001</v>
          </cell>
          <cell r="AA1412">
            <v>2288546.7820000001</v>
          </cell>
          <cell r="AB1412">
            <v>2340769.4870000002</v>
          </cell>
          <cell r="AC1412">
            <v>2392699.3190000001</v>
          </cell>
          <cell r="AD1412">
            <v>2444565.2940000002</v>
          </cell>
          <cell r="AE1412">
            <v>2488826.3629999999</v>
          </cell>
          <cell r="AF1412">
            <v>2538078.6239999998</v>
          </cell>
          <cell r="AG1412">
            <v>2588573.6290000002</v>
          </cell>
          <cell r="AH1412">
            <v>2640207.5469999998</v>
          </cell>
          <cell r="AI1412">
            <v>2692551.2620000001</v>
          </cell>
          <cell r="AJ1412">
            <v>2745180.7439999999</v>
          </cell>
          <cell r="AK1412">
            <v>2797755.1439999999</v>
          </cell>
          <cell r="AL1412">
            <v>2849797.4180000001</v>
          </cell>
          <cell r="AM1412">
            <v>2900424.2769999998</v>
          </cell>
          <cell r="AN1412">
            <v>2948624.983</v>
          </cell>
          <cell r="AO1412">
            <v>2993138.8139999998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1011152.647</v>
          </cell>
          <cell r="G1413">
            <v>1045519.483</v>
          </cell>
          <cell r="H1413">
            <v>1082537.4269999999</v>
          </cell>
          <cell r="I1413">
            <v>1122292.7490000001</v>
          </cell>
          <cell r="J1413">
            <v>1163897.3289999999</v>
          </cell>
          <cell r="K1413">
            <v>1207189.26</v>
          </cell>
          <cell r="L1413">
            <v>1251729.4909999999</v>
          </cell>
          <cell r="M1413">
            <v>1300654.7509999999</v>
          </cell>
          <cell r="N1413">
            <v>1353740.703</v>
          </cell>
          <cell r="O1413">
            <v>1415169.747</v>
          </cell>
          <cell r="P1413">
            <v>1485053.7039999999</v>
          </cell>
          <cell r="Q1413">
            <v>1559443.05</v>
          </cell>
          <cell r="R1413">
            <v>1636568.6370000001</v>
          </cell>
          <cell r="S1413">
            <v>1714160.828</v>
          </cell>
          <cell r="T1413">
            <v>1791144.7109999999</v>
          </cell>
          <cell r="U1413">
            <v>1866982.74</v>
          </cell>
          <cell r="V1413">
            <v>1941736.0060000001</v>
          </cell>
          <cell r="W1413">
            <v>2015882.8529999999</v>
          </cell>
          <cell r="X1413">
            <v>2089865.8670000001</v>
          </cell>
          <cell r="Y1413">
            <v>2164178.56</v>
          </cell>
          <cell r="Z1413">
            <v>2238605.08</v>
          </cell>
          <cell r="AA1413">
            <v>2315171.3760000002</v>
          </cell>
          <cell r="AB1413">
            <v>2394567.014</v>
          </cell>
          <cell r="AC1413">
            <v>2477868.4330000002</v>
          </cell>
          <cell r="AD1413">
            <v>2566125.6630000002</v>
          </cell>
          <cell r="AE1413">
            <v>2657852.4210000001</v>
          </cell>
          <cell r="AF1413">
            <v>2757164.8459999999</v>
          </cell>
          <cell r="AG1413">
            <v>2865491.0109999999</v>
          </cell>
          <cell r="AH1413">
            <v>2984812.7710000002</v>
          </cell>
          <cell r="AI1413">
            <v>3116690.2590000001</v>
          </cell>
          <cell r="AJ1413">
            <v>3262254.1329999999</v>
          </cell>
          <cell r="AK1413">
            <v>3422554.0819999999</v>
          </cell>
          <cell r="AL1413">
            <v>3598796.3909999998</v>
          </cell>
          <cell r="AM1413">
            <v>3792363.5430000001</v>
          </cell>
          <cell r="AN1413">
            <v>4005072.6439999999</v>
          </cell>
          <cell r="AO1413">
            <v>4239566.9809999997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-65724.458440000002</v>
          </cell>
          <cell r="G1414">
            <v>-68542.987909999996</v>
          </cell>
          <cell r="H1414">
            <v>-66434.788700000005</v>
          </cell>
          <cell r="I1414">
            <v>-63456.443120000004</v>
          </cell>
          <cell r="J1414">
            <v>-60105.647810000002</v>
          </cell>
          <cell r="K1414">
            <v>-53781.562830000003</v>
          </cell>
          <cell r="L1414">
            <v>-46448.66216</v>
          </cell>
          <cell r="M1414">
            <v>-43617.155749999998</v>
          </cell>
          <cell r="N1414">
            <v>-51160.156320000002</v>
          </cell>
          <cell r="O1414">
            <v>-47038.15638</v>
          </cell>
          <cell r="P1414">
            <v>-40659.29997</v>
          </cell>
          <cell r="Q1414">
            <v>-28404.668590000001</v>
          </cell>
          <cell r="R1414">
            <v>-10871.393620000001</v>
          </cell>
          <cell r="S1414">
            <v>6830.1800080000003</v>
          </cell>
          <cell r="T1414">
            <v>24045.142739999999</v>
          </cell>
          <cell r="U1414">
            <v>40607.953569999998</v>
          </cell>
          <cell r="V1414">
            <v>55898.085590000002</v>
          </cell>
          <cell r="W1414">
            <v>69726.140429999999</v>
          </cell>
          <cell r="X1414">
            <v>84136.248890000003</v>
          </cell>
          <cell r="Y1414">
            <v>99575.456829999996</v>
          </cell>
          <cell r="Z1414">
            <v>118027.0349</v>
          </cell>
          <cell r="AA1414">
            <v>135971.61840000001</v>
          </cell>
          <cell r="AB1414">
            <v>156345.9706</v>
          </cell>
          <cell r="AC1414">
            <v>179900.25880000001</v>
          </cell>
          <cell r="AD1414">
            <v>207296.50150000001</v>
          </cell>
          <cell r="AE1414">
            <v>244397.36499999999</v>
          </cell>
          <cell r="AF1414">
            <v>282237.66009999998</v>
          </cell>
          <cell r="AG1414">
            <v>325956.93839999998</v>
          </cell>
          <cell r="AH1414">
            <v>377346.93320000003</v>
          </cell>
          <cell r="AI1414">
            <v>438013.35930000001</v>
          </cell>
          <cell r="AJ1414">
            <v>509047.08350000001</v>
          </cell>
          <cell r="AK1414">
            <v>591320.27830000001</v>
          </cell>
          <cell r="AL1414">
            <v>685954.299</v>
          </cell>
          <cell r="AM1414">
            <v>794596.87760000001</v>
          </cell>
          <cell r="AN1414">
            <v>919375.42839999998</v>
          </cell>
          <cell r="AO1414">
            <v>1063387.162</v>
          </cell>
        </row>
        <row r="1415">
          <cell r="C1415" t="str">
            <v>Dette publique</v>
          </cell>
          <cell r="E1415" t="str">
            <v>DEBT_G_VAL_2</v>
          </cell>
          <cell r="F1415">
            <v>2105265.8119999999</v>
          </cell>
          <cell r="G1415">
            <v>2173808.7999999998</v>
          </cell>
          <cell r="H1415">
            <v>2240243.588</v>
          </cell>
          <cell r="I1415">
            <v>2303700.0320000001</v>
          </cell>
          <cell r="J1415">
            <v>2363805.679</v>
          </cell>
          <cell r="K1415">
            <v>2417587.2420000001</v>
          </cell>
          <cell r="L1415">
            <v>2464035.9040000001</v>
          </cell>
          <cell r="M1415">
            <v>2507653.06</v>
          </cell>
          <cell r="N1415">
            <v>2558813.216</v>
          </cell>
          <cell r="O1415">
            <v>2605851.3730000001</v>
          </cell>
          <cell r="P1415">
            <v>2646510.673</v>
          </cell>
          <cell r="Q1415">
            <v>2674915.341</v>
          </cell>
          <cell r="R1415">
            <v>2685786.7349999999</v>
          </cell>
          <cell r="S1415">
            <v>2678956.5550000002</v>
          </cell>
          <cell r="T1415">
            <v>2654911.412</v>
          </cell>
          <cell r="U1415">
            <v>2614303.4589999998</v>
          </cell>
          <cell r="V1415">
            <v>2558405.3730000001</v>
          </cell>
          <cell r="W1415">
            <v>2488679.233</v>
          </cell>
          <cell r="X1415">
            <v>2404542.9840000002</v>
          </cell>
          <cell r="Y1415">
            <v>2304967.5269999998</v>
          </cell>
          <cell r="Z1415">
            <v>2186940.4920000001</v>
          </cell>
          <cell r="AA1415">
            <v>2050968.8740000001</v>
          </cell>
          <cell r="AB1415">
            <v>1894622.9029999999</v>
          </cell>
          <cell r="AC1415">
            <v>1714722.6440000001</v>
          </cell>
          <cell r="AD1415">
            <v>1507426.1429999999</v>
          </cell>
          <cell r="AE1415">
            <v>1263028.7779999999</v>
          </cell>
          <cell r="AF1415">
            <v>980791.1176</v>
          </cell>
          <cell r="AG1415">
            <v>654834.17920000001</v>
          </cell>
          <cell r="AH1415">
            <v>277487.24599999998</v>
          </cell>
          <cell r="AI1415">
            <v>-160526.1133</v>
          </cell>
          <cell r="AJ1415">
            <v>-669573.19680000003</v>
          </cell>
          <cell r="AK1415">
            <v>-1260893.4750000001</v>
          </cell>
          <cell r="AL1415">
            <v>-1946847.774</v>
          </cell>
          <cell r="AM1415">
            <v>-2741444.6519999998</v>
          </cell>
          <cell r="AN1415">
            <v>-3660820.08</v>
          </cell>
          <cell r="AO1415">
            <v>-4724207.2429999998</v>
          </cell>
        </row>
        <row r="1434">
          <cell r="F1434">
            <v>27379.147679999998</v>
          </cell>
          <cell r="G1434">
            <v>27463.02838</v>
          </cell>
          <cell r="H1434">
            <v>27580.776099999999</v>
          </cell>
          <cell r="I1434">
            <v>27730.779399999999</v>
          </cell>
          <cell r="J1434">
            <v>27902.627700000001</v>
          </cell>
          <cell r="K1434">
            <v>28090.563300000002</v>
          </cell>
          <cell r="L1434">
            <v>28282.273509999999</v>
          </cell>
          <cell r="M1434">
            <v>28453.564160000002</v>
          </cell>
          <cell r="N1434">
            <v>28610.48905</v>
          </cell>
          <cell r="O1434">
            <v>28813.581269999999</v>
          </cell>
          <cell r="P1434">
            <v>29060.199939999999</v>
          </cell>
          <cell r="Q1434">
            <v>29313.248449999999</v>
          </cell>
          <cell r="R1434">
            <v>29553.04207</v>
          </cell>
          <cell r="S1434">
            <v>29762.346839999998</v>
          </cell>
          <cell r="T1434">
            <v>29941.128840000001</v>
          </cell>
          <cell r="U1434">
            <v>30096.136020000002</v>
          </cell>
          <cell r="V1434">
            <v>30234.84649</v>
          </cell>
          <cell r="W1434">
            <v>30367.102169999998</v>
          </cell>
          <cell r="X1434">
            <v>30502.223239999999</v>
          </cell>
          <cell r="Y1434">
            <v>30647.841520000002</v>
          </cell>
          <cell r="Z1434">
            <v>30802.764599999999</v>
          </cell>
          <cell r="AA1434">
            <v>30980.913430000001</v>
          </cell>
          <cell r="AB1434">
            <v>31187.757989999998</v>
          </cell>
          <cell r="AC1434">
            <v>31427.317220000001</v>
          </cell>
          <cell r="AD1434">
            <v>31701.56265</v>
          </cell>
          <cell r="AE1434">
            <v>31990.86145</v>
          </cell>
          <cell r="AF1434">
            <v>32310.59635</v>
          </cell>
          <cell r="AG1434">
            <v>32665.529109999999</v>
          </cell>
          <cell r="AH1434">
            <v>33059.265729999999</v>
          </cell>
          <cell r="AI1434">
            <v>33492.017090000001</v>
          </cell>
          <cell r="AJ1434">
            <v>33960.870300000002</v>
          </cell>
          <cell r="AK1434">
            <v>34462.105239999997</v>
          </cell>
          <cell r="AL1434">
            <v>34993.140639999998</v>
          </cell>
          <cell r="AM1434">
            <v>35553.437360000004</v>
          </cell>
          <cell r="AN1434">
            <v>36145.580190000001</v>
          </cell>
          <cell r="AO1434">
            <v>36776.975160000002</v>
          </cell>
        </row>
        <row r="1435">
          <cell r="F1435">
            <v>760.78110530000004</v>
          </cell>
          <cell r="G1435">
            <v>761.56852460000005</v>
          </cell>
          <cell r="H1435">
            <v>762.69229210000003</v>
          </cell>
          <cell r="I1435">
            <v>764.78119530000004</v>
          </cell>
          <cell r="J1435">
            <v>767.82261470000003</v>
          </cell>
          <cell r="K1435">
            <v>771.75041009999995</v>
          </cell>
          <cell r="L1435">
            <v>776.28013750000002</v>
          </cell>
          <cell r="M1435">
            <v>779.91695560000005</v>
          </cell>
          <cell r="N1435">
            <v>782.86899679999999</v>
          </cell>
          <cell r="O1435">
            <v>787.36581009999998</v>
          </cell>
          <cell r="P1435">
            <v>792.94098889999998</v>
          </cell>
          <cell r="Q1435">
            <v>798.61189149999996</v>
          </cell>
          <cell r="R1435">
            <v>803.74376600000005</v>
          </cell>
          <cell r="S1435">
            <v>807.80109159999995</v>
          </cell>
          <cell r="T1435">
            <v>810.85828040000001</v>
          </cell>
          <cell r="U1435">
            <v>813.17223320000005</v>
          </cell>
          <cell r="V1435">
            <v>815.1270002</v>
          </cell>
          <cell r="W1435">
            <v>816.96416190000002</v>
          </cell>
          <cell r="X1435">
            <v>818.92427599999996</v>
          </cell>
          <cell r="Y1435">
            <v>821.2184125</v>
          </cell>
          <cell r="Z1435">
            <v>823.9204029</v>
          </cell>
          <cell r="AA1435">
            <v>827.28733990000001</v>
          </cell>
          <cell r="AB1435">
            <v>831.53492229999995</v>
          </cell>
          <cell r="AC1435">
            <v>836.81348230000003</v>
          </cell>
          <cell r="AD1435">
            <v>843.18299249999995</v>
          </cell>
          <cell r="AE1435">
            <v>850.3371985</v>
          </cell>
          <cell r="AF1435">
            <v>858.30053069999997</v>
          </cell>
          <cell r="AG1435">
            <v>867.24553070000002</v>
          </cell>
          <cell r="AH1435">
            <v>877.28969500000005</v>
          </cell>
          <cell r="AI1435">
            <v>888.39763040000003</v>
          </cell>
          <cell r="AJ1435">
            <v>900.39328769999997</v>
          </cell>
          <cell r="AK1435">
            <v>913.04535669999996</v>
          </cell>
          <cell r="AL1435">
            <v>926.12999920000004</v>
          </cell>
          <cell r="AM1435">
            <v>939.44769719999999</v>
          </cell>
          <cell r="AN1435">
            <v>952.83554479999998</v>
          </cell>
          <cell r="AO1435">
            <v>966.18289000000004</v>
          </cell>
        </row>
        <row r="1438">
          <cell r="F1438">
            <v>4368.3707029999996</v>
          </cell>
          <cell r="G1438">
            <v>4384.0349729999998</v>
          </cell>
          <cell r="H1438">
            <v>4406.4538739999998</v>
          </cell>
          <cell r="I1438">
            <v>4435.024386</v>
          </cell>
          <cell r="J1438">
            <v>4467.7091019999998</v>
          </cell>
          <cell r="K1438">
            <v>4503.5977890000004</v>
          </cell>
          <cell r="L1438">
            <v>4541.353736</v>
          </cell>
          <cell r="M1438">
            <v>4574.1507869999996</v>
          </cell>
          <cell r="N1438">
            <v>4604.4141060000002</v>
          </cell>
          <cell r="O1438">
            <v>4646.2775160000001</v>
          </cell>
          <cell r="P1438">
            <v>4696.4653639999997</v>
          </cell>
          <cell r="Q1438">
            <v>4748.7922959999996</v>
          </cell>
          <cell r="R1438">
            <v>4798.580046</v>
          </cell>
          <cell r="S1438">
            <v>4842.1661000000004</v>
          </cell>
          <cell r="T1438">
            <v>4880.2397559999999</v>
          </cell>
          <cell r="U1438">
            <v>4914.8992260000005</v>
          </cell>
          <cell r="V1438">
            <v>4948.0787490000002</v>
          </cell>
          <cell r="W1438">
            <v>4982.0871189999998</v>
          </cell>
          <cell r="X1438">
            <v>5018.942325</v>
          </cell>
          <cell r="Y1438">
            <v>5060.1796960000001</v>
          </cell>
          <cell r="Z1438">
            <v>5106.4333610000003</v>
          </cell>
          <cell r="AA1438">
            <v>5159.1899960000001</v>
          </cell>
          <cell r="AB1438">
            <v>5219.7060840000004</v>
          </cell>
          <cell r="AC1438">
            <v>5288.8761619999996</v>
          </cell>
          <cell r="AD1438">
            <v>5367.1292869999997</v>
          </cell>
          <cell r="AE1438">
            <v>5453.0020320000003</v>
          </cell>
          <cell r="AF1438">
            <v>5547.3082750000003</v>
          </cell>
          <cell r="AG1438">
            <v>5651.1712379999999</v>
          </cell>
          <cell r="AH1438">
            <v>5765.4123250000002</v>
          </cell>
          <cell r="AI1438">
            <v>5890.067239</v>
          </cell>
          <cell r="AJ1438">
            <v>6024.5974999999999</v>
          </cell>
          <cell r="AK1438">
            <v>6168.5549970000002</v>
          </cell>
          <cell r="AL1438">
            <v>6322.0196749999996</v>
          </cell>
          <cell r="AM1438">
            <v>6485.7135120000003</v>
          </cell>
          <cell r="AN1438">
            <v>6661.3062419999997</v>
          </cell>
          <cell r="AO1438">
            <v>6851.9435729999996</v>
          </cell>
        </row>
        <row r="1450">
          <cell r="F1450">
            <v>868.27520900000002</v>
          </cell>
          <cell r="G1450">
            <v>870.12886560000004</v>
          </cell>
          <cell r="H1450">
            <v>872.44483909999997</v>
          </cell>
          <cell r="I1450">
            <v>875.19916369999999</v>
          </cell>
          <cell r="J1450">
            <v>878.40633660000003</v>
          </cell>
          <cell r="K1450">
            <v>882.09922489999997</v>
          </cell>
          <cell r="L1450">
            <v>886.03977250000003</v>
          </cell>
          <cell r="M1450">
            <v>887.92524379999998</v>
          </cell>
          <cell r="N1450">
            <v>888.40773809999996</v>
          </cell>
          <cell r="O1450">
            <v>890.3757703</v>
          </cell>
          <cell r="P1450">
            <v>893.47457399999996</v>
          </cell>
          <cell r="Q1450">
            <v>896.92696290000004</v>
          </cell>
          <cell r="R1450">
            <v>900.07446170000003</v>
          </cell>
          <cell r="S1450">
            <v>902.26298039999995</v>
          </cell>
          <cell r="T1450">
            <v>903.54127670000003</v>
          </cell>
          <cell r="U1450">
            <v>904.18345220000003</v>
          </cell>
          <cell r="V1450">
            <v>904.39794319999999</v>
          </cell>
          <cell r="W1450">
            <v>904.49143230000004</v>
          </cell>
          <cell r="X1450">
            <v>904.8028812</v>
          </cell>
          <cell r="Y1450">
            <v>905.61145599999998</v>
          </cell>
          <cell r="Z1450">
            <v>907.00320910000005</v>
          </cell>
          <cell r="AA1450">
            <v>909.30756840000004</v>
          </cell>
          <cell r="AB1450">
            <v>912.7290524</v>
          </cell>
          <cell r="AC1450">
            <v>917.39427690000002</v>
          </cell>
          <cell r="AD1450">
            <v>923.33596850000004</v>
          </cell>
          <cell r="AE1450">
            <v>930.16114879999998</v>
          </cell>
          <cell r="AF1450">
            <v>938.1132662</v>
          </cell>
          <cell r="AG1450">
            <v>947.35407720000001</v>
          </cell>
          <cell r="AH1450">
            <v>957.97051980000003</v>
          </cell>
          <cell r="AI1450">
            <v>969.88235940000004</v>
          </cell>
          <cell r="AJ1450">
            <v>982.87477750000005</v>
          </cell>
          <cell r="AK1450">
            <v>996.71511810000004</v>
          </cell>
          <cell r="AL1450">
            <v>1011.2220569999999</v>
          </cell>
          <cell r="AM1450">
            <v>1026.260923</v>
          </cell>
          <cell r="AN1450">
            <v>1041.752547</v>
          </cell>
          <cell r="AO1450">
            <v>1057.6945020000001</v>
          </cell>
        </row>
        <row r="1455">
          <cell r="F1455">
            <v>21276.68795</v>
          </cell>
          <cell r="G1455">
            <v>21342.201700000001</v>
          </cell>
          <cell r="H1455">
            <v>21434.21284</v>
          </cell>
          <cell r="I1455">
            <v>21550.98647</v>
          </cell>
          <cell r="J1455">
            <v>21684.175159999999</v>
          </cell>
          <cell r="K1455">
            <v>21828.895649999999</v>
          </cell>
          <cell r="L1455">
            <v>21974.653340000001</v>
          </cell>
          <cell r="M1455">
            <v>22105.675009999999</v>
          </cell>
          <cell r="N1455">
            <v>22225.54738</v>
          </cell>
          <cell r="O1455">
            <v>22375.912469999999</v>
          </cell>
          <cell r="P1455">
            <v>22558.690999999999</v>
          </cell>
          <cell r="Q1455">
            <v>22745.229670000001</v>
          </cell>
          <cell r="R1455">
            <v>22922.011139999999</v>
          </cell>
          <cell r="S1455">
            <v>23076.702990000002</v>
          </cell>
          <cell r="T1455">
            <v>23208.372230000001</v>
          </cell>
          <cell r="U1455">
            <v>23321.00979</v>
          </cell>
          <cell r="V1455">
            <v>23419.467629999999</v>
          </cell>
          <cell r="W1455">
            <v>23510.6116</v>
          </cell>
          <cell r="X1455">
            <v>23601.07416</v>
          </cell>
          <cell r="Y1455">
            <v>23696.375319999999</v>
          </cell>
          <cell r="Z1455">
            <v>23794.453590000001</v>
          </cell>
          <cell r="AA1455">
            <v>23907.020369999998</v>
          </cell>
          <cell r="AB1455">
            <v>24037.721580000001</v>
          </cell>
          <cell r="AC1455">
            <v>24189.248169999999</v>
          </cell>
          <cell r="AD1455">
            <v>24362.882590000001</v>
          </cell>
          <cell r="AE1455">
            <v>24541.03672</v>
          </cell>
          <cell r="AF1455">
            <v>24737.718720000001</v>
          </cell>
          <cell r="AG1455">
            <v>24955.897290000001</v>
          </cell>
          <cell r="AH1455">
            <v>25197.759419999998</v>
          </cell>
          <cell r="AI1455">
            <v>25463.143690000001</v>
          </cell>
          <cell r="AJ1455">
            <v>25749.518769999999</v>
          </cell>
          <cell r="AK1455">
            <v>26053.349849999999</v>
          </cell>
          <cell r="AL1455">
            <v>26371.366160000001</v>
          </cell>
          <cell r="AM1455">
            <v>26701.203160000001</v>
          </cell>
          <cell r="AN1455">
            <v>27041.925869999999</v>
          </cell>
          <cell r="AO1455">
            <v>27394.760030000001</v>
          </cell>
        </row>
        <row r="1458">
          <cell r="F1458">
            <v>17.971260969999999</v>
          </cell>
          <cell r="G1458">
            <v>17.896634129999999</v>
          </cell>
          <cell r="H1458">
            <v>17.775132259999999</v>
          </cell>
          <cell r="I1458">
            <v>17.634520599999998</v>
          </cell>
          <cell r="J1458">
            <v>17.51637861</v>
          </cell>
          <cell r="K1458">
            <v>17.436033030000001</v>
          </cell>
          <cell r="L1458">
            <v>17.39129264</v>
          </cell>
          <cell r="M1458">
            <v>18.020647749999998</v>
          </cell>
          <cell r="N1458">
            <v>19.018539010000001</v>
          </cell>
          <cell r="O1458">
            <v>20.269573090000002</v>
          </cell>
          <cell r="P1458">
            <v>21.66649683</v>
          </cell>
          <cell r="Q1458">
            <v>23.144846149999999</v>
          </cell>
          <cell r="R1458">
            <v>24.656738570000002</v>
          </cell>
          <cell r="S1458">
            <v>26.16936153</v>
          </cell>
          <cell r="T1458">
            <v>27.672886370000001</v>
          </cell>
          <cell r="U1458">
            <v>29.169406380000002</v>
          </cell>
          <cell r="V1458">
            <v>30.651308409999999</v>
          </cell>
          <cell r="W1458">
            <v>32.128126620000003</v>
          </cell>
          <cell r="X1458">
            <v>33.613146989999997</v>
          </cell>
          <cell r="Y1458">
            <v>35.119838350000002</v>
          </cell>
          <cell r="Z1458">
            <v>36.658708300000001</v>
          </cell>
          <cell r="AA1458">
            <v>38.243243730000003</v>
          </cell>
          <cell r="AB1458">
            <v>39.88606145</v>
          </cell>
          <cell r="AC1458">
            <v>41.598261610000002</v>
          </cell>
          <cell r="AD1458">
            <v>43.389053789999998</v>
          </cell>
          <cell r="AE1458">
            <v>45.259940069999999</v>
          </cell>
          <cell r="AF1458">
            <v>47.224261640000002</v>
          </cell>
          <cell r="AG1458">
            <v>49.297129560000002</v>
          </cell>
          <cell r="AH1458">
            <v>51.493856979999997</v>
          </cell>
          <cell r="AI1458">
            <v>53.826884790000001</v>
          </cell>
          <cell r="AJ1458">
            <v>56.306369670000002</v>
          </cell>
          <cell r="AK1458">
            <v>58.944315869999997</v>
          </cell>
          <cell r="AL1458">
            <v>61.758217770000002</v>
          </cell>
          <cell r="AM1458">
            <v>64.772750529999996</v>
          </cell>
          <cell r="AN1458">
            <v>68.02401141</v>
          </cell>
          <cell r="AO1458">
            <v>71.567938429999998</v>
          </cell>
        </row>
        <row r="1460">
          <cell r="F1460">
            <v>6.6796781279999999</v>
          </cell>
          <cell r="G1460">
            <v>6.6471851559999999</v>
          </cell>
          <cell r="H1460">
            <v>6.5932525560000004</v>
          </cell>
          <cell r="I1460">
            <v>6.5324955119999997</v>
          </cell>
          <cell r="J1460">
            <v>6.4804491039999998</v>
          </cell>
          <cell r="K1460">
            <v>6.4432032680000004</v>
          </cell>
          <cell r="L1460">
            <v>6.4197561009999999</v>
          </cell>
          <cell r="M1460">
            <v>7.1792906629999997</v>
          </cell>
          <cell r="N1460">
            <v>8.3619981909999996</v>
          </cell>
          <cell r="O1460">
            <v>9.7952427439999994</v>
          </cell>
          <cell r="P1460">
            <v>11.36494515</v>
          </cell>
          <cell r="Q1460">
            <v>13.00153721</v>
          </cell>
          <cell r="R1460">
            <v>14.66192193</v>
          </cell>
          <cell r="S1460">
            <v>16.321277429999999</v>
          </cell>
          <cell r="T1460">
            <v>17.971097159999999</v>
          </cell>
          <cell r="U1460">
            <v>19.612621829999998</v>
          </cell>
          <cell r="V1460">
            <v>21.246502849999999</v>
          </cell>
          <cell r="W1460">
            <v>22.879130360000001</v>
          </cell>
          <cell r="X1460">
            <v>24.520183800000002</v>
          </cell>
          <cell r="Y1460">
            <v>26.180201950000001</v>
          </cell>
          <cell r="Z1460">
            <v>27.86814665</v>
          </cell>
          <cell r="AA1460">
            <v>29.594943480000001</v>
          </cell>
          <cell r="AB1460">
            <v>31.371404089999999</v>
          </cell>
          <cell r="AC1460">
            <v>33.207628229999997</v>
          </cell>
          <cell r="AD1460">
            <v>35.112656729999998</v>
          </cell>
          <cell r="AE1460">
            <v>37.090097540000002</v>
          </cell>
          <cell r="AF1460">
            <v>39.150789580000001</v>
          </cell>
          <cell r="AG1460">
            <v>41.308849590000001</v>
          </cell>
          <cell r="AH1460">
            <v>43.579043409999997</v>
          </cell>
          <cell r="AI1460">
            <v>45.974621089999999</v>
          </cell>
          <cell r="AJ1460">
            <v>48.50745027</v>
          </cell>
          <cell r="AK1460">
            <v>51.190925249999999</v>
          </cell>
          <cell r="AL1460">
            <v>54.042893329999998</v>
          </cell>
          <cell r="AM1460">
            <v>57.087287369999999</v>
          </cell>
          <cell r="AN1460">
            <v>60.358045879999999</v>
          </cell>
          <cell r="AO1460">
            <v>63.906920339999999</v>
          </cell>
        </row>
        <row r="1462">
          <cell r="F1462">
            <v>0.71851927429999995</v>
          </cell>
          <cell r="G1462">
            <v>0.71454693260000002</v>
          </cell>
          <cell r="H1462">
            <v>0.70885388120000004</v>
          </cell>
          <cell r="I1462">
            <v>0.70193100190000002</v>
          </cell>
          <cell r="J1462">
            <v>0.69619575229999997</v>
          </cell>
          <cell r="K1462">
            <v>0.69227380009999995</v>
          </cell>
          <cell r="L1462">
            <v>0.69021215849999995</v>
          </cell>
          <cell r="M1462">
            <v>0.74203441569999995</v>
          </cell>
          <cell r="N1462">
            <v>0.81909721609999997</v>
          </cell>
          <cell r="O1462">
            <v>0.9091747228</v>
          </cell>
          <cell r="P1462">
            <v>1.004223809</v>
          </cell>
          <cell r="Q1462">
            <v>1.1005053220000001</v>
          </cell>
          <cell r="R1462">
            <v>1.195233269</v>
          </cell>
          <cell r="S1462">
            <v>1.2864733340000001</v>
          </cell>
          <cell r="T1462">
            <v>1.373792425</v>
          </cell>
          <cell r="U1462">
            <v>1.457618436</v>
          </cell>
          <cell r="V1462">
            <v>1.537395165</v>
          </cell>
          <cell r="W1462">
            <v>1.6137520080000001</v>
          </cell>
          <cell r="X1462">
            <v>1.6878108329999999</v>
          </cell>
          <cell r="Y1462">
            <v>1.760772231</v>
          </cell>
          <cell r="Z1462">
            <v>1.833564108</v>
          </cell>
          <cell r="AA1462">
            <v>1.907516674</v>
          </cell>
          <cell r="AB1462">
            <v>1.983740944</v>
          </cell>
          <cell r="AC1462">
            <v>2.0631606489999998</v>
          </cell>
          <cell r="AD1462">
            <v>2.1465359770000001</v>
          </cell>
          <cell r="AE1462">
            <v>2.2338100120000002</v>
          </cell>
          <cell r="AF1462">
            <v>2.3261661739999999</v>
          </cell>
          <cell r="AG1462">
            <v>2.4249766849999999</v>
          </cell>
          <cell r="AH1462">
            <v>2.5315070460000002</v>
          </cell>
          <cell r="AI1462">
            <v>2.6466836370000002</v>
          </cell>
          <cell r="AJ1462">
            <v>2.7712114730000001</v>
          </cell>
          <cell r="AK1462">
            <v>2.9059887980000001</v>
          </cell>
          <cell r="AL1462">
            <v>3.052464498</v>
          </cell>
          <cell r="AM1462">
            <v>3.2128486459999999</v>
          </cell>
          <cell r="AN1462">
            <v>3.390510694</v>
          </cell>
          <cell r="AO1462">
            <v>3.5906502069999999</v>
          </cell>
        </row>
        <row r="1463">
          <cell r="F1463">
            <v>87.061451820000002</v>
          </cell>
          <cell r="G1463">
            <v>87.197682450000002</v>
          </cell>
          <cell r="H1463">
            <v>87.197127609999995</v>
          </cell>
          <cell r="I1463">
            <v>87.153659070000003</v>
          </cell>
          <cell r="J1463">
            <v>86.998113399999994</v>
          </cell>
          <cell r="K1463">
            <v>86.784198959999998</v>
          </cell>
          <cell r="L1463">
            <v>86.555232739999994</v>
          </cell>
          <cell r="M1463">
            <v>87.875514120000005</v>
          </cell>
          <cell r="N1463">
            <v>90.232286520000002</v>
          </cell>
          <cell r="O1463">
            <v>93.38012956</v>
          </cell>
          <cell r="P1463">
            <v>96.961515019999993</v>
          </cell>
          <cell r="Q1463">
            <v>100.5427864</v>
          </cell>
          <cell r="R1463">
            <v>103.9759133</v>
          </cell>
          <cell r="S1463">
            <v>107.2443143</v>
          </cell>
          <cell r="T1463">
            <v>110.4444153</v>
          </cell>
          <cell r="U1463">
            <v>113.70191130000001</v>
          </cell>
          <cell r="V1463">
            <v>117.12385829999999</v>
          </cell>
          <cell r="W1463">
            <v>120.8197381</v>
          </cell>
          <cell r="X1463">
            <v>124.86645009999999</v>
          </cell>
          <cell r="Y1463">
            <v>129.33679050000001</v>
          </cell>
          <cell r="Z1463">
            <v>134.2953296</v>
          </cell>
          <cell r="AA1463">
            <v>139.8649135</v>
          </cell>
          <cell r="AB1463">
            <v>146.1802854</v>
          </cell>
          <cell r="AC1463">
            <v>153.38686949999999</v>
          </cell>
          <cell r="AD1463">
            <v>161.64275190000001</v>
          </cell>
          <cell r="AE1463">
            <v>171.0644126</v>
          </cell>
          <cell r="AF1463">
            <v>181.93129930000001</v>
          </cell>
          <cell r="AG1463">
            <v>194.5638415</v>
          </cell>
          <cell r="AH1463">
            <v>209.339922</v>
          </cell>
          <cell r="AI1463">
            <v>226.6992865</v>
          </cell>
          <cell r="AJ1463">
            <v>247.17959239999999</v>
          </cell>
          <cell r="AK1463">
            <v>271.49559950000003</v>
          </cell>
          <cell r="AL1463">
            <v>300.64453150000003</v>
          </cell>
          <cell r="AM1463">
            <v>336.03931820000003</v>
          </cell>
          <cell r="AN1463">
            <v>379.73597530000001</v>
          </cell>
          <cell r="AO1463">
            <v>434.82622880000002</v>
          </cell>
        </row>
        <row r="1473">
          <cell r="F1473">
            <v>27379.147679999998</v>
          </cell>
          <cell r="G1473">
            <v>27463.02838</v>
          </cell>
          <cell r="H1473">
            <v>27580.776099999999</v>
          </cell>
          <cell r="I1473">
            <v>27730.77939</v>
          </cell>
          <cell r="J1473">
            <v>27902.627700000001</v>
          </cell>
          <cell r="K1473">
            <v>28090.563300000002</v>
          </cell>
          <cell r="L1473">
            <v>28279.679029999999</v>
          </cell>
          <cell r="M1473">
            <v>28464.796200000001</v>
          </cell>
          <cell r="N1473">
            <v>28643.926090000001</v>
          </cell>
          <cell r="O1473">
            <v>28817.204959999999</v>
          </cell>
          <cell r="P1473">
            <v>28997.284540000001</v>
          </cell>
          <cell r="Q1473">
            <v>29172.279770000001</v>
          </cell>
          <cell r="R1473">
            <v>29338.30356</v>
          </cell>
          <cell r="S1473">
            <v>29483.765899999999</v>
          </cell>
          <cell r="T1473">
            <v>29606.612570000001</v>
          </cell>
          <cell r="U1473">
            <v>29710.916140000001</v>
          </cell>
          <cell r="V1473">
            <v>29806.50921</v>
          </cell>
          <cell r="W1473">
            <v>29904.356749999999</v>
          </cell>
          <cell r="X1473">
            <v>30013.776900000001</v>
          </cell>
          <cell r="Y1473">
            <v>30141.076430000001</v>
          </cell>
          <cell r="Z1473">
            <v>30283.104200000002</v>
          </cell>
          <cell r="AA1473">
            <v>30451.5497</v>
          </cell>
          <cell r="AB1473">
            <v>30649.714619999999</v>
          </cell>
          <cell r="AC1473">
            <v>30879.633180000001</v>
          </cell>
          <cell r="AD1473">
            <v>31141.420099999999</v>
          </cell>
          <cell r="AE1473">
            <v>31413.91302</v>
          </cell>
          <cell r="AF1473">
            <v>31710.262139999999</v>
          </cell>
          <cell r="AG1473">
            <v>32032.940289999999</v>
          </cell>
          <cell r="AH1473">
            <v>32383.023270000002</v>
          </cell>
          <cell r="AI1473">
            <v>32757.73028</v>
          </cell>
          <cell r="AJ1473">
            <v>33150.671880000002</v>
          </cell>
          <cell r="AK1473">
            <v>33553.977559999999</v>
          </cell>
          <cell r="AL1473">
            <v>33959.855479999998</v>
          </cell>
          <cell r="AM1473">
            <v>34360.991240000003</v>
          </cell>
          <cell r="AN1473">
            <v>34750.610540000001</v>
          </cell>
          <cell r="AO1473">
            <v>35122.490790000003</v>
          </cell>
        </row>
        <row r="1474">
          <cell r="F1474">
            <v>760.78110530000004</v>
          </cell>
          <cell r="G1474">
            <v>761.56852460000005</v>
          </cell>
          <cell r="H1474">
            <v>762.69229210000003</v>
          </cell>
          <cell r="I1474">
            <v>764.78119519999996</v>
          </cell>
          <cell r="J1474">
            <v>767.82261459999995</v>
          </cell>
          <cell r="K1474">
            <v>771.75041009999995</v>
          </cell>
          <cell r="L1474">
            <v>776.17849960000001</v>
          </cell>
          <cell r="M1474">
            <v>780.79647709999995</v>
          </cell>
          <cell r="N1474">
            <v>785.40595370000005</v>
          </cell>
          <cell r="O1474">
            <v>789.90731349999999</v>
          </cell>
          <cell r="P1474">
            <v>794.45401749999996</v>
          </cell>
          <cell r="Q1474">
            <v>798.90890560000003</v>
          </cell>
          <cell r="R1474">
            <v>803.04416230000004</v>
          </cell>
          <cell r="S1474">
            <v>806.36077009999997</v>
          </cell>
          <cell r="T1474">
            <v>808.78431269999999</v>
          </cell>
          <cell r="U1474">
            <v>810.48282110000002</v>
          </cell>
          <cell r="V1474">
            <v>811.83505849999995</v>
          </cell>
          <cell r="W1474">
            <v>813.26753359999998</v>
          </cell>
          <cell r="X1474">
            <v>815.14242630000001</v>
          </cell>
          <cell r="Y1474">
            <v>817.69865670000002</v>
          </cell>
          <cell r="Z1474">
            <v>820.97662430000003</v>
          </cell>
          <cell r="AA1474">
            <v>825.16912549999995</v>
          </cell>
          <cell r="AB1474">
            <v>830.41955810000002</v>
          </cell>
          <cell r="AC1474">
            <v>836.8107321</v>
          </cell>
          <cell r="AD1474">
            <v>844.34231709999995</v>
          </cell>
          <cell r="AE1474">
            <v>852.66208140000003</v>
          </cell>
          <cell r="AF1474">
            <v>861.82986040000003</v>
          </cell>
          <cell r="AG1474">
            <v>871.93167960000005</v>
          </cell>
          <cell r="AH1474">
            <v>883.00754559999996</v>
          </cell>
          <cell r="AI1474">
            <v>894.94784879999997</v>
          </cell>
          <cell r="AJ1474">
            <v>907.50625950000006</v>
          </cell>
          <cell r="AK1474">
            <v>920.38514620000001</v>
          </cell>
          <cell r="AL1474">
            <v>933.29380709999998</v>
          </cell>
          <cell r="AM1474">
            <v>945.96071519999998</v>
          </cell>
          <cell r="AN1474">
            <v>958.13501199999996</v>
          </cell>
          <cell r="AO1474">
            <v>969.58710159999998</v>
          </cell>
        </row>
        <row r="1477">
          <cell r="F1477">
            <v>4368.3707029999996</v>
          </cell>
          <cell r="G1477">
            <v>4384.0349720000004</v>
          </cell>
          <cell r="H1477">
            <v>4406.4538739999998</v>
          </cell>
          <cell r="I1477">
            <v>4435.0243849999997</v>
          </cell>
          <cell r="J1477">
            <v>4467.7091010000004</v>
          </cell>
          <cell r="K1477">
            <v>4503.5977890000004</v>
          </cell>
          <cell r="L1477">
            <v>4541.0620589999999</v>
          </cell>
          <cell r="M1477">
            <v>4578.9521610000002</v>
          </cell>
          <cell r="N1477">
            <v>4616.643814</v>
          </cell>
          <cell r="O1477">
            <v>4653.9370710000003</v>
          </cell>
          <cell r="P1477">
            <v>4691.8402759999999</v>
          </cell>
          <cell r="Q1477">
            <v>4729.7986629999996</v>
          </cell>
          <cell r="R1477">
            <v>4766.6173930000004</v>
          </cell>
          <cell r="S1477">
            <v>4799.4598370000003</v>
          </cell>
          <cell r="T1477">
            <v>4828.0381029999999</v>
          </cell>
          <cell r="U1477">
            <v>4853.4934730000004</v>
          </cell>
          <cell r="V1477">
            <v>4877.8787949999996</v>
          </cell>
          <cell r="W1477">
            <v>4903.6180430000004</v>
          </cell>
          <cell r="X1477">
            <v>4932.8483850000002</v>
          </cell>
          <cell r="Y1477">
            <v>4967.0198190000001</v>
          </cell>
          <cell r="Z1477">
            <v>5006.4887159999998</v>
          </cell>
          <cell r="AA1477">
            <v>5052.2882479999998</v>
          </cell>
          <cell r="AB1477">
            <v>5105.1602190000003</v>
          </cell>
          <cell r="AC1477">
            <v>5165.5189410000003</v>
          </cell>
          <cell r="AD1477">
            <v>5233.3195239999995</v>
          </cell>
          <cell r="AE1477">
            <v>5306.6563299999998</v>
          </cell>
          <cell r="AF1477">
            <v>5385.6966069999999</v>
          </cell>
          <cell r="AG1477">
            <v>5470.7275769999997</v>
          </cell>
          <cell r="AH1477">
            <v>5561.8119729999999</v>
          </cell>
          <cell r="AI1477">
            <v>5658.1528070000004</v>
          </cell>
          <cell r="AJ1477">
            <v>5758.2102969999996</v>
          </cell>
          <cell r="AK1477">
            <v>5860.230818</v>
          </cell>
          <cell r="AL1477">
            <v>5962.5892510000003</v>
          </cell>
          <cell r="AM1477">
            <v>6063.8365679999997</v>
          </cell>
          <cell r="AN1477">
            <v>6162.6717829999998</v>
          </cell>
          <cell r="AO1477">
            <v>6257.9106689999999</v>
          </cell>
        </row>
        <row r="1489">
          <cell r="F1489">
            <v>868.27520900000002</v>
          </cell>
          <cell r="G1489">
            <v>870.12886560000004</v>
          </cell>
          <cell r="H1489">
            <v>872.44483909999997</v>
          </cell>
          <cell r="I1489">
            <v>875.19916369999999</v>
          </cell>
          <cell r="J1489">
            <v>878.40633649999995</v>
          </cell>
          <cell r="K1489">
            <v>882.0992248</v>
          </cell>
          <cell r="L1489">
            <v>885.90246030000003</v>
          </cell>
          <cell r="M1489">
            <v>889.57022099999995</v>
          </cell>
          <cell r="N1489">
            <v>892.97708490000002</v>
          </cell>
          <cell r="O1489">
            <v>896.09828170000003</v>
          </cell>
          <cell r="P1489">
            <v>899.19419930000004</v>
          </cell>
          <cell r="Q1489">
            <v>902.08378140000002</v>
          </cell>
          <cell r="R1489">
            <v>904.57604330000004</v>
          </cell>
          <cell r="S1489">
            <v>906.17952579999996</v>
          </cell>
          <cell r="T1489">
            <v>906.87318240000002</v>
          </cell>
          <cell r="U1489">
            <v>906.88848610000002</v>
          </cell>
          <cell r="V1489">
            <v>906.70803799999999</v>
          </cell>
          <cell r="W1489">
            <v>906.81580540000004</v>
          </cell>
          <cell r="X1489">
            <v>907.57676100000003</v>
          </cell>
          <cell r="Y1489">
            <v>909.19716849999998</v>
          </cell>
          <cell r="Z1489">
            <v>911.64682979999998</v>
          </cell>
          <cell r="AA1489">
            <v>915.12884599999995</v>
          </cell>
          <cell r="AB1489">
            <v>919.73134860000005</v>
          </cell>
          <cell r="AC1489">
            <v>925.49143289999995</v>
          </cell>
          <cell r="AD1489">
            <v>932.37277449999999</v>
          </cell>
          <cell r="AE1489">
            <v>939.92560100000003</v>
          </cell>
          <cell r="AF1489">
            <v>948.30897530000004</v>
          </cell>
          <cell r="AG1489">
            <v>957.58838600000001</v>
          </cell>
          <cell r="AH1489">
            <v>967.77317549999998</v>
          </cell>
          <cell r="AI1489">
            <v>978.71283640000001</v>
          </cell>
          <cell r="AJ1489">
            <v>990.12329590000002</v>
          </cell>
          <cell r="AK1489">
            <v>1001.686834</v>
          </cell>
          <cell r="AL1489">
            <v>1013.114715</v>
          </cell>
          <cell r="AM1489">
            <v>1024.155446</v>
          </cell>
          <cell r="AN1489">
            <v>1034.5902619999999</v>
          </cell>
          <cell r="AO1489">
            <v>1044.228376</v>
          </cell>
        </row>
        <row r="1494">
          <cell r="F1494">
            <v>21276.68795</v>
          </cell>
          <cell r="G1494">
            <v>21342.201700000001</v>
          </cell>
          <cell r="H1494">
            <v>21434.21284</v>
          </cell>
          <cell r="I1494">
            <v>21550.98647</v>
          </cell>
          <cell r="J1494">
            <v>21684.175149999999</v>
          </cell>
          <cell r="K1494">
            <v>21828.895639999999</v>
          </cell>
          <cell r="L1494">
            <v>21972.58797</v>
          </cell>
          <cell r="M1494">
            <v>22111.764869999999</v>
          </cell>
          <cell r="N1494">
            <v>22245.39114</v>
          </cell>
          <cell r="O1494">
            <v>22373.941129999999</v>
          </cell>
          <cell r="P1494">
            <v>22508.631959999999</v>
          </cell>
          <cell r="Q1494">
            <v>22638.48763</v>
          </cell>
          <cell r="R1494">
            <v>22761.266070000001</v>
          </cell>
          <cell r="S1494">
            <v>22869.25274</v>
          </cell>
          <cell r="T1494">
            <v>22960.780610000002</v>
          </cell>
          <cell r="U1494">
            <v>23038.35745</v>
          </cell>
          <cell r="V1494">
            <v>23108.871210000001</v>
          </cell>
          <cell r="W1494">
            <v>23179.90582</v>
          </cell>
          <cell r="X1494">
            <v>23257.87239</v>
          </cell>
          <cell r="Y1494">
            <v>23347.152740000001</v>
          </cell>
          <cell r="Z1494">
            <v>23444.224549999999</v>
          </cell>
          <cell r="AA1494">
            <v>23559.321469999999</v>
          </cell>
          <cell r="AB1494">
            <v>23694.75691</v>
          </cell>
          <cell r="AC1494">
            <v>23852.02246</v>
          </cell>
          <cell r="AD1494">
            <v>24031.31482</v>
          </cell>
          <cell r="AE1494">
            <v>24214.2248</v>
          </cell>
          <cell r="AF1494">
            <v>24413.50258</v>
          </cell>
          <cell r="AG1494">
            <v>24631.177080000001</v>
          </cell>
          <cell r="AH1494">
            <v>24868.214680000001</v>
          </cell>
          <cell r="AI1494">
            <v>25122.910469999999</v>
          </cell>
          <cell r="AJ1494">
            <v>25390.976879999998</v>
          </cell>
          <cell r="AK1494">
            <v>25666.94728</v>
          </cell>
          <cell r="AL1494">
            <v>25945.266080000001</v>
          </cell>
          <cell r="AM1494">
            <v>26220.618129999999</v>
          </cell>
          <cell r="AN1494">
            <v>26488.022850000001</v>
          </cell>
          <cell r="AO1494">
            <v>26742.88191</v>
          </cell>
        </row>
        <row r="1497">
          <cell r="F1497">
            <v>17.971260999999998</v>
          </cell>
          <cell r="G1497">
            <v>17.89663418</v>
          </cell>
          <cell r="H1497">
            <v>17.775132320000001</v>
          </cell>
          <cell r="I1497">
            <v>17.634520670000001</v>
          </cell>
          <cell r="J1497">
            <v>17.516378679999999</v>
          </cell>
          <cell r="K1497">
            <v>17.4360331</v>
          </cell>
          <cell r="L1497">
            <v>17.381229340000001</v>
          </cell>
          <cell r="M1497">
            <v>17.338929610000001</v>
          </cell>
          <cell r="N1497">
            <v>17.299788020000001</v>
          </cell>
          <cell r="O1497">
            <v>17.258874630000001</v>
          </cell>
          <cell r="P1497">
            <v>17.21652138</v>
          </cell>
          <cell r="Q1497">
            <v>17.17092091</v>
          </cell>
          <cell r="R1497">
            <v>17.119669300000002</v>
          </cell>
          <cell r="S1497">
            <v>17.056871699999999</v>
          </cell>
          <cell r="T1497">
            <v>16.982356830000001</v>
          </cell>
          <cell r="U1497">
            <v>16.899206660000001</v>
          </cell>
          <cell r="V1497">
            <v>16.818439479999999</v>
          </cell>
          <cell r="W1497">
            <v>16.748402970000001</v>
          </cell>
          <cell r="X1497">
            <v>16.693826519999998</v>
          </cell>
          <cell r="Y1497">
            <v>16.656164830000002</v>
          </cell>
          <cell r="Z1497">
            <v>16.633942869999998</v>
          </cell>
          <cell r="AA1497">
            <v>16.627205400000001</v>
          </cell>
          <cell r="AB1497">
            <v>16.635818579999999</v>
          </cell>
          <cell r="AC1497">
            <v>16.65952751</v>
          </cell>
          <cell r="AD1497">
            <v>16.697531720000001</v>
          </cell>
          <cell r="AE1497">
            <v>16.745748679999998</v>
          </cell>
          <cell r="AF1497">
            <v>16.804784130000002</v>
          </cell>
          <cell r="AG1497">
            <v>16.87553003</v>
          </cell>
          <cell r="AH1497">
            <v>16.95834808</v>
          </cell>
          <cell r="AI1497">
            <v>17.051627249999999</v>
          </cell>
          <cell r="AJ1497">
            <v>17.151999230000001</v>
          </cell>
          <cell r="AK1497">
            <v>17.255526769999999</v>
          </cell>
          <cell r="AL1497">
            <v>17.358505109999999</v>
          </cell>
          <cell r="AM1497">
            <v>17.457574019999999</v>
          </cell>
          <cell r="AN1497">
            <v>17.549643249999999</v>
          </cell>
          <cell r="AO1497">
            <v>17.63183725</v>
          </cell>
        </row>
        <row r="1499">
          <cell r="F1499">
            <v>6.6796781269999999</v>
          </cell>
          <cell r="G1499">
            <v>6.6471851549999998</v>
          </cell>
          <cell r="H1499">
            <v>6.5932525550000003</v>
          </cell>
          <cell r="I1499">
            <v>6.5324955100000004</v>
          </cell>
          <cell r="J1499">
            <v>6.4804491019999997</v>
          </cell>
          <cell r="K1499">
            <v>6.4432032660000003</v>
          </cell>
          <cell r="L1499">
            <v>6.4190124219999998</v>
          </cell>
          <cell r="M1499">
            <v>6.403099546</v>
          </cell>
          <cell r="N1499">
            <v>6.3910578060000001</v>
          </cell>
          <cell r="O1499">
            <v>6.3799597779999999</v>
          </cell>
          <cell r="P1499">
            <v>6.3688429920000003</v>
          </cell>
          <cell r="Q1499">
            <v>6.3566688610000002</v>
          </cell>
          <cell r="R1499">
            <v>6.3425832770000001</v>
          </cell>
          <cell r="S1499">
            <v>6.3250867460000002</v>
          </cell>
          <cell r="T1499">
            <v>6.3038866750000002</v>
          </cell>
          <cell r="U1499">
            <v>6.2794769490000002</v>
          </cell>
          <cell r="V1499">
            <v>6.2537714519999996</v>
          </cell>
          <cell r="W1499">
            <v>6.2291406389999997</v>
          </cell>
          <cell r="X1499">
            <v>6.2072612319999996</v>
          </cell>
          <cell r="Y1499">
            <v>6.1888813149999997</v>
          </cell>
          <cell r="Z1499">
            <v>6.1737862899999998</v>
          </cell>
          <cell r="AA1499">
            <v>6.1620752510000001</v>
          </cell>
          <cell r="AB1499">
            <v>6.1537625</v>
          </cell>
          <cell r="AC1499">
            <v>6.1488354349999996</v>
          </cell>
          <cell r="AD1499">
            <v>6.1471875020000004</v>
          </cell>
          <cell r="AE1499">
            <v>6.147777359</v>
          </cell>
          <cell r="AF1499">
            <v>6.150794747</v>
          </cell>
          <cell r="AG1499">
            <v>6.1565470329999998</v>
          </cell>
          <cell r="AH1499">
            <v>6.16524553</v>
          </cell>
          <cell r="AI1499">
            <v>6.1766498439999999</v>
          </cell>
          <cell r="AJ1499">
            <v>6.1900642279999998</v>
          </cell>
          <cell r="AK1499">
            <v>6.2045710249999999</v>
          </cell>
          <cell r="AL1499">
            <v>6.2192112719999999</v>
          </cell>
          <cell r="AM1499">
            <v>6.2330279720000004</v>
          </cell>
          <cell r="AN1499">
            <v>6.2450735430000002</v>
          </cell>
          <cell r="AO1499">
            <v>6.2544246240000003</v>
          </cell>
        </row>
        <row r="1501">
          <cell r="F1501">
            <v>0.71851937040000002</v>
          </cell>
          <cell r="G1501">
            <v>0.71454707699999997</v>
          </cell>
          <cell r="H1501">
            <v>0.70885404750000003</v>
          </cell>
          <cell r="I1501">
            <v>0.7019311761</v>
          </cell>
          <cell r="J1501">
            <v>0.69619592770000005</v>
          </cell>
          <cell r="K1501">
            <v>0.69227397390000001</v>
          </cell>
          <cell r="L1501">
            <v>0.68809712820000002</v>
          </cell>
          <cell r="M1501">
            <v>0.68309584219999997</v>
          </cell>
          <cell r="N1501">
            <v>0.67731324260000003</v>
          </cell>
          <cell r="O1501">
            <v>0.67100486370000001</v>
          </cell>
          <cell r="P1501">
            <v>0.66458599279999997</v>
          </cell>
          <cell r="Q1501">
            <v>0.65811430770000001</v>
          </cell>
          <cell r="R1501">
            <v>0.65156341419999997</v>
          </cell>
          <cell r="S1501">
            <v>0.64469300730000001</v>
          </cell>
          <cell r="T1501">
            <v>0.63752572740000002</v>
          </cell>
          <cell r="U1501">
            <v>0.63023889040000003</v>
          </cell>
          <cell r="V1501">
            <v>0.62407452050000001</v>
          </cell>
          <cell r="W1501">
            <v>0.61934786590000002</v>
          </cell>
          <cell r="X1501">
            <v>0.61603060949999999</v>
          </cell>
          <cell r="Y1501">
            <v>0.61397267089999996</v>
          </cell>
          <cell r="Z1501">
            <v>0.61293778210000005</v>
          </cell>
          <cell r="AA1501">
            <v>0.6128797252</v>
          </cell>
          <cell r="AB1501">
            <v>0.61375807230000001</v>
          </cell>
          <cell r="AC1501">
            <v>0.61554225939999996</v>
          </cell>
          <cell r="AD1501">
            <v>0.61817796439999995</v>
          </cell>
          <cell r="AE1501">
            <v>0.6213913794</v>
          </cell>
          <cell r="AF1501">
            <v>0.62524463029999999</v>
          </cell>
          <cell r="AG1501">
            <v>0.62977673599999995</v>
          </cell>
          <cell r="AH1501">
            <v>0.63498613179999996</v>
          </cell>
          <cell r="AI1501">
            <v>0.64076950340000005</v>
          </cell>
          <cell r="AJ1501">
            <v>0.64693615579999997</v>
          </cell>
          <cell r="AK1501">
            <v>0.65326799589999995</v>
          </cell>
          <cell r="AL1501">
            <v>0.65956440080000001</v>
          </cell>
          <cell r="AM1501">
            <v>0.66565118820000002</v>
          </cell>
          <cell r="AN1501">
            <v>0.67137699900000003</v>
          </cell>
          <cell r="AO1501">
            <v>0.67660878660000001</v>
          </cell>
        </row>
        <row r="1502">
          <cell r="F1502">
            <v>87.061451820000002</v>
          </cell>
          <cell r="G1502">
            <v>87.197682439999994</v>
          </cell>
          <cell r="H1502">
            <v>87.197127600000002</v>
          </cell>
          <cell r="I1502">
            <v>87.153659059999995</v>
          </cell>
          <cell r="J1502">
            <v>86.998113399999994</v>
          </cell>
          <cell r="K1502">
            <v>86.784198959999998</v>
          </cell>
          <cell r="L1502">
            <v>86.566818909999995</v>
          </cell>
          <cell r="M1502">
            <v>86.373532549999993</v>
          </cell>
          <cell r="N1502">
            <v>86.208307750000003</v>
          </cell>
          <cell r="O1502">
            <v>86.062283829999998</v>
          </cell>
          <cell r="P1502">
            <v>85.947566589999994</v>
          </cell>
          <cell r="Q1502">
            <v>85.829876209999995</v>
          </cell>
          <cell r="R1502">
            <v>85.680224850000002</v>
          </cell>
          <cell r="S1502">
            <v>85.456150269999995</v>
          </cell>
          <cell r="T1502">
            <v>85.154002809999994</v>
          </cell>
          <cell r="U1502">
            <v>84.79470216</v>
          </cell>
          <cell r="V1502">
            <v>84.397667530000007</v>
          </cell>
          <cell r="W1502">
            <v>84.001145730000005</v>
          </cell>
          <cell r="X1502">
            <v>83.643114629999999</v>
          </cell>
          <cell r="Y1502">
            <v>83.351884420000005</v>
          </cell>
          <cell r="Z1502">
            <v>83.133536090000007</v>
          </cell>
          <cell r="AA1502">
            <v>83.014807090000005</v>
          </cell>
          <cell r="AB1502">
            <v>83.010757859999998</v>
          </cell>
          <cell r="AC1502">
            <v>83.130081529999998</v>
          </cell>
          <cell r="AD1502">
            <v>83.373128379999997</v>
          </cell>
          <cell r="AE1502">
            <v>83.698465760000005</v>
          </cell>
          <cell r="AF1502">
            <v>84.119337450000003</v>
          </cell>
          <cell r="AG1502">
            <v>84.640044160000002</v>
          </cell>
          <cell r="AH1502">
            <v>85.257556640000004</v>
          </cell>
          <cell r="AI1502">
            <v>85.954692890000004</v>
          </cell>
          <cell r="AJ1502">
            <v>86.703150149999999</v>
          </cell>
          <cell r="AK1502">
            <v>87.471952580000007</v>
          </cell>
          <cell r="AL1502">
            <v>88.233118430000005</v>
          </cell>
          <cell r="AM1502">
            <v>88.962808910000007</v>
          </cell>
          <cell r="AN1502">
            <v>89.64098285</v>
          </cell>
          <cell r="AO1502">
            <v>90.250896310000002</v>
          </cell>
        </row>
        <row r="1512">
          <cell r="F1512">
            <v>1966951.8470000001</v>
          </cell>
          <cell r="G1512">
            <v>1996288.838</v>
          </cell>
          <cell r="H1512">
            <v>2028298.825</v>
          </cell>
          <cell r="I1512">
            <v>2062626.98</v>
          </cell>
          <cell r="J1512">
            <v>2098583.0729999999</v>
          </cell>
          <cell r="K1512">
            <v>2136063.4909999999</v>
          </cell>
          <cell r="L1512">
            <v>2173984.7949999999</v>
          </cell>
          <cell r="M1512">
            <v>2207328.7039999999</v>
          </cell>
          <cell r="N1512">
            <v>2241359.7969999998</v>
          </cell>
          <cell r="O1512">
            <v>2284494.4640000002</v>
          </cell>
          <cell r="P1512">
            <v>2330351.7429999998</v>
          </cell>
          <cell r="Q1512">
            <v>2375516.2850000001</v>
          </cell>
          <cell r="R1512">
            <v>2420098.5290000001</v>
          </cell>
          <cell r="S1512">
            <v>2462936.426</v>
          </cell>
          <cell r="T1512">
            <v>2505368.358</v>
          </cell>
          <cell r="U1512">
            <v>2548071.8220000002</v>
          </cell>
          <cell r="V1512">
            <v>2591056.1009999998</v>
          </cell>
          <cell r="W1512">
            <v>2635339.5449999999</v>
          </cell>
          <cell r="X1512">
            <v>2681550.6269999999</v>
          </cell>
          <cell r="Y1512">
            <v>2730135.142</v>
          </cell>
          <cell r="Z1512">
            <v>2780397.5580000002</v>
          </cell>
          <cell r="AA1512">
            <v>2834638.693</v>
          </cell>
          <cell r="AB1512">
            <v>2892676.8509999998</v>
          </cell>
          <cell r="AC1512">
            <v>2954862.7009999999</v>
          </cell>
          <cell r="AD1512">
            <v>3021315.9569999999</v>
          </cell>
          <cell r="AE1512">
            <v>3088839.8420000002</v>
          </cell>
          <cell r="AF1512">
            <v>3161720.611</v>
          </cell>
          <cell r="AG1512">
            <v>3239332.4139999999</v>
          </cell>
          <cell r="AH1512">
            <v>3321981</v>
          </cell>
          <cell r="AI1512">
            <v>3409455.4929999998</v>
          </cell>
          <cell r="AJ1512">
            <v>3501285.8530000001</v>
          </cell>
          <cell r="AK1512">
            <v>3597060.1830000002</v>
          </cell>
          <cell r="AL1512">
            <v>3696478.6209999998</v>
          </cell>
          <cell r="AM1512">
            <v>3799302.3730000001</v>
          </cell>
          <cell r="AN1512">
            <v>3905370.736</v>
          </cell>
          <cell r="AO1512">
            <v>4014629.4759999998</v>
          </cell>
        </row>
        <row r="1513">
          <cell r="F1513">
            <v>36098.159420000004</v>
          </cell>
          <cell r="G1513">
            <v>36421.500999999997</v>
          </cell>
          <cell r="H1513">
            <v>36813.128709999997</v>
          </cell>
          <cell r="I1513">
            <v>37266.283369999997</v>
          </cell>
          <cell r="J1513">
            <v>37780.95162</v>
          </cell>
          <cell r="K1513">
            <v>38345.706100000003</v>
          </cell>
          <cell r="L1513">
            <v>38939.770570000001</v>
          </cell>
          <cell r="M1513">
            <v>39361.551090000001</v>
          </cell>
          <cell r="N1513">
            <v>39788.648569999998</v>
          </cell>
          <cell r="O1513">
            <v>40394.106610000003</v>
          </cell>
          <cell r="P1513">
            <v>41004.38708</v>
          </cell>
          <cell r="Q1513">
            <v>41605.791239999999</v>
          </cell>
          <cell r="R1513">
            <v>42193.898659999999</v>
          </cell>
          <cell r="S1513">
            <v>42750.474069999997</v>
          </cell>
          <cell r="T1513">
            <v>43309.341009999996</v>
          </cell>
          <cell r="U1513">
            <v>43883.231829999997</v>
          </cell>
          <cell r="V1513">
            <v>44470.941209999997</v>
          </cell>
          <cell r="W1513">
            <v>45084.245069999997</v>
          </cell>
          <cell r="X1513">
            <v>45736.01154</v>
          </cell>
          <cell r="Y1513">
            <v>46435.165370000002</v>
          </cell>
          <cell r="Z1513">
            <v>47178.280769999998</v>
          </cell>
          <cell r="AA1513">
            <v>47991.71531</v>
          </cell>
          <cell r="AB1513">
            <v>48884.161639999998</v>
          </cell>
          <cell r="AC1513">
            <v>49862.531139999999</v>
          </cell>
          <cell r="AD1513">
            <v>50928.746099999997</v>
          </cell>
          <cell r="AE1513">
            <v>52048.168729999998</v>
          </cell>
          <cell r="AF1513">
            <v>53252.637179999998</v>
          </cell>
          <cell r="AG1513">
            <v>54558.226240000004</v>
          </cell>
          <cell r="AH1513">
            <v>55970.414790000003</v>
          </cell>
          <cell r="AI1513">
            <v>57483.641969999997</v>
          </cell>
          <cell r="AJ1513">
            <v>59087.029869999998</v>
          </cell>
          <cell r="AK1513">
            <v>60771.58092</v>
          </cell>
          <cell r="AL1513">
            <v>62531.296840000003</v>
          </cell>
          <cell r="AM1513">
            <v>64362.086620000002</v>
          </cell>
          <cell r="AN1513">
            <v>66262.498099999997</v>
          </cell>
          <cell r="AO1513">
            <v>68235.330549999999</v>
          </cell>
        </row>
        <row r="1516">
          <cell r="F1516">
            <v>331692.73849999998</v>
          </cell>
          <cell r="G1516">
            <v>337438.20209999999</v>
          </cell>
          <cell r="H1516">
            <v>343505.96100000001</v>
          </cell>
          <cell r="I1516">
            <v>349929.82299999997</v>
          </cell>
          <cell r="J1516">
            <v>356653.64179999998</v>
          </cell>
          <cell r="K1516">
            <v>363647.64490000001</v>
          </cell>
          <cell r="L1516">
            <v>370795.68229999999</v>
          </cell>
          <cell r="M1516">
            <v>376243.18150000001</v>
          </cell>
          <cell r="N1516">
            <v>382210.61009999999</v>
          </cell>
          <cell r="O1516">
            <v>390773.34080000001</v>
          </cell>
          <cell r="P1516">
            <v>399368.29129999998</v>
          </cell>
          <cell r="Q1516">
            <v>407941.15610000002</v>
          </cell>
          <cell r="R1516">
            <v>416295.15539999999</v>
          </cell>
          <cell r="S1516">
            <v>424209.81630000001</v>
          </cell>
          <cell r="T1516">
            <v>432197.65639999998</v>
          </cell>
          <cell r="U1516">
            <v>440449.83260000002</v>
          </cell>
          <cell r="V1516">
            <v>448903.82419999997</v>
          </cell>
          <cell r="W1516">
            <v>457862.98379999999</v>
          </cell>
          <cell r="X1516">
            <v>467466.62359999999</v>
          </cell>
          <cell r="Y1516">
            <v>477796.60350000003</v>
          </cell>
          <cell r="Z1516">
            <v>488841.429</v>
          </cell>
          <cell r="AA1516">
            <v>500831.55829999998</v>
          </cell>
          <cell r="AB1516">
            <v>513859.73920000001</v>
          </cell>
          <cell r="AC1516">
            <v>527994.73250000004</v>
          </cell>
          <cell r="AD1516">
            <v>543254.56460000004</v>
          </cell>
          <cell r="AE1516">
            <v>559369.66520000005</v>
          </cell>
          <cell r="AF1516">
            <v>576718.85519999999</v>
          </cell>
          <cell r="AG1516">
            <v>595402.74910000002</v>
          </cell>
          <cell r="AH1516">
            <v>615492.07819999999</v>
          </cell>
          <cell r="AI1516">
            <v>636938.20799999998</v>
          </cell>
          <cell r="AJ1516">
            <v>659679.04059999995</v>
          </cell>
          <cell r="AK1516">
            <v>683733.39199999999</v>
          </cell>
          <cell r="AL1516">
            <v>709196.09739999997</v>
          </cell>
          <cell r="AM1516">
            <v>736216.446</v>
          </cell>
          <cell r="AN1516">
            <v>765040.36670000001</v>
          </cell>
          <cell r="AO1516">
            <v>796063.70739999996</v>
          </cell>
        </row>
        <row r="1528">
          <cell r="F1528">
            <v>48475.55906</v>
          </cell>
          <cell r="G1528">
            <v>49187.047729999998</v>
          </cell>
          <cell r="H1528">
            <v>49908.15926</v>
          </cell>
          <cell r="I1528">
            <v>50652.223919999997</v>
          </cell>
          <cell r="J1528">
            <v>51440.978430000003</v>
          </cell>
          <cell r="K1528">
            <v>52277.17815</v>
          </cell>
          <cell r="L1528">
            <v>53138.036090000001</v>
          </cell>
          <cell r="M1528">
            <v>53731.881609999997</v>
          </cell>
          <cell r="N1528">
            <v>54350.725780000001</v>
          </cell>
          <cell r="O1528">
            <v>55295.551720000003</v>
          </cell>
          <cell r="P1528">
            <v>56259.983659999998</v>
          </cell>
          <cell r="Q1528">
            <v>57232.420879999998</v>
          </cell>
          <cell r="R1528">
            <v>58178.770839999997</v>
          </cell>
          <cell r="S1528">
            <v>59057.010860000002</v>
          </cell>
          <cell r="T1528">
            <v>59922.111839999998</v>
          </cell>
          <cell r="U1528">
            <v>60791.656849999999</v>
          </cell>
          <cell r="V1528">
            <v>61661.270429999997</v>
          </cell>
          <cell r="W1528">
            <v>62558.855349999998</v>
          </cell>
          <cell r="X1528">
            <v>63509.386200000001</v>
          </cell>
          <cell r="Y1528">
            <v>64528.079769999997</v>
          </cell>
          <cell r="Z1528">
            <v>65612.91287</v>
          </cell>
          <cell r="AA1528">
            <v>66808.01917</v>
          </cell>
          <cell r="AB1528">
            <v>68123.93058</v>
          </cell>
          <cell r="AC1528">
            <v>69568.317230000001</v>
          </cell>
          <cell r="AD1528">
            <v>71141.20882</v>
          </cell>
          <cell r="AE1528">
            <v>72792.973010000002</v>
          </cell>
          <cell r="AF1528">
            <v>74600.84564</v>
          </cell>
          <cell r="AG1528">
            <v>76577.793309999994</v>
          </cell>
          <cell r="AH1528">
            <v>78727.941770000005</v>
          </cell>
          <cell r="AI1528">
            <v>81036.304860000004</v>
          </cell>
          <cell r="AJ1528">
            <v>83483.052590000007</v>
          </cell>
          <cell r="AK1528">
            <v>86060.197560000001</v>
          </cell>
          <cell r="AL1528">
            <v>88767.208899999998</v>
          </cell>
          <cell r="AM1528">
            <v>91599.412830000001</v>
          </cell>
          <cell r="AN1528">
            <v>94554.527650000004</v>
          </cell>
          <cell r="AO1528">
            <v>97634.452250000002</v>
          </cell>
        </row>
        <row r="1533">
          <cell r="F1533">
            <v>1512067.868</v>
          </cell>
          <cell r="G1533">
            <v>1534188.473</v>
          </cell>
          <cell r="H1533">
            <v>1558634.7139999999</v>
          </cell>
          <cell r="I1533">
            <v>1584925.858</v>
          </cell>
          <cell r="J1533">
            <v>1612508.3089999999</v>
          </cell>
          <cell r="K1533">
            <v>1641250.1129999999</v>
          </cell>
          <cell r="L1533">
            <v>1670215.3089999999</v>
          </cell>
          <cell r="M1533">
            <v>1696718.216</v>
          </cell>
          <cell r="N1533">
            <v>1723583.5989999999</v>
          </cell>
          <cell r="O1533">
            <v>1756425.2949999999</v>
          </cell>
          <cell r="P1533">
            <v>1792039.8370000001</v>
          </cell>
          <cell r="Q1533">
            <v>1827220.7779999999</v>
          </cell>
          <cell r="R1533">
            <v>1862220.7290000001</v>
          </cell>
          <cell r="S1533">
            <v>1896127.5179999999</v>
          </cell>
          <cell r="T1533">
            <v>1929624.693</v>
          </cell>
          <cell r="U1533">
            <v>1963150.7990000001</v>
          </cell>
          <cell r="V1533">
            <v>1996791.845</v>
          </cell>
          <cell r="W1533">
            <v>2031207.77</v>
          </cell>
          <cell r="X1533">
            <v>2066871.33</v>
          </cell>
          <cell r="Y1533">
            <v>2104131.9109999998</v>
          </cell>
          <cell r="Z1533">
            <v>2142330.0669999998</v>
          </cell>
          <cell r="AA1533">
            <v>2183450.966</v>
          </cell>
          <cell r="AB1533">
            <v>2227219.12</v>
          </cell>
          <cell r="AC1533">
            <v>2273927.304</v>
          </cell>
          <cell r="AD1533">
            <v>2323710.6069999998</v>
          </cell>
          <cell r="AE1533">
            <v>2373803.6409999998</v>
          </cell>
          <cell r="AF1533">
            <v>2427998.8339999998</v>
          </cell>
          <cell r="AG1533">
            <v>2485624.2409999999</v>
          </cell>
          <cell r="AH1533">
            <v>2547003.1869999999</v>
          </cell>
          <cell r="AI1533">
            <v>2612129.2829999998</v>
          </cell>
          <cell r="AJ1533">
            <v>2680797.1170000001</v>
          </cell>
          <cell r="AK1533">
            <v>2752809.781</v>
          </cell>
          <cell r="AL1533">
            <v>2828071.2680000002</v>
          </cell>
          <cell r="AM1533">
            <v>2906616.7719999999</v>
          </cell>
          <cell r="AN1533">
            <v>2988643.6809999999</v>
          </cell>
          <cell r="AO1533">
            <v>3074600.483</v>
          </cell>
        </row>
        <row r="1537">
          <cell r="F1537">
            <v>-2125.1515279999999</v>
          </cell>
          <cell r="G1537">
            <v>-2147.0741480000002</v>
          </cell>
          <cell r="H1537">
            <v>-2154.9978160000001</v>
          </cell>
          <cell r="I1537">
            <v>-2159.9094319999999</v>
          </cell>
          <cell r="J1537">
            <v>-2163.7752650000002</v>
          </cell>
          <cell r="K1537">
            <v>-2175.9274740000001</v>
          </cell>
          <cell r="L1537">
            <v>-2196.0186659999999</v>
          </cell>
          <cell r="M1537">
            <v>-2243.1604510000002</v>
          </cell>
          <cell r="N1537">
            <v>-2202.9494089999998</v>
          </cell>
          <cell r="O1537">
            <v>-2154.640637</v>
          </cell>
          <cell r="P1537">
            <v>-2122.4478949999998</v>
          </cell>
          <cell r="Q1537">
            <v>-2093.9847260000001</v>
          </cell>
          <cell r="R1537">
            <v>-2069.854194</v>
          </cell>
          <cell r="S1537">
            <v>-2047.459212</v>
          </cell>
          <cell r="T1537">
            <v>-2023.297045</v>
          </cell>
          <cell r="U1537">
            <v>-1998.7096079999999</v>
          </cell>
          <cell r="V1537">
            <v>-1975.6561489999999</v>
          </cell>
          <cell r="W1537">
            <v>-1947.668134</v>
          </cell>
          <cell r="X1537">
            <v>-1918.8441969999999</v>
          </cell>
          <cell r="Y1537">
            <v>-1890.2237769999999</v>
          </cell>
          <cell r="Z1537">
            <v>-1862.1686790000001</v>
          </cell>
          <cell r="AA1537">
            <v>-1834.33862</v>
          </cell>
          <cell r="AB1537">
            <v>-1807.310289</v>
          </cell>
          <cell r="AC1537">
            <v>-1781.2820409999999</v>
          </cell>
          <cell r="AD1537">
            <v>-1756.2399869999999</v>
          </cell>
          <cell r="AE1537">
            <v>-1732.093235</v>
          </cell>
          <cell r="AF1537">
            <v>-1707.071723</v>
          </cell>
          <cell r="AG1537">
            <v>-1683.278765</v>
          </cell>
          <cell r="AH1537">
            <v>-1660.1232</v>
          </cell>
          <cell r="AI1537">
            <v>-1637.502594</v>
          </cell>
          <cell r="AJ1537">
            <v>-1614.6723280000001</v>
          </cell>
          <cell r="AK1537">
            <v>-1590.5636030000001</v>
          </cell>
          <cell r="AL1537">
            <v>-1564.3740049999999</v>
          </cell>
          <cell r="AM1537">
            <v>-1535.6492009999999</v>
          </cell>
          <cell r="AN1537">
            <v>-1504.003479</v>
          </cell>
          <cell r="AO1537">
            <v>-1469.113746</v>
          </cell>
        </row>
        <row r="1538">
          <cell r="F1538">
            <v>-612.37312850000001</v>
          </cell>
          <cell r="G1538">
            <v>-616.28426950000005</v>
          </cell>
          <cell r="H1538">
            <v>-616.85950479999997</v>
          </cell>
          <cell r="I1538">
            <v>-617.06058610000002</v>
          </cell>
          <cell r="J1538">
            <v>-618.41840100000002</v>
          </cell>
          <cell r="K1538">
            <v>-621.81923500000005</v>
          </cell>
          <cell r="L1538">
            <v>-626.91283750000002</v>
          </cell>
          <cell r="M1538">
            <v>-679.80239019999999</v>
          </cell>
          <cell r="N1538">
            <v>-841.62364500000001</v>
          </cell>
          <cell r="O1538">
            <v>-1016.623077</v>
          </cell>
          <cell r="P1538">
            <v>-1193.2024080000001</v>
          </cell>
          <cell r="Q1538">
            <v>-1371.0939249999999</v>
          </cell>
          <cell r="R1538">
            <v>-1552.295462</v>
          </cell>
          <cell r="S1538">
            <v>-1737.6986770000001</v>
          </cell>
          <cell r="T1538">
            <v>-1927.9025119999999</v>
          </cell>
          <cell r="U1538">
            <v>-2123.8449820000001</v>
          </cell>
          <cell r="V1538">
            <v>-2325.9872949999999</v>
          </cell>
          <cell r="W1538">
            <v>-2534.4609380000002</v>
          </cell>
          <cell r="X1538">
            <v>-2750.3607790000001</v>
          </cell>
          <cell r="Y1538">
            <v>-2974.9667629999999</v>
          </cell>
          <cell r="Z1538">
            <v>-3209.4366199999999</v>
          </cell>
          <cell r="AA1538">
            <v>-3455.001413</v>
          </cell>
          <cell r="AB1538">
            <v>-3713.3268840000001</v>
          </cell>
          <cell r="AC1538">
            <v>-3986.0215950000002</v>
          </cell>
          <cell r="AD1538">
            <v>-4274.6527910000004</v>
          </cell>
          <cell r="AE1538">
            <v>-4580.3788990000003</v>
          </cell>
          <cell r="AF1538">
            <v>-4904.5305589999998</v>
          </cell>
          <cell r="AG1538">
            <v>-5250.0135840000003</v>
          </cell>
          <cell r="AH1538">
            <v>-5619.8213599999999</v>
          </cell>
          <cell r="AI1538">
            <v>-6016.7643410000001</v>
          </cell>
          <cell r="AJ1538">
            <v>-6443.451239</v>
          </cell>
          <cell r="AK1538">
            <v>-6902.7432220000001</v>
          </cell>
          <cell r="AL1538">
            <v>-7398.3834509999997</v>
          </cell>
          <cell r="AM1538">
            <v>-7935.3352139999997</v>
          </cell>
          <cell r="AN1538">
            <v>-8520.201282</v>
          </cell>
          <cell r="AO1538">
            <v>-9162.4359679999998</v>
          </cell>
        </row>
        <row r="1540">
          <cell r="F1540">
            <v>493.02654460000002</v>
          </cell>
          <cell r="G1540">
            <v>494.13086950000002</v>
          </cell>
          <cell r="H1540">
            <v>495.24129260000001</v>
          </cell>
          <cell r="I1540">
            <v>495.72636039999998</v>
          </cell>
          <cell r="J1540">
            <v>498.27024779999999</v>
          </cell>
          <cell r="K1540">
            <v>502.17324250000001</v>
          </cell>
          <cell r="L1540">
            <v>507.2538917</v>
          </cell>
          <cell r="M1540">
            <v>580.08236590000001</v>
          </cell>
          <cell r="N1540">
            <v>649.94012280000004</v>
          </cell>
          <cell r="O1540">
            <v>721.36880789999998</v>
          </cell>
          <cell r="P1540">
            <v>793.42099310000003</v>
          </cell>
          <cell r="Q1540">
            <v>867.68311129999995</v>
          </cell>
          <cell r="R1540">
            <v>943.13643890000003</v>
          </cell>
          <cell r="S1540">
            <v>1018.963939</v>
          </cell>
          <cell r="T1540">
            <v>1095.5718199999999</v>
          </cell>
          <cell r="U1540">
            <v>1173.3853919999999</v>
          </cell>
          <cell r="V1540">
            <v>1250.8450089999999</v>
          </cell>
          <cell r="W1540">
            <v>1328.9361530000001</v>
          </cell>
          <cell r="X1540">
            <v>1408.5112160000001</v>
          </cell>
          <cell r="Y1540">
            <v>1490.289714</v>
          </cell>
          <cell r="Z1540">
            <v>1574.669596</v>
          </cell>
          <cell r="AA1540">
            <v>1662.9353169999999</v>
          </cell>
          <cell r="AB1540">
            <v>1755.841349</v>
          </cell>
          <cell r="AC1540">
            <v>1854.139537</v>
          </cell>
          <cell r="AD1540">
            <v>1958.5492119999999</v>
          </cell>
          <cell r="AE1540">
            <v>2068.7000419999999</v>
          </cell>
          <cell r="AF1540">
            <v>2186.812273</v>
          </cell>
          <cell r="AG1540">
            <v>2314.439147</v>
          </cell>
          <cell r="AH1540">
            <v>2452.970515</v>
          </cell>
          <cell r="AI1540">
            <v>2603.4701439999999</v>
          </cell>
          <cell r="AJ1540">
            <v>2767.0208619999999</v>
          </cell>
          <cell r="AK1540">
            <v>2945.2770999999998</v>
          </cell>
          <cell r="AL1540">
            <v>3140.7353640000001</v>
          </cell>
          <cell r="AM1540">
            <v>3356.8785630000002</v>
          </cell>
          <cell r="AN1540">
            <v>3598.766627</v>
          </cell>
          <cell r="AO1540">
            <v>3873.988038</v>
          </cell>
        </row>
        <row r="1541">
          <cell r="F1541">
            <v>40653.00333</v>
          </cell>
          <cell r="G1541">
            <v>41113.414019999997</v>
          </cell>
          <cell r="H1541">
            <v>41503.555789999999</v>
          </cell>
          <cell r="I1541">
            <v>41923.898789999999</v>
          </cell>
          <cell r="J1541">
            <v>42271.826029999997</v>
          </cell>
          <cell r="K1541">
            <v>42625.435969999999</v>
          </cell>
          <cell r="L1541">
            <v>42996.510390000003</v>
          </cell>
          <cell r="M1541">
            <v>43412.482940000002</v>
          </cell>
          <cell r="N1541">
            <v>43626.112099999998</v>
          </cell>
          <cell r="O1541">
            <v>43869.584730000002</v>
          </cell>
          <cell r="P1541">
            <v>44022.770230000002</v>
          </cell>
          <cell r="Q1541">
            <v>43941.926149999999</v>
          </cell>
          <cell r="R1541">
            <v>43724.203679999999</v>
          </cell>
          <cell r="S1541">
            <v>43399.766790000001</v>
          </cell>
          <cell r="T1541">
            <v>43018.77147</v>
          </cell>
          <cell r="U1541">
            <v>42600.535779999998</v>
          </cell>
          <cell r="V1541">
            <v>42140.64703</v>
          </cell>
          <cell r="W1541">
            <v>41647.022559999998</v>
          </cell>
          <cell r="X1541">
            <v>41102.509480000001</v>
          </cell>
          <cell r="Y1541">
            <v>40499.096339999996</v>
          </cell>
          <cell r="Z1541">
            <v>39818.784440000003</v>
          </cell>
          <cell r="AA1541">
            <v>39075.84143</v>
          </cell>
          <cell r="AB1541">
            <v>38253.597430000002</v>
          </cell>
          <cell r="AC1541">
            <v>37327.690369999997</v>
          </cell>
          <cell r="AD1541">
            <v>36263.63609</v>
          </cell>
          <cell r="AE1541">
            <v>34985.411899999999</v>
          </cell>
          <cell r="AF1541">
            <v>33496.255210000003</v>
          </cell>
          <cell r="AG1541">
            <v>31716.095990000002</v>
          </cell>
          <cell r="AH1541">
            <v>29548.07805</v>
          </cell>
          <cell r="AI1541">
            <v>26858.606189999999</v>
          </cell>
          <cell r="AJ1541">
            <v>23476.711019999999</v>
          </cell>
          <cell r="AK1541">
            <v>19185.766899999999</v>
          </cell>
          <cell r="AL1541">
            <v>13694.12147</v>
          </cell>
          <cell r="AM1541">
            <v>6588.3580430000002</v>
          </cell>
          <cell r="AN1541">
            <v>-2730.5675860000001</v>
          </cell>
          <cell r="AO1541">
            <v>-15164.26497</v>
          </cell>
        </row>
        <row r="1551">
          <cell r="F1551">
            <v>1966951.8470000001</v>
          </cell>
          <cell r="G1551">
            <v>1996288.838</v>
          </cell>
          <cell r="H1551">
            <v>2028298.825</v>
          </cell>
          <cell r="I1551">
            <v>2062626.98</v>
          </cell>
          <cell r="J1551">
            <v>2098583.0729999999</v>
          </cell>
          <cell r="K1551">
            <v>2136063.4909999999</v>
          </cell>
          <cell r="L1551">
            <v>2173472.8289999999</v>
          </cell>
          <cell r="M1551">
            <v>2211208.6880000001</v>
          </cell>
          <cell r="N1551">
            <v>2249361.0699999998</v>
          </cell>
          <cell r="O1551">
            <v>2288091.409</v>
          </cell>
          <cell r="P1551">
            <v>2329088.0070000002</v>
          </cell>
          <cell r="Q1551">
            <v>2369901.2110000001</v>
          </cell>
          <cell r="R1551">
            <v>2410873.2200000002</v>
          </cell>
          <cell r="S1551">
            <v>2450523.3689999999</v>
          </cell>
          <cell r="T1551">
            <v>2489616.9019999998</v>
          </cell>
          <cell r="U1551">
            <v>2528819.5720000002</v>
          </cell>
          <cell r="V1551">
            <v>2569404.3089999999</v>
          </cell>
          <cell r="W1551">
            <v>2612166.9759999998</v>
          </cell>
          <cell r="X1551">
            <v>2657598.2629999998</v>
          </cell>
          <cell r="Y1551">
            <v>2705918.0279999999</v>
          </cell>
          <cell r="Z1551">
            <v>2756242.6090000002</v>
          </cell>
          <cell r="AA1551">
            <v>2810732.77</v>
          </cell>
          <cell r="AB1551">
            <v>2869100.13</v>
          </cell>
          <cell r="AC1551">
            <v>2931596.7769999998</v>
          </cell>
          <cell r="AD1551">
            <v>2998244.2250000001</v>
          </cell>
          <cell r="AE1551">
            <v>3065790.0290000001</v>
          </cell>
          <cell r="AF1551">
            <v>3138370.0260000001</v>
          </cell>
          <cell r="AG1551">
            <v>3215358.8689999999</v>
          </cell>
          <cell r="AH1551">
            <v>3296940.932</v>
          </cell>
          <cell r="AI1551">
            <v>3382736.9950000001</v>
          </cell>
          <cell r="AJ1551">
            <v>3472106.5</v>
          </cell>
          <cell r="AK1551">
            <v>3564476.838</v>
          </cell>
          <cell r="AL1551">
            <v>3659365.17</v>
          </cell>
          <cell r="AM1551">
            <v>3756286.608</v>
          </cell>
          <cell r="AN1551">
            <v>3854739.8509999998</v>
          </cell>
          <cell r="AO1551">
            <v>3954201.148</v>
          </cell>
        </row>
        <row r="1552">
          <cell r="F1552">
            <v>36098.159420000004</v>
          </cell>
          <cell r="G1552">
            <v>36421.500999999997</v>
          </cell>
          <cell r="H1552">
            <v>36813.128709999997</v>
          </cell>
          <cell r="I1552">
            <v>37266.283369999997</v>
          </cell>
          <cell r="J1552">
            <v>37780.95162</v>
          </cell>
          <cell r="K1552">
            <v>38345.70609</v>
          </cell>
          <cell r="L1552">
            <v>38928.936479999997</v>
          </cell>
          <cell r="M1552">
            <v>39525.457320000001</v>
          </cell>
          <cell r="N1552">
            <v>40132.654929999997</v>
          </cell>
          <cell r="O1552">
            <v>40750.661740000003</v>
          </cell>
          <cell r="P1552">
            <v>41398.492209999997</v>
          </cell>
          <cell r="Q1552">
            <v>42051.965689999997</v>
          </cell>
          <cell r="R1552">
            <v>42699.468999999997</v>
          </cell>
          <cell r="S1552">
            <v>43306.760929999997</v>
          </cell>
          <cell r="T1552">
            <v>43894.304730000003</v>
          </cell>
          <cell r="U1552">
            <v>44477.243049999997</v>
          </cell>
          <cell r="V1552">
            <v>45082.691650000001</v>
          </cell>
          <cell r="W1552">
            <v>45728.341480000003</v>
          </cell>
          <cell r="X1552">
            <v>46425.401169999997</v>
          </cell>
          <cell r="Y1552">
            <v>47178.644760000003</v>
          </cell>
          <cell r="Z1552">
            <v>47980.554329999999</v>
          </cell>
          <cell r="AA1552">
            <v>48854.461730000003</v>
          </cell>
          <cell r="AB1552">
            <v>49806.556060000003</v>
          </cell>
          <cell r="AC1552">
            <v>50841.515399999997</v>
          </cell>
          <cell r="AD1552">
            <v>51958.802790000002</v>
          </cell>
          <cell r="AE1552">
            <v>53121.612820000002</v>
          </cell>
          <cell r="AF1552">
            <v>54367.361729999997</v>
          </cell>
          <cell r="AG1552">
            <v>55702.304150000004</v>
          </cell>
          <cell r="AH1552">
            <v>57128.837240000001</v>
          </cell>
          <cell r="AI1552">
            <v>58636.707249999999</v>
          </cell>
          <cell r="AJ1552">
            <v>60210.28557</v>
          </cell>
          <cell r="AK1552">
            <v>61836.093569999997</v>
          </cell>
          <cell r="AL1552">
            <v>63502.835830000004</v>
          </cell>
          <cell r="AM1552">
            <v>65199.034679999997</v>
          </cell>
          <cell r="AN1552">
            <v>66912.828269999998</v>
          </cell>
          <cell r="AO1552">
            <v>68631.966809999998</v>
          </cell>
        </row>
        <row r="1555">
          <cell r="F1555">
            <v>331692.73849999998</v>
          </cell>
          <cell r="G1555">
            <v>337438.20209999999</v>
          </cell>
          <cell r="H1555">
            <v>343505.96090000001</v>
          </cell>
          <cell r="I1555">
            <v>349929.82290000003</v>
          </cell>
          <cell r="J1555">
            <v>356653.64179999998</v>
          </cell>
          <cell r="K1555">
            <v>363647.64490000001</v>
          </cell>
          <cell r="L1555">
            <v>370695.92560000002</v>
          </cell>
          <cell r="M1555">
            <v>377805.68219999998</v>
          </cell>
          <cell r="N1555">
            <v>385004.46289999998</v>
          </cell>
          <cell r="O1555">
            <v>392331.66489999997</v>
          </cell>
          <cell r="P1555">
            <v>399965.98499999999</v>
          </cell>
          <cell r="Q1555">
            <v>407734.29700000002</v>
          </cell>
          <cell r="R1555">
            <v>415505.32559999998</v>
          </cell>
          <cell r="S1555">
            <v>422892.32390000002</v>
          </cell>
          <cell r="T1555">
            <v>430212.10509999999</v>
          </cell>
          <cell r="U1555">
            <v>437654.5601</v>
          </cell>
          <cell r="V1555">
            <v>445515.45270000002</v>
          </cell>
          <cell r="W1555">
            <v>453975.48229999997</v>
          </cell>
          <cell r="X1555">
            <v>463138.05109999998</v>
          </cell>
          <cell r="Y1555">
            <v>473032.40169999999</v>
          </cell>
          <cell r="Z1555">
            <v>483597.31359999999</v>
          </cell>
          <cell r="AA1555">
            <v>495014.8933</v>
          </cell>
          <cell r="AB1555">
            <v>507337.28049999999</v>
          </cell>
          <cell r="AC1555">
            <v>520596.43729999999</v>
          </cell>
          <cell r="AD1555">
            <v>534767.74540000001</v>
          </cell>
          <cell r="AE1555">
            <v>549544.89839999995</v>
          </cell>
          <cell r="AF1555">
            <v>565235.49750000006</v>
          </cell>
          <cell r="AG1555">
            <v>581892.20070000004</v>
          </cell>
          <cell r="AH1555">
            <v>599528.17570000002</v>
          </cell>
          <cell r="AI1555">
            <v>618008.92619999999</v>
          </cell>
          <cell r="AJ1555">
            <v>637165.89040000003</v>
          </cell>
          <cell r="AK1555">
            <v>656882.55969999998</v>
          </cell>
          <cell r="AL1555">
            <v>677080.38930000004</v>
          </cell>
          <cell r="AM1555">
            <v>697682.04709999997</v>
          </cell>
          <cell r="AN1555">
            <v>718606.19090000005</v>
          </cell>
          <cell r="AO1555">
            <v>739764.99769999995</v>
          </cell>
        </row>
        <row r="1567">
          <cell r="F1567">
            <v>48475.55906</v>
          </cell>
          <cell r="G1567">
            <v>49187.047729999998</v>
          </cell>
          <cell r="H1567">
            <v>49908.15926</v>
          </cell>
          <cell r="I1567">
            <v>50652.223919999997</v>
          </cell>
          <cell r="J1567">
            <v>51440.978419999999</v>
          </cell>
          <cell r="K1567">
            <v>52277.17815</v>
          </cell>
          <cell r="L1567">
            <v>53121.512589999998</v>
          </cell>
          <cell r="M1567">
            <v>53972.571929999998</v>
          </cell>
          <cell r="N1567">
            <v>54829.832410000003</v>
          </cell>
          <cell r="O1567">
            <v>55696.01154</v>
          </cell>
          <cell r="P1567">
            <v>56599.48257</v>
          </cell>
          <cell r="Q1567">
            <v>57502.377710000001</v>
          </cell>
          <cell r="R1567">
            <v>58391.651660000003</v>
          </cell>
          <cell r="S1567">
            <v>59214.166940000003</v>
          </cell>
          <cell r="T1567">
            <v>60009.338239999997</v>
          </cell>
          <cell r="U1567">
            <v>60802.097419999998</v>
          </cell>
          <cell r="V1567">
            <v>61634.916409999998</v>
          </cell>
          <cell r="W1567">
            <v>62533.342980000001</v>
          </cell>
          <cell r="X1567">
            <v>63511.766020000003</v>
          </cell>
          <cell r="Y1567">
            <v>64575.083579999999</v>
          </cell>
          <cell r="Z1567">
            <v>65712.018169999996</v>
          </cell>
          <cell r="AA1567">
            <v>66957.817689999996</v>
          </cell>
          <cell r="AB1567">
            <v>68315.861669999998</v>
          </cell>
          <cell r="AC1567">
            <v>69791.443780000001</v>
          </cell>
          <cell r="AD1567">
            <v>71382.402130000002</v>
          </cell>
          <cell r="AE1567">
            <v>73036.168059999996</v>
          </cell>
          <cell r="AF1567">
            <v>74815.590020000003</v>
          </cell>
          <cell r="AG1567">
            <v>76720.404280000002</v>
          </cell>
          <cell r="AH1567">
            <v>78751.729460000002</v>
          </cell>
          <cell r="AI1567">
            <v>80890.001990000004</v>
          </cell>
          <cell r="AJ1567">
            <v>83109.707389999996</v>
          </cell>
          <cell r="AK1567">
            <v>85391.074179999996</v>
          </cell>
          <cell r="AL1567">
            <v>87718.86305</v>
          </cell>
          <cell r="AM1567">
            <v>90078.062909999993</v>
          </cell>
          <cell r="AN1567">
            <v>92453.493719999999</v>
          </cell>
          <cell r="AO1567">
            <v>94829.695749999999</v>
          </cell>
        </row>
        <row r="1572">
          <cell r="F1572">
            <v>1512067.868</v>
          </cell>
          <cell r="G1572">
            <v>1534188.473</v>
          </cell>
          <cell r="H1572">
            <v>1558634.7139999999</v>
          </cell>
          <cell r="I1572">
            <v>1584925.858</v>
          </cell>
          <cell r="J1572">
            <v>1612508.308</v>
          </cell>
          <cell r="K1572">
            <v>1641250.1129999999</v>
          </cell>
          <cell r="L1572">
            <v>1669825.601</v>
          </cell>
          <cell r="M1572">
            <v>1698626.4369999999</v>
          </cell>
          <cell r="N1572">
            <v>1727721.585</v>
          </cell>
          <cell r="O1572">
            <v>1757235.848</v>
          </cell>
          <cell r="P1572">
            <v>1788613.5530000001</v>
          </cell>
          <cell r="Q1572">
            <v>1819678.2620000001</v>
          </cell>
          <cell r="R1572">
            <v>1850935.8470000001</v>
          </cell>
          <cell r="S1572">
            <v>1881406.0930000001</v>
          </cell>
          <cell r="T1572">
            <v>1911458.2250000001</v>
          </cell>
          <cell r="U1572">
            <v>1941510.1310000001</v>
          </cell>
          <cell r="V1572">
            <v>1972459.7109999999</v>
          </cell>
          <cell r="W1572">
            <v>2004856.4950000001</v>
          </cell>
          <cell r="X1572">
            <v>2039046.595</v>
          </cell>
          <cell r="Y1572">
            <v>2075201.0290000001</v>
          </cell>
          <cell r="Z1572">
            <v>2112521.3390000002</v>
          </cell>
          <cell r="AA1572">
            <v>2152897.2820000001</v>
          </cell>
          <cell r="AB1572">
            <v>2195974.196</v>
          </cell>
          <cell r="AC1572">
            <v>2241956.202</v>
          </cell>
          <cell r="AD1572">
            <v>2290891.4130000002</v>
          </cell>
          <cell r="AE1572">
            <v>2339964.3679999998</v>
          </cell>
          <cell r="AF1572">
            <v>2392856.571</v>
          </cell>
          <cell r="AG1572">
            <v>2448886.6839999999</v>
          </cell>
          <cell r="AH1572">
            <v>2508225.1949999998</v>
          </cell>
          <cell r="AI1572">
            <v>2570671.83</v>
          </cell>
          <cell r="AJ1572">
            <v>2635814.3969999999</v>
          </cell>
          <cell r="AK1572">
            <v>2703245.9410000001</v>
          </cell>
          <cell r="AL1572">
            <v>2772601.4479999999</v>
          </cell>
          <cell r="AM1572">
            <v>2843511.449</v>
          </cell>
          <cell r="AN1572">
            <v>2915593.9750000001</v>
          </cell>
          <cell r="AO1572">
            <v>2988451.2510000002</v>
          </cell>
        </row>
        <row r="1575">
          <cell r="F1575">
            <v>-2035.48117</v>
          </cell>
          <cell r="G1575">
            <v>-2059.7998440000001</v>
          </cell>
          <cell r="H1575">
            <v>-2066.6936190000001</v>
          </cell>
          <cell r="I1575">
            <v>-2071.1069889999999</v>
          </cell>
          <cell r="J1575">
            <v>-2072.6337060000001</v>
          </cell>
          <cell r="K1575">
            <v>-2082.5864980000001</v>
          </cell>
          <cell r="L1575">
            <v>-2104.8626869999998</v>
          </cell>
          <cell r="M1575">
            <v>-2133.4068769999999</v>
          </cell>
          <cell r="N1575">
            <v>-2164.1271539999998</v>
          </cell>
          <cell r="O1575">
            <v>-2195.0452650000002</v>
          </cell>
          <cell r="P1575">
            <v>-2225.2033809999998</v>
          </cell>
          <cell r="Q1575">
            <v>-2256.1344180000001</v>
          </cell>
          <cell r="R1575">
            <v>-2287.338041</v>
          </cell>
          <cell r="S1575">
            <v>-2318.8224140000002</v>
          </cell>
          <cell r="T1575">
            <v>-2347.568311</v>
          </cell>
          <cell r="U1575">
            <v>-2374.2868720000001</v>
          </cell>
          <cell r="V1575">
            <v>-2396.0064040000002</v>
          </cell>
          <cell r="W1575">
            <v>-2417.5197560000001</v>
          </cell>
          <cell r="X1575">
            <v>-2441.6165550000001</v>
          </cell>
          <cell r="Y1575">
            <v>-2469.3655859999999</v>
          </cell>
          <cell r="Z1575">
            <v>-2500.9540830000001</v>
          </cell>
          <cell r="AA1575">
            <v>-2535.1657639999999</v>
          </cell>
          <cell r="AB1575">
            <v>-2572.3978229999998</v>
          </cell>
          <cell r="AC1575">
            <v>-2612.7650490000001</v>
          </cell>
          <cell r="AD1575">
            <v>-2656.4315350000002</v>
          </cell>
          <cell r="AE1575">
            <v>-2703.9906409999999</v>
          </cell>
          <cell r="AF1575">
            <v>-2752.9612969999998</v>
          </cell>
          <cell r="AG1575">
            <v>-2804.6031520000001</v>
          </cell>
          <cell r="AH1575">
            <v>-2859.5657569999998</v>
          </cell>
          <cell r="AI1575">
            <v>-2918.3676180000002</v>
          </cell>
          <cell r="AJ1575">
            <v>-2980.616493</v>
          </cell>
          <cell r="AK1575">
            <v>-3045.3315050000001</v>
          </cell>
          <cell r="AL1575">
            <v>-3111.6180530000001</v>
          </cell>
          <cell r="AM1575">
            <v>-3178.8678060000002</v>
          </cell>
          <cell r="AN1575">
            <v>-3246.5879730000001</v>
          </cell>
          <cell r="AO1575">
            <v>-3314.3012749999998</v>
          </cell>
        </row>
        <row r="1577">
          <cell r="F1577">
            <v>-612.37312850000001</v>
          </cell>
          <cell r="G1577">
            <v>-616.28426939999997</v>
          </cell>
          <cell r="H1577">
            <v>-616.8595047</v>
          </cell>
          <cell r="I1577">
            <v>-617.06058599999994</v>
          </cell>
          <cell r="J1577">
            <v>-618.41840079999997</v>
          </cell>
          <cell r="K1577">
            <v>-621.8192348</v>
          </cell>
          <cell r="L1577">
            <v>-626.8612607</v>
          </cell>
          <cell r="M1577">
            <v>-632.79799179999998</v>
          </cell>
          <cell r="N1577">
            <v>-639.05356389999997</v>
          </cell>
          <cell r="O1577">
            <v>-645.34594990000005</v>
          </cell>
          <cell r="P1577">
            <v>-651.63092670000003</v>
          </cell>
          <cell r="Q1577">
            <v>-657.93648389999998</v>
          </cell>
          <cell r="R1577">
            <v>-664.17869480000002</v>
          </cell>
          <cell r="S1577">
            <v>-670.23268419999999</v>
          </cell>
          <cell r="T1577">
            <v>-675.98711979999996</v>
          </cell>
          <cell r="U1577">
            <v>-681.52789159999998</v>
          </cell>
          <cell r="V1577">
            <v>-687.05642539999997</v>
          </cell>
          <cell r="W1577">
            <v>-692.89845979999996</v>
          </cell>
          <cell r="X1577">
            <v>-699.29497249999997</v>
          </cell>
          <cell r="Y1577">
            <v>-706.32731980000005</v>
          </cell>
          <cell r="Z1577">
            <v>-713.95889639999996</v>
          </cell>
          <cell r="AA1577">
            <v>-722.14640429999997</v>
          </cell>
          <cell r="AB1577">
            <v>-730.93418489999999</v>
          </cell>
          <cell r="AC1577">
            <v>-740.34293309999998</v>
          </cell>
          <cell r="AD1577">
            <v>-750.3864155</v>
          </cell>
          <cell r="AE1577">
            <v>-760.99199959999999</v>
          </cell>
          <cell r="AF1577">
            <v>-772.09417459999997</v>
          </cell>
          <cell r="AG1577">
            <v>-783.82864199999995</v>
          </cell>
          <cell r="AH1577">
            <v>-796.2646383</v>
          </cell>
          <cell r="AI1577">
            <v>-809.40843689999997</v>
          </cell>
          <cell r="AJ1577">
            <v>-823.18194240000003</v>
          </cell>
          <cell r="AK1577">
            <v>-837.46432730000004</v>
          </cell>
          <cell r="AL1577">
            <v>-852.13321350000001</v>
          </cell>
          <cell r="AM1577">
            <v>-867.07157500000005</v>
          </cell>
          <cell r="AN1577">
            <v>-882.15947589999996</v>
          </cell>
          <cell r="AO1577">
            <v>-897.27065200000004</v>
          </cell>
        </row>
        <row r="1579">
          <cell r="F1579">
            <v>493.02665569999999</v>
          </cell>
        </row>
        <row r="1580">
          <cell r="F1580">
            <v>40653.00333</v>
          </cell>
          <cell r="G1580">
            <v>41113.414019999997</v>
          </cell>
          <cell r="H1580">
            <v>41503.555789999999</v>
          </cell>
          <cell r="I1580">
            <v>41923.898789999999</v>
          </cell>
          <cell r="J1580">
            <v>42271.826029999997</v>
          </cell>
          <cell r="K1580">
            <v>42625.435969999999</v>
          </cell>
          <cell r="L1580">
            <v>43005.716970000001</v>
          </cell>
          <cell r="M1580">
            <v>43411.947160000003</v>
          </cell>
          <cell r="N1580">
            <v>43836.661849999997</v>
          </cell>
          <cell r="O1580">
            <v>44272.267659999998</v>
          </cell>
          <cell r="P1580">
            <v>44735.697719999996</v>
          </cell>
          <cell r="Q1580">
            <v>45190.442479999998</v>
          </cell>
          <cell r="R1580">
            <v>45628.265429999999</v>
          </cell>
          <cell r="S1580">
            <v>46022.847130000002</v>
          </cell>
          <cell r="T1580">
            <v>46390.497360000001</v>
          </cell>
          <cell r="U1580">
            <v>46749.827649999999</v>
          </cell>
          <cell r="V1580">
            <v>47107.54348</v>
          </cell>
          <cell r="W1580">
            <v>47490.833489999997</v>
          </cell>
          <cell r="X1580">
            <v>47918.066059999997</v>
          </cell>
          <cell r="Y1580">
            <v>48400.234320000003</v>
          </cell>
          <cell r="Z1580">
            <v>48932.337820000001</v>
          </cell>
          <cell r="AA1580">
            <v>49543.481099999997</v>
          </cell>
          <cell r="AB1580">
            <v>50238.63351</v>
          </cell>
          <cell r="AC1580">
            <v>51023.943879999999</v>
          </cell>
          <cell r="AD1580">
            <v>51900.293530000003</v>
          </cell>
          <cell r="AE1580">
            <v>52826.972349999996</v>
          </cell>
          <cell r="AF1580">
            <v>53847.967259999998</v>
          </cell>
          <cell r="AG1580">
            <v>54961.87846</v>
          </cell>
          <cell r="AH1580">
            <v>56166.560259999998</v>
          </cell>
          <cell r="AI1580">
            <v>57447.897149999997</v>
          </cell>
          <cell r="AJ1580">
            <v>58786.836459999999</v>
          </cell>
          <cell r="AK1580">
            <v>60166.501420000001</v>
          </cell>
          <cell r="AL1580">
            <v>61573.251559999997</v>
          </cell>
          <cell r="AM1580">
            <v>62994.882299999997</v>
          </cell>
          <cell r="AN1580">
            <v>64419.950499999999</v>
          </cell>
          <cell r="AO1580">
            <v>65837.537750000003</v>
          </cell>
        </row>
        <row r="1600">
          <cell r="F1600">
            <v>472737.799</v>
          </cell>
          <cell r="G1600">
            <v>479640.45140000002</v>
          </cell>
          <cell r="H1600">
            <v>487700.59159999999</v>
          </cell>
          <cell r="I1600">
            <v>496636.79599999997</v>
          </cell>
          <cell r="J1600">
            <v>506358.6875</v>
          </cell>
          <cell r="K1600">
            <v>516731.29470000003</v>
          </cell>
          <cell r="L1600">
            <v>527542.2561</v>
          </cell>
          <cell r="M1600">
            <v>537305.50280000002</v>
          </cell>
          <cell r="N1600">
            <v>546962.53469999996</v>
          </cell>
          <cell r="O1600">
            <v>558271.478</v>
          </cell>
          <cell r="P1600">
            <v>570906.45200000005</v>
          </cell>
          <cell r="Q1600">
            <v>584479.38760000002</v>
          </cell>
          <cell r="R1600">
            <v>598697.53599999996</v>
          </cell>
          <cell r="S1600">
            <v>613236.98699999996</v>
          </cell>
          <cell r="T1600">
            <v>628178.54110000003</v>
          </cell>
          <cell r="U1600">
            <v>643678.96259999997</v>
          </cell>
          <cell r="V1600">
            <v>659698.14229999995</v>
          </cell>
          <cell r="W1600">
            <v>676455.1398</v>
          </cell>
          <cell r="X1600">
            <v>694166.39800000004</v>
          </cell>
          <cell r="Y1600">
            <v>712998.54610000004</v>
          </cell>
          <cell r="Z1600">
            <v>732947.95490000001</v>
          </cell>
          <cell r="AA1600">
            <v>754294.35259999998</v>
          </cell>
          <cell r="AB1600">
            <v>777194.39500000002</v>
          </cell>
          <cell r="AC1600">
            <v>801799.68229999999</v>
          </cell>
          <cell r="AD1600">
            <v>828223.10840000003</v>
          </cell>
          <cell r="AE1600">
            <v>856129.71180000005</v>
          </cell>
          <cell r="AF1600">
            <v>885912.30420000001</v>
          </cell>
          <cell r="AG1600">
            <v>917754.49540000001</v>
          </cell>
          <cell r="AH1600">
            <v>951894.88410000002</v>
          </cell>
          <cell r="AI1600">
            <v>988547.34439999994</v>
          </cell>
          <cell r="AJ1600">
            <v>1027899.182</v>
          </cell>
          <cell r="AK1600">
            <v>1070171.702</v>
          </cell>
          <cell r="AL1600">
            <v>1115693.21</v>
          </cell>
          <cell r="AM1600">
            <v>1164975.9029999999</v>
          </cell>
          <cell r="AN1600">
            <v>1218792.733</v>
          </cell>
          <cell r="AO1600">
            <v>1278322.9890000001</v>
          </cell>
        </row>
        <row r="1601">
          <cell r="F1601">
            <v>4444.1839890000001</v>
          </cell>
          <cell r="G1601">
            <v>4503.3899119999996</v>
          </cell>
          <cell r="H1601">
            <v>4570.8716999999997</v>
          </cell>
          <cell r="I1601">
            <v>4649.8261599999996</v>
          </cell>
          <cell r="J1601">
            <v>4735.6415950000001</v>
          </cell>
          <cell r="K1601">
            <v>4827.5694780000003</v>
          </cell>
          <cell r="L1601">
            <v>4924.1501850000004</v>
          </cell>
          <cell r="M1601">
            <v>5026.4685520000003</v>
          </cell>
          <cell r="N1601">
            <v>5133.7054029999999</v>
          </cell>
          <cell r="O1601">
            <v>5262.845679</v>
          </cell>
          <cell r="P1601">
            <v>5407.6108850000001</v>
          </cell>
          <cell r="Q1601">
            <v>5557.0562460000001</v>
          </cell>
          <cell r="R1601">
            <v>5708.3408019999997</v>
          </cell>
          <cell r="S1601">
            <v>5858.2663670000002</v>
          </cell>
          <cell r="T1601">
            <v>6007.803758</v>
          </cell>
          <cell r="U1601">
            <v>6158.3755430000001</v>
          </cell>
          <cell r="V1601">
            <v>6313.9531349999997</v>
          </cell>
          <cell r="W1601">
            <v>6474.8973830000004</v>
          </cell>
          <cell r="X1601">
            <v>6642.1496989999996</v>
          </cell>
          <cell r="Y1601">
            <v>6816.457797</v>
          </cell>
          <cell r="Z1601">
            <v>6997.2631289999999</v>
          </cell>
          <cell r="AA1601">
            <v>7185.9937870000003</v>
          </cell>
          <cell r="AB1601">
            <v>7383.6419729999998</v>
          </cell>
          <cell r="AC1601">
            <v>7590.8598700000002</v>
          </cell>
          <cell r="AD1601">
            <v>7807.5088910000004</v>
          </cell>
          <cell r="AE1601">
            <v>8029.576505</v>
          </cell>
          <cell r="AF1601">
            <v>8256.6852039999994</v>
          </cell>
          <cell r="AG1601">
            <v>8489.8136090000007</v>
          </cell>
          <cell r="AH1601">
            <v>8729.813118</v>
          </cell>
          <cell r="AI1601">
            <v>8976.3267180000003</v>
          </cell>
          <cell r="AJ1601">
            <v>9227.7034519999997</v>
          </cell>
          <cell r="AK1601">
            <v>9481.5755200000003</v>
          </cell>
          <cell r="AL1601">
            <v>9735.449423</v>
          </cell>
          <cell r="AM1601">
            <v>9987.0305879999996</v>
          </cell>
          <cell r="AN1601">
            <v>10234.03868</v>
          </cell>
          <cell r="AO1601">
            <v>10474.17787</v>
          </cell>
        </row>
        <row r="1604">
          <cell r="F1604">
            <v>234875.91560000001</v>
          </cell>
          <cell r="G1604">
            <v>238439.22820000001</v>
          </cell>
          <cell r="H1604">
            <v>242661.41339999999</v>
          </cell>
          <cell r="I1604">
            <v>247363.0007</v>
          </cell>
          <cell r="J1604">
            <v>252482.3554</v>
          </cell>
          <cell r="K1604">
            <v>257957.6698</v>
          </cell>
          <cell r="L1604">
            <v>263703.15340000001</v>
          </cell>
          <cell r="M1604">
            <v>268860.66580000002</v>
          </cell>
          <cell r="N1604">
            <v>273923.71480000002</v>
          </cell>
          <cell r="O1604">
            <v>279888.95140000002</v>
          </cell>
          <cell r="P1604">
            <v>286529.34129999997</v>
          </cell>
          <cell r="Q1604">
            <v>293708.6373</v>
          </cell>
          <cell r="R1604">
            <v>301277.73180000001</v>
          </cell>
          <cell r="S1604">
            <v>309076.12640000001</v>
          </cell>
          <cell r="T1604">
            <v>317174.9829</v>
          </cell>
          <cell r="U1604">
            <v>325682.38799999998</v>
          </cell>
          <cell r="V1604">
            <v>334570.25559999997</v>
          </cell>
          <cell r="W1604">
            <v>343968.29940000002</v>
          </cell>
          <cell r="X1604">
            <v>354003.16460000002</v>
          </cell>
          <cell r="Y1604">
            <v>364773.46360000002</v>
          </cell>
          <cell r="Z1604">
            <v>376313.80540000001</v>
          </cell>
          <cell r="AA1604">
            <v>388740.48210000002</v>
          </cell>
          <cell r="AB1604">
            <v>402154.53889999999</v>
          </cell>
          <cell r="AC1604">
            <v>416649.60580000002</v>
          </cell>
          <cell r="AD1604">
            <v>432298.23590000003</v>
          </cell>
          <cell r="AE1604">
            <v>449012.86849999998</v>
          </cell>
          <cell r="AF1604">
            <v>466935.83159999998</v>
          </cell>
          <cell r="AG1604">
            <v>486172.69709999999</v>
          </cell>
          <cell r="AH1604">
            <v>506855.03769999999</v>
          </cell>
          <cell r="AI1604">
            <v>529102.96140000003</v>
          </cell>
          <cell r="AJ1604">
            <v>553030.18940000003</v>
          </cell>
          <cell r="AK1604">
            <v>578777.73869999999</v>
          </cell>
          <cell r="AL1604">
            <v>606549.35490000003</v>
          </cell>
          <cell r="AM1604">
            <v>636650.44799999997</v>
          </cell>
          <cell r="AN1604">
            <v>669531.28410000005</v>
          </cell>
          <cell r="AO1604">
            <v>705864.01</v>
          </cell>
        </row>
        <row r="1616">
          <cell r="F1616">
            <v>8012.3261389999998</v>
          </cell>
          <cell r="G1616">
            <v>8138.0697030000001</v>
          </cell>
          <cell r="H1616">
            <v>8279.8860949999998</v>
          </cell>
          <cell r="I1616">
            <v>8430.598806</v>
          </cell>
          <cell r="J1616">
            <v>8588.8765459999995</v>
          </cell>
          <cell r="K1616">
            <v>8755.1448990000008</v>
          </cell>
          <cell r="L1616">
            <v>8928.0858580000004</v>
          </cell>
          <cell r="M1616">
            <v>9080.1335729999992</v>
          </cell>
          <cell r="N1616">
            <v>9238.3986060000007</v>
          </cell>
          <cell r="O1616">
            <v>9457.1255099999998</v>
          </cell>
          <cell r="P1616">
            <v>9713.6722229999996</v>
          </cell>
          <cell r="Q1616">
            <v>9989.5827759999993</v>
          </cell>
          <cell r="R1616">
            <v>10267.86634</v>
          </cell>
          <cell r="S1616">
            <v>10533.96926</v>
          </cell>
          <cell r="T1616">
            <v>10790.30127</v>
          </cell>
          <cell r="U1616">
            <v>11041.63601</v>
          </cell>
          <cell r="V1616">
            <v>11294.82519</v>
          </cell>
          <cell r="W1616">
            <v>11556.108200000001</v>
          </cell>
          <cell r="X1616">
            <v>11831.6325</v>
          </cell>
          <cell r="Y1616">
            <v>12125.252930000001</v>
          </cell>
          <cell r="Z1616">
            <v>12438.342280000001</v>
          </cell>
          <cell r="AA1616">
            <v>12775.43161</v>
          </cell>
          <cell r="AB1616">
            <v>13140.32279</v>
          </cell>
          <cell r="AC1616">
            <v>13534.733260000001</v>
          </cell>
          <cell r="AD1616">
            <v>13957.82346</v>
          </cell>
          <cell r="AE1616">
            <v>14403.68621</v>
          </cell>
          <cell r="AF1616">
            <v>14877.53032</v>
          </cell>
          <cell r="AG1616">
            <v>15386.44616</v>
          </cell>
          <cell r="AH1616">
            <v>15933.78592</v>
          </cell>
          <cell r="AI1616">
            <v>16517.237229999999</v>
          </cell>
          <cell r="AJ1616">
            <v>17131.06235</v>
          </cell>
          <cell r="AK1616">
            <v>17771.078229999999</v>
          </cell>
          <cell r="AL1616">
            <v>18435.875690000001</v>
          </cell>
          <cell r="AM1616">
            <v>19123.687890000001</v>
          </cell>
          <cell r="AN1616">
            <v>19832.053390000001</v>
          </cell>
          <cell r="AO1616">
            <v>20558.1414</v>
          </cell>
        </row>
        <row r="1621">
          <cell r="F1621">
            <v>219508.55739999999</v>
          </cell>
          <cell r="G1621">
            <v>222605.38020000001</v>
          </cell>
          <cell r="H1621">
            <v>226185.7114</v>
          </cell>
          <cell r="I1621">
            <v>230144.2935</v>
          </cell>
          <cell r="J1621">
            <v>234457.6054</v>
          </cell>
          <cell r="K1621">
            <v>239048.8285</v>
          </cell>
          <cell r="L1621">
            <v>243792.86369999999</v>
          </cell>
          <cell r="M1621">
            <v>248020.7403</v>
          </cell>
          <cell r="N1621">
            <v>252182.4295</v>
          </cell>
          <cell r="O1621">
            <v>256968.5061</v>
          </cell>
          <cell r="P1621">
            <v>262321.8126</v>
          </cell>
          <cell r="Q1621">
            <v>268033.08279999997</v>
          </cell>
          <cell r="R1621">
            <v>273978.51779999997</v>
          </cell>
          <cell r="S1621">
            <v>280010.24089999998</v>
          </cell>
          <cell r="T1621">
            <v>286127.54719999997</v>
          </cell>
          <cell r="U1621">
            <v>292365.9118</v>
          </cell>
          <cell r="V1621">
            <v>298699.53249999997</v>
          </cell>
          <cell r="W1621">
            <v>305203.83319999999</v>
          </cell>
          <cell r="X1621">
            <v>311955.5613</v>
          </cell>
          <cell r="Y1621">
            <v>319011.46460000001</v>
          </cell>
          <cell r="Z1621">
            <v>326325.6079</v>
          </cell>
          <cell r="AA1621">
            <v>334042.9755</v>
          </cell>
          <cell r="AB1621">
            <v>342200.20400000003</v>
          </cell>
          <cell r="AC1621">
            <v>350836.61310000002</v>
          </cell>
          <cell r="AD1621">
            <v>359974.6054</v>
          </cell>
          <cell r="AE1621">
            <v>369359.772</v>
          </cell>
          <cell r="AF1621">
            <v>379202.99219999998</v>
          </cell>
          <cell r="AG1621">
            <v>389534.234</v>
          </cell>
          <cell r="AH1621">
            <v>400407.33399999997</v>
          </cell>
          <cell r="AI1621">
            <v>411859.20069999999</v>
          </cell>
          <cell r="AJ1621">
            <v>423895.51699999999</v>
          </cell>
          <cell r="AK1621">
            <v>436501.78779999999</v>
          </cell>
          <cell r="AL1621">
            <v>449665.08429999999</v>
          </cell>
          <cell r="AM1621">
            <v>463395.69809999998</v>
          </cell>
          <cell r="AN1621">
            <v>477727.8762</v>
          </cell>
          <cell r="AO1621">
            <v>492729.01030000002</v>
          </cell>
        </row>
        <row r="1624">
          <cell r="F1624">
            <v>2246.653448</v>
          </cell>
          <cell r="G1624">
            <v>2260.8089650000002</v>
          </cell>
          <cell r="H1624">
            <v>2270.792312</v>
          </cell>
          <cell r="I1624">
            <v>2279.1137290000001</v>
          </cell>
          <cell r="J1624">
            <v>2290.7338239999999</v>
          </cell>
          <cell r="K1624">
            <v>2306.884337</v>
          </cell>
          <cell r="L1624">
            <v>2326.9650329999999</v>
          </cell>
          <cell r="M1624">
            <v>2335.5594110000002</v>
          </cell>
          <cell r="N1624">
            <v>2340.7698529999998</v>
          </cell>
          <cell r="O1624">
            <v>2351.9813100000001</v>
          </cell>
          <cell r="P1624">
            <v>2367.5659369999998</v>
          </cell>
          <cell r="Q1624">
            <v>2388.3656940000001</v>
          </cell>
          <cell r="R1624">
            <v>2413.8246199999999</v>
          </cell>
          <cell r="S1624">
            <v>2442.867064</v>
          </cell>
          <cell r="T1624">
            <v>2476.0568830000002</v>
          </cell>
          <cell r="U1624">
            <v>2514.0683210000002</v>
          </cell>
          <cell r="V1624">
            <v>2554.8010509999999</v>
          </cell>
          <cell r="W1624">
            <v>2599.4591399999999</v>
          </cell>
          <cell r="X1624">
            <v>2648.9323239999999</v>
          </cell>
          <cell r="Y1624">
            <v>2703.833224</v>
          </cell>
          <cell r="Z1624">
            <v>2764.4668109999998</v>
          </cell>
          <cell r="AA1624">
            <v>2831.5328279999999</v>
          </cell>
          <cell r="AB1624">
            <v>2905.6499039999999</v>
          </cell>
          <cell r="AC1624">
            <v>2987.3315149999999</v>
          </cell>
          <cell r="AD1624">
            <v>3076.9517649999998</v>
          </cell>
          <cell r="AE1624">
            <v>3174.2519820000002</v>
          </cell>
          <cell r="AF1624">
            <v>3280.5195840000001</v>
          </cell>
          <cell r="AG1624">
            <v>3396.5918980000001</v>
          </cell>
          <cell r="AH1624">
            <v>3523.355607</v>
          </cell>
          <cell r="AI1624">
            <v>3661.4124280000001</v>
          </cell>
          <cell r="AJ1624">
            <v>3811.2105350000002</v>
          </cell>
          <cell r="AK1624">
            <v>3973.4481139999998</v>
          </cell>
          <cell r="AL1624">
            <v>4149.3251410000003</v>
          </cell>
          <cell r="AM1624">
            <v>4340.6135000000004</v>
          </cell>
          <cell r="AN1624">
            <v>4549.9463180000002</v>
          </cell>
          <cell r="AO1624">
            <v>4781.4141159999999</v>
          </cell>
        </row>
        <row r="1629">
          <cell r="F1629">
            <v>3650.1624750000001</v>
          </cell>
          <cell r="G1629">
            <v>3693.5744629999999</v>
          </cell>
          <cell r="H1629">
            <v>3731.916608</v>
          </cell>
          <cell r="I1629">
            <v>3769.9631319999999</v>
          </cell>
          <cell r="J1629">
            <v>3803.4748519999998</v>
          </cell>
          <cell r="K1629">
            <v>3835.1977000000002</v>
          </cell>
          <cell r="L1629">
            <v>3867.0379119999998</v>
          </cell>
          <cell r="M1629">
            <v>3981.9351769999998</v>
          </cell>
          <cell r="N1629">
            <v>4143.5164800000002</v>
          </cell>
          <cell r="O1629">
            <v>4342.0679520000003</v>
          </cell>
          <cell r="P1629">
            <v>4566.4489329999997</v>
          </cell>
          <cell r="Q1629">
            <v>4802.6627859999999</v>
          </cell>
          <cell r="R1629">
            <v>5051.2546670000002</v>
          </cell>
          <cell r="S1629">
            <v>5315.5169770000002</v>
          </cell>
          <cell r="T1629">
            <v>5601.8489689999997</v>
          </cell>
          <cell r="U1629">
            <v>5916.5829759999997</v>
          </cell>
          <cell r="V1629">
            <v>6264.7748369999999</v>
          </cell>
          <cell r="W1629">
            <v>6652.5425089999999</v>
          </cell>
          <cell r="X1629">
            <v>7084.9575649999997</v>
          </cell>
          <cell r="Y1629">
            <v>7568.0739059999996</v>
          </cell>
          <cell r="Z1629">
            <v>8108.4693909999996</v>
          </cell>
          <cell r="AA1629">
            <v>8717.9368020000002</v>
          </cell>
          <cell r="AB1629">
            <v>9410.0373810000001</v>
          </cell>
          <cell r="AC1629">
            <v>10200.53875</v>
          </cell>
          <cell r="AD1629">
            <v>11107.98307</v>
          </cell>
          <cell r="AE1629">
            <v>12149.556570000001</v>
          </cell>
          <cell r="AF1629">
            <v>13358.74532</v>
          </cell>
          <cell r="AG1629">
            <v>14774.712600000001</v>
          </cell>
          <cell r="AH1629">
            <v>16445.55775</v>
          </cell>
          <cell r="AI1629">
            <v>18430.205849999998</v>
          </cell>
          <cell r="AJ1629">
            <v>20803.498889999999</v>
          </cell>
          <cell r="AK1629">
            <v>23666.073329999999</v>
          </cell>
          <cell r="AL1629">
            <v>27158.120299999999</v>
          </cell>
          <cell r="AM1629">
            <v>31478.424749999998</v>
          </cell>
          <cell r="AN1629">
            <v>36917.534590000003</v>
          </cell>
          <cell r="AO1629">
            <v>43916.235500000003</v>
          </cell>
        </row>
        <row r="1639">
          <cell r="F1639">
            <v>472737.799</v>
          </cell>
          <cell r="G1639">
            <v>479640.45140000002</v>
          </cell>
          <cell r="H1639">
            <v>487700.59159999999</v>
          </cell>
          <cell r="I1639">
            <v>496636.79590000003</v>
          </cell>
          <cell r="J1639">
            <v>506358.6875</v>
          </cell>
          <cell r="K1639">
            <v>516731.29460000002</v>
          </cell>
          <cell r="L1639">
            <v>527414.47230000002</v>
          </cell>
          <cell r="M1639">
            <v>538302.24369999999</v>
          </cell>
          <cell r="N1639">
            <v>549396.6925</v>
          </cell>
          <cell r="O1639">
            <v>560752.24129999999</v>
          </cell>
          <cell r="P1639">
            <v>572622.95779999997</v>
          </cell>
          <cell r="Q1639">
            <v>584883.15729999996</v>
          </cell>
          <cell r="R1639">
            <v>597482.69709999999</v>
          </cell>
          <cell r="S1639">
            <v>610170.50399999996</v>
          </cell>
          <cell r="T1639">
            <v>622957.6655</v>
          </cell>
          <cell r="U1639">
            <v>635957.55319999997</v>
          </cell>
          <cell r="V1639">
            <v>649485.59329999995</v>
          </cell>
          <cell r="W1639">
            <v>663794.48230000003</v>
          </cell>
          <cell r="X1639">
            <v>679039.3443</v>
          </cell>
          <cell r="Y1639">
            <v>695286.17830000003</v>
          </cell>
          <cell r="Z1639">
            <v>712428.60120000003</v>
          </cell>
          <cell r="AA1639">
            <v>730658.60739999998</v>
          </cell>
          <cell r="AB1639">
            <v>750053.64950000006</v>
          </cell>
          <cell r="AC1639">
            <v>770677.46939999994</v>
          </cell>
          <cell r="AD1639">
            <v>792548.74120000005</v>
          </cell>
          <cell r="AE1639">
            <v>815250.09089999995</v>
          </cell>
          <cell r="AF1639">
            <v>839068.34450000001</v>
          </cell>
          <cell r="AG1639">
            <v>864127.31319999998</v>
          </cell>
          <cell r="AH1639">
            <v>890528.75349999999</v>
          </cell>
          <cell r="AI1639">
            <v>918290.45649999997</v>
          </cell>
          <cell r="AJ1639">
            <v>947348.16489999997</v>
          </cell>
          <cell r="AK1639">
            <v>977615.54379999998</v>
          </cell>
          <cell r="AL1639">
            <v>1009012.691</v>
          </cell>
          <cell r="AM1639">
            <v>1041458.566</v>
          </cell>
          <cell r="AN1639">
            <v>1074862.284</v>
          </cell>
          <cell r="AO1639">
            <v>1109116.889</v>
          </cell>
        </row>
        <row r="1640">
          <cell r="F1640">
            <v>4444.1839890000001</v>
          </cell>
          <cell r="G1640">
            <v>4503.3899119999996</v>
          </cell>
          <cell r="H1640">
            <v>4570.8716990000003</v>
          </cell>
          <cell r="I1640">
            <v>4649.8261599999996</v>
          </cell>
          <cell r="J1640">
            <v>4735.6415939999997</v>
          </cell>
          <cell r="K1640">
            <v>4827.569477</v>
          </cell>
          <cell r="L1640">
            <v>4923.7815270000001</v>
          </cell>
          <cell r="M1640">
            <v>5023.3788679999998</v>
          </cell>
          <cell r="N1640">
            <v>5126.1720489999998</v>
          </cell>
          <cell r="O1640">
            <v>5232.2890770000004</v>
          </cell>
          <cell r="P1640">
            <v>5343.4359979999999</v>
          </cell>
          <cell r="Q1640">
            <v>5458.8223930000004</v>
          </cell>
          <cell r="R1640">
            <v>5577.1528209999997</v>
          </cell>
          <cell r="S1640">
            <v>5695.0105460000004</v>
          </cell>
          <cell r="T1640">
            <v>5812.3433960000002</v>
          </cell>
          <cell r="U1640">
            <v>5930.3398360000001</v>
          </cell>
          <cell r="V1640">
            <v>6051.0548120000003</v>
          </cell>
          <cell r="W1640">
            <v>6176.8582050000005</v>
          </cell>
          <cell r="X1640">
            <v>6309.435735</v>
          </cell>
          <cell r="Y1640">
            <v>6449.6589199999999</v>
          </cell>
          <cell r="Z1640">
            <v>6597.058207</v>
          </cell>
          <cell r="AA1640">
            <v>6753.2370650000003</v>
          </cell>
          <cell r="AB1640">
            <v>6919.4744769999998</v>
          </cell>
          <cell r="AC1640">
            <v>7096.657451</v>
          </cell>
          <cell r="AD1640">
            <v>7285.0011189999996</v>
          </cell>
          <cell r="AE1640">
            <v>7481.3201259999996</v>
          </cell>
          <cell r="AF1640">
            <v>7687.2355729999999</v>
          </cell>
          <cell r="AG1640">
            <v>7904.375376</v>
          </cell>
          <cell r="AH1640">
            <v>8133.8824290000002</v>
          </cell>
          <cell r="AI1640">
            <v>8375.7208759999994</v>
          </cell>
          <cell r="AJ1640">
            <v>8628.7597179999993</v>
          </cell>
          <cell r="AK1640">
            <v>8891.5485989999997</v>
          </cell>
          <cell r="AL1640">
            <v>9162.6741920000004</v>
          </cell>
          <cell r="AM1640">
            <v>9440.6878149999993</v>
          </cell>
          <cell r="AN1640">
            <v>9724.0423559999999</v>
          </cell>
          <cell r="AO1640">
            <v>10011.06359</v>
          </cell>
        </row>
        <row r="1643">
          <cell r="F1643">
            <v>234875.91560000001</v>
          </cell>
          <cell r="G1643">
            <v>238439.22820000001</v>
          </cell>
          <cell r="H1643">
            <v>242661.41339999999</v>
          </cell>
          <cell r="I1643">
            <v>247363.0006</v>
          </cell>
          <cell r="J1643">
            <v>252482.3554</v>
          </cell>
          <cell r="K1643">
            <v>257957.6697</v>
          </cell>
          <cell r="L1643">
            <v>263646.87439999997</v>
          </cell>
          <cell r="M1643">
            <v>269485.34700000001</v>
          </cell>
          <cell r="N1643">
            <v>275469.5025</v>
          </cell>
          <cell r="O1643">
            <v>281627.33559999999</v>
          </cell>
          <cell r="P1643">
            <v>288061.05989999999</v>
          </cell>
          <cell r="Q1643">
            <v>294760.63419999997</v>
          </cell>
          <cell r="R1643">
            <v>301689.74800000002</v>
          </cell>
          <cell r="S1643">
            <v>308709.1078</v>
          </cell>
          <cell r="T1643">
            <v>315832.8798</v>
          </cell>
          <cell r="U1643">
            <v>323131.28360000002</v>
          </cell>
          <cell r="V1643">
            <v>330769.51380000002</v>
          </cell>
          <cell r="W1643">
            <v>338893.391</v>
          </cell>
          <cell r="X1643">
            <v>347598.12459999998</v>
          </cell>
          <cell r="Y1643">
            <v>356927.98450000002</v>
          </cell>
          <cell r="Z1643">
            <v>366857.56589999999</v>
          </cell>
          <cell r="AA1643">
            <v>377447.77140000003</v>
          </cell>
          <cell r="AB1643">
            <v>388747.9241</v>
          </cell>
          <cell r="AC1643">
            <v>400795.1262</v>
          </cell>
          <cell r="AD1643">
            <v>413599.74599999998</v>
          </cell>
          <cell r="AE1643">
            <v>427014.592</v>
          </cell>
          <cell r="AF1643">
            <v>441102.6961</v>
          </cell>
          <cell r="AG1643">
            <v>455931.44380000001</v>
          </cell>
          <cell r="AH1643">
            <v>471555.21659999999</v>
          </cell>
          <cell r="AI1643">
            <v>487980.28749999998</v>
          </cell>
          <cell r="AJ1643">
            <v>505170.73</v>
          </cell>
          <cell r="AK1643">
            <v>523083.01890000002</v>
          </cell>
          <cell r="AL1643">
            <v>541681.34790000005</v>
          </cell>
          <cell r="AM1643">
            <v>560932.01729999995</v>
          </cell>
          <cell r="AN1643">
            <v>580797.10259999998</v>
          </cell>
          <cell r="AO1643">
            <v>601229.71889999998</v>
          </cell>
        </row>
        <row r="1655">
          <cell r="F1655">
            <v>8012.3261389999998</v>
          </cell>
          <cell r="G1655">
            <v>8138.0697039999995</v>
          </cell>
          <cell r="H1655">
            <v>8279.8860960000002</v>
          </cell>
          <cell r="I1655">
            <v>8430.5988070000003</v>
          </cell>
          <cell r="J1655">
            <v>8588.8765480000002</v>
          </cell>
          <cell r="K1655">
            <v>8755.1448999999993</v>
          </cell>
          <cell r="L1655">
            <v>8925.9139699999996</v>
          </cell>
          <cell r="M1655">
            <v>9099.7660259999993</v>
          </cell>
          <cell r="N1655">
            <v>9276.2594379999991</v>
          </cell>
          <cell r="O1655">
            <v>9455.6731309999996</v>
          </cell>
          <cell r="P1655">
            <v>9640.639416</v>
          </cell>
          <cell r="Q1655">
            <v>9829.7623359999998</v>
          </cell>
          <cell r="R1655">
            <v>10019.767620000001</v>
          </cell>
          <cell r="S1655">
            <v>10201.65112</v>
          </cell>
          <cell r="T1655">
            <v>10377.37955</v>
          </cell>
          <cell r="U1655">
            <v>10551.92432</v>
          </cell>
          <cell r="V1655">
            <v>10732.983249999999</v>
          </cell>
          <cell r="W1655">
            <v>10926.919599999999</v>
          </cell>
          <cell r="X1655">
            <v>11138.09237</v>
          </cell>
          <cell r="Y1655">
            <v>11368.551299999999</v>
          </cell>
          <cell r="Z1655">
            <v>11618.18936</v>
          </cell>
          <cell r="AA1655">
            <v>11889.74274</v>
          </cell>
          <cell r="AB1655">
            <v>12185.26665</v>
          </cell>
          <cell r="AC1655">
            <v>12506.11879</v>
          </cell>
          <cell r="AD1655">
            <v>12852.19954</v>
          </cell>
          <cell r="AE1655">
            <v>13218.92353</v>
          </cell>
          <cell r="AF1655">
            <v>13609.46615</v>
          </cell>
          <cell r="AG1655">
            <v>14026.360769999999</v>
          </cell>
          <cell r="AH1655">
            <v>14470.940070000001</v>
          </cell>
          <cell r="AI1655">
            <v>14941.066790000001</v>
          </cell>
          <cell r="AJ1655">
            <v>15432.20543</v>
          </cell>
          <cell r="AK1655">
            <v>15939.8968</v>
          </cell>
          <cell r="AL1655">
            <v>16460.62182</v>
          </cell>
          <cell r="AM1655">
            <v>16991.35152</v>
          </cell>
          <cell r="AN1655">
            <v>17529.1757</v>
          </cell>
          <cell r="AO1655">
            <v>18071.090370000002</v>
          </cell>
        </row>
        <row r="1660">
          <cell r="F1660">
            <v>219508.55739999999</v>
          </cell>
          <cell r="G1660">
            <v>222605.38020000001</v>
          </cell>
          <cell r="H1660">
            <v>226185.7114</v>
          </cell>
          <cell r="I1660">
            <v>230144.2935</v>
          </cell>
          <cell r="J1660">
            <v>234457.6053</v>
          </cell>
          <cell r="K1660">
            <v>239048.8284</v>
          </cell>
          <cell r="L1660">
            <v>243724.44810000001</v>
          </cell>
          <cell r="M1660">
            <v>248446.02280000001</v>
          </cell>
          <cell r="N1660">
            <v>253220.8156</v>
          </cell>
          <cell r="O1660">
            <v>258075.63570000001</v>
          </cell>
          <cell r="P1660">
            <v>263156.81929999997</v>
          </cell>
          <cell r="Q1660">
            <v>268352.89600000001</v>
          </cell>
          <cell r="R1660">
            <v>273656.23430000001</v>
          </cell>
          <cell r="S1660">
            <v>278970.63380000001</v>
          </cell>
          <cell r="T1660">
            <v>284290.89140000002</v>
          </cell>
          <cell r="U1660">
            <v>289652.26689999999</v>
          </cell>
          <cell r="V1660">
            <v>295192.7292</v>
          </cell>
          <cell r="W1660">
            <v>301007.12579999998</v>
          </cell>
          <cell r="X1660">
            <v>307146.61869999999</v>
          </cell>
          <cell r="Y1660">
            <v>313628.22450000001</v>
          </cell>
          <cell r="Z1660">
            <v>320371.25439999998</v>
          </cell>
          <cell r="AA1660">
            <v>327500.21909999999</v>
          </cell>
          <cell r="AB1660">
            <v>335038.43810000003</v>
          </cell>
          <cell r="AC1660">
            <v>343009.1201</v>
          </cell>
          <cell r="AD1660">
            <v>351419.78810000001</v>
          </cell>
          <cell r="AE1660">
            <v>360010.60560000001</v>
          </cell>
          <cell r="AF1660">
            <v>368998.2782</v>
          </cell>
          <cell r="AG1660">
            <v>378433.7855</v>
          </cell>
          <cell r="AH1660">
            <v>388361.42440000002</v>
          </cell>
          <cell r="AI1660">
            <v>398795.6422</v>
          </cell>
          <cell r="AJ1660">
            <v>409715.57319999998</v>
          </cell>
          <cell r="AK1660">
            <v>421086.39039999997</v>
          </cell>
          <cell r="AL1660">
            <v>432870.88919999998</v>
          </cell>
          <cell r="AM1660">
            <v>445028.08189999999</v>
          </cell>
          <cell r="AN1660">
            <v>457511.34360000002</v>
          </cell>
          <cell r="AO1660">
            <v>470267.2059</v>
          </cell>
        </row>
        <row r="1663">
          <cell r="F1663">
            <v>2246.6534470000001</v>
          </cell>
          <cell r="G1663">
            <v>2260.8089629999999</v>
          </cell>
          <cell r="H1663">
            <v>2270.7923099999998</v>
          </cell>
          <cell r="I1663">
            <v>2279.1137279999998</v>
          </cell>
          <cell r="J1663">
            <v>2290.733823</v>
          </cell>
          <cell r="K1663">
            <v>2306.8843360000001</v>
          </cell>
          <cell r="L1663">
            <v>2325.8122760000001</v>
          </cell>
          <cell r="M1663">
            <v>2345.9634740000001</v>
          </cell>
          <cell r="N1663">
            <v>2366.4386460000001</v>
          </cell>
          <cell r="O1663">
            <v>2386.910989</v>
          </cell>
          <cell r="P1663">
            <v>2407.7073350000001</v>
          </cell>
          <cell r="Q1663">
            <v>2428.616305</v>
          </cell>
          <cell r="R1663">
            <v>2449.2400050000001</v>
          </cell>
          <cell r="S1663">
            <v>2468.4736760000001</v>
          </cell>
          <cell r="T1663">
            <v>2486.4313739999998</v>
          </cell>
          <cell r="U1663">
            <v>2503.7037810000002</v>
          </cell>
          <cell r="V1663">
            <v>2522.0097110000002</v>
          </cell>
          <cell r="W1663">
            <v>2542.7227579999999</v>
          </cell>
          <cell r="X1663">
            <v>2566.6486070000001</v>
          </cell>
          <cell r="Y1663">
            <v>2594.1159429999998</v>
          </cell>
          <cell r="Z1663">
            <v>2625.055828</v>
          </cell>
          <cell r="AA1663">
            <v>2659.7770599999999</v>
          </cell>
          <cell r="AB1663">
            <v>2698.5528439999998</v>
          </cell>
          <cell r="AC1663">
            <v>2741.6151960000002</v>
          </cell>
          <cell r="AD1663">
            <v>2789.0634110000001</v>
          </cell>
          <cell r="AE1663">
            <v>2840.3584919999998</v>
          </cell>
          <cell r="AF1663">
            <v>2895.9556560000001</v>
          </cell>
          <cell r="AG1663">
            <v>2956.2863990000001</v>
          </cell>
          <cell r="AH1663">
            <v>3021.6268519999999</v>
          </cell>
          <cell r="AI1663">
            <v>3091.8033070000001</v>
          </cell>
          <cell r="AJ1663">
            <v>3166.2847339999998</v>
          </cell>
          <cell r="AK1663">
            <v>3244.4518600000001</v>
          </cell>
          <cell r="AL1663">
            <v>3325.7226110000001</v>
          </cell>
          <cell r="AM1663">
            <v>3409.5256899999999</v>
          </cell>
          <cell r="AN1663">
            <v>3495.2618480000001</v>
          </cell>
          <cell r="AO1663">
            <v>3582.2806540000001</v>
          </cell>
        </row>
        <row r="1668">
          <cell r="F1668">
            <v>3650.1624750000001</v>
          </cell>
          <cell r="G1668">
            <v>3693.5744629999999</v>
          </cell>
          <cell r="H1668">
            <v>3731.916608</v>
          </cell>
          <cell r="I1668">
            <v>3769.9631319999999</v>
          </cell>
          <cell r="J1668">
            <v>3803.4748519999998</v>
          </cell>
          <cell r="K1668">
            <v>3835.1977010000001</v>
          </cell>
          <cell r="L1668">
            <v>3867.6419299999998</v>
          </cell>
          <cell r="M1668">
            <v>3901.7655159999999</v>
          </cell>
          <cell r="N1668">
            <v>3937.504363</v>
          </cell>
          <cell r="O1668">
            <v>3974.39687</v>
          </cell>
          <cell r="P1668">
            <v>4013.2959000000001</v>
          </cell>
          <cell r="Q1668">
            <v>4052.4259849999999</v>
          </cell>
          <cell r="R1668">
            <v>4090.5543109999999</v>
          </cell>
          <cell r="S1668">
            <v>4125.627039</v>
          </cell>
          <cell r="T1668">
            <v>4157.7399720000003</v>
          </cell>
          <cell r="U1668">
            <v>4188.0347609999999</v>
          </cell>
          <cell r="V1668">
            <v>4217.3024640000003</v>
          </cell>
          <cell r="W1668">
            <v>4247.4649659999995</v>
          </cell>
          <cell r="X1668">
            <v>4280.4242620000005</v>
          </cell>
          <cell r="Y1668">
            <v>4317.6430959999998</v>
          </cell>
          <cell r="Z1668">
            <v>4359.4776179999999</v>
          </cell>
          <cell r="AA1668">
            <v>4407.8600660000002</v>
          </cell>
          <cell r="AB1668">
            <v>4463.9933369999999</v>
          </cell>
          <cell r="AC1668">
            <v>4528.8317399999996</v>
          </cell>
          <cell r="AD1668">
            <v>4602.9430039999997</v>
          </cell>
          <cell r="AE1668">
            <v>4684.291072</v>
          </cell>
          <cell r="AF1668">
            <v>4774.7128130000001</v>
          </cell>
          <cell r="AG1668">
            <v>4875.0613910000002</v>
          </cell>
          <cell r="AH1668">
            <v>4985.663063</v>
          </cell>
          <cell r="AI1668">
            <v>5105.9358380000003</v>
          </cell>
          <cell r="AJ1668">
            <v>5234.6117350000004</v>
          </cell>
          <cell r="AK1668">
            <v>5370.237228</v>
          </cell>
          <cell r="AL1668">
            <v>5511.435391</v>
          </cell>
          <cell r="AM1668">
            <v>5656.901261</v>
          </cell>
          <cell r="AN1668">
            <v>5805.3581350000004</v>
          </cell>
          <cell r="AO1668">
            <v>5955.5294329999997</v>
          </cell>
        </row>
        <row r="1702">
          <cell r="F1702">
            <v>1202789.014</v>
          </cell>
          <cell r="G1702">
            <v>1220397.4890000001</v>
          </cell>
          <cell r="H1702">
            <v>1240919.308</v>
          </cell>
          <cell r="I1702">
            <v>1263569.8359999999</v>
          </cell>
          <cell r="J1702">
            <v>1287361.818</v>
          </cell>
          <cell r="K1702">
            <v>1311977.0630000001</v>
          </cell>
          <cell r="L1702">
            <v>1336547.2620000001</v>
          </cell>
          <cell r="M1702">
            <v>1360371.83</v>
          </cell>
          <cell r="N1702">
            <v>1383718.926</v>
          </cell>
          <cell r="O1702">
            <v>1409218.0630000001</v>
          </cell>
          <cell r="P1702">
            <v>1438195.162</v>
          </cell>
          <cell r="Q1702">
            <v>1469082.054</v>
          </cell>
          <cell r="R1702">
            <v>1501684.8130000001</v>
          </cell>
          <cell r="S1702">
            <v>1534834.6459999999</v>
          </cell>
          <cell r="T1702">
            <v>1567641.132</v>
          </cell>
          <cell r="U1702">
            <v>1599670.72</v>
          </cell>
          <cell r="V1702">
            <v>1631120.287</v>
          </cell>
          <cell r="W1702">
            <v>1661948.257</v>
          </cell>
          <cell r="X1702">
            <v>1692501.389</v>
          </cell>
          <cell r="Y1702">
            <v>1723134.885</v>
          </cell>
          <cell r="Z1702">
            <v>1753501.7949999999</v>
          </cell>
          <cell r="AA1702">
            <v>1784757.6540000001</v>
          </cell>
          <cell r="AB1702">
            <v>1817140.659</v>
          </cell>
          <cell r="AC1702">
            <v>1851013.2560000001</v>
          </cell>
          <cell r="AD1702">
            <v>1886646.0009999999</v>
          </cell>
          <cell r="AE1702">
            <v>1922324.703</v>
          </cell>
          <cell r="AF1702">
            <v>1959726.1329999999</v>
          </cell>
          <cell r="AG1702">
            <v>1999030.3459999999</v>
          </cell>
          <cell r="AH1702">
            <v>2040781.74</v>
          </cell>
          <cell r="AI1702">
            <v>2085489.213</v>
          </cell>
          <cell r="AJ1702">
            <v>2133382.5060000001</v>
          </cell>
          <cell r="AK1702">
            <v>2184370.6749999998</v>
          </cell>
          <cell r="AL1702">
            <v>2238231.2140000002</v>
          </cell>
          <cell r="AM1702">
            <v>2294845.48</v>
          </cell>
          <cell r="AN1702">
            <v>2354157.6779999998</v>
          </cell>
          <cell r="AO1702">
            <v>2416198.0010000002</v>
          </cell>
        </row>
        <row r="1731">
          <cell r="F1731">
            <v>1202789.014</v>
          </cell>
          <cell r="G1731">
            <v>1220397.4890000001</v>
          </cell>
          <cell r="H1731">
            <v>1240919.308</v>
          </cell>
          <cell r="I1731">
            <v>1263569.8359999999</v>
          </cell>
          <cell r="J1731">
            <v>1287361.818</v>
          </cell>
          <cell r="K1731">
            <v>1311977.0630000001</v>
          </cell>
          <cell r="L1731">
            <v>1335837.54</v>
          </cell>
          <cell r="M1731">
            <v>1359122.2290000001</v>
          </cell>
          <cell r="N1731">
            <v>1382216.6810000001</v>
          </cell>
          <cell r="O1731">
            <v>1405464.2960000001</v>
          </cell>
          <cell r="P1731">
            <v>1429970.6</v>
          </cell>
          <cell r="Q1731">
            <v>1454798.4939999999</v>
          </cell>
          <cell r="R1731">
            <v>1480081.544</v>
          </cell>
          <cell r="S1731">
            <v>1505439.7919999999</v>
          </cell>
          <cell r="T1731">
            <v>1530496.9310000001</v>
          </cell>
          <cell r="U1731">
            <v>1555068.4140000001</v>
          </cell>
          <cell r="V1731">
            <v>1580059.7720000001</v>
          </cell>
          <cell r="W1731">
            <v>1605643.5589999999</v>
          </cell>
          <cell r="X1731">
            <v>1631834.4650000001</v>
          </cell>
          <cell r="Y1731">
            <v>1658671.7649999999</v>
          </cell>
          <cell r="Z1731">
            <v>1685637.351</v>
          </cell>
          <cell r="AA1731">
            <v>1713848.4790000001</v>
          </cell>
          <cell r="AB1731">
            <v>1743535.5090000001</v>
          </cell>
          <cell r="AC1731">
            <v>1774993.3319999999</v>
          </cell>
          <cell r="AD1731">
            <v>1808437.433</v>
          </cell>
          <cell r="AE1731">
            <v>1842177.412</v>
          </cell>
          <cell r="AF1731">
            <v>1878025.1370000001</v>
          </cell>
          <cell r="AG1731">
            <v>1916281.21</v>
          </cell>
          <cell r="AH1731">
            <v>1957309.294</v>
          </cell>
          <cell r="AI1731">
            <v>2001409.5109999999</v>
          </cell>
          <cell r="AJ1731">
            <v>2048642.493</v>
          </cell>
          <cell r="AK1731">
            <v>2098848.2349999999</v>
          </cell>
          <cell r="AL1731">
            <v>2151714.9029999999</v>
          </cell>
          <cell r="AM1731">
            <v>2206832.199</v>
          </cell>
          <cell r="AN1731">
            <v>2263729.2439999999</v>
          </cell>
          <cell r="AO1731">
            <v>2321895.804</v>
          </cell>
        </row>
        <row r="1760">
          <cell r="F1760">
            <v>1.0019287059999999</v>
          </cell>
          <cell r="G1760">
            <v>1.0209119040000001</v>
          </cell>
          <cell r="H1760">
            <v>1.039898405</v>
          </cell>
          <cell r="I1760">
            <v>1.0599435429999999</v>
          </cell>
          <cell r="J1760">
            <v>1.0784939929999999</v>
          </cell>
          <cell r="K1760">
            <v>1.0971250560000001</v>
          </cell>
          <cell r="L1760">
            <v>1.1160387810000001</v>
          </cell>
          <cell r="M1760">
            <v>1.145953939</v>
          </cell>
          <cell r="N1760">
            <v>1.17539463</v>
          </cell>
          <cell r="O1760">
            <v>1.207083474</v>
          </cell>
          <cell r="P1760">
            <v>1.2411289649999999</v>
          </cell>
          <cell r="Q1760">
            <v>1.2736639380000001</v>
          </cell>
          <cell r="R1760">
            <v>1.3057416479999999</v>
          </cell>
          <cell r="S1760">
            <v>1.3369923859999999</v>
          </cell>
          <cell r="T1760">
            <v>1.3671062650000001</v>
          </cell>
          <cell r="U1760">
            <v>1.3958420620000001</v>
          </cell>
          <cell r="V1760">
            <v>1.424346686</v>
          </cell>
          <cell r="W1760">
            <v>1.451663304</v>
          </cell>
          <cell r="X1760">
            <v>1.477632313</v>
          </cell>
          <cell r="Y1760">
            <v>1.502305462</v>
          </cell>
          <cell r="Z1760">
            <v>1.525873056</v>
          </cell>
          <cell r="AA1760">
            <v>1.548591061</v>
          </cell>
          <cell r="AB1760">
            <v>1.570762985</v>
          </cell>
          <cell r="AC1760">
            <v>1.592641091</v>
          </cell>
          <cell r="AD1760">
            <v>1.6145923719999999</v>
          </cell>
          <cell r="AE1760">
            <v>1.637078714</v>
          </cell>
          <cell r="AF1760">
            <v>1.6607680840000001</v>
          </cell>
          <cell r="AG1760">
            <v>1.68630619</v>
          </cell>
          <cell r="AH1760">
            <v>1.7139497699999999</v>
          </cell>
          <cell r="AI1760">
            <v>1.743856898</v>
          </cell>
          <cell r="AJ1760">
            <v>1.7761869210000001</v>
          </cell>
          <cell r="AK1760">
            <v>1.8112104769999999</v>
          </cell>
          <cell r="AL1760">
            <v>1.8491961809999999</v>
          </cell>
          <cell r="AM1760">
            <v>1.8902302040000001</v>
          </cell>
          <cell r="AN1760">
            <v>1.9344278210000001</v>
          </cell>
          <cell r="AO1760">
            <v>1.981978767</v>
          </cell>
        </row>
        <row r="1789">
          <cell r="F1789">
            <v>1.0019287059999999</v>
          </cell>
          <cell r="G1789">
            <v>1.0209119040000001</v>
          </cell>
          <cell r="H1789">
            <v>1.039898405</v>
          </cell>
          <cell r="I1789">
            <v>1.0599435420000001</v>
          </cell>
          <cell r="J1789">
            <v>1.0784939929999999</v>
          </cell>
          <cell r="K1789">
            <v>1.097125055</v>
          </cell>
          <cell r="L1789">
            <v>1.1169742030000001</v>
          </cell>
          <cell r="M1789">
            <v>1.137783481</v>
          </cell>
          <cell r="N1789">
            <v>1.159358393</v>
          </cell>
          <cell r="O1789">
            <v>1.181517994</v>
          </cell>
          <cell r="P1789">
            <v>1.2041245009999999</v>
          </cell>
          <cell r="Q1789">
            <v>1.226927866</v>
          </cell>
          <cell r="R1789">
            <v>1.249627399</v>
          </cell>
          <cell r="S1789">
            <v>1.271862939</v>
          </cell>
          <cell r="T1789">
            <v>1.293429036</v>
          </cell>
          <cell r="U1789">
            <v>1.3142356209999999</v>
          </cell>
          <cell r="V1789">
            <v>1.333160935</v>
          </cell>
          <cell r="W1789">
            <v>1.3505000579999999</v>
          </cell>
          <cell r="X1789">
            <v>1.3665865580000001</v>
          </cell>
          <cell r="Y1789">
            <v>1.381801619</v>
          </cell>
          <cell r="Z1789">
            <v>1.39655394</v>
          </cell>
          <cell r="AA1789">
            <v>1.411174114</v>
          </cell>
          <cell r="AB1789">
            <v>1.426034746</v>
          </cell>
          <cell r="AC1789">
            <v>1.441537466</v>
          </cell>
          <cell r="AD1789">
            <v>1.4581446899999999</v>
          </cell>
          <cell r="AE1789">
            <v>1.4763567150000001</v>
          </cell>
          <cell r="AF1789">
            <v>1.4965311880000001</v>
          </cell>
          <cell r="AG1789">
            <v>1.5190067009999999</v>
          </cell>
          <cell r="AH1789">
            <v>1.544089525</v>
          </cell>
          <cell r="AI1789">
            <v>1.5719021820000001</v>
          </cell>
          <cell r="AJ1789">
            <v>1.602511612</v>
          </cell>
          <cell r="AK1789">
            <v>1.6359148400000001</v>
          </cell>
          <cell r="AL1789">
            <v>1.6720521740000001</v>
          </cell>
          <cell r="AM1789">
            <v>1.710811963</v>
          </cell>
          <cell r="AN1789">
            <v>1.7520271270000001</v>
          </cell>
          <cell r="AO1789">
            <v>1.795475232</v>
          </cell>
        </row>
      </sheetData>
      <sheetData sheetId="7"/>
      <sheetData sheetId="8">
        <row r="820">
          <cell r="B820">
            <v>348.0186405</v>
          </cell>
          <cell r="C820">
            <v>347.12999430000002</v>
          </cell>
          <cell r="D820">
            <v>345.9605952</v>
          </cell>
          <cell r="E820">
            <v>344.35910669999998</v>
          </cell>
          <cell r="F820">
            <v>344.5774715</v>
          </cell>
          <cell r="G820">
            <v>346.16872840000002</v>
          </cell>
          <cell r="H820">
            <v>347.92632329999998</v>
          </cell>
          <cell r="I820">
            <v>349.72034289999999</v>
          </cell>
          <cell r="J820">
            <v>351.50164360000002</v>
          </cell>
          <cell r="K820">
            <v>353.28982330000002</v>
          </cell>
          <cell r="L820">
            <v>355.24887619999998</v>
          </cell>
          <cell r="M820">
            <v>357.20530939999998</v>
          </cell>
          <cell r="N820">
            <v>359.11797109999998</v>
          </cell>
          <cell r="O820">
            <v>360.80939890000002</v>
          </cell>
          <cell r="P820">
            <v>362.35975730000001</v>
          </cell>
          <cell r="Q820">
            <v>363.87801560000003</v>
          </cell>
          <cell r="R820">
            <v>365.97578479999999</v>
          </cell>
          <cell r="S820">
            <v>368.67938429999998</v>
          </cell>
          <cell r="T820">
            <v>371.98520710000003</v>
          </cell>
          <cell r="U820">
            <v>375.86559579999999</v>
          </cell>
          <cell r="V820">
            <v>380.21485749999999</v>
          </cell>
          <cell r="W820">
            <v>385.15684909999999</v>
          </cell>
          <cell r="X820">
            <v>390.70405970000002</v>
          </cell>
          <cell r="Y820">
            <v>396.88048500000002</v>
          </cell>
          <cell r="Z820">
            <v>403.68621189999999</v>
          </cell>
          <cell r="AA820">
            <v>410.86503329999999</v>
          </cell>
          <cell r="AB820">
            <v>418.67284890000002</v>
          </cell>
          <cell r="AC820">
            <v>427.1388177</v>
          </cell>
          <cell r="AD820">
            <v>436.27647080000003</v>
          </cell>
          <cell r="AE820">
            <v>446.02465369999999</v>
          </cell>
          <cell r="AF820">
            <v>456.27840359999999</v>
          </cell>
          <cell r="AG820">
            <v>466.93267020000002</v>
          </cell>
          <cell r="AH820">
            <v>477.8952453</v>
          </cell>
          <cell r="AI820">
            <v>489.07739299999997</v>
          </cell>
          <cell r="AJ820">
            <v>500.38850439999999</v>
          </cell>
          <cell r="AK820">
            <v>511.73421080000003</v>
          </cell>
        </row>
        <row r="821">
          <cell r="B821">
            <v>213.27374029999999</v>
          </cell>
          <cell r="C821">
            <v>213.29498029999999</v>
          </cell>
          <cell r="D821">
            <v>213.1396479</v>
          </cell>
          <cell r="E821">
            <v>212.50910189999999</v>
          </cell>
          <cell r="F821">
            <v>213.0467716</v>
          </cell>
          <cell r="G821">
            <v>214.54737539999999</v>
          </cell>
          <cell r="H821">
            <v>216.25429790000001</v>
          </cell>
          <cell r="I821">
            <v>217.999154</v>
          </cell>
          <cell r="J821">
            <v>219.7160533</v>
          </cell>
          <cell r="K821">
            <v>221.4112518</v>
          </cell>
          <cell r="L821">
            <v>223.19416390000001</v>
          </cell>
          <cell r="M821">
            <v>224.96714679999999</v>
          </cell>
          <cell r="N821">
            <v>226.68188649999999</v>
          </cell>
          <cell r="O821">
            <v>228.16708689999999</v>
          </cell>
          <cell r="P821">
            <v>229.50280810000001</v>
          </cell>
          <cell r="Q821">
            <v>230.79880220000001</v>
          </cell>
          <cell r="R821">
            <v>232.4929947</v>
          </cell>
          <cell r="S821">
            <v>234.6800753</v>
          </cell>
          <cell r="T821">
            <v>237.39874209999999</v>
          </cell>
          <cell r="U821">
            <v>240.64751179999999</v>
          </cell>
          <cell r="V821">
            <v>244.36775130000001</v>
          </cell>
          <cell r="W821">
            <v>248.6365102</v>
          </cell>
          <cell r="X821">
            <v>253.46502620000001</v>
          </cell>
          <cell r="Y821">
            <v>258.86596980000002</v>
          </cell>
          <cell r="Z821">
            <v>264.8353462</v>
          </cell>
          <cell r="AA821">
            <v>271.2125001</v>
          </cell>
          <cell r="AB821">
            <v>278.15849850000001</v>
          </cell>
          <cell r="AC821">
            <v>285.70516980000002</v>
          </cell>
          <cell r="AD821">
            <v>293.86376130000002</v>
          </cell>
          <cell r="AE821">
            <v>302.57216149999999</v>
          </cell>
          <cell r="AF821">
            <v>311.72819879999997</v>
          </cell>
          <cell r="AG821">
            <v>321.23425570000001</v>
          </cell>
          <cell r="AH821">
            <v>331.0072581</v>
          </cell>
          <cell r="AI821">
            <v>340.96842650000002</v>
          </cell>
          <cell r="AJ821">
            <v>351.03828199999998</v>
          </cell>
          <cell r="AK821">
            <v>361.13469809999998</v>
          </cell>
        </row>
        <row r="822">
          <cell r="B822">
            <v>2.7534944400000001E-2</v>
          </cell>
          <cell r="C822">
            <v>2.7853943799999999E-2</v>
          </cell>
          <cell r="D822">
            <v>2.82198756E-2</v>
          </cell>
          <cell r="E822">
            <v>2.8637517899999999E-2</v>
          </cell>
          <cell r="F822">
            <v>2.9095658699999999E-2</v>
          </cell>
          <cell r="G822">
            <v>2.9591995199999999E-2</v>
          </cell>
          <cell r="H822">
            <v>3.01031756E-2</v>
          </cell>
          <cell r="I822">
            <v>3.0621991000000001E-2</v>
          </cell>
          <cell r="J822">
            <v>3.1145997200000001E-2</v>
          </cell>
          <cell r="K822">
            <v>3.1675569100000002E-2</v>
          </cell>
          <cell r="L822">
            <v>3.2224504199999997E-2</v>
          </cell>
          <cell r="M822">
            <v>3.2779478500000001E-2</v>
          </cell>
          <cell r="N822">
            <v>3.3330219799999998E-2</v>
          </cell>
          <cell r="O822">
            <v>3.3849547100000002E-2</v>
          </cell>
          <cell r="P822">
            <v>3.4348544699999997E-2</v>
          </cell>
          <cell r="Q822">
            <v>3.4839739500000001E-2</v>
          </cell>
          <cell r="R822">
            <v>3.5347050400000003E-2</v>
          </cell>
          <cell r="S822">
            <v>3.5887710400000002E-2</v>
          </cell>
          <cell r="T822">
            <v>3.6472849699999997E-2</v>
          </cell>
          <cell r="U822">
            <v>3.71076277E-2</v>
          </cell>
          <cell r="V822">
            <v>3.7787804000000001E-2</v>
          </cell>
          <cell r="W822">
            <v>3.8528535000000003E-2</v>
          </cell>
          <cell r="X822">
            <v>3.9336187799999998E-2</v>
          </cell>
          <cell r="Y822">
            <v>4.0214818700000002E-2</v>
          </cell>
          <cell r="Z822">
            <v>4.1164555399999997E-2</v>
          </cell>
          <cell r="AA822">
            <v>4.2160412299999998E-2</v>
          </cell>
          <cell r="AB822">
            <v>4.3224351299999998E-2</v>
          </cell>
          <cell r="AC822">
            <v>4.4364149499999998E-2</v>
          </cell>
          <cell r="AD822">
            <v>4.5583142E-2</v>
          </cell>
          <cell r="AE822">
            <v>4.68742558E-2</v>
          </cell>
          <cell r="AF822">
            <v>4.8224726900000001E-2</v>
          </cell>
          <cell r="AG822">
            <v>4.9622332599999999E-2</v>
          </cell>
          <cell r="AH822">
            <v>5.1056406999999998E-2</v>
          </cell>
          <cell r="AI822">
            <v>5.2516389500000003E-2</v>
          </cell>
          <cell r="AJ822">
            <v>5.3991509399999998E-2</v>
          </cell>
          <cell r="AK822">
            <v>5.5470729099999998E-2</v>
          </cell>
        </row>
        <row r="823">
          <cell r="B823">
            <v>15.22687925</v>
          </cell>
          <cell r="C823">
            <v>15.432255290000001</v>
          </cell>
          <cell r="D823">
            <v>15.65779259</v>
          </cell>
          <cell r="E823">
            <v>15.89576795</v>
          </cell>
          <cell r="F823">
            <v>16.150066710000001</v>
          </cell>
          <cell r="G823">
            <v>16.42236999</v>
          </cell>
          <cell r="H823">
            <v>16.702208129999999</v>
          </cell>
          <cell r="I823">
            <v>16.98862299</v>
          </cell>
          <cell r="J823">
            <v>17.280413660000001</v>
          </cell>
          <cell r="K823">
            <v>17.577728050000001</v>
          </cell>
          <cell r="L823">
            <v>17.891373560000002</v>
          </cell>
          <cell r="M823">
            <v>18.20704023</v>
          </cell>
          <cell r="N823">
            <v>18.525494179999999</v>
          </cell>
          <cell r="O823">
            <v>18.837945189999999</v>
          </cell>
          <cell r="P823">
            <v>19.147979660000001</v>
          </cell>
          <cell r="Q823">
            <v>19.46123794</v>
          </cell>
          <cell r="R823">
            <v>19.787789</v>
          </cell>
          <cell r="S823">
            <v>20.13568033</v>
          </cell>
          <cell r="T823">
            <v>20.510014349999999</v>
          </cell>
          <cell r="U823">
            <v>20.91300116</v>
          </cell>
          <cell r="V823">
            <v>21.338680419999999</v>
          </cell>
          <cell r="W823">
            <v>21.79938293</v>
          </cell>
          <cell r="X823">
            <v>22.294039049999999</v>
          </cell>
          <cell r="Y823">
            <v>22.82354351</v>
          </cell>
          <cell r="Z823">
            <v>23.38775223</v>
          </cell>
          <cell r="AA823">
            <v>23.964954970000001</v>
          </cell>
          <cell r="AB823">
            <v>24.57830848</v>
          </cell>
          <cell r="AC823">
            <v>25.226252689999999</v>
          </cell>
          <cell r="AD823">
            <v>25.90950531</v>
          </cell>
          <cell r="AE823">
            <v>26.625551229999999</v>
          </cell>
          <cell r="AF823">
            <v>27.369829769999999</v>
          </cell>
          <cell r="AG823">
            <v>28.138073370000001</v>
          </cell>
          <cell r="AH823">
            <v>28.926907400000001</v>
          </cell>
          <cell r="AI823">
            <v>29.733320750000001</v>
          </cell>
          <cell r="AJ823">
            <v>30.554362319999999</v>
          </cell>
          <cell r="AK823">
            <v>31.3869726</v>
          </cell>
        </row>
        <row r="824">
          <cell r="B824">
            <v>119.490486</v>
          </cell>
          <cell r="C824">
            <v>118.3749048</v>
          </cell>
          <cell r="D824">
            <v>117.1349348</v>
          </cell>
          <cell r="E824">
            <v>115.9255994</v>
          </cell>
          <cell r="F824">
            <v>115.35153750000001</v>
          </cell>
          <cell r="G824">
            <v>115.169391</v>
          </cell>
          <cell r="H824">
            <v>114.939714</v>
          </cell>
          <cell r="I824">
            <v>114.7019439</v>
          </cell>
          <cell r="J824">
            <v>114.4740307</v>
          </cell>
          <cell r="K824">
            <v>114.2691679</v>
          </cell>
          <cell r="L824">
            <v>114.1311142</v>
          </cell>
          <cell r="M824">
            <v>113.9983428</v>
          </cell>
          <cell r="N824">
            <v>113.87726019999999</v>
          </cell>
          <cell r="O824">
            <v>113.77051729999999</v>
          </cell>
          <cell r="P824">
            <v>113.674621</v>
          </cell>
          <cell r="Q824">
            <v>113.5831357</v>
          </cell>
          <cell r="R824">
            <v>113.6596541</v>
          </cell>
          <cell r="S824">
            <v>113.82774089999999</v>
          </cell>
          <cell r="T824">
            <v>114.0399778</v>
          </cell>
          <cell r="U824">
            <v>114.2679752</v>
          </cell>
          <cell r="V824">
            <v>114.47063799999999</v>
          </cell>
          <cell r="W824">
            <v>114.68242739999999</v>
          </cell>
          <cell r="X824">
            <v>114.9056582</v>
          </cell>
          <cell r="Y824">
            <v>115.1507569</v>
          </cell>
          <cell r="Z824">
            <v>115.421949</v>
          </cell>
          <cell r="AA824">
            <v>115.6454178</v>
          </cell>
          <cell r="AB824">
            <v>115.89281750000001</v>
          </cell>
          <cell r="AC824">
            <v>116.1630311</v>
          </cell>
          <cell r="AD824">
            <v>116.457621</v>
          </cell>
          <cell r="AE824">
            <v>116.78006670000001</v>
          </cell>
          <cell r="AF824">
            <v>117.13215030000001</v>
          </cell>
          <cell r="AG824">
            <v>117.51071880000001</v>
          </cell>
          <cell r="AH824">
            <v>117.91002349999999</v>
          </cell>
          <cell r="AI824">
            <v>118.3231294</v>
          </cell>
          <cell r="AJ824">
            <v>118.7418685</v>
          </cell>
          <cell r="AK824">
            <v>119.1570694</v>
          </cell>
        </row>
        <row r="825">
          <cell r="B825">
            <v>348.01866310000003</v>
          </cell>
          <cell r="C825">
            <v>347.13001630000002</v>
          </cell>
          <cell r="D825">
            <v>345.96061659999998</v>
          </cell>
          <cell r="E825">
            <v>344.35912739999998</v>
          </cell>
          <cell r="F825">
            <v>344.57749189999998</v>
          </cell>
          <cell r="G825">
            <v>346.16874860000001</v>
          </cell>
          <cell r="H825">
            <v>348.70130710000001</v>
          </cell>
          <cell r="I825">
            <v>337.30918020000001</v>
          </cell>
          <cell r="J825">
            <v>325.61488789999999</v>
          </cell>
          <cell r="K825">
            <v>315.10348670000002</v>
          </cell>
          <cell r="L825">
            <v>305.28161669999997</v>
          </cell>
          <cell r="M825">
            <v>296.7859393</v>
          </cell>
          <cell r="N825">
            <v>289.0922127</v>
          </cell>
          <cell r="O825">
            <v>281.82070520000002</v>
          </cell>
          <cell r="P825">
            <v>274.91570100000001</v>
          </cell>
          <cell r="Q825">
            <v>268.32461380000001</v>
          </cell>
          <cell r="R825">
            <v>261.59106459999998</v>
          </cell>
          <cell r="S825">
            <v>254.86074819999999</v>
          </cell>
          <cell r="T825">
            <v>248.2264586</v>
          </cell>
          <cell r="U825">
            <v>241.73864309999999</v>
          </cell>
          <cell r="V825">
            <v>235.37436500000001</v>
          </cell>
          <cell r="W825">
            <v>229.237133</v>
          </cell>
          <cell r="X825">
            <v>223.32188439999999</v>
          </cell>
          <cell r="Y825">
            <v>217.60745349999999</v>
          </cell>
          <cell r="Z825">
            <v>212.0539058</v>
          </cell>
          <cell r="AA825">
            <v>206.48555350000001</v>
          </cell>
          <cell r="AB825">
            <v>201.0132648</v>
          </cell>
          <cell r="AC825">
            <v>195.6176111</v>
          </cell>
          <cell r="AD825">
            <v>190.2404037</v>
          </cell>
          <cell r="AE825">
            <v>184.77860390000001</v>
          </cell>
          <cell r="AF825">
            <v>179.11036469999999</v>
          </cell>
          <cell r="AG825">
            <v>173.12295700000001</v>
          </cell>
          <cell r="AH825">
            <v>166.70855589999999</v>
          </cell>
          <cell r="AI825">
            <v>159.7428702</v>
          </cell>
          <cell r="AJ825">
            <v>152.0770368</v>
          </cell>
          <cell r="AK825">
            <v>143.5138044</v>
          </cell>
        </row>
        <row r="826">
          <cell r="B826">
            <v>213.2737558</v>
          </cell>
          <cell r="C826">
            <v>213.2949955</v>
          </cell>
          <cell r="D826">
            <v>213.1396628</v>
          </cell>
          <cell r="E826">
            <v>212.50911629999999</v>
          </cell>
          <cell r="F826">
            <v>213.04678569999999</v>
          </cell>
          <cell r="G826">
            <v>214.54738939999999</v>
          </cell>
          <cell r="H826">
            <v>216.7580591</v>
          </cell>
          <cell r="I826">
            <v>209.66367650000001</v>
          </cell>
          <cell r="J826">
            <v>202.25652529999999</v>
          </cell>
          <cell r="K826">
            <v>196.01120449999999</v>
          </cell>
          <cell r="L826">
            <v>190.42469270000001</v>
          </cell>
          <cell r="M826">
            <v>185.84922259999999</v>
          </cell>
          <cell r="N826">
            <v>181.84641569999999</v>
          </cell>
          <cell r="O826">
            <v>178.0712748</v>
          </cell>
          <cell r="P826">
            <v>174.4896766</v>
          </cell>
          <cell r="Q826">
            <v>171.07538289999999</v>
          </cell>
          <cell r="R826">
            <v>167.51417810000001</v>
          </cell>
          <cell r="S826">
            <v>163.92027920000001</v>
          </cell>
          <cell r="T826">
            <v>160.3730353</v>
          </cell>
          <cell r="U826">
            <v>156.91375500000001</v>
          </cell>
          <cell r="V826">
            <v>153.53494130000001</v>
          </cell>
          <cell r="W826">
            <v>150.29426760000001</v>
          </cell>
          <cell r="X826">
            <v>147.19338930000001</v>
          </cell>
          <cell r="Y826">
            <v>144.21132660000001</v>
          </cell>
          <cell r="Z826">
            <v>141.30721679999999</v>
          </cell>
          <cell r="AA826">
            <v>138.3643107</v>
          </cell>
          <cell r="AB826">
            <v>135.43086360000001</v>
          </cell>
          <cell r="AC826">
            <v>132.48876559999999</v>
          </cell>
          <cell r="AD826">
            <v>129.4812728</v>
          </cell>
          <cell r="AE826">
            <v>126.3095457</v>
          </cell>
          <cell r="AF826">
            <v>122.8576982</v>
          </cell>
          <cell r="AG826">
            <v>119.0179428</v>
          </cell>
          <cell r="AH826">
            <v>114.6848433</v>
          </cell>
          <cell r="AI826">
            <v>109.73349709999999</v>
          </cell>
          <cell r="AJ826">
            <v>104.0096399</v>
          </cell>
          <cell r="AK826">
            <v>97.303404830000005</v>
          </cell>
        </row>
        <row r="827">
          <cell r="B827">
            <v>2.7534944400000001E-2</v>
          </cell>
          <cell r="C827">
            <v>2.7853943799999999E-2</v>
          </cell>
          <cell r="D827">
            <v>2.82198756E-2</v>
          </cell>
          <cell r="E827">
            <v>2.8637517899999999E-2</v>
          </cell>
          <cell r="F827">
            <v>2.9095658699999999E-2</v>
          </cell>
          <cell r="G827">
            <v>2.9591995199999999E-2</v>
          </cell>
          <cell r="H827">
            <v>3.0113441099999999E-2</v>
          </cell>
          <cell r="I827">
            <v>3.0540488300000002E-2</v>
          </cell>
          <cell r="J827">
            <v>3.0955726199999999E-2</v>
          </cell>
          <cell r="K827">
            <v>3.1506444500000001E-2</v>
          </cell>
          <cell r="L827">
            <v>3.2091050199999999E-2</v>
          </cell>
          <cell r="M827">
            <v>3.2674880900000002E-2</v>
          </cell>
          <cell r="N827">
            <v>3.3247895499999999E-2</v>
          </cell>
          <cell r="O827">
            <v>3.3791045700000001E-2</v>
          </cell>
          <cell r="P827">
            <v>3.4323328600000001E-2</v>
          </cell>
          <cell r="Q827">
            <v>3.4855724099999999E-2</v>
          </cell>
          <cell r="R827">
            <v>3.5400889099999999E-2</v>
          </cell>
          <cell r="S827">
            <v>3.5960884300000003E-2</v>
          </cell>
          <cell r="T827">
            <v>3.6546032300000003E-2</v>
          </cell>
          <cell r="U827">
            <v>3.7164840800000001E-2</v>
          </cell>
          <cell r="V827">
            <v>3.7817068600000003E-2</v>
          </cell>
          <cell r="W827">
            <v>3.8521383200000002E-2</v>
          </cell>
          <cell r="X827">
            <v>3.9287235099999998E-2</v>
          </cell>
          <cell r="Y827">
            <v>4.0121490599999997E-2</v>
          </cell>
          <cell r="Z827">
            <v>4.1026845899999997E-2</v>
          </cell>
          <cell r="AA827">
            <v>4.1980126299999997E-2</v>
          </cell>
          <cell r="AB827">
            <v>4.2997305399999998E-2</v>
          </cell>
          <cell r="AC827">
            <v>4.4094951100000002E-2</v>
          </cell>
          <cell r="AD827">
            <v>4.5279679400000002E-2</v>
          </cell>
          <cell r="AE827">
            <v>4.6548380200000003E-2</v>
          </cell>
          <cell r="AF827">
            <v>4.7892315300000002E-2</v>
          </cell>
          <cell r="AG827">
            <v>4.9302952099999998E-2</v>
          </cell>
          <cell r="AH827">
            <v>5.07735359E-2</v>
          </cell>
          <cell r="AI827">
            <v>5.2298311799999997E-2</v>
          </cell>
          <cell r="AJ827">
            <v>5.38726619E-2</v>
          </cell>
          <cell r="AK827">
            <v>5.54936626E-2</v>
          </cell>
        </row>
        <row r="828">
          <cell r="B828">
            <v>15.22687925</v>
          </cell>
          <cell r="C828">
            <v>15.432255290000001</v>
          </cell>
          <cell r="D828">
            <v>15.65779259</v>
          </cell>
          <cell r="E828">
            <v>15.895767940000001</v>
          </cell>
          <cell r="F828">
            <v>16.150066710000001</v>
          </cell>
          <cell r="G828">
            <v>16.42236999</v>
          </cell>
          <cell r="H828">
            <v>16.70630826</v>
          </cell>
          <cell r="I828">
            <v>16.933792740000001</v>
          </cell>
          <cell r="J828">
            <v>17.139605490000001</v>
          </cell>
          <cell r="K828">
            <v>17.380146539999998</v>
          </cell>
          <cell r="L828">
            <v>17.6407755</v>
          </cell>
          <cell r="M828">
            <v>17.907961050000001</v>
          </cell>
          <cell r="N828">
            <v>18.183001239999999</v>
          </cell>
          <cell r="O828">
            <v>18.460327929999998</v>
          </cell>
          <cell r="P828">
            <v>18.745400320000002</v>
          </cell>
          <cell r="Q828">
            <v>19.042738320000002</v>
          </cell>
          <cell r="R828">
            <v>19.35472407</v>
          </cell>
          <cell r="S828">
            <v>19.678783979999999</v>
          </cell>
          <cell r="T828">
            <v>20.01906735</v>
          </cell>
          <cell r="U828">
            <v>20.379999909999999</v>
          </cell>
          <cell r="V828">
            <v>20.758744839999999</v>
          </cell>
          <cell r="W828">
            <v>21.17065925</v>
          </cell>
          <cell r="X828">
            <v>21.617276530000002</v>
          </cell>
          <cell r="Y828">
            <v>22.1015519</v>
          </cell>
          <cell r="Z828">
            <v>22.625393970000001</v>
          </cell>
          <cell r="AA828">
            <v>23.169379719999998</v>
          </cell>
          <cell r="AB828">
            <v>23.756176150000002</v>
          </cell>
          <cell r="AC828">
            <v>24.389923199999998</v>
          </cell>
          <cell r="AD828">
            <v>25.074378100000001</v>
          </cell>
          <cell r="AE828">
            <v>25.811018659999998</v>
          </cell>
          <cell r="AF828">
            <v>26.600596769999999</v>
          </cell>
          <cell r="AG828">
            <v>27.445839320000001</v>
          </cell>
          <cell r="AH828">
            <v>28.352439189999998</v>
          </cell>
          <cell r="AI828">
            <v>29.32905543</v>
          </cell>
          <cell r="AJ828">
            <v>30.38920594</v>
          </cell>
          <cell r="AK828">
            <v>31.554238260000002</v>
          </cell>
        </row>
        <row r="829">
          <cell r="B829">
            <v>119.49049309999999</v>
          </cell>
          <cell r="C829">
            <v>118.3749116</v>
          </cell>
          <cell r="D829">
            <v>117.13494129999999</v>
          </cell>
          <cell r="E829">
            <v>115.92560570000001</v>
          </cell>
          <cell r="F829">
            <v>115.3515438</v>
          </cell>
          <cell r="G829">
            <v>115.16939720000001</v>
          </cell>
          <cell r="H829">
            <v>115.2068263</v>
          </cell>
          <cell r="I829">
            <v>110.6811704</v>
          </cell>
          <cell r="J829">
            <v>106.1878014</v>
          </cell>
          <cell r="K829">
            <v>101.6806292</v>
          </cell>
          <cell r="L829">
            <v>97.184057449999997</v>
          </cell>
          <cell r="M829">
            <v>92.996080770000006</v>
          </cell>
          <cell r="N829">
            <v>89.029547890000003</v>
          </cell>
          <cell r="O829">
            <v>85.255311410000004</v>
          </cell>
          <cell r="P829">
            <v>81.646300749999995</v>
          </cell>
          <cell r="Q829">
            <v>78.17163687</v>
          </cell>
          <cell r="R829">
            <v>74.686761610000005</v>
          </cell>
          <cell r="S829">
            <v>71.22572418</v>
          </cell>
          <cell r="T829">
            <v>67.797809869999995</v>
          </cell>
          <cell r="U829">
            <v>64.407723379999993</v>
          </cell>
          <cell r="V829">
            <v>61.042861709999997</v>
          </cell>
          <cell r="W829">
            <v>57.733684750000002</v>
          </cell>
          <cell r="X829">
            <v>54.471931320000003</v>
          </cell>
          <cell r="Y829">
            <v>51.254453439999999</v>
          </cell>
          <cell r="Z829">
            <v>48.080268119999999</v>
          </cell>
          <cell r="AA829">
            <v>44.909883000000001</v>
          </cell>
          <cell r="AB829">
            <v>41.783227750000002</v>
          </cell>
          <cell r="AC829">
            <v>38.6948273</v>
          </cell>
          <cell r="AD829">
            <v>35.639473160000001</v>
          </cell>
          <cell r="AE829">
            <v>32.61149116</v>
          </cell>
          <cell r="AF829">
            <v>29.60417739</v>
          </cell>
          <cell r="AG829">
            <v>26.609871989999998</v>
          </cell>
          <cell r="AH829">
            <v>23.62049983</v>
          </cell>
          <cell r="AI829">
            <v>20.628019340000002</v>
          </cell>
          <cell r="AJ829">
            <v>17.624318299999999</v>
          </cell>
          <cell r="AK829">
            <v>14.600667639999999</v>
          </cell>
        </row>
        <row r="830">
          <cell r="A830" t="str">
            <v>ems_ci_co2_sagr_2</v>
          </cell>
          <cell r="B830">
            <v>14.16949179</v>
          </cell>
          <cell r="C830">
            <v>14.231524609999999</v>
          </cell>
          <cell r="D830">
            <v>14.29617243</v>
          </cell>
          <cell r="E830">
            <v>14.35328851</v>
          </cell>
          <cell r="F830">
            <v>14.4696351</v>
          </cell>
          <cell r="G830">
            <v>14.637243310000001</v>
          </cell>
          <cell r="H830">
            <v>14.839119050000001</v>
          </cell>
          <cell r="I830">
            <v>14.28952962</v>
          </cell>
          <cell r="J830">
            <v>13.686056560000001</v>
          </cell>
          <cell r="K830">
            <v>13.12865568</v>
          </cell>
          <cell r="L830">
            <v>12.596649920000001</v>
          </cell>
          <cell r="M830">
            <v>12.12246036</v>
          </cell>
          <cell r="N830">
            <v>11.685177810000001</v>
          </cell>
          <cell r="O830">
            <v>11.265071880000001</v>
          </cell>
          <cell r="P830">
            <v>10.85848157</v>
          </cell>
          <cell r="Q830">
            <v>10.462498480000001</v>
          </cell>
          <cell r="R830">
            <v>10.060588660000001</v>
          </cell>
          <cell r="S830">
            <v>9.6567937819999994</v>
          </cell>
          <cell r="T830">
            <v>9.2555006859999995</v>
          </cell>
          <cell r="U830">
            <v>8.8591623639999995</v>
          </cell>
          <cell r="V830">
            <v>8.4672453959999991</v>
          </cell>
          <cell r="W830">
            <v>8.082039945</v>
          </cell>
          <cell r="X830">
            <v>7.7032081720000001</v>
          </cell>
          <cell r="Y830">
            <v>7.3289490260000001</v>
          </cell>
          <cell r="Z830">
            <v>6.9562247690000003</v>
          </cell>
          <cell r="AA830">
            <v>6.5779556780000004</v>
          </cell>
          <cell r="AB830">
            <v>6.1926096729999998</v>
          </cell>
          <cell r="AC830">
            <v>5.7981276900000003</v>
          </cell>
          <cell r="AD830">
            <v>5.3899026689999996</v>
          </cell>
          <cell r="AE830">
            <v>4.9613295199999996</v>
          </cell>
          <cell r="AF830">
            <v>4.5048428219999996</v>
          </cell>
          <cell r="AG830">
            <v>4.0126793120000004</v>
          </cell>
          <cell r="AH830">
            <v>3.4767695289999998</v>
          </cell>
          <cell r="AI830">
            <v>2.888256567</v>
          </cell>
          <cell r="AJ830">
            <v>2.237022074</v>
          </cell>
          <cell r="AK830">
            <v>1.5108841159999999</v>
          </cell>
        </row>
        <row r="832">
          <cell r="A832" t="str">
            <v>ems_ci_co2_sfor_2</v>
          </cell>
          <cell r="B832">
            <v>0.53965023629999997</v>
          </cell>
          <cell r="C832">
            <v>0.53044265879999997</v>
          </cell>
          <cell r="D832">
            <v>0.5197009574</v>
          </cell>
          <cell r="E832">
            <v>0.50759111099999998</v>
          </cell>
          <cell r="F832">
            <v>0.49969876219999998</v>
          </cell>
          <cell r="G832">
            <v>0.49501827409999999</v>
          </cell>
          <cell r="H832">
            <v>0.4923326871</v>
          </cell>
          <cell r="I832">
            <v>0.46003178500000003</v>
          </cell>
          <cell r="J832">
            <v>0.42589400820000001</v>
          </cell>
          <cell r="K832">
            <v>0.39301448430000002</v>
          </cell>
          <cell r="L832">
            <v>0.36134336690000002</v>
          </cell>
          <cell r="M832">
            <v>0.33383036049999998</v>
          </cell>
          <cell r="N832">
            <v>0.30975977339999999</v>
          </cell>
          <cell r="O832">
            <v>0.28852252649999999</v>
          </cell>
          <cell r="P832">
            <v>0.2698483545</v>
          </cell>
          <cell r="Q832">
            <v>0.25338842890000002</v>
          </cell>
          <cell r="R832">
            <v>0.23744544009999999</v>
          </cell>
          <cell r="S832">
            <v>0.22251779860000001</v>
          </cell>
          <cell r="T832">
            <v>0.20867055470000001</v>
          </cell>
          <cell r="U832">
            <v>0.19587423000000001</v>
          </cell>
          <cell r="V832">
            <v>0.1840220186</v>
          </cell>
          <cell r="W832">
            <v>0.1731405758</v>
          </cell>
          <cell r="X832">
            <v>0.16314875619999999</v>
          </cell>
          <cell r="Y832">
            <v>0.1539455907</v>
          </cell>
          <cell r="Z832">
            <v>0.14542194559999999</v>
          </cell>
          <cell r="AA832">
            <v>0.13735637040000001</v>
          </cell>
          <cell r="AB832">
            <v>0.12986402359999999</v>
          </cell>
          <cell r="AC832">
            <v>0.12278692870000001</v>
          </cell>
          <cell r="AD832">
            <v>0.11599673200000001</v>
          </cell>
          <cell r="AE832">
            <v>0.10934686759999999</v>
          </cell>
          <cell r="AF832">
            <v>0.102686417</v>
          </cell>
          <cell r="AG832">
            <v>9.5873179200000005E-2</v>
          </cell>
          <cell r="AH832">
            <v>8.8763795100000001E-2</v>
          </cell>
          <cell r="AI832">
            <v>8.1193979099999994E-2</v>
          </cell>
          <cell r="AJ832">
            <v>7.2962460399999998E-2</v>
          </cell>
          <cell r="AK832">
            <v>6.3800413200000003E-2</v>
          </cell>
        </row>
        <row r="834">
          <cell r="A834" t="str">
            <v>ems_ci_co2_sfoo_2</v>
          </cell>
          <cell r="B834">
            <v>8.6183733500000006</v>
          </cell>
          <cell r="C834">
            <v>8.5640454179999992</v>
          </cell>
          <cell r="D834">
            <v>8.5042083480000006</v>
          </cell>
          <cell r="E834">
            <v>8.4237236909999993</v>
          </cell>
          <cell r="F834">
            <v>8.4083141959999992</v>
          </cell>
          <cell r="G834">
            <v>8.4438744089999993</v>
          </cell>
          <cell r="H834">
            <v>8.5225389299999996</v>
          </cell>
          <cell r="I834">
            <v>8.1257382549999999</v>
          </cell>
          <cell r="J834">
            <v>7.6988976530000004</v>
          </cell>
          <cell r="K834">
            <v>7.3047689279999997</v>
          </cell>
          <cell r="L834">
            <v>6.9432916459999996</v>
          </cell>
          <cell r="M834">
            <v>6.6514410939999999</v>
          </cell>
          <cell r="N834">
            <v>6.40694754</v>
          </cell>
          <cell r="O834">
            <v>6.1911001749999999</v>
          </cell>
          <cell r="P834">
            <v>5.9952467389999997</v>
          </cell>
          <cell r="Q834">
            <v>5.813724391</v>
          </cell>
          <cell r="R834">
            <v>5.6258713519999999</v>
          </cell>
          <cell r="S834">
            <v>5.4362032429999996</v>
          </cell>
          <cell r="T834">
            <v>5.249196617</v>
          </cell>
          <cell r="U834">
            <v>5.0679026939999998</v>
          </cell>
          <cell r="V834">
            <v>4.8930773380000003</v>
          </cell>
          <cell r="W834">
            <v>4.7273514209999998</v>
          </cell>
          <cell r="X834">
            <v>4.5711604919999997</v>
          </cell>
          <cell r="Y834">
            <v>4.4240860279999996</v>
          </cell>
          <cell r="Z834">
            <v>4.2850493180000004</v>
          </cell>
          <cell r="AA834">
            <v>4.1499484549999996</v>
          </cell>
          <cell r="AB834">
            <v>4.0190245090000003</v>
          </cell>
          <cell r="AC834">
            <v>3.8917183180000001</v>
          </cell>
          <cell r="AD834">
            <v>3.7658118819999999</v>
          </cell>
          <cell r="AE834">
            <v>3.637867054</v>
          </cell>
          <cell r="AF834">
            <v>3.5036885710000001</v>
          </cell>
          <cell r="AG834">
            <v>3.3587346949999999</v>
          </cell>
          <cell r="AH834">
            <v>3.1980081829999998</v>
          </cell>
          <cell r="AI834">
            <v>3.0156398059999998</v>
          </cell>
          <cell r="AJ834">
            <v>2.8045494789999998</v>
          </cell>
          <cell r="AK834">
            <v>2.555740031</v>
          </cell>
        </row>
        <row r="836">
          <cell r="A836" t="str">
            <v>ems_ci_co2_sveh_2</v>
          </cell>
          <cell r="B836">
            <v>1.1119214820000001</v>
          </cell>
          <cell r="C836">
            <v>1.0972393739999999</v>
          </cell>
          <cell r="D836">
            <v>1.073355287</v>
          </cell>
          <cell r="E836">
            <v>1.0388343870000001</v>
          </cell>
          <cell r="F836">
            <v>1.0119011099999999</v>
          </cell>
          <cell r="G836">
            <v>0.99367972689999995</v>
          </cell>
          <cell r="H836">
            <v>0.98538283459999998</v>
          </cell>
          <cell r="I836">
            <v>0.90154812910000004</v>
          </cell>
          <cell r="J836">
            <v>0.80917929580000003</v>
          </cell>
          <cell r="K836">
            <v>0.72507432689999995</v>
          </cell>
          <cell r="L836">
            <v>0.64579303789999998</v>
          </cell>
          <cell r="M836">
            <v>0.57833209659999996</v>
          </cell>
          <cell r="N836">
            <v>0.51979973980000005</v>
          </cell>
          <cell r="O836">
            <v>0.46788456579999999</v>
          </cell>
          <cell r="P836">
            <v>0.42224759789999999</v>
          </cell>
          <cell r="Q836">
            <v>0.38228215589999998</v>
          </cell>
          <cell r="R836">
            <v>0.34478295060000003</v>
          </cell>
          <cell r="S836">
            <v>0.3105660294</v>
          </cell>
          <cell r="T836">
            <v>0.27989145770000001</v>
          </cell>
          <cell r="U836">
            <v>0.2528216331</v>
          </cell>
          <cell r="V836">
            <v>0.2293030918</v>
          </cell>
          <cell r="W836">
            <v>0.2091894936</v>
          </cell>
          <cell r="X836">
            <v>0.19221352689999999</v>
          </cell>
          <cell r="Y836">
            <v>0.1779891887</v>
          </cell>
          <cell r="Z836">
            <v>0.1661235469</v>
          </cell>
          <cell r="AA836">
            <v>0.15625166639999999</v>
          </cell>
          <cell r="AB836">
            <v>0.14825339900000001</v>
          </cell>
          <cell r="AC836">
            <v>0.1417781075</v>
          </cell>
          <cell r="AD836">
            <v>0.13637289969999999</v>
          </cell>
          <cell r="AE836">
            <v>0.1314619484</v>
          </cell>
          <cell r="AF836">
            <v>0.12644502320000001</v>
          </cell>
          <cell r="AG836">
            <v>0.1207510103</v>
          </cell>
          <cell r="AH836">
            <v>0.11376345359999999</v>
          </cell>
          <cell r="AI836">
            <v>0.104697948</v>
          </cell>
          <cell r="AJ836">
            <v>9.2555536800000004E-2</v>
          </cell>
          <cell r="AK836">
            <v>7.6008816500000007E-2</v>
          </cell>
        </row>
        <row r="838">
          <cell r="A838" t="str">
            <v>ems_ci_co2_sgla_2</v>
          </cell>
          <cell r="B838">
            <v>7.7695963629999998</v>
          </cell>
          <cell r="C838">
            <v>7.8041702339999999</v>
          </cell>
          <cell r="D838">
            <v>7.8369769480000002</v>
          </cell>
          <cell r="E838">
            <v>7.8555806989999999</v>
          </cell>
          <cell r="F838">
            <v>7.9083378250000003</v>
          </cell>
          <cell r="G838">
            <v>7.9917844139999996</v>
          </cell>
          <cell r="H838">
            <v>8.1003171250000001</v>
          </cell>
          <cell r="I838">
            <v>7.9122876929999997</v>
          </cell>
          <cell r="J838">
            <v>7.6885352859999996</v>
          </cell>
          <cell r="K838">
            <v>7.4839440799999997</v>
          </cell>
          <cell r="L838">
            <v>7.294490089</v>
          </cell>
          <cell r="M838">
            <v>7.1459496470000001</v>
          </cell>
          <cell r="N838">
            <v>7.0270825779999999</v>
          </cell>
          <cell r="O838">
            <v>6.9264499239999999</v>
          </cell>
          <cell r="P838">
            <v>6.8408462500000002</v>
          </cell>
          <cell r="Q838">
            <v>6.7681411699999998</v>
          </cell>
          <cell r="R838">
            <v>6.6955688169999998</v>
          </cell>
          <cell r="S838">
            <v>6.6233024059999996</v>
          </cell>
          <cell r="T838">
            <v>6.5546893739999996</v>
          </cell>
          <cell r="U838">
            <v>6.4924519570000001</v>
          </cell>
          <cell r="V838">
            <v>6.4375453079999998</v>
          </cell>
          <cell r="W838">
            <v>6.3927997080000001</v>
          </cell>
          <cell r="X838">
            <v>6.3595393729999996</v>
          </cell>
          <cell r="Y838">
            <v>6.3381463399999998</v>
          </cell>
          <cell r="Z838">
            <v>6.3283381729999997</v>
          </cell>
          <cell r="AA838">
            <v>6.3267629129999996</v>
          </cell>
          <cell r="AB838">
            <v>6.3343881639999999</v>
          </cell>
          <cell r="AC838">
            <v>6.3531479400000004</v>
          </cell>
          <cell r="AD838">
            <v>6.3827596179999997</v>
          </cell>
          <cell r="AE838">
            <v>6.421679149</v>
          </cell>
          <cell r="AF838">
            <v>6.4680194889999996</v>
          </cell>
          <cell r="AG838">
            <v>6.5205243719999997</v>
          </cell>
          <cell r="AH838">
            <v>6.5786379449999997</v>
          </cell>
          <cell r="AI838">
            <v>6.642114286</v>
          </cell>
          <cell r="AJ838">
            <v>6.711448216</v>
          </cell>
          <cell r="AK838">
            <v>6.7883560579999997</v>
          </cell>
        </row>
        <row r="840">
          <cell r="A840" t="str">
            <v>ems_ci_co2_spap_2</v>
          </cell>
          <cell r="B840">
            <v>2.533610962</v>
          </cell>
          <cell r="C840">
            <v>2.5420970760000001</v>
          </cell>
          <cell r="D840">
            <v>2.5493387940000001</v>
          </cell>
          <cell r="E840">
            <v>2.5500985489999999</v>
          </cell>
          <cell r="F840">
            <v>2.5642887550000002</v>
          </cell>
          <cell r="G840">
            <v>2.5885817649999998</v>
          </cell>
          <cell r="H840">
            <v>2.6217561539999998</v>
          </cell>
          <cell r="I840">
            <v>2.5364473009999999</v>
          </cell>
          <cell r="J840">
            <v>2.4449506269999999</v>
          </cell>
          <cell r="K840">
            <v>2.370332232</v>
          </cell>
          <cell r="L840">
            <v>2.302240624</v>
          </cell>
          <cell r="M840">
            <v>2.2483065569999998</v>
          </cell>
          <cell r="N840">
            <v>2.2019922780000001</v>
          </cell>
          <cell r="O840">
            <v>2.1585343930000001</v>
          </cell>
          <cell r="P840">
            <v>2.1181915870000001</v>
          </cell>
          <cell r="Q840">
            <v>2.081043491</v>
          </cell>
          <cell r="R840">
            <v>2.0409214279999999</v>
          </cell>
          <cell r="S840">
            <v>2.000648789</v>
          </cell>
          <cell r="T840">
            <v>1.961901136</v>
          </cell>
          <cell r="U840">
            <v>1.9255355510000001</v>
          </cell>
          <cell r="V840">
            <v>1.8917316749999999</v>
          </cell>
          <cell r="W840">
            <v>1.861171192</v>
          </cell>
          <cell r="X840">
            <v>1.834029401</v>
          </cell>
          <cell r="Y840">
            <v>1.8101651110000001</v>
          </cell>
          <cell r="Z840">
            <v>1.7891472690000001</v>
          </cell>
          <cell r="AA840">
            <v>1.769726956</v>
          </cell>
          <cell r="AB840">
            <v>1.752343888</v>
          </cell>
          <cell r="AC840">
            <v>1.736877633</v>
          </cell>
          <cell r="AD840">
            <v>1.7227947020000001</v>
          </cell>
          <cell r="AE840">
            <v>1.7089951839999999</v>
          </cell>
          <cell r="AF840">
            <v>1.6941825020000001</v>
          </cell>
          <cell r="AG840">
            <v>1.6772340960000001</v>
          </cell>
          <cell r="AH840">
            <v>1.657185406</v>
          </cell>
          <cell r="AI840">
            <v>1.6330374480000001</v>
          </cell>
          <cell r="AJ840">
            <v>1.603730943</v>
          </cell>
          <cell r="AK840">
            <v>1.56810301</v>
          </cell>
        </row>
        <row r="842">
          <cell r="A842" t="str">
            <v>ems_ci_co2_sche_2</v>
          </cell>
          <cell r="B842">
            <v>13.59787135</v>
          </cell>
          <cell r="C842">
            <v>13.7968312</v>
          </cell>
          <cell r="D842">
            <v>14.00395033</v>
          </cell>
          <cell r="E842">
            <v>14.209287079999999</v>
          </cell>
          <cell r="F842">
            <v>14.430439700000001</v>
          </cell>
          <cell r="G842">
            <v>14.667756539999999</v>
          </cell>
          <cell r="H842">
            <v>14.91731878</v>
          </cell>
          <cell r="I842">
            <v>14.83553895</v>
          </cell>
          <cell r="J842">
            <v>14.73041439</v>
          </cell>
          <cell r="K842">
            <v>14.72509065</v>
          </cell>
          <cell r="L842">
            <v>14.721477869999999</v>
          </cell>
          <cell r="M842">
            <v>14.7091525</v>
          </cell>
          <cell r="N842">
            <v>14.67283978</v>
          </cell>
          <cell r="O842">
            <v>14.601793280000001</v>
          </cell>
          <cell r="P842">
            <v>14.51813978</v>
          </cell>
          <cell r="Q842">
            <v>14.435484369999999</v>
          </cell>
          <cell r="R842">
            <v>14.36187893</v>
          </cell>
          <cell r="S842">
            <v>14.300248910000001</v>
          </cell>
          <cell r="T842">
            <v>14.25630307</v>
          </cell>
          <cell r="U842">
            <v>14.232211830000001</v>
          </cell>
          <cell r="V842">
            <v>14.22777537</v>
          </cell>
          <cell r="W842">
            <v>14.246744489999999</v>
          </cell>
          <cell r="X842">
            <v>14.29098125</v>
          </cell>
          <cell r="Y842">
            <v>14.36010415</v>
          </cell>
          <cell r="Z842">
            <v>14.451283330000001</v>
          </cell>
          <cell r="AA842">
            <v>14.55742994</v>
          </cell>
          <cell r="AB842">
            <v>14.68144932</v>
          </cell>
          <cell r="AC842">
            <v>14.82783777</v>
          </cell>
          <cell r="AD842">
            <v>14.994724959999999</v>
          </cell>
          <cell r="AE842">
            <v>15.173731500000001</v>
          </cell>
          <cell r="AF842">
            <v>15.354708499999999</v>
          </cell>
          <cell r="AG842">
            <v>15.530471179999999</v>
          </cell>
          <cell r="AH842">
            <v>15.696521369999999</v>
          </cell>
          <cell r="AI842">
            <v>15.848369030000001</v>
          </cell>
          <cell r="AJ842">
            <v>15.98168134</v>
          </cell>
          <cell r="AK842">
            <v>16.09247697</v>
          </cell>
        </row>
        <row r="844">
          <cell r="A844" t="str">
            <v>ems_ci_co2_spla_2</v>
          </cell>
          <cell r="B844">
            <v>1.4824302970000001</v>
          </cell>
          <cell r="C844">
            <v>1.4772242259999999</v>
          </cell>
          <cell r="D844">
            <v>1.469830312</v>
          </cell>
          <cell r="E844">
            <v>1.456122589</v>
          </cell>
          <cell r="F844">
            <v>1.4533507919999999</v>
          </cell>
          <cell r="G844">
            <v>1.459400375</v>
          </cell>
          <cell r="H844">
            <v>1.4726699080000001</v>
          </cell>
          <cell r="I844">
            <v>1.385907437</v>
          </cell>
          <cell r="J844">
            <v>1.296295551</v>
          </cell>
          <cell r="K844">
            <v>1.219850959</v>
          </cell>
          <cell r="L844">
            <v>1.1497502900000001</v>
          </cell>
          <cell r="M844">
            <v>1.0906391310000001</v>
          </cell>
          <cell r="N844">
            <v>1.0383919859999999</v>
          </cell>
          <cell r="O844">
            <v>0.98995516210000001</v>
          </cell>
          <cell r="P844">
            <v>0.94516227620000004</v>
          </cell>
          <cell r="Q844">
            <v>0.90369303420000002</v>
          </cell>
          <cell r="R844">
            <v>0.8621464727</v>
          </cell>
          <cell r="S844">
            <v>0.82154417390000001</v>
          </cell>
          <cell r="T844">
            <v>0.78247843149999996</v>
          </cell>
          <cell r="U844">
            <v>0.74517062850000004</v>
          </cell>
          <cell r="V844">
            <v>0.70960565740000003</v>
          </cell>
          <cell r="W844">
            <v>0.67580389730000001</v>
          </cell>
          <cell r="X844">
            <v>0.64363633239999996</v>
          </cell>
          <cell r="Y844">
            <v>0.61279410820000002</v>
          </cell>
          <cell r="Z844">
            <v>0.58284249899999996</v>
          </cell>
          <cell r="AA844">
            <v>0.55318510939999999</v>
          </cell>
          <cell r="AB844">
            <v>0.52357542560000003</v>
          </cell>
          <cell r="AC844">
            <v>0.49364064410000003</v>
          </cell>
          <cell r="AD844">
            <v>0.46278055229999998</v>
          </cell>
          <cell r="AE844">
            <v>0.43018134549999998</v>
          </cell>
          <cell r="AF844">
            <v>0.3949869594</v>
          </cell>
          <cell r="AG844">
            <v>0.35640108700000001</v>
          </cell>
          <cell r="AH844">
            <v>0.31362103460000001</v>
          </cell>
          <cell r="AI844">
            <v>0.26571739389999999</v>
          </cell>
          <cell r="AJ844">
            <v>0.21154715269999999</v>
          </cell>
          <cell r="AK844">
            <v>0.1495835002</v>
          </cell>
        </row>
        <row r="846">
          <cell r="A846" t="str">
            <v>ems_ci_co2_smet_2</v>
          </cell>
          <cell r="B846">
            <v>19.467183080000002</v>
          </cell>
          <cell r="C846">
            <v>19.469516500000001</v>
          </cell>
          <cell r="D846">
            <v>19.45654906</v>
          </cell>
          <cell r="E846">
            <v>19.363420489999999</v>
          </cell>
          <cell r="F846">
            <v>19.401941709999999</v>
          </cell>
          <cell r="G846">
            <v>19.541721160000002</v>
          </cell>
          <cell r="H846">
            <v>19.749482480000001</v>
          </cell>
          <cell r="I846">
            <v>19.065061440000001</v>
          </cell>
          <cell r="J846">
            <v>18.289874990000001</v>
          </cell>
          <cell r="K846">
            <v>17.648842670000001</v>
          </cell>
          <cell r="L846">
            <v>17.064566939999999</v>
          </cell>
          <cell r="M846">
            <v>16.631335709999998</v>
          </cell>
          <cell r="N846">
            <v>16.286954860000002</v>
          </cell>
          <cell r="O846">
            <v>15.987323050000001</v>
          </cell>
          <cell r="P846">
            <v>15.732629940000001</v>
          </cell>
          <cell r="Q846">
            <v>15.52252315</v>
          </cell>
          <cell r="R846">
            <v>15.30312994</v>
          </cell>
          <cell r="S846">
            <v>15.093944159999999</v>
          </cell>
          <cell r="T846">
            <v>14.908651020000001</v>
          </cell>
          <cell r="U846">
            <v>14.753597879999999</v>
          </cell>
          <cell r="V846">
            <v>14.63092136</v>
          </cell>
          <cell r="W846">
            <v>14.54424987</v>
          </cell>
          <cell r="X846">
            <v>14.49579437</v>
          </cell>
          <cell r="Y846">
            <v>14.485106</v>
          </cell>
          <cell r="Z846">
            <v>14.50952961</v>
          </cell>
          <cell r="AA846">
            <v>14.56302062</v>
          </cell>
          <cell r="AB846">
            <v>14.647092560000001</v>
          </cell>
          <cell r="AC846">
            <v>14.76530612</v>
          </cell>
          <cell r="AD846">
            <v>14.9157587</v>
          </cell>
          <cell r="AE846">
            <v>15.09141397</v>
          </cell>
          <cell r="AF846">
            <v>15.28407754</v>
          </cell>
          <cell r="AG846">
            <v>15.488438739999999</v>
          </cell>
          <cell r="AH846">
            <v>15.70190229</v>
          </cell>
          <cell r="AI846">
            <v>15.922468840000001</v>
          </cell>
          <cell r="AJ846">
            <v>16.149281599999998</v>
          </cell>
          <cell r="AK846">
            <v>16.383259349999999</v>
          </cell>
        </row>
        <row r="848">
          <cell r="A848" t="str">
            <v>ems_ci_co2_sigo_2</v>
          </cell>
          <cell r="B848">
            <v>1.216511809</v>
          </cell>
          <cell r="C848">
            <v>1.2243790939999999</v>
          </cell>
          <cell r="D848">
            <v>1.2290529189999999</v>
          </cell>
          <cell r="E848">
            <v>1.2282209340000001</v>
          </cell>
          <cell r="F848">
            <v>1.2327343770000001</v>
          </cell>
          <cell r="G848">
            <v>1.242035376</v>
          </cell>
          <cell r="H848">
            <v>1.256172042</v>
          </cell>
          <cell r="I848">
            <v>1.1935368129999999</v>
          </cell>
          <cell r="J848">
            <v>1.1280397579999999</v>
          </cell>
          <cell r="K848">
            <v>1.0742222459999999</v>
          </cell>
          <cell r="L848">
            <v>1.0230526259999999</v>
          </cell>
          <cell r="M848">
            <v>0.97883596640000003</v>
          </cell>
          <cell r="N848">
            <v>0.93765619379999998</v>
          </cell>
          <cell r="O848">
            <v>0.89721583130000004</v>
          </cell>
          <cell r="P848">
            <v>0.85847121459999998</v>
          </cell>
          <cell r="Q848">
            <v>0.82179807100000002</v>
          </cell>
          <cell r="R848">
            <v>0.78467744510000004</v>
          </cell>
          <cell r="S848">
            <v>0.74860145379999998</v>
          </cell>
          <cell r="T848">
            <v>0.71425726499999997</v>
          </cell>
          <cell r="U848">
            <v>0.6818528425</v>
          </cell>
          <cell r="V848">
            <v>0.6514388646</v>
          </cell>
          <cell r="W848">
            <v>0.62302822889999998</v>
          </cell>
          <cell r="X848">
            <v>0.59656269920000005</v>
          </cell>
          <cell r="Y848">
            <v>0.5717256355</v>
          </cell>
          <cell r="Z848">
            <v>0.54805442859999998</v>
          </cell>
          <cell r="AA848">
            <v>0.52506498440000005</v>
          </cell>
          <cell r="AB848">
            <v>0.5024134978</v>
          </cell>
          <cell r="AC848">
            <v>0.48000748139999999</v>
          </cell>
          <cell r="AD848">
            <v>0.45718332179999999</v>
          </cell>
          <cell r="AE848">
            <v>0.43294347059999999</v>
          </cell>
          <cell r="AF848">
            <v>0.4062396325</v>
          </cell>
          <cell r="AG848">
            <v>0.37614987830000002</v>
          </cell>
          <cell r="AH848">
            <v>0.34175874880000001</v>
          </cell>
          <cell r="AI848">
            <v>0.30195237660000002</v>
          </cell>
          <cell r="AJ848">
            <v>0.25538810779999999</v>
          </cell>
          <cell r="AK848">
            <v>0.2003970772</v>
          </cell>
        </row>
        <row r="850">
          <cell r="A850" t="str">
            <v>ems_ci_co2_scgo_2</v>
          </cell>
          <cell r="B850">
            <v>2.2734885010000001</v>
          </cell>
          <cell r="C850">
            <v>2.2757720840000002</v>
          </cell>
          <cell r="D850">
            <v>2.27582672</v>
          </cell>
          <cell r="E850">
            <v>2.2699336309999998</v>
          </cell>
          <cell r="F850">
            <v>2.2759608309999999</v>
          </cell>
          <cell r="G850">
            <v>2.2923219750000001</v>
          </cell>
          <cell r="H850">
            <v>2.317292927</v>
          </cell>
          <cell r="I850">
            <v>2.226878879</v>
          </cell>
          <cell r="J850">
            <v>2.125320592</v>
          </cell>
          <cell r="K850">
            <v>2.0338469259999998</v>
          </cell>
          <cell r="L850">
            <v>1.9475582760000001</v>
          </cell>
          <cell r="M850">
            <v>1.87541508</v>
          </cell>
          <cell r="N850">
            <v>1.8123982380000001</v>
          </cell>
          <cell r="O850">
            <v>1.754324716</v>
          </cell>
          <cell r="P850">
            <v>1.7007300409999999</v>
          </cell>
          <cell r="Q850">
            <v>1.651284443</v>
          </cell>
          <cell r="R850">
            <v>1.6000526310000001</v>
          </cell>
          <cell r="S850">
            <v>1.549349506</v>
          </cell>
          <cell r="T850">
            <v>1.5005843219999999</v>
          </cell>
          <cell r="U850">
            <v>1.4545776399999999</v>
          </cell>
          <cell r="V850">
            <v>1.4116118520000001</v>
          </cell>
          <cell r="W850">
            <v>1.372311864</v>
          </cell>
          <cell r="X850">
            <v>1.33682787</v>
          </cell>
          <cell r="Y850">
            <v>1.305033297</v>
          </cell>
          <cell r="Z850">
            <v>1.276608851</v>
          </cell>
          <cell r="AA850">
            <v>1.250623281</v>
          </cell>
          <cell r="AB850">
            <v>1.227600402</v>
          </cell>
          <cell r="AC850">
            <v>1.2071368849999999</v>
          </cell>
          <cell r="AD850">
            <v>1.1886129809999999</v>
          </cell>
          <cell r="AE850">
            <v>1.171018584</v>
          </cell>
          <cell r="AF850">
            <v>1.1532067239999999</v>
          </cell>
          <cell r="AG850">
            <v>1.1341446340000001</v>
          </cell>
          <cell r="AH850">
            <v>1.112878255</v>
          </cell>
          <cell r="AI850">
            <v>1.0883657769999999</v>
          </cell>
          <cell r="AJ850">
            <v>1.059478433</v>
          </cell>
          <cell r="AK850">
            <v>1.0249526630000001</v>
          </cell>
        </row>
        <row r="852">
          <cell r="A852" t="str">
            <v>ems_ci_co2_scon_2</v>
          </cell>
          <cell r="B852">
            <v>7.427060129</v>
          </cell>
          <cell r="C852">
            <v>7.079006798</v>
          </cell>
          <cell r="D852">
            <v>6.6877687549999996</v>
          </cell>
          <cell r="E852">
            <v>6.2285106079999997</v>
          </cell>
          <cell r="F852">
            <v>5.9320445060000004</v>
          </cell>
          <cell r="G852">
            <v>5.7696294479999999</v>
          </cell>
          <cell r="H852">
            <v>5.7000984600000004</v>
          </cell>
          <cell r="I852">
            <v>4.9332416549999998</v>
          </cell>
          <cell r="J852">
            <v>4.1479383460000001</v>
          </cell>
          <cell r="K852">
            <v>3.4662780020000001</v>
          </cell>
          <cell r="L852">
            <v>2.910158413</v>
          </cell>
          <cell r="M852">
            <v>2.5188632590000002</v>
          </cell>
          <cell r="N852">
            <v>2.2365670789999998</v>
          </cell>
          <cell r="O852">
            <v>2.0238875470000002</v>
          </cell>
          <cell r="P852">
            <v>1.857379903</v>
          </cell>
          <cell r="Q852">
            <v>1.722877821</v>
          </cell>
          <cell r="R852">
            <v>1.5961176020000001</v>
          </cell>
          <cell r="S852">
            <v>1.4786008020000001</v>
          </cell>
          <cell r="T852">
            <v>1.3722665169999999</v>
          </cell>
          <cell r="U852">
            <v>1.278097587</v>
          </cell>
          <cell r="V852">
            <v>1.196135921</v>
          </cell>
          <cell r="W852">
            <v>1.1263546250000001</v>
          </cell>
          <cell r="X852">
            <v>1.068126927</v>
          </cell>
          <cell r="Y852">
            <v>1.020497582</v>
          </cell>
          <cell r="Z852">
            <v>0.98255114269999999</v>
          </cell>
          <cell r="AA852">
            <v>0.95301095130000002</v>
          </cell>
          <cell r="AB852">
            <v>0.93158846110000004</v>
          </cell>
          <cell r="AC852">
            <v>0.91758446859999998</v>
          </cell>
          <cell r="AD852">
            <v>0.90951075339999998</v>
          </cell>
          <cell r="AE852">
            <v>0.90520658359999995</v>
          </cell>
          <cell r="AF852">
            <v>0.90183067989999999</v>
          </cell>
          <cell r="AG852">
            <v>0.89556376510000002</v>
          </cell>
          <cell r="AH852">
            <v>0.88059846909999995</v>
          </cell>
          <cell r="AI852">
            <v>0.84722729669999997</v>
          </cell>
          <cell r="AJ852">
            <v>0.77870015640000001</v>
          </cell>
          <cell r="AK852">
            <v>0.64429227710000003</v>
          </cell>
        </row>
        <row r="854">
          <cell r="A854" t="str">
            <v>ems_ci_co2_srai_2</v>
          </cell>
          <cell r="B854">
            <v>1.7345464589999999</v>
          </cell>
          <cell r="C854">
            <v>1.7543117399999999</v>
          </cell>
          <cell r="D854">
            <v>1.7749610060000001</v>
          </cell>
          <cell r="E854">
            <v>1.79611159</v>
          </cell>
          <cell r="F854">
            <v>1.8194784610000001</v>
          </cell>
          <cell r="G854">
            <v>1.8449109400000001</v>
          </cell>
          <cell r="H854">
            <v>1.8713534890000001</v>
          </cell>
          <cell r="I854">
            <v>1.8247849110000001</v>
          </cell>
          <cell r="J854">
            <v>1.7744793459999999</v>
          </cell>
          <cell r="K854">
            <v>1.7286614149999999</v>
          </cell>
          <cell r="L854">
            <v>1.6833876480000001</v>
          </cell>
          <cell r="M854">
            <v>1.638023376</v>
          </cell>
          <cell r="N854">
            <v>1.5916040739999999</v>
          </cell>
          <cell r="O854">
            <v>1.5431342770000001</v>
          </cell>
          <cell r="P854">
            <v>1.4933154289999999</v>
          </cell>
          <cell r="Q854">
            <v>1.442654275</v>
          </cell>
          <cell r="R854">
            <v>1.3908602619999999</v>
          </cell>
          <cell r="S854">
            <v>1.3384238479999999</v>
          </cell>
          <cell r="T854">
            <v>1.2857112879999999</v>
          </cell>
          <cell r="U854">
            <v>1.232849675</v>
          </cell>
          <cell r="V854">
            <v>1.1795724030000001</v>
          </cell>
          <cell r="W854">
            <v>1.126247048</v>
          </cell>
          <cell r="X854">
            <v>1.0727155779999999</v>
          </cell>
          <cell r="Y854">
            <v>1.018755802</v>
          </cell>
          <cell r="Z854">
            <v>0.96403515799999995</v>
          </cell>
          <cell r="AA854">
            <v>0.90760670369999996</v>
          </cell>
          <cell r="AB854">
            <v>0.84977618659999998</v>
          </cell>
          <cell r="AC854">
            <v>0.79019288480000005</v>
          </cell>
          <cell r="AD854">
            <v>0.72841986859999996</v>
          </cell>
          <cell r="AE854">
            <v>0.66386001640000003</v>
          </cell>
          <cell r="AF854">
            <v>0.59586910530000003</v>
          </cell>
          <cell r="AG854">
            <v>0.52385572930000002</v>
          </cell>
          <cell r="AH854">
            <v>0.44728260710000001</v>
          </cell>
          <cell r="AI854">
            <v>0.3656289163</v>
          </cell>
          <cell r="AJ854">
            <v>0.27836215139999998</v>
          </cell>
          <cell r="AK854">
            <v>0.1849015011</v>
          </cell>
        </row>
        <row r="856">
          <cell r="A856" t="str">
            <v>ems_ci_co2_sroa_2</v>
          </cell>
          <cell r="B856">
            <v>17.318265199999999</v>
          </cell>
          <cell r="C856">
            <v>17.51881727</v>
          </cell>
          <cell r="D856">
            <v>17.72938508</v>
          </cell>
          <cell r="E856">
            <v>17.945910120000001</v>
          </cell>
          <cell r="F856">
            <v>18.184103390000001</v>
          </cell>
          <cell r="G856">
            <v>18.44205977</v>
          </cell>
          <cell r="H856">
            <v>18.709431290000001</v>
          </cell>
          <cell r="I856">
            <v>18.250536870000001</v>
          </cell>
          <cell r="J856">
            <v>17.756643669999999</v>
          </cell>
          <cell r="K856">
            <v>17.308952949999998</v>
          </cell>
          <cell r="L856">
            <v>16.86712103</v>
          </cell>
          <cell r="M856">
            <v>16.423236360000001</v>
          </cell>
          <cell r="N856">
            <v>15.96740726</v>
          </cell>
          <cell r="O856">
            <v>15.489681839999999</v>
          </cell>
          <cell r="P856">
            <v>14.99718771</v>
          </cell>
          <cell r="Q856">
            <v>14.49511193</v>
          </cell>
          <cell r="R856">
            <v>13.980889919999999</v>
          </cell>
          <cell r="S856">
            <v>13.45944263</v>
          </cell>
          <cell r="T856">
            <v>12.93443201</v>
          </cell>
          <cell r="U856">
            <v>12.40709461</v>
          </cell>
          <cell r="V856">
            <v>11.8746904</v>
          </cell>
          <cell r="W856">
            <v>11.340881400000001</v>
          </cell>
          <cell r="X856">
            <v>10.804065169999999</v>
          </cell>
          <cell r="Y856">
            <v>10.26202953</v>
          </cell>
          <cell r="Z856">
            <v>9.7114629939999997</v>
          </cell>
          <cell r="AA856">
            <v>9.142874291</v>
          </cell>
          <cell r="AB856">
            <v>8.5594099910000008</v>
          </cell>
          <cell r="AC856">
            <v>7.9576479920000001</v>
          </cell>
          <cell r="AD856">
            <v>7.3333763479999998</v>
          </cell>
          <cell r="AE856">
            <v>6.6808131460000002</v>
          </cell>
          <cell r="AF856">
            <v>5.9937157140000004</v>
          </cell>
          <cell r="AG856">
            <v>5.2663765629999997</v>
          </cell>
          <cell r="AH856">
            <v>4.4936519209999997</v>
          </cell>
          <cell r="AI856">
            <v>3.670600785</v>
          </cell>
          <cell r="AJ856">
            <v>2.7922008150000002</v>
          </cell>
          <cell r="AK856">
            <v>1.852994823</v>
          </cell>
        </row>
        <row r="858">
          <cell r="A858" t="str">
            <v>ems_ci_co2_swat_2</v>
          </cell>
          <cell r="B858">
            <v>3.8248369960000002</v>
          </cell>
          <cell r="C858">
            <v>3.899514033</v>
          </cell>
          <cell r="D858">
            <v>3.973476571</v>
          </cell>
          <cell r="E858">
            <v>4.0427389229999999</v>
          </cell>
          <cell r="F858">
            <v>4.1134656400000003</v>
          </cell>
          <cell r="G858">
            <v>4.1877258099999999</v>
          </cell>
          <cell r="H858">
            <v>4.26501894</v>
          </cell>
          <cell r="I858">
            <v>4.1859811770000004</v>
          </cell>
          <cell r="J858">
            <v>4.1187459180000001</v>
          </cell>
          <cell r="K858">
            <v>4.1059072969999999</v>
          </cell>
          <cell r="L858">
            <v>4.099259129</v>
          </cell>
          <cell r="M858">
            <v>4.0850069629999997</v>
          </cell>
          <cell r="N858">
            <v>4.0471585809999997</v>
          </cell>
          <cell r="O858">
            <v>3.9797553479999999</v>
          </cell>
          <cell r="P858">
            <v>3.8933920739999999</v>
          </cell>
          <cell r="Q858">
            <v>3.795185043</v>
          </cell>
          <cell r="R858">
            <v>3.6933091020000002</v>
          </cell>
          <cell r="S858">
            <v>3.5918941360000001</v>
          </cell>
          <cell r="T858">
            <v>3.4930759760000001</v>
          </cell>
          <cell r="U858">
            <v>3.3965731090000002</v>
          </cell>
          <cell r="V858">
            <v>3.3017623679999999</v>
          </cell>
          <cell r="W858">
            <v>3.2083626810000001</v>
          </cell>
          <cell r="X858">
            <v>3.1162883670000001</v>
          </cell>
          <cell r="Y858">
            <v>3.0236481390000001</v>
          </cell>
          <cell r="Z858">
            <v>2.9277292209999999</v>
          </cell>
          <cell r="AA858">
            <v>2.8263699959999999</v>
          </cell>
          <cell r="AB858">
            <v>2.7200737620000002</v>
          </cell>
          <cell r="AC858">
            <v>2.6102015120000002</v>
          </cell>
          <cell r="AD858">
            <v>2.4942855239999999</v>
          </cell>
          <cell r="AE858">
            <v>2.3679596369999998</v>
          </cell>
          <cell r="AF858">
            <v>2.2270791069999998</v>
          </cell>
          <cell r="AG858">
            <v>2.0693406840000002</v>
          </cell>
          <cell r="AH858">
            <v>1.8933374329999999</v>
          </cell>
          <cell r="AI858">
            <v>1.6969105120000001</v>
          </cell>
          <cell r="AJ858">
            <v>1.477642675</v>
          </cell>
          <cell r="AK858">
            <v>1.2330502759999999</v>
          </cell>
        </row>
        <row r="860">
          <cell r="A860" t="str">
            <v>ems_ci_co2_sair_2</v>
          </cell>
          <cell r="B860">
            <v>19.2035819</v>
          </cell>
          <cell r="C860">
            <v>19.467197209999998</v>
          </cell>
          <cell r="D860">
            <v>19.7449528</v>
          </cell>
          <cell r="E860">
            <v>20.00261927</v>
          </cell>
          <cell r="F860">
            <v>20.300133370000001</v>
          </cell>
          <cell r="G860">
            <v>20.650154860000001</v>
          </cell>
          <cell r="H860">
            <v>21.043385690000001</v>
          </cell>
          <cell r="I860">
            <v>20.545384899999998</v>
          </cell>
          <cell r="J860">
            <v>19.973264790000002</v>
          </cell>
          <cell r="K860">
            <v>19.526680540000001</v>
          </cell>
          <cell r="L860">
            <v>19.117945039999999</v>
          </cell>
          <cell r="M860">
            <v>18.76012167</v>
          </cell>
          <cell r="N860">
            <v>18.420394850000001</v>
          </cell>
          <cell r="O860">
            <v>18.061445729999999</v>
          </cell>
          <cell r="P860">
            <v>17.686362620000001</v>
          </cell>
          <cell r="Q860">
            <v>17.29555628</v>
          </cell>
          <cell r="R860">
            <v>16.865777179999998</v>
          </cell>
          <cell r="S860">
            <v>16.409995510000002</v>
          </cell>
          <cell r="T860">
            <v>15.941115549999999</v>
          </cell>
          <cell r="U860">
            <v>15.46742925</v>
          </cell>
          <cell r="V860">
            <v>14.991105060000001</v>
          </cell>
          <cell r="W860">
            <v>14.519921569999999</v>
          </cell>
          <cell r="X860">
            <v>14.055924360000001</v>
          </cell>
          <cell r="Y860">
            <v>13.59599034</v>
          </cell>
          <cell r="Z860">
            <v>13.133367399999999</v>
          </cell>
          <cell r="AA860">
            <v>12.65373851</v>
          </cell>
          <cell r="AB860">
            <v>12.16171039</v>
          </cell>
          <cell r="AC860">
            <v>11.65607041</v>
          </cell>
          <cell r="AD860">
            <v>11.12916617</v>
          </cell>
          <cell r="AE860">
            <v>10.56775691</v>
          </cell>
          <cell r="AF860">
            <v>9.9568797920000005</v>
          </cell>
          <cell r="AG860">
            <v>9.2835464969999997</v>
          </cell>
          <cell r="AH860">
            <v>8.5356820120000005</v>
          </cell>
          <cell r="AI860">
            <v>7.6990257900000003</v>
          </cell>
          <cell r="AJ860">
            <v>6.756935769</v>
          </cell>
          <cell r="AK860">
            <v>5.6894440680000002</v>
          </cell>
        </row>
        <row r="862">
          <cell r="A862" t="str">
            <v>ems_ci_co2_spri_2</v>
          </cell>
          <cell r="B862">
            <v>30.586880539999999</v>
          </cell>
          <cell r="C862">
            <v>30.170129490000001</v>
          </cell>
          <cell r="D862">
            <v>29.692683209999998</v>
          </cell>
          <cell r="E862">
            <v>29.050074500000001</v>
          </cell>
          <cell r="F862">
            <v>28.751326809999998</v>
          </cell>
          <cell r="G862">
            <v>28.70716685</v>
          </cell>
          <cell r="H862">
            <v>28.85284489</v>
          </cell>
          <cell r="I862">
            <v>26.712902</v>
          </cell>
          <cell r="J862">
            <v>24.53779127</v>
          </cell>
          <cell r="K862">
            <v>22.591528360000002</v>
          </cell>
          <cell r="L862">
            <v>20.874554409999998</v>
          </cell>
          <cell r="M862">
            <v>19.53409409</v>
          </cell>
          <cell r="N862">
            <v>18.440654210000002</v>
          </cell>
          <cell r="O862">
            <v>17.503170820000001</v>
          </cell>
          <cell r="P862">
            <v>16.676118710000001</v>
          </cell>
          <cell r="Q862">
            <v>15.930513319999999</v>
          </cell>
          <cell r="R862">
            <v>15.17664214</v>
          </cell>
          <cell r="S862">
            <v>14.43689794</v>
          </cell>
          <cell r="T862">
            <v>13.72528891</v>
          </cell>
          <cell r="U862">
            <v>13.049000469999999</v>
          </cell>
          <cell r="V862">
            <v>12.40770264</v>
          </cell>
          <cell r="W862">
            <v>11.80617436</v>
          </cell>
          <cell r="X862">
            <v>11.24193423</v>
          </cell>
          <cell r="Y862">
            <v>10.710548470000001</v>
          </cell>
          <cell r="Z862">
            <v>10.20609299</v>
          </cell>
          <cell r="AA862">
            <v>9.7150815989999995</v>
          </cell>
          <cell r="AB862">
            <v>9.2382073099999999</v>
          </cell>
          <cell r="AC862">
            <v>8.7682509750000008</v>
          </cell>
          <cell r="AD862">
            <v>8.2953780419999994</v>
          </cell>
          <cell r="AE862">
            <v>7.8066862690000001</v>
          </cell>
          <cell r="AF862">
            <v>7.2871153059999996</v>
          </cell>
          <cell r="AG862">
            <v>6.7200175299999998</v>
          </cell>
          <cell r="AH862">
            <v>6.0860431650000004</v>
          </cell>
          <cell r="AI862">
            <v>5.3608935070000001</v>
          </cell>
          <cell r="AJ862">
            <v>4.5124736170000004</v>
          </cell>
          <cell r="AK862">
            <v>3.4952843100000002</v>
          </cell>
        </row>
        <row r="864">
          <cell r="A864" t="str">
            <v>ems_ci_co2_spub_2</v>
          </cell>
          <cell r="B864">
            <v>13.794241100000001</v>
          </cell>
          <cell r="C864">
            <v>13.398834300000001</v>
          </cell>
          <cell r="D864">
            <v>13.000766990000001</v>
          </cell>
          <cell r="E864">
            <v>12.533167730000001</v>
          </cell>
          <cell r="F864">
            <v>12.279326429999999</v>
          </cell>
          <cell r="G864">
            <v>12.17077638</v>
          </cell>
          <cell r="H864">
            <v>12.16077329</v>
          </cell>
          <cell r="I864">
            <v>11.12265522</v>
          </cell>
          <cell r="J864">
            <v>10.135356720000001</v>
          </cell>
          <cell r="K864">
            <v>9.266839225</v>
          </cell>
          <cell r="L864">
            <v>8.5284722199999994</v>
          </cell>
          <cell r="M864">
            <v>7.9596783679999996</v>
          </cell>
          <cell r="N864">
            <v>7.5072168509999999</v>
          </cell>
          <cell r="O864">
            <v>7.1311654720000002</v>
          </cell>
          <cell r="P864">
            <v>6.8067274629999996</v>
          </cell>
          <cell r="Q864">
            <v>6.518015289</v>
          </cell>
          <cell r="R864">
            <v>6.2259229850000004</v>
          </cell>
          <cell r="S864">
            <v>5.9375879520000003</v>
          </cell>
          <cell r="T864">
            <v>5.6576539060000002</v>
          </cell>
          <cell r="U864">
            <v>5.3884639439999997</v>
          </cell>
          <cell r="V864">
            <v>5.1269362430000003</v>
          </cell>
          <cell r="W864">
            <v>4.8802805950000003</v>
          </cell>
          <cell r="X864">
            <v>4.6444647549999996</v>
          </cell>
          <cell r="Y864">
            <v>4.4176071910000001</v>
          </cell>
          <cell r="Z864">
            <v>4.1978325249999999</v>
          </cell>
          <cell r="AA864">
            <v>3.9749814080000001</v>
          </cell>
          <cell r="AB864">
            <v>3.7588677339999998</v>
          </cell>
          <cell r="AC864">
            <v>3.544053871</v>
          </cell>
          <cell r="AD864">
            <v>3.3270989310000001</v>
          </cell>
          <cell r="AE864">
            <v>3.1042759979999999</v>
          </cell>
          <cell r="AF864">
            <v>2.87137522</v>
          </cell>
          <cell r="AG864">
            <v>2.623603422</v>
          </cell>
          <cell r="AH864">
            <v>2.3551828989999999</v>
          </cell>
          <cell r="AI864">
            <v>2.0586818230000001</v>
          </cell>
          <cell r="AJ864">
            <v>1.7240079349999999</v>
          </cell>
          <cell r="AK864">
            <v>1.3362263459999999</v>
          </cell>
        </row>
        <row r="866">
          <cell r="A866" t="str">
            <v>ems_ci_co2_smin_2</v>
          </cell>
          <cell r="B866">
            <v>1.049167145</v>
          </cell>
          <cell r="C866">
            <v>1.059908227</v>
          </cell>
          <cell r="D866">
            <v>1.071305376</v>
          </cell>
          <cell r="E866">
            <v>1.0830416780000001</v>
          </cell>
          <cell r="F866">
            <v>1.096514454</v>
          </cell>
          <cell r="G866">
            <v>1.111776511</v>
          </cell>
          <cell r="H866">
            <v>1.128291181</v>
          </cell>
          <cell r="I866">
            <v>1.096998181</v>
          </cell>
          <cell r="J866">
            <v>1.0629206309999999</v>
          </cell>
          <cell r="K866">
            <v>1.0317542609999999</v>
          </cell>
          <cell r="L866">
            <v>1.0015128280000001</v>
          </cell>
          <cell r="M866">
            <v>0.97157356250000004</v>
          </cell>
          <cell r="N866">
            <v>0.94100238709999995</v>
          </cell>
          <cell r="O866">
            <v>0.90916322829999996</v>
          </cell>
          <cell r="P866">
            <v>0.8765107164</v>
          </cell>
          <cell r="Q866">
            <v>0.84346197349999996</v>
          </cell>
          <cell r="R866">
            <v>0.81167375470000003</v>
          </cell>
          <cell r="S866">
            <v>0.77987548579999999</v>
          </cell>
          <cell r="T866">
            <v>0.74816942600000003</v>
          </cell>
          <cell r="U866">
            <v>0.71663451300000003</v>
          </cell>
          <cell r="V866">
            <v>0.68516360450000002</v>
          </cell>
          <cell r="W866">
            <v>0.65388194700000002</v>
          </cell>
          <cell r="X866">
            <v>0.62273139379999998</v>
          </cell>
          <cell r="Y866">
            <v>0.5915217639</v>
          </cell>
          <cell r="Z866">
            <v>0.55997413100000004</v>
          </cell>
          <cell r="AA866">
            <v>0.52755376379999996</v>
          </cell>
          <cell r="AB866">
            <v>0.49403552090000002</v>
          </cell>
          <cell r="AC866">
            <v>0.45954291429999999</v>
          </cell>
          <cell r="AD866">
            <v>0.42379004889999999</v>
          </cell>
          <cell r="AE866">
            <v>0.38634346609999998</v>
          </cell>
          <cell r="AF866">
            <v>0.3467693932</v>
          </cell>
          <cell r="AG866">
            <v>0.30472806180000001</v>
          </cell>
          <cell r="AH866">
            <v>0.25994687230000002</v>
          </cell>
          <cell r="AI866">
            <v>0.21216128670000001</v>
          </cell>
          <cell r="AJ866">
            <v>0.16111508199999999</v>
          </cell>
          <cell r="AK866">
            <v>0.10654596650000001</v>
          </cell>
        </row>
        <row r="868">
          <cell r="A868" t="str">
            <v>ems_ci_co2_soil_2</v>
          </cell>
          <cell r="B868">
            <v>16.59683708</v>
          </cell>
          <cell r="C868">
            <v>16.687072149999999</v>
          </cell>
          <cell r="D868">
            <v>16.758992989999999</v>
          </cell>
          <cell r="E868">
            <v>16.830642640000001</v>
          </cell>
          <cell r="F868">
            <v>16.942896480000002</v>
          </cell>
          <cell r="G868">
            <v>17.095099560000001</v>
          </cell>
          <cell r="H868">
            <v>17.27659903</v>
          </cell>
          <cell r="I868">
            <v>17.008111629999998</v>
          </cell>
          <cell r="J868">
            <v>16.695500289999998</v>
          </cell>
          <cell r="K868">
            <v>16.43525138</v>
          </cell>
          <cell r="L868">
            <v>16.185277760000002</v>
          </cell>
          <cell r="M868">
            <v>15.94925742</v>
          </cell>
          <cell r="N868">
            <v>15.715928999999999</v>
          </cell>
          <cell r="O868">
            <v>15.473429729999999</v>
          </cell>
          <cell r="P868">
            <v>15.228198989999999</v>
          </cell>
          <cell r="Q868">
            <v>14.98425039</v>
          </cell>
          <cell r="R868">
            <v>14.71867177</v>
          </cell>
          <cell r="S868">
            <v>14.44856495</v>
          </cell>
          <cell r="T868">
            <v>14.1791052</v>
          </cell>
          <cell r="U868">
            <v>13.912337429999999</v>
          </cell>
          <cell r="V868">
            <v>13.648143449999999</v>
          </cell>
          <cell r="W868">
            <v>13.38942726</v>
          </cell>
          <cell r="X868">
            <v>13.13731224</v>
          </cell>
          <cell r="Y868">
            <v>12.891668960000001</v>
          </cell>
          <cell r="Z868">
            <v>12.65103118</v>
          </cell>
          <cell r="AA868">
            <v>12.41025265</v>
          </cell>
          <cell r="AB868">
            <v>12.17650572</v>
          </cell>
          <cell r="AC868">
            <v>11.947223660000001</v>
          </cell>
          <cell r="AD868">
            <v>11.72079656</v>
          </cell>
          <cell r="AE868">
            <v>11.49277331</v>
          </cell>
          <cell r="AF868">
            <v>11.2575202</v>
          </cell>
          <cell r="AG868">
            <v>11.01050822</v>
          </cell>
          <cell r="AH868">
            <v>10.74851483</v>
          </cell>
          <cell r="AI868">
            <v>10.468683</v>
          </cell>
          <cell r="AJ868">
            <v>10.16857521</v>
          </cell>
          <cell r="AK868">
            <v>9.8464657869999996</v>
          </cell>
        </row>
        <row r="870">
          <cell r="A870" t="str">
            <v>ems_ci_co2_sbfu_2</v>
          </cell>
          <cell r="B870">
            <v>3.8672089619999999</v>
          </cell>
          <cell r="C870">
            <v>3.878708579</v>
          </cell>
          <cell r="D870">
            <v>3.8837627100000001</v>
          </cell>
          <cell r="E870">
            <v>3.8906592180000001</v>
          </cell>
          <cell r="F870">
            <v>3.9080039439999998</v>
          </cell>
          <cell r="G870">
            <v>3.9355389810000001</v>
          </cell>
          <cell r="H870">
            <v>3.970344007</v>
          </cell>
          <cell r="I870">
            <v>4.6192617279999997</v>
          </cell>
          <cell r="J870">
            <v>5.3262775390000003</v>
          </cell>
          <cell r="K870">
            <v>6.0132367230000003</v>
          </cell>
          <cell r="L870">
            <v>6.666463974</v>
          </cell>
          <cell r="M870">
            <v>7.2891214240000002</v>
          </cell>
          <cell r="N870">
            <v>7.8790210849999998</v>
          </cell>
          <cell r="O870">
            <v>8.4312725939999993</v>
          </cell>
          <cell r="P870">
            <v>8.9433771190000009</v>
          </cell>
          <cell r="Q870">
            <v>9.4128253649999998</v>
          </cell>
          <cell r="R870">
            <v>9.8328939139999996</v>
          </cell>
          <cell r="S870">
            <v>10.2016236</v>
          </cell>
          <cell r="T870">
            <v>10.51783466</v>
          </cell>
          <cell r="U870">
            <v>10.779836599999999</v>
          </cell>
          <cell r="V870">
            <v>10.984577249999999</v>
          </cell>
          <cell r="W870">
            <v>11.130353879999999</v>
          </cell>
          <cell r="X870">
            <v>11.214333030000001</v>
          </cell>
          <cell r="Y870">
            <v>11.232559269999999</v>
          </cell>
          <cell r="Z870">
            <v>11.179887620000001</v>
          </cell>
          <cell r="AA870">
            <v>11.0479971</v>
          </cell>
          <cell r="AB870">
            <v>10.832205460000001</v>
          </cell>
          <cell r="AC870">
            <v>10.526267089999999</v>
          </cell>
          <cell r="AD870">
            <v>10.121654850000001</v>
          </cell>
          <cell r="AE870">
            <v>9.6072968890000006</v>
          </cell>
          <cell r="AF870">
            <v>8.9700869520000008</v>
          </cell>
          <cell r="AG870">
            <v>8.1955625679999997</v>
          </cell>
          <cell r="AH870">
            <v>7.2676617820000002</v>
          </cell>
          <cell r="AI870">
            <v>6.1678269290000003</v>
          </cell>
          <cell r="AJ870">
            <v>4.8742697609999999</v>
          </cell>
          <cell r="AK870">
            <v>3.3605467249999998</v>
          </cell>
        </row>
        <row r="872">
          <cell r="A872" t="str">
            <v>ems_ci_co2_seoi_2</v>
          </cell>
          <cell r="B872">
            <v>3.0530849629999999</v>
          </cell>
          <cell r="C872">
            <v>3.0888713939999999</v>
          </cell>
          <cell r="D872">
            <v>3.119199686</v>
          </cell>
          <cell r="E872">
            <v>3.1508401309999998</v>
          </cell>
          <cell r="F872">
            <v>3.1777059520000002</v>
          </cell>
          <cell r="G872">
            <v>3.203980687</v>
          </cell>
          <cell r="H872">
            <v>3.2313849819999998</v>
          </cell>
          <cell r="I872">
            <v>3.1595113459999999</v>
          </cell>
          <cell r="J872">
            <v>3.0922769739999998</v>
          </cell>
          <cell r="K872">
            <v>3.0281287830000001</v>
          </cell>
          <cell r="L872">
            <v>2.9566866369999998</v>
          </cell>
          <cell r="M872">
            <v>2.8685472609999998</v>
          </cell>
          <cell r="N872">
            <v>2.7690878859999999</v>
          </cell>
          <cell r="O872">
            <v>2.6622502880000001</v>
          </cell>
          <cell r="P872">
            <v>2.5523414350000002</v>
          </cell>
          <cell r="Q872">
            <v>2.441687918</v>
          </cell>
          <cell r="R872">
            <v>2.3309324999999999</v>
          </cell>
          <cell r="S872">
            <v>2.220905922</v>
          </cell>
          <cell r="T872">
            <v>2.111217151</v>
          </cell>
          <cell r="U872">
            <v>2.0016969360000001</v>
          </cell>
          <cell r="V872">
            <v>1.892010347</v>
          </cell>
          <cell r="W872">
            <v>1.782868033</v>
          </cell>
          <cell r="X872">
            <v>1.674311477</v>
          </cell>
          <cell r="Y872">
            <v>1.566060126</v>
          </cell>
          <cell r="Z872">
            <v>1.4576270609999999</v>
          </cell>
          <cell r="AA872">
            <v>1.347744855</v>
          </cell>
          <cell r="AB872">
            <v>1.237074569</v>
          </cell>
          <cell r="AC872">
            <v>1.1252484169999999</v>
          </cell>
          <cell r="AD872">
            <v>1.0117257260000001</v>
          </cell>
          <cell r="AE872">
            <v>0.89586585730000001</v>
          </cell>
          <cell r="AF872">
            <v>0.77723941880000003</v>
          </cell>
          <cell r="AG872">
            <v>0.65592802039999998</v>
          </cell>
          <cell r="AH872">
            <v>0.53265235359999996</v>
          </cell>
          <cell r="AI872">
            <v>0.4089227741</v>
          </cell>
          <cell r="AJ872">
            <v>0.2874888873</v>
          </cell>
          <cell r="AK872">
            <v>0.17316372860000001</v>
          </cell>
        </row>
        <row r="874">
          <cell r="A874" t="str">
            <v>ems_ci_co2_sega_2</v>
          </cell>
          <cell r="B874">
            <v>3.6124779720000002</v>
          </cell>
          <cell r="C874">
            <v>3.6549739219999999</v>
          </cell>
          <cell r="D874">
            <v>3.6910198250000001</v>
          </cell>
          <cell r="E874">
            <v>3.72864861</v>
          </cell>
          <cell r="F874">
            <v>3.7605656569999999</v>
          </cell>
          <cell r="G874">
            <v>3.791739932</v>
          </cell>
          <cell r="H874">
            <v>3.8242157799999998</v>
          </cell>
          <cell r="I874">
            <v>3.7279763610000001</v>
          </cell>
          <cell r="J874">
            <v>3.6363314579999999</v>
          </cell>
          <cell r="K874">
            <v>3.547915111</v>
          </cell>
          <cell r="L874">
            <v>3.4506094979999999</v>
          </cell>
          <cell r="M874">
            <v>3.3335742320000001</v>
          </cell>
          <cell r="N874">
            <v>3.2032860470000002</v>
          </cell>
          <cell r="O874">
            <v>3.0644747250000002</v>
          </cell>
          <cell r="P874">
            <v>2.9222140429999999</v>
          </cell>
          <cell r="Q874">
            <v>2.779227143</v>
          </cell>
          <cell r="R874">
            <v>2.6362745759999999</v>
          </cell>
          <cell r="S874">
            <v>2.494310451</v>
          </cell>
          <cell r="T874">
            <v>2.3529019500000001</v>
          </cell>
          <cell r="U874">
            <v>2.2118761390000001</v>
          </cell>
          <cell r="V874">
            <v>2.0708877960000001</v>
          </cell>
          <cell r="W874">
            <v>1.930742958</v>
          </cell>
          <cell r="X874">
            <v>1.791501843</v>
          </cell>
          <cell r="Y874">
            <v>1.6528846960000001</v>
          </cell>
          <cell r="Z874">
            <v>1.514418365</v>
          </cell>
          <cell r="AA874">
            <v>1.3748774399999999</v>
          </cell>
          <cell r="AB874">
            <v>1.235090362</v>
          </cell>
          <cell r="AC874">
            <v>1.0948711609999999</v>
          </cell>
          <cell r="AD874">
            <v>0.95397560950000004</v>
          </cell>
          <cell r="AE874">
            <v>0.81225214899999998</v>
          </cell>
          <cell r="AF874">
            <v>0.6700383647</v>
          </cell>
          <cell r="AG874">
            <v>0.52854603410000001</v>
          </cell>
          <cell r="AH874">
            <v>0.390124833</v>
          </cell>
          <cell r="AI874">
            <v>0.25865916329999999</v>
          </cell>
          <cell r="AJ874">
            <v>0.1404088486</v>
          </cell>
          <cell r="AK874">
            <v>4.5441081799999998E-2</v>
          </cell>
        </row>
        <row r="876">
          <cell r="A876" t="str">
            <v>ems_ci_co2_seco_2</v>
          </cell>
          <cell r="B876">
            <v>7.4463073450000001</v>
          </cell>
          <cell r="C876">
            <v>7.5339031470000002</v>
          </cell>
          <cell r="D876">
            <v>7.6082036329999996</v>
          </cell>
          <cell r="E876">
            <v>7.6857668730000004</v>
          </cell>
          <cell r="F876">
            <v>7.7515566570000001</v>
          </cell>
          <cell r="G876">
            <v>7.8158153820000003</v>
          </cell>
          <cell r="H876">
            <v>7.8827570089999996</v>
          </cell>
          <cell r="I876">
            <v>7.9423763799999998</v>
          </cell>
          <cell r="J876">
            <v>8.0163336610000009</v>
          </cell>
          <cell r="K876">
            <v>8.1029938910000006</v>
          </cell>
          <cell r="L876">
            <v>8.1750655959999996</v>
          </cell>
          <cell r="M876">
            <v>8.2041728119999995</v>
          </cell>
          <cell r="N876">
            <v>8.2016978599999995</v>
          </cell>
          <cell r="O876">
            <v>8.1762766370000008</v>
          </cell>
          <cell r="P876">
            <v>8.1390195320000007</v>
          </cell>
          <cell r="Q876">
            <v>8.0962298690000001</v>
          </cell>
          <cell r="R876">
            <v>8.0494320429999995</v>
          </cell>
          <cell r="S876">
            <v>8.0010796979999999</v>
          </cell>
          <cell r="T876">
            <v>7.9494635159999998</v>
          </cell>
          <cell r="U876">
            <v>7.8934171949999996</v>
          </cell>
          <cell r="V876">
            <v>7.8308452070000003</v>
          </cell>
          <cell r="W876">
            <v>7.763750484</v>
          </cell>
          <cell r="X876">
            <v>7.6914769789999999</v>
          </cell>
          <cell r="Y876">
            <v>7.6116136589999996</v>
          </cell>
          <cell r="Z876">
            <v>7.520035773</v>
          </cell>
          <cell r="AA876">
            <v>7.4071666619999998</v>
          </cell>
          <cell r="AB876">
            <v>7.2719692919999996</v>
          </cell>
          <cell r="AC876">
            <v>7.1064039479999996</v>
          </cell>
          <cell r="AD876">
            <v>6.8983518269999999</v>
          </cell>
          <cell r="AE876">
            <v>6.630225416</v>
          </cell>
          <cell r="AF876">
            <v>6.2786490410000004</v>
          </cell>
          <cell r="AG876">
            <v>5.8136859809999999</v>
          </cell>
          <cell r="AH876">
            <v>5.1954900080000002</v>
          </cell>
          <cell r="AI876">
            <v>4.3678922020000002</v>
          </cell>
          <cell r="AJ876">
            <v>3.2483455330000002</v>
          </cell>
          <cell r="AK876">
            <v>1.706019248</v>
          </cell>
        </row>
        <row r="878">
          <cell r="A878" t="str">
            <v>ems_ci_co2_sech_2</v>
          </cell>
          <cell r="B878">
            <v>9.6588429310000006</v>
          </cell>
          <cell r="C878">
            <v>9.7598489199999996</v>
          </cell>
          <cell r="D878">
            <v>9.8502590380000008</v>
          </cell>
          <cell r="E878">
            <v>9.9402046219999995</v>
          </cell>
          <cell r="F878">
            <v>10.02255703</v>
          </cell>
          <cell r="G878">
            <v>10.109312020000001</v>
          </cell>
          <cell r="H878">
            <v>10.19978691</v>
          </cell>
          <cell r="I878">
            <v>10.227679159999999</v>
          </cell>
          <cell r="J878">
            <v>10.27672143</v>
          </cell>
          <cell r="K878">
            <v>10.355594010000001</v>
          </cell>
          <cell r="L878">
            <v>10.45397069</v>
          </cell>
          <cell r="M878">
            <v>10.536794390000001</v>
          </cell>
          <cell r="N878">
            <v>10.6091066</v>
          </cell>
          <cell r="O878">
            <v>10.671684219999999</v>
          </cell>
          <cell r="P878">
            <v>10.729456900000001</v>
          </cell>
          <cell r="Q878">
            <v>10.7864016</v>
          </cell>
          <cell r="R878">
            <v>10.844084090000001</v>
          </cell>
          <cell r="S878">
            <v>10.9038229</v>
          </cell>
          <cell r="T878">
            <v>10.96720264</v>
          </cell>
          <cell r="U878">
            <v>11.037545059999999</v>
          </cell>
          <cell r="V878">
            <v>11.11464466</v>
          </cell>
          <cell r="W878">
            <v>11.21048021</v>
          </cell>
          <cell r="X878">
            <v>11.330009759999999</v>
          </cell>
          <cell r="Y878">
            <v>11.477722460000001</v>
          </cell>
          <cell r="Z878">
            <v>11.65812523</v>
          </cell>
          <cell r="AA878">
            <v>11.86428585</v>
          </cell>
          <cell r="AB878">
            <v>12.11660915</v>
          </cell>
          <cell r="AC878">
            <v>12.42430641</v>
          </cell>
          <cell r="AD878">
            <v>12.796364410000001</v>
          </cell>
          <cell r="AE878">
            <v>13.241851329999999</v>
          </cell>
          <cell r="AF878">
            <v>13.77174991</v>
          </cell>
          <cell r="AG878">
            <v>14.40216607</v>
          </cell>
          <cell r="AH878">
            <v>15.15671281</v>
          </cell>
          <cell r="AI878">
            <v>16.06916348</v>
          </cell>
          <cell r="AJ878">
            <v>17.189282980000002</v>
          </cell>
          <cell r="AK878">
            <v>18.59285779</v>
          </cell>
        </row>
        <row r="880">
          <cell r="A880" t="str">
            <v>ems_ci_co2_seot_2</v>
          </cell>
          <cell r="B880">
            <v>1.3202878659999999</v>
          </cell>
          <cell r="C880">
            <v>1.330655862</v>
          </cell>
          <cell r="D880">
            <v>1.337962995</v>
          </cell>
          <cell r="E880">
            <v>1.344078085</v>
          </cell>
          <cell r="F880">
            <v>1.3505038060000001</v>
          </cell>
          <cell r="G880">
            <v>1.3582849429999999</v>
          </cell>
          <cell r="H880">
            <v>1.367391252</v>
          </cell>
          <cell r="I880">
            <v>1.37376871</v>
          </cell>
          <cell r="J880">
            <v>1.3824845560000001</v>
          </cell>
          <cell r="K880">
            <v>1.3938393710000001</v>
          </cell>
          <cell r="L880">
            <v>1.403993112</v>
          </cell>
          <cell r="M880">
            <v>1.411458933</v>
          </cell>
          <cell r="N880">
            <v>1.417281139</v>
          </cell>
          <cell r="O880">
            <v>1.4223068679999999</v>
          </cell>
          <cell r="P880">
            <v>1.4280786190000001</v>
          </cell>
          <cell r="Q880">
            <v>1.435523492</v>
          </cell>
          <cell r="R880">
            <v>1.4436321700000001</v>
          </cell>
          <cell r="S880">
            <v>1.4535330900000001</v>
          </cell>
          <cell r="T880">
            <v>1.465472696</v>
          </cell>
          <cell r="U880">
            <v>1.479743246</v>
          </cell>
          <cell r="V880">
            <v>1.4964860600000001</v>
          </cell>
          <cell r="W880">
            <v>1.516709884</v>
          </cell>
          <cell r="X880">
            <v>1.541090938</v>
          </cell>
          <cell r="Y880">
            <v>1.5701741739999999</v>
          </cell>
          <cell r="Z880">
            <v>1.6044223179999999</v>
          </cell>
          <cell r="AA880">
            <v>1.643442928</v>
          </cell>
          <cell r="AB880">
            <v>1.6891248640000001</v>
          </cell>
          <cell r="AC880">
            <v>1.7425343929999999</v>
          </cell>
          <cell r="AD880">
            <v>1.804679111</v>
          </cell>
          <cell r="AE880">
            <v>1.8764101310000001</v>
          </cell>
          <cell r="AF880">
            <v>1.9586957920000001</v>
          </cell>
          <cell r="AG880">
            <v>2.053111441</v>
          </cell>
          <cell r="AH880">
            <v>2.1621513409999999</v>
          </cell>
          <cell r="AI880">
            <v>2.2894062220000002</v>
          </cell>
          <cell r="AJ880">
            <v>2.4401851450000001</v>
          </cell>
          <cell r="AK880">
            <v>2.6226089049999999</v>
          </cell>
        </row>
        <row r="882">
          <cell r="A882" t="str">
            <v>ems_y_co2_sagr_2</v>
          </cell>
          <cell r="B882">
            <v>2.7534944400000001E-2</v>
          </cell>
          <cell r="C882">
            <v>2.7853943799999999E-2</v>
          </cell>
          <cell r="D882">
            <v>2.82198756E-2</v>
          </cell>
          <cell r="E882">
            <v>2.8637517899999999E-2</v>
          </cell>
          <cell r="F882">
            <v>2.9095658699999999E-2</v>
          </cell>
          <cell r="G882">
            <v>2.9591995199999999E-2</v>
          </cell>
          <cell r="H882">
            <v>3.0113441099999999E-2</v>
          </cell>
          <cell r="I882">
            <v>3.0540488300000002E-2</v>
          </cell>
          <cell r="J882">
            <v>3.0955726199999999E-2</v>
          </cell>
          <cell r="K882">
            <v>3.1506444500000001E-2</v>
          </cell>
          <cell r="L882">
            <v>3.2091050199999999E-2</v>
          </cell>
          <cell r="M882">
            <v>3.2674880900000002E-2</v>
          </cell>
          <cell r="N882">
            <v>3.3247895499999999E-2</v>
          </cell>
          <cell r="O882">
            <v>3.3791045700000001E-2</v>
          </cell>
          <cell r="P882">
            <v>3.4323328600000001E-2</v>
          </cell>
          <cell r="Q882">
            <v>3.4855724099999999E-2</v>
          </cell>
          <cell r="R882">
            <v>3.5400889099999999E-2</v>
          </cell>
          <cell r="S882">
            <v>3.5960884300000003E-2</v>
          </cell>
          <cell r="T882">
            <v>3.6546032300000003E-2</v>
          </cell>
          <cell r="U882">
            <v>3.7164840800000001E-2</v>
          </cell>
          <cell r="V882">
            <v>3.7817068600000003E-2</v>
          </cell>
          <cell r="W882">
            <v>3.8521383200000002E-2</v>
          </cell>
          <cell r="X882">
            <v>3.9287235099999998E-2</v>
          </cell>
          <cell r="Y882">
            <v>4.0121490599999997E-2</v>
          </cell>
          <cell r="Z882">
            <v>4.1026845899999997E-2</v>
          </cell>
          <cell r="AA882">
            <v>4.1980126299999997E-2</v>
          </cell>
          <cell r="AB882">
            <v>4.2997305399999998E-2</v>
          </cell>
          <cell r="AC882">
            <v>4.4094951100000002E-2</v>
          </cell>
          <cell r="AD882">
            <v>4.5279679400000002E-2</v>
          </cell>
          <cell r="AE882">
            <v>4.6548380200000003E-2</v>
          </cell>
          <cell r="AF882">
            <v>4.7892315300000002E-2</v>
          </cell>
          <cell r="AG882">
            <v>4.9302952099999998E-2</v>
          </cell>
          <cell r="AH882">
            <v>5.07735359E-2</v>
          </cell>
          <cell r="AI882">
            <v>5.2298311799999997E-2</v>
          </cell>
          <cell r="AJ882">
            <v>5.38726619E-2</v>
          </cell>
          <cell r="AK882">
            <v>5.54936626E-2</v>
          </cell>
        </row>
        <row r="883">
          <cell r="A883" t="str">
            <v>ems_mat_co2_spub_2</v>
          </cell>
          <cell r="B883">
            <v>4.2805170859999997</v>
          </cell>
          <cell r="C883">
            <v>4.3400538729999996</v>
          </cell>
          <cell r="D883">
            <v>4.4053963019999998</v>
          </cell>
          <cell r="E883">
            <v>4.473613018</v>
          </cell>
          <cell r="F883">
            <v>4.5440708680000004</v>
          </cell>
          <cell r="G883">
            <v>4.6165966559999996</v>
          </cell>
          <cell r="H883">
            <v>4.687804152</v>
          </cell>
          <cell r="I883">
            <v>4.7591992840000001</v>
          </cell>
          <cell r="J883">
            <v>4.8317331039999996</v>
          </cell>
          <cell r="K883">
            <v>4.9089306940000004</v>
          </cell>
          <cell r="L883">
            <v>4.995142714</v>
          </cell>
          <cell r="M883">
            <v>5.0782150809999997</v>
          </cell>
          <cell r="N883">
            <v>5.1619909640000001</v>
          </cell>
          <cell r="O883">
            <v>5.2463555030000002</v>
          </cell>
          <cell r="P883">
            <v>5.3316048309999999</v>
          </cell>
          <cell r="Q883">
            <v>5.4180877140000003</v>
          </cell>
          <cell r="R883">
            <v>5.5061301619999998</v>
          </cell>
          <cell r="S883">
            <v>5.5961633009999998</v>
          </cell>
          <cell r="T883">
            <v>5.6886362610000001</v>
          </cell>
          <cell r="U883">
            <v>5.7839353820000001</v>
          </cell>
          <cell r="V883">
            <v>5.8778974460000004</v>
          </cell>
          <cell r="W883">
            <v>5.9790974339999998</v>
          </cell>
          <cell r="X883">
            <v>6.0846768549999997</v>
          </cell>
          <cell r="Y883">
            <v>6.1945635240000003</v>
          </cell>
          <cell r="Z883">
            <v>6.3089349099999996</v>
          </cell>
          <cell r="AA883">
            <v>6.4147460179999998</v>
          </cell>
          <cell r="AB883">
            <v>6.529999932</v>
          </cell>
          <cell r="AC883">
            <v>6.6506566920000001</v>
          </cell>
          <cell r="AD883">
            <v>6.7765364689999998</v>
          </cell>
          <cell r="AE883">
            <v>6.9077503250000003</v>
          </cell>
          <cell r="AF883">
            <v>7.0443041769999999</v>
          </cell>
          <cell r="AG883">
            <v>7.1861756999999997</v>
          </cell>
          <cell r="AH883">
            <v>7.3334091519999998</v>
          </cell>
          <cell r="AI883">
            <v>7.4861850429999999</v>
          </cell>
          <cell r="AJ883">
            <v>7.6448732369999997</v>
          </cell>
          <cell r="AK883">
            <v>7.810123302</v>
          </cell>
        </row>
        <row r="884">
          <cell r="A884" t="str">
            <v>ems_mat_co2_sgla_2</v>
          </cell>
          <cell r="B884">
            <v>10.94636216</v>
          </cell>
          <cell r="C884">
            <v>11.09220142</v>
          </cell>
          <cell r="D884">
            <v>11.25239629</v>
          </cell>
          <cell r="E884">
            <v>11.42215493</v>
          </cell>
          <cell r="F884">
            <v>11.60599584</v>
          </cell>
          <cell r="G884">
            <v>11.805773329999999</v>
          </cell>
          <cell r="H884">
            <v>12.018504099999999</v>
          </cell>
          <cell r="I884">
            <v>12.174593460000001</v>
          </cell>
          <cell r="J884">
            <v>12.30787239</v>
          </cell>
          <cell r="K884">
            <v>12.47121585</v>
          </cell>
          <cell r="L884">
            <v>12.645632790000001</v>
          </cell>
          <cell r="M884">
            <v>12.829745969999999</v>
          </cell>
          <cell r="N884">
            <v>13.02101028</v>
          </cell>
          <cell r="O884">
            <v>13.21397243</v>
          </cell>
          <cell r="P884">
            <v>13.41379549</v>
          </cell>
          <cell r="Q884">
            <v>13.624650600000001</v>
          </cell>
          <cell r="R884">
            <v>13.848593899999999</v>
          </cell>
          <cell r="S884">
            <v>14.08262068</v>
          </cell>
          <cell r="T884">
            <v>14.330431089999999</v>
          </cell>
          <cell r="U884">
            <v>14.59606453</v>
          </cell>
          <cell r="V884">
            <v>14.8808474</v>
          </cell>
          <cell r="W884">
            <v>15.19156181</v>
          </cell>
          <cell r="X884">
            <v>15.532599680000001</v>
          </cell>
          <cell r="Y884">
            <v>15.90698838</v>
          </cell>
          <cell r="Z884">
            <v>16.31645906</v>
          </cell>
          <cell r="AA884">
            <v>16.754633699999999</v>
          </cell>
          <cell r="AB884">
            <v>17.226176209999998</v>
          </cell>
          <cell r="AC884">
            <v>17.73926651</v>
          </cell>
          <cell r="AD884">
            <v>18.297841640000001</v>
          </cell>
          <cell r="AE884">
            <v>18.90326834</v>
          </cell>
          <cell r="AF884">
            <v>19.556292590000002</v>
          </cell>
          <cell r="AG884">
            <v>20.259663620000001</v>
          </cell>
          <cell r="AH884">
            <v>21.019030040000001</v>
          </cell>
          <cell r="AI884">
            <v>21.842870390000002</v>
          </cell>
          <cell r="AJ884">
            <v>22.744332700000001</v>
          </cell>
          <cell r="AK884">
            <v>23.744114960000001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7136.757756</v>
          </cell>
          <cell r="D18">
            <v>7234.0597159999998</v>
          </cell>
          <cell r="E18">
            <v>7366.5769819999996</v>
          </cell>
          <cell r="F18">
            <v>7527.8348660000001</v>
          </cell>
          <cell r="G18">
            <v>7707.4421970000003</v>
          </cell>
          <cell r="H18">
            <v>7895.9502320000001</v>
          </cell>
          <cell r="I18">
            <v>8060.2893560000002</v>
          </cell>
          <cell r="J18">
            <v>8220.1979589999992</v>
          </cell>
          <cell r="K18">
            <v>8384.1238209999992</v>
          </cell>
          <cell r="L18">
            <v>8555.0785959999994</v>
          </cell>
          <cell r="M18">
            <v>8740.1705700000002</v>
          </cell>
          <cell r="N18">
            <v>8934.2740570000005</v>
          </cell>
          <cell r="O18">
            <v>9130.5663949999998</v>
          </cell>
          <cell r="P18">
            <v>9323.7358139999997</v>
          </cell>
          <cell r="Q18">
            <v>9510.1671110000007</v>
          </cell>
          <cell r="R18">
            <v>9684.0123500000009</v>
          </cell>
          <cell r="S18">
            <v>9846.2460900000005</v>
          </cell>
          <cell r="T18">
            <v>9998.0434760000007</v>
          </cell>
          <cell r="U18">
            <v>10140.228580000001</v>
          </cell>
          <cell r="V18">
            <v>10272.333640000001</v>
          </cell>
          <cell r="W18">
            <v>10396.614449999999</v>
          </cell>
          <cell r="X18">
            <v>10514.01756</v>
          </cell>
          <cell r="Y18">
            <v>10625.795410000001</v>
          </cell>
          <cell r="Z18">
            <v>10733.127920000001</v>
          </cell>
          <cell r="AA18">
            <v>10833.89083</v>
          </cell>
          <cell r="AB18">
            <v>10931.36087</v>
          </cell>
          <cell r="AC18">
            <v>11026.66144</v>
          </cell>
          <cell r="AD18">
            <v>11121.439770000001</v>
          </cell>
          <cell r="AE18">
            <v>11217.293799999999</v>
          </cell>
          <cell r="AF18">
            <v>11315.20413</v>
          </cell>
          <cell r="AG18">
            <v>11415.41058</v>
          </cell>
          <cell r="AH18">
            <v>11517.687610000001</v>
          </cell>
          <cell r="AI18">
            <v>11621.740449999999</v>
          </cell>
          <cell r="AJ18">
            <v>11727.25244</v>
          </cell>
          <cell r="AK18">
            <v>11833.93001</v>
          </cell>
        </row>
        <row r="19">
          <cell r="A19" t="str">
            <v>auto_ca_cfut_0</v>
          </cell>
          <cell r="B19">
            <v>7095.7005250000002</v>
          </cell>
          <cell r="C19">
            <v>7136.757756</v>
          </cell>
          <cell r="D19">
            <v>7234.0597159999998</v>
          </cell>
          <cell r="E19">
            <v>7366.5769819999996</v>
          </cell>
          <cell r="F19">
            <v>7527.8348640000004</v>
          </cell>
          <cell r="G19">
            <v>7707.4421940000002</v>
          </cell>
          <cell r="H19">
            <v>7893.0002000000004</v>
          </cell>
          <cell r="I19">
            <v>8079.3830250000001</v>
          </cell>
          <cell r="J19">
            <v>8265.0137149999991</v>
          </cell>
          <cell r="K19">
            <v>8449.7269090000009</v>
          </cell>
          <cell r="L19">
            <v>8635.2878330000003</v>
          </cell>
          <cell r="M19">
            <v>8820.0406800000001</v>
          </cell>
          <cell r="N19">
            <v>9003.8174220000001</v>
          </cell>
          <cell r="O19">
            <v>9185.2413649999999</v>
          </cell>
          <cell r="P19">
            <v>9362.6230009999999</v>
          </cell>
          <cell r="Q19">
            <v>9534.5123889999995</v>
          </cell>
          <cell r="R19">
            <v>9704.8144040000006</v>
          </cell>
          <cell r="S19">
            <v>9873.8995520000008</v>
          </cell>
          <cell r="T19">
            <v>10040.582839999999</v>
          </cell>
          <cell r="U19">
            <v>10203.721970000001</v>
          </cell>
          <cell r="V19">
            <v>10361.58815</v>
          </cell>
          <cell r="W19">
            <v>10515.86794</v>
          </cell>
          <cell r="X19">
            <v>10667.332640000001</v>
          </cell>
          <cell r="Y19">
            <v>10817.155989999999</v>
          </cell>
          <cell r="Z19">
            <v>10966.544879999999</v>
          </cell>
          <cell r="AA19">
            <v>11113.403829999999</v>
          </cell>
          <cell r="AB19">
            <v>11261.55075</v>
          </cell>
          <cell r="AC19">
            <v>11412.611849999999</v>
          </cell>
          <cell r="AD19">
            <v>11568.2583</v>
          </cell>
          <cell r="AE19">
            <v>11729.95147</v>
          </cell>
          <cell r="AF19">
            <v>11898.5049</v>
          </cell>
          <cell r="AG19">
            <v>12074.00138</v>
          </cell>
          <cell r="AH19">
            <v>12255.891530000001</v>
          </cell>
          <cell r="AI19">
            <v>12443.11008</v>
          </cell>
          <cell r="AJ19">
            <v>12634.18671</v>
          </cell>
          <cell r="AK19">
            <v>12827.332770000001</v>
          </cell>
        </row>
        <row r="20">
          <cell r="A20" t="str">
            <v>auto_cb_cfut_2</v>
          </cell>
          <cell r="B20">
            <v>8251.256421</v>
          </cell>
          <cell r="C20">
            <v>8178.0100259999999</v>
          </cell>
          <cell r="D20">
            <v>8166.471595</v>
          </cell>
          <cell r="E20">
            <v>8195.5437349999993</v>
          </cell>
          <cell r="F20">
            <v>8258.2796460000009</v>
          </cell>
          <cell r="G20">
            <v>8344.2947559999993</v>
          </cell>
          <cell r="H20">
            <v>8444.0796950000004</v>
          </cell>
          <cell r="I20">
            <v>8525.0964899999999</v>
          </cell>
          <cell r="J20">
            <v>8604.4670139999998</v>
          </cell>
          <cell r="K20">
            <v>8689.6297070000001</v>
          </cell>
          <cell r="L20">
            <v>8782.9608489999991</v>
          </cell>
          <cell r="M20">
            <v>8891.0358159999996</v>
          </cell>
          <cell r="N20">
            <v>9009.4932040000003</v>
          </cell>
          <cell r="O20">
            <v>9132.2176309999995</v>
          </cell>
          <cell r="P20">
            <v>9254.3914789999999</v>
          </cell>
          <cell r="Q20">
            <v>9372.6969580000004</v>
          </cell>
          <cell r="R20">
            <v>9481.622539</v>
          </cell>
          <cell r="S20">
            <v>9581.8143720000007</v>
          </cell>
          <cell r="T20">
            <v>9674.2261510000008</v>
          </cell>
          <cell r="U20">
            <v>9759.5273710000001</v>
          </cell>
          <cell r="V20">
            <v>9837.2079300000005</v>
          </cell>
          <cell r="W20">
            <v>9909.2124089999998</v>
          </cell>
          <cell r="X20">
            <v>9976.2643489999991</v>
          </cell>
          <cell r="Y20">
            <v>10039.339610000001</v>
          </cell>
          <cell r="Z20">
            <v>10099.322050000001</v>
          </cell>
          <cell r="AA20">
            <v>10154.102140000001</v>
          </cell>
          <cell r="AB20">
            <v>10206.39538</v>
          </cell>
          <cell r="AC20">
            <v>10256.93845</v>
          </cell>
          <cell r="AD20">
            <v>10306.91597</v>
          </cell>
          <cell r="AE20">
            <v>10357.47768</v>
          </cell>
          <cell r="AF20">
            <v>10409.24202</v>
          </cell>
          <cell r="AG20">
            <v>10462.186519999999</v>
          </cell>
          <cell r="AH20">
            <v>10515.88897</v>
          </cell>
          <cell r="AI20">
            <v>10569.88236</v>
          </cell>
          <cell r="AJ20">
            <v>10623.70097</v>
          </cell>
          <cell r="AK20">
            <v>10676.91531</v>
          </cell>
        </row>
        <row r="21">
          <cell r="A21" t="str">
            <v>auto_cb_cfut_0</v>
          </cell>
          <cell r="B21">
            <v>8251.256421</v>
          </cell>
          <cell r="C21">
            <v>8178.0100259999999</v>
          </cell>
          <cell r="D21">
            <v>8166.4715939999996</v>
          </cell>
          <cell r="E21">
            <v>8195.5437340000008</v>
          </cell>
          <cell r="F21">
            <v>8258.2796450000005</v>
          </cell>
          <cell r="G21">
            <v>8344.2947540000005</v>
          </cell>
          <cell r="H21">
            <v>8441.2298520000004</v>
          </cell>
          <cell r="I21">
            <v>8543.5831330000001</v>
          </cell>
          <cell r="J21">
            <v>8649.2735279999997</v>
          </cell>
          <cell r="K21">
            <v>8757.6427199999998</v>
          </cell>
          <cell r="L21">
            <v>8869.9341800000002</v>
          </cell>
          <cell r="M21">
            <v>8984.2524209999992</v>
          </cell>
          <cell r="N21">
            <v>9100.1883710000002</v>
          </cell>
          <cell r="O21">
            <v>9216.271632</v>
          </cell>
          <cell r="P21">
            <v>9330.7884589999994</v>
          </cell>
          <cell r="Q21">
            <v>9442.2714969999997</v>
          </cell>
          <cell r="R21">
            <v>9554.3172410000006</v>
          </cell>
          <cell r="S21">
            <v>9667.3339120000001</v>
          </cell>
          <cell r="T21">
            <v>9780.2329050000008</v>
          </cell>
          <cell r="U21">
            <v>9891.8728190000002</v>
          </cell>
          <cell r="V21">
            <v>10000.48826</v>
          </cell>
          <cell r="W21">
            <v>10107.40825</v>
          </cell>
          <cell r="X21">
            <v>10213.076999999999</v>
          </cell>
          <cell r="Y21">
            <v>10318.28174</v>
          </cell>
          <cell r="Z21">
            <v>10423.811799999999</v>
          </cell>
          <cell r="AA21">
            <v>10527.41138</v>
          </cell>
          <cell r="AB21">
            <v>10632.22251</v>
          </cell>
          <cell r="AC21">
            <v>10739.364729999999</v>
          </cell>
          <cell r="AD21">
            <v>10849.987810000001</v>
          </cell>
          <cell r="AE21">
            <v>10965.05688</v>
          </cell>
          <cell r="AF21">
            <v>11084.966249999999</v>
          </cell>
          <cell r="AG21">
            <v>11209.474130000001</v>
          </cell>
          <cell r="AH21">
            <v>11337.80076</v>
          </cell>
          <cell r="AI21">
            <v>11468.74123</v>
          </cell>
          <cell r="AJ21">
            <v>11600.77297</v>
          </cell>
          <cell r="AK21">
            <v>11732.14129</v>
          </cell>
        </row>
        <row r="22">
          <cell r="A22" t="str">
            <v>auto_cc_cfut_2</v>
          </cell>
          <cell r="B22">
            <v>6777.6024520000001</v>
          </cell>
          <cell r="C22">
            <v>6643.4662250000001</v>
          </cell>
          <cell r="D22">
            <v>6557.8114910000004</v>
          </cell>
          <cell r="E22">
            <v>6505.379003</v>
          </cell>
          <cell r="F22">
            <v>6480.8301350000002</v>
          </cell>
          <cell r="G22">
            <v>6476.6687620000002</v>
          </cell>
          <cell r="H22">
            <v>6485.9869779999999</v>
          </cell>
          <cell r="I22">
            <v>6485.7063179999996</v>
          </cell>
          <cell r="J22">
            <v>6486.4371659999997</v>
          </cell>
          <cell r="K22">
            <v>6492.8701689999998</v>
          </cell>
          <cell r="L22">
            <v>6506.3038569999999</v>
          </cell>
          <cell r="M22">
            <v>6531.1170700000002</v>
          </cell>
          <cell r="N22">
            <v>6564.6417499999998</v>
          </cell>
          <cell r="O22">
            <v>6602.9117569999999</v>
          </cell>
          <cell r="P22">
            <v>6642.7573130000001</v>
          </cell>
          <cell r="Q22">
            <v>6681.9615709999998</v>
          </cell>
          <cell r="R22">
            <v>6716.7586899999997</v>
          </cell>
          <cell r="S22">
            <v>6747.3925989999998</v>
          </cell>
          <cell r="T22">
            <v>6774.3935940000001</v>
          </cell>
          <cell r="U22">
            <v>6798.1298100000004</v>
          </cell>
          <cell r="V22">
            <v>6818.1930949999996</v>
          </cell>
          <cell r="W22">
            <v>6835.7731460000005</v>
          </cell>
          <cell r="X22">
            <v>6851.2399569999998</v>
          </cell>
          <cell r="Y22">
            <v>6865.1141090000001</v>
          </cell>
          <cell r="Z22">
            <v>6877.8410180000001</v>
          </cell>
          <cell r="AA22">
            <v>6887.9101220000002</v>
          </cell>
          <cell r="AB22">
            <v>6896.9260800000002</v>
          </cell>
          <cell r="AC22">
            <v>6905.1845869999997</v>
          </cell>
          <cell r="AD22">
            <v>6913.2613099999999</v>
          </cell>
          <cell r="AE22">
            <v>6921.7192180000002</v>
          </cell>
          <cell r="AF22">
            <v>6930.7952530000002</v>
          </cell>
          <cell r="AG22">
            <v>6940.3297069999999</v>
          </cell>
          <cell r="AH22">
            <v>6949.9187460000003</v>
          </cell>
          <cell r="AI22">
            <v>6959.1440329999996</v>
          </cell>
          <cell r="AJ22">
            <v>6967.6046960000003</v>
          </cell>
          <cell r="AK22">
            <v>6974.9365100000005</v>
          </cell>
        </row>
        <row r="23">
          <cell r="A23" t="str">
            <v>auto_cc_cfut_0</v>
          </cell>
          <cell r="B23">
            <v>6777.6024520000001</v>
          </cell>
          <cell r="C23">
            <v>6643.4662250000001</v>
          </cell>
          <cell r="D23">
            <v>6557.8114910000004</v>
          </cell>
          <cell r="E23">
            <v>6505.3790019999997</v>
          </cell>
          <cell r="F23">
            <v>6480.8301339999998</v>
          </cell>
          <cell r="G23">
            <v>6476.6687609999999</v>
          </cell>
          <cell r="H23">
            <v>6484.0026589999998</v>
          </cell>
          <cell r="I23">
            <v>6498.6046459999998</v>
          </cell>
          <cell r="J23">
            <v>6518.6277179999997</v>
          </cell>
          <cell r="K23">
            <v>6543.2582069999999</v>
          </cell>
          <cell r="L23">
            <v>6573.0339739999999</v>
          </cell>
          <cell r="M23">
            <v>6606.4196679999995</v>
          </cell>
          <cell r="N23">
            <v>6642.9487159999999</v>
          </cell>
          <cell r="O23">
            <v>6681.4866039999997</v>
          </cell>
          <cell r="P23">
            <v>6720.7686910000002</v>
          </cell>
          <cell r="Q23">
            <v>6759.7123549999997</v>
          </cell>
          <cell r="R23">
            <v>6800.6883610000004</v>
          </cell>
          <cell r="S23">
            <v>6843.9946019999998</v>
          </cell>
          <cell r="T23">
            <v>6888.8916479999998</v>
          </cell>
          <cell r="U23">
            <v>6934.5439900000001</v>
          </cell>
          <cell r="V23">
            <v>6979.6466440000004</v>
          </cell>
          <cell r="W23">
            <v>7024.9181429999999</v>
          </cell>
          <cell r="X23">
            <v>7070.463256</v>
          </cell>
          <cell r="Y23">
            <v>7116.598688</v>
          </cell>
          <cell r="Z23">
            <v>7163.6265139999996</v>
          </cell>
          <cell r="AA23">
            <v>7209.8258370000003</v>
          </cell>
          <cell r="AB23">
            <v>7257.0346680000002</v>
          </cell>
          <cell r="AC23">
            <v>7305.7485159999997</v>
          </cell>
          <cell r="AD23">
            <v>7356.4803270000002</v>
          </cell>
          <cell r="AE23">
            <v>7409.6307269999998</v>
          </cell>
          <cell r="AF23">
            <v>7465.2425629999998</v>
          </cell>
          <cell r="AG23">
            <v>7522.9644959999996</v>
          </cell>
          <cell r="AH23">
            <v>7582.1205490000002</v>
          </cell>
          <cell r="AI23">
            <v>7641.7882579999996</v>
          </cell>
          <cell r="AJ23">
            <v>7700.8728190000002</v>
          </cell>
          <cell r="AK23">
            <v>7758.1665640000001</v>
          </cell>
        </row>
        <row r="24">
          <cell r="A24" t="str">
            <v>auto_cd_cfut_2</v>
          </cell>
          <cell r="B24">
            <v>4159.6639080000004</v>
          </cell>
          <cell r="C24">
            <v>4053.0059419999998</v>
          </cell>
          <cell r="D24">
            <v>3974.2091730000002</v>
          </cell>
          <cell r="E24">
            <v>3914.3492820000001</v>
          </cell>
          <cell r="F24">
            <v>3870.1371989999998</v>
          </cell>
          <cell r="G24">
            <v>3837.332973</v>
          </cell>
          <cell r="H24">
            <v>3812.0521840000001</v>
          </cell>
          <cell r="I24">
            <v>3781.6082240000001</v>
          </cell>
          <cell r="J24">
            <v>3751.148318</v>
          </cell>
          <cell r="K24">
            <v>3723.2200240000002</v>
          </cell>
          <cell r="L24">
            <v>3698.628471</v>
          </cell>
          <cell r="M24">
            <v>3679.8224260000002</v>
          </cell>
          <cell r="N24">
            <v>3665.7556</v>
          </cell>
          <cell r="O24">
            <v>3654.7070800000001</v>
          </cell>
          <cell r="P24">
            <v>3645.3373780000002</v>
          </cell>
          <cell r="Q24">
            <v>3636.7518709999999</v>
          </cell>
          <cell r="R24">
            <v>3627.238218</v>
          </cell>
          <cell r="S24">
            <v>3616.998349</v>
          </cell>
          <cell r="T24">
            <v>3606.3943260000001</v>
          </cell>
          <cell r="U24">
            <v>3595.6908360000002</v>
          </cell>
          <cell r="V24">
            <v>3584.7349920000001</v>
          </cell>
          <cell r="W24">
            <v>3574.1139969999999</v>
          </cell>
          <cell r="X24">
            <v>3563.9727109999999</v>
          </cell>
          <cell r="Y24">
            <v>3554.4983200000001</v>
          </cell>
          <cell r="Z24">
            <v>3545.809663</v>
          </cell>
          <cell r="AA24">
            <v>3537.0390870000001</v>
          </cell>
          <cell r="AB24">
            <v>3528.8067390000001</v>
          </cell>
          <cell r="AC24">
            <v>3521.0548699999999</v>
          </cell>
          <cell r="AD24">
            <v>3513.8573820000001</v>
          </cell>
          <cell r="AE24">
            <v>3507.3200999999999</v>
          </cell>
          <cell r="AF24">
            <v>3501.4366890000001</v>
          </cell>
          <cell r="AG24">
            <v>3496.0451210000001</v>
          </cell>
          <cell r="AH24">
            <v>3490.8911159999998</v>
          </cell>
          <cell r="AI24">
            <v>3485.7445640000001</v>
          </cell>
          <cell r="AJ24">
            <v>3480.4203360000001</v>
          </cell>
          <cell r="AK24">
            <v>3474.7832600000002</v>
          </cell>
        </row>
        <row r="25">
          <cell r="A25" t="str">
            <v>auto_cd_cfut_0</v>
          </cell>
          <cell r="B25">
            <v>4159.6639080000004</v>
          </cell>
          <cell r="C25">
            <v>4053.0059419999998</v>
          </cell>
          <cell r="D25">
            <v>3974.2091730000002</v>
          </cell>
          <cell r="E25">
            <v>3914.3492809999998</v>
          </cell>
          <cell r="F25">
            <v>3870.1371979999999</v>
          </cell>
          <cell r="G25">
            <v>3837.3329720000002</v>
          </cell>
          <cell r="H25">
            <v>3810.9678450000001</v>
          </cell>
          <cell r="I25">
            <v>3788.5844780000002</v>
          </cell>
          <cell r="J25">
            <v>3769.0527240000001</v>
          </cell>
          <cell r="K25">
            <v>3751.8507479999998</v>
          </cell>
          <cell r="L25">
            <v>3737.2053460000002</v>
          </cell>
          <cell r="M25">
            <v>3724.3364839999999</v>
          </cell>
          <cell r="N25">
            <v>3713.0833170000001</v>
          </cell>
          <cell r="O25">
            <v>3703.0025690000002</v>
          </cell>
          <cell r="P25">
            <v>3693.6144210000002</v>
          </cell>
          <cell r="Q25">
            <v>3684.5291499999998</v>
          </cell>
          <cell r="R25">
            <v>3677.0858819999999</v>
          </cell>
          <cell r="S25">
            <v>3671.6144220000001</v>
          </cell>
          <cell r="T25">
            <v>3667.8713619999999</v>
          </cell>
          <cell r="U25">
            <v>3665.4850029999998</v>
          </cell>
          <cell r="V25">
            <v>3663.7818590000002</v>
          </cell>
          <cell r="W25">
            <v>3663.0158000000001</v>
          </cell>
          <cell r="X25">
            <v>3663.1012679999999</v>
          </cell>
          <cell r="Y25">
            <v>3664.0212040000001</v>
          </cell>
          <cell r="Z25">
            <v>3665.7134350000001</v>
          </cell>
          <cell r="AA25">
            <v>3667.1221989999999</v>
          </cell>
          <cell r="AB25">
            <v>3668.8669159999999</v>
          </cell>
          <cell r="AC25">
            <v>3670.917962</v>
          </cell>
          <cell r="AD25">
            <v>3673.2543300000002</v>
          </cell>
          <cell r="AE25">
            <v>3675.8288590000002</v>
          </cell>
          <cell r="AF25">
            <v>3678.466805</v>
          </cell>
          <cell r="AG25">
            <v>3680.8571849999998</v>
          </cell>
          <cell r="AH25">
            <v>3682.590588</v>
          </cell>
          <cell r="AI25">
            <v>3683.1985279999999</v>
          </cell>
          <cell r="AJ25">
            <v>3682.1897349999999</v>
          </cell>
          <cell r="AK25">
            <v>3679.0785430000001</v>
          </cell>
        </row>
        <row r="26">
          <cell r="A26" t="str">
            <v>auto_ce_cfut_2</v>
          </cell>
          <cell r="B26">
            <v>2503.7292430000002</v>
          </cell>
          <cell r="C26">
            <v>2441.8638930000002</v>
          </cell>
          <cell r="D26">
            <v>2395.982638</v>
          </cell>
          <cell r="E26">
            <v>2360.4699649999998</v>
          </cell>
          <cell r="F26">
            <v>2333.2493450000002</v>
          </cell>
          <cell r="G26">
            <v>2311.7996929999999</v>
          </cell>
          <cell r="H26">
            <v>2293.8231249999999</v>
          </cell>
          <cell r="I26">
            <v>2271.6500569999998</v>
          </cell>
          <cell r="J26">
            <v>2248.0250850000002</v>
          </cell>
          <cell r="K26">
            <v>2224.466277</v>
          </cell>
          <cell r="L26">
            <v>2201.4733670000001</v>
          </cell>
          <cell r="M26">
            <v>2180.5551839999998</v>
          </cell>
          <cell r="N26">
            <v>2161.3778750000001</v>
          </cell>
          <cell r="O26">
            <v>2143.2091540000001</v>
          </cell>
          <cell r="P26">
            <v>2125.507192</v>
          </cell>
          <cell r="Q26">
            <v>2107.9479040000001</v>
          </cell>
          <cell r="R26">
            <v>2089.7260310000001</v>
          </cell>
          <cell r="S26">
            <v>2071.0152990000001</v>
          </cell>
          <cell r="T26">
            <v>2052.0802899999999</v>
          </cell>
          <cell r="U26">
            <v>2033.120647</v>
          </cell>
          <cell r="V26">
            <v>2014.0964739999999</v>
          </cell>
          <cell r="W26">
            <v>1995.3268479999999</v>
          </cell>
          <cell r="X26">
            <v>1976.876182</v>
          </cell>
          <cell r="Y26">
            <v>1958.810694</v>
          </cell>
          <cell r="Z26">
            <v>1941.142098</v>
          </cell>
          <cell r="AA26">
            <v>1923.372511</v>
          </cell>
          <cell r="AB26">
            <v>1905.7311520000001</v>
          </cell>
          <cell r="AC26">
            <v>1888.0886</v>
          </cell>
          <cell r="AD26">
            <v>1870.3759809999999</v>
          </cell>
          <cell r="AE26">
            <v>1852.553396</v>
          </cell>
          <cell r="AF26">
            <v>1834.544388</v>
          </cell>
          <cell r="AG26">
            <v>1816.213827</v>
          </cell>
          <cell r="AH26">
            <v>1797.396131</v>
          </cell>
          <cell r="AI26">
            <v>1777.952063</v>
          </cell>
          <cell r="AJ26">
            <v>1757.779215</v>
          </cell>
          <cell r="AK26">
            <v>1736.8109139999999</v>
          </cell>
        </row>
        <row r="27">
          <cell r="A27" t="str">
            <v>auto_ce_cfut_0</v>
          </cell>
          <cell r="B27">
            <v>2503.7292430000002</v>
          </cell>
          <cell r="C27">
            <v>2441.8638930000002</v>
          </cell>
          <cell r="D27">
            <v>2395.982638</v>
          </cell>
          <cell r="E27">
            <v>2360.4699649999998</v>
          </cell>
          <cell r="F27">
            <v>2333.2493450000002</v>
          </cell>
          <cell r="G27">
            <v>2311.7996929999999</v>
          </cell>
          <cell r="H27">
            <v>2293.1628700000001</v>
          </cell>
          <cell r="I27">
            <v>2275.8689119999999</v>
          </cell>
          <cell r="J27">
            <v>2259.256159</v>
          </cell>
          <cell r="K27">
            <v>2243.0463300000001</v>
          </cell>
          <cell r="L27">
            <v>2227.412448</v>
          </cell>
          <cell r="M27">
            <v>2211.9754240000002</v>
          </cell>
          <cell r="N27">
            <v>2196.7400830000001</v>
          </cell>
          <cell r="O27">
            <v>2181.5734130000001</v>
          </cell>
          <cell r="P27">
            <v>2166.3294569999998</v>
          </cell>
          <cell r="Q27">
            <v>2150.904857</v>
          </cell>
          <cell r="R27">
            <v>2136.153769</v>
          </cell>
          <cell r="S27">
            <v>2122.3829479999999</v>
          </cell>
          <cell r="T27">
            <v>2109.5502489999999</v>
          </cell>
          <cell r="U27">
            <v>2097.4980460000002</v>
          </cell>
          <cell r="V27">
            <v>2085.8656000000001</v>
          </cell>
          <cell r="W27">
            <v>2074.7576560000002</v>
          </cell>
          <cell r="X27">
            <v>2064.0731609999998</v>
          </cell>
          <cell r="Y27">
            <v>2053.7285109999998</v>
          </cell>
          <cell r="Z27">
            <v>2043.5966579999999</v>
          </cell>
          <cell r="AA27">
            <v>2033.020356</v>
          </cell>
          <cell r="AB27">
            <v>2022.2063519999999</v>
          </cell>
          <cell r="AC27">
            <v>2011.0214020000001</v>
          </cell>
          <cell r="AD27">
            <v>1999.3404780000001</v>
          </cell>
          <cell r="AE27">
            <v>1987.041671</v>
          </cell>
          <cell r="AF27">
            <v>1973.961501</v>
          </cell>
          <cell r="AG27">
            <v>1959.894939</v>
          </cell>
          <cell r="AH27">
            <v>1944.6169580000001</v>
          </cell>
          <cell r="AI27">
            <v>1927.9031440000001</v>
          </cell>
          <cell r="AJ27">
            <v>1909.5476349999999</v>
          </cell>
          <cell r="AK27">
            <v>1889.376133</v>
          </cell>
        </row>
        <row r="28">
          <cell r="A28" t="str">
            <v>auto_cf_cfut_2</v>
          </cell>
          <cell r="B28">
            <v>1243.6668460000001</v>
          </cell>
          <cell r="C28">
            <v>1210.317067</v>
          </cell>
          <cell r="D28">
            <v>1183.5843560000001</v>
          </cell>
          <cell r="E28">
            <v>1160.5419850000001</v>
          </cell>
          <cell r="F28">
            <v>1140.091574</v>
          </cell>
          <cell r="G28">
            <v>1121.1101410000001</v>
          </cell>
          <cell r="H28">
            <v>1102.6232749999999</v>
          </cell>
          <cell r="I28">
            <v>1081.2936139999999</v>
          </cell>
          <cell r="J28">
            <v>1058.1197870000001</v>
          </cell>
          <cell r="K28">
            <v>1033.8428429999999</v>
          </cell>
          <cell r="L28">
            <v>1008.77923</v>
          </cell>
          <cell r="M28">
            <v>983.65914439999995</v>
          </cell>
          <cell r="N28">
            <v>958.62604050000004</v>
          </cell>
          <cell r="O28">
            <v>933.67940490000001</v>
          </cell>
          <cell r="P28">
            <v>908.86485210000001</v>
          </cell>
          <cell r="Q28">
            <v>884.26697899999999</v>
          </cell>
          <cell r="R28">
            <v>859.7806544</v>
          </cell>
          <cell r="S28">
            <v>835.5546392</v>
          </cell>
          <cell r="T28">
            <v>811.74716650000005</v>
          </cell>
          <cell r="U28">
            <v>788.47163160000002</v>
          </cell>
          <cell r="V28">
            <v>765.74586839999995</v>
          </cell>
          <cell r="W28">
            <v>743.6615759</v>
          </cell>
          <cell r="X28">
            <v>722.21595219999995</v>
          </cell>
          <cell r="Y28">
            <v>701.3901257</v>
          </cell>
          <cell r="Z28">
            <v>681.13618269999995</v>
          </cell>
          <cell r="AA28">
            <v>661.26856980000002</v>
          </cell>
          <cell r="AB28">
            <v>641.77516219999995</v>
          </cell>
          <cell r="AC28">
            <v>622.54646090000006</v>
          </cell>
          <cell r="AD28">
            <v>603.49414260000003</v>
          </cell>
          <cell r="AE28">
            <v>584.55736899999999</v>
          </cell>
          <cell r="AF28">
            <v>565.689483</v>
          </cell>
          <cell r="AG28">
            <v>546.85005999999998</v>
          </cell>
          <cell r="AH28">
            <v>528.00766469999996</v>
          </cell>
          <cell r="AI28">
            <v>509.15107239999998</v>
          </cell>
          <cell r="AJ28">
            <v>490.28962749999999</v>
          </cell>
          <cell r="AK28">
            <v>471.44891150000001</v>
          </cell>
        </row>
        <row r="29">
          <cell r="A29" t="str">
            <v>auto_cf_cfut_0</v>
          </cell>
          <cell r="B29">
            <v>1243.6668460000001</v>
          </cell>
          <cell r="C29">
            <v>1210.317067</v>
          </cell>
          <cell r="D29">
            <v>1183.5843560000001</v>
          </cell>
          <cell r="E29">
            <v>1160.5419850000001</v>
          </cell>
          <cell r="F29">
            <v>1140.091574</v>
          </cell>
          <cell r="G29">
            <v>1121.1101410000001</v>
          </cell>
          <cell r="H29">
            <v>1102.3247349999999</v>
          </cell>
          <cell r="I29">
            <v>1083.1332239999999</v>
          </cell>
          <cell r="J29">
            <v>1063.3184309999999</v>
          </cell>
          <cell r="K29">
            <v>1042.8548370000001</v>
          </cell>
          <cell r="L29">
            <v>1021.911457</v>
          </cell>
          <cell r="M29">
            <v>1000.472649</v>
          </cell>
          <cell r="N29">
            <v>978.69482330000005</v>
          </cell>
          <cell r="O29">
            <v>956.69951979999996</v>
          </cell>
          <cell r="P29">
            <v>934.60048470000004</v>
          </cell>
          <cell r="Q29">
            <v>912.50619810000001</v>
          </cell>
          <cell r="R29">
            <v>890.82977930000004</v>
          </cell>
          <cell r="S29">
            <v>869.79127540000002</v>
          </cell>
          <cell r="T29">
            <v>849.45650369999998</v>
          </cell>
          <cell r="U29">
            <v>829.80913929999997</v>
          </cell>
          <cell r="V29">
            <v>810.73205140000005</v>
          </cell>
          <cell r="W29">
            <v>792.2206185</v>
          </cell>
          <cell r="X29">
            <v>774.18792570000005</v>
          </cell>
          <cell r="Y29">
            <v>756.53787669999997</v>
          </cell>
          <cell r="Z29">
            <v>739.14843269999994</v>
          </cell>
          <cell r="AA29">
            <v>721.74679230000004</v>
          </cell>
          <cell r="AB29">
            <v>704.29975890000003</v>
          </cell>
          <cell r="AC29">
            <v>686.69031540000003</v>
          </cell>
          <cell r="AD29">
            <v>668.81974230000003</v>
          </cell>
          <cell r="AE29">
            <v>650.61686440000005</v>
          </cell>
          <cell r="AF29">
            <v>632.03009020000002</v>
          </cell>
          <cell r="AG29">
            <v>613.02750549999996</v>
          </cell>
          <cell r="AH29">
            <v>593.59997420000002</v>
          </cell>
          <cell r="AI29">
            <v>573.76227119999999</v>
          </cell>
          <cell r="AJ29">
            <v>553.55261529999996</v>
          </cell>
          <cell r="AK29">
            <v>533.03049350000003</v>
          </cell>
        </row>
        <row r="30">
          <cell r="A30" t="str">
            <v>auto_cg_cfut_2</v>
          </cell>
          <cell r="B30">
            <v>2239.620606</v>
          </cell>
          <cell r="C30">
            <v>2182.9862680000001</v>
          </cell>
          <cell r="D30">
            <v>2136.1230620000001</v>
          </cell>
          <cell r="E30">
            <v>2093.3667559999999</v>
          </cell>
          <cell r="F30">
            <v>2052.689961</v>
          </cell>
          <cell r="G30">
            <v>2012.30657</v>
          </cell>
          <cell r="H30">
            <v>1970.7611300000001</v>
          </cell>
          <cell r="I30">
            <v>1922.5273070000001</v>
          </cell>
          <cell r="J30">
            <v>1869.241945</v>
          </cell>
          <cell r="K30">
            <v>1812.474457</v>
          </cell>
          <cell r="L30">
            <v>1753.087806</v>
          </cell>
          <cell r="M30">
            <v>1692.589831</v>
          </cell>
          <cell r="N30">
            <v>1631.6942300000001</v>
          </cell>
          <cell r="O30">
            <v>1570.848407</v>
          </cell>
          <cell r="P30">
            <v>1510.4872009999999</v>
          </cell>
          <cell r="Q30">
            <v>1451.013721</v>
          </cell>
          <cell r="R30">
            <v>1392.5095759999999</v>
          </cell>
          <cell r="S30">
            <v>1335.293046</v>
          </cell>
          <cell r="T30">
            <v>1279.654108</v>
          </cell>
          <cell r="U30">
            <v>1225.7868759999999</v>
          </cell>
          <cell r="V30">
            <v>1173.7364339999999</v>
          </cell>
          <cell r="W30">
            <v>1123.59788</v>
          </cell>
          <cell r="X30">
            <v>1075.33376</v>
          </cell>
          <cell r="Y30">
            <v>1028.872811</v>
          </cell>
          <cell r="Z30">
            <v>984.10124310000003</v>
          </cell>
          <cell r="AA30">
            <v>940.76122980000002</v>
          </cell>
          <cell r="AB30">
            <v>898.76974949999999</v>
          </cell>
          <cell r="AC30">
            <v>857.94826399999999</v>
          </cell>
          <cell r="AD30">
            <v>818.15480590000004</v>
          </cell>
          <cell r="AE30">
            <v>779.29908709999995</v>
          </cell>
          <cell r="AF30">
            <v>741.32793470000001</v>
          </cell>
          <cell r="AG30">
            <v>704.21229270000003</v>
          </cell>
          <cell r="AH30">
            <v>667.94402500000001</v>
          </cell>
          <cell r="AI30">
            <v>632.54144719999999</v>
          </cell>
          <cell r="AJ30">
            <v>598.04493690000004</v>
          </cell>
          <cell r="AK30">
            <v>564.50810939999997</v>
          </cell>
        </row>
        <row r="31">
          <cell r="A31" t="str">
            <v>auto_cg_cfut_0</v>
          </cell>
          <cell r="B31">
            <v>2239.620606</v>
          </cell>
          <cell r="C31">
            <v>2182.9862680000001</v>
          </cell>
          <cell r="D31">
            <v>2136.1230620000001</v>
          </cell>
          <cell r="E31">
            <v>2093.3667559999999</v>
          </cell>
          <cell r="F31">
            <v>2052.689961</v>
          </cell>
          <cell r="G31">
            <v>2012.30657</v>
          </cell>
          <cell r="H31">
            <v>1970.2347</v>
          </cell>
          <cell r="I31">
            <v>1925.671278</v>
          </cell>
          <cell r="J31">
            <v>1878.510583</v>
          </cell>
          <cell r="K31">
            <v>1828.9947139999999</v>
          </cell>
          <cell r="L31">
            <v>1777.677541</v>
          </cell>
          <cell r="M31">
            <v>1724.8448719999999</v>
          </cell>
          <cell r="N31">
            <v>1671.0489889999999</v>
          </cell>
          <cell r="O31">
            <v>1616.7789990000001</v>
          </cell>
          <cell r="P31">
            <v>1562.477611</v>
          </cell>
          <cell r="Q31">
            <v>1508.5279419999999</v>
          </cell>
          <cell r="R31">
            <v>1455.680521</v>
          </cell>
          <cell r="S31">
            <v>1404.3914070000001</v>
          </cell>
          <cell r="T31">
            <v>1354.850612</v>
          </cell>
          <cell r="U31">
            <v>1307.0802859999999</v>
          </cell>
          <cell r="V31">
            <v>1260.927729</v>
          </cell>
          <cell r="W31">
            <v>1216.3455919999999</v>
          </cell>
          <cell r="X31">
            <v>1173.16542</v>
          </cell>
          <cell r="Y31">
            <v>1131.197128</v>
          </cell>
          <cell r="Z31">
            <v>1090.2138259999999</v>
          </cell>
          <cell r="AA31">
            <v>1049.824171</v>
          </cell>
          <cell r="AB31">
            <v>1009.921181</v>
          </cell>
          <cell r="AC31">
            <v>970.32615269999997</v>
          </cell>
          <cell r="AD31">
            <v>930.90877650000004</v>
          </cell>
          <cell r="AE31">
            <v>891.60295559999997</v>
          </cell>
          <cell r="AF31">
            <v>852.39590799999996</v>
          </cell>
          <cell r="AG31">
            <v>813.32189370000003</v>
          </cell>
          <cell r="AH31">
            <v>774.4569497</v>
          </cell>
          <cell r="AI31">
            <v>735.91087240000002</v>
          </cell>
          <cell r="AJ31">
            <v>697.81798140000001</v>
          </cell>
          <cell r="AK31">
            <v>660.32724729999995</v>
          </cell>
        </row>
        <row r="32">
          <cell r="A32" t="str">
            <v>auto_ca_cele_2</v>
          </cell>
          <cell r="B32">
            <v>9.8427898650000003</v>
          </cell>
          <cell r="C32">
            <v>15.10261468</v>
          </cell>
          <cell r="D32">
            <v>20.915323659999999</v>
          </cell>
          <cell r="E32">
            <v>27.22055202</v>
          </cell>
          <cell r="F32">
            <v>34.066405160000002</v>
          </cell>
          <cell r="G32">
            <v>41.350771559999998</v>
          </cell>
          <cell r="H32">
            <v>48.982805720000002</v>
          </cell>
          <cell r="I32">
            <v>56.933502320000002</v>
          </cell>
          <cell r="J32">
            <v>66.644086669999993</v>
          </cell>
          <cell r="K32">
            <v>79.429069569999996</v>
          </cell>
          <cell r="L32">
            <v>96.813964440000007</v>
          </cell>
          <cell r="M32">
            <v>120.07487949999999</v>
          </cell>
          <cell r="N32">
            <v>149.2395272</v>
          </cell>
          <cell r="O32">
            <v>184.17429849999999</v>
          </cell>
          <cell r="P32">
            <v>224.71525650000001</v>
          </cell>
          <cell r="Q32">
            <v>270.71683180000002</v>
          </cell>
          <cell r="R32">
            <v>321.98104160000003</v>
          </cell>
          <cell r="S32">
            <v>378.853455</v>
          </cell>
          <cell r="T32">
            <v>441.633533</v>
          </cell>
          <cell r="U32">
            <v>510.56928290000002</v>
          </cell>
          <cell r="V32">
            <v>585.77328690000002</v>
          </cell>
          <cell r="W32">
            <v>667.63988789999996</v>
          </cell>
          <cell r="X32">
            <v>756.47927949999996</v>
          </cell>
          <cell r="Y32">
            <v>852.68599559999996</v>
          </cell>
          <cell r="Z32">
            <v>956.7076376</v>
          </cell>
          <cell r="AA32">
            <v>1068.53441</v>
          </cell>
          <cell r="AB32">
            <v>1189.027081</v>
          </cell>
          <cell r="AC32">
            <v>1318.8367430000001</v>
          </cell>
          <cell r="AD32">
            <v>1458.8286410000001</v>
          </cell>
          <cell r="AE32">
            <v>1610.0066670000001</v>
          </cell>
          <cell r="AF32">
            <v>1773.396753</v>
          </cell>
          <cell r="AG32">
            <v>1949.9897470000001</v>
          </cell>
          <cell r="AH32">
            <v>2140.7727150000001</v>
          </cell>
          <cell r="AI32">
            <v>2346.8148420000002</v>
          </cell>
          <cell r="AJ32">
            <v>2569.2840379999998</v>
          </cell>
          <cell r="AK32">
            <v>2809.4680370000001</v>
          </cell>
        </row>
        <row r="33">
          <cell r="A33" t="str">
            <v>auto_ca_cele_0</v>
          </cell>
          <cell r="B33">
            <v>9.8427898650000003</v>
          </cell>
          <cell r="C33">
            <v>15.10261468</v>
          </cell>
          <cell r="D33">
            <v>20.915323659999999</v>
          </cell>
          <cell r="E33">
            <v>27.22055202</v>
          </cell>
          <cell r="F33">
            <v>34.066405179999997</v>
          </cell>
          <cell r="G33">
            <v>41.350771590000001</v>
          </cell>
          <cell r="H33">
            <v>48.968228910000001</v>
          </cell>
          <cell r="I33">
            <v>56.946202960000001</v>
          </cell>
          <cell r="J33">
            <v>65.392150580000006</v>
          </cell>
          <cell r="K33">
            <v>74.457781060000002</v>
          </cell>
          <cell r="L33">
            <v>84.341458000000003</v>
          </cell>
          <cell r="M33">
            <v>95.20368947</v>
          </cell>
          <cell r="N33">
            <v>107.22908529999999</v>
          </cell>
          <cell r="O33">
            <v>120.57885539999999</v>
          </cell>
          <cell r="P33">
            <v>135.40033940000001</v>
          </cell>
          <cell r="Q33">
            <v>151.8381196</v>
          </cell>
          <cell r="R33">
            <v>170.11720170000001</v>
          </cell>
          <cell r="S33">
            <v>190.29855209999999</v>
          </cell>
          <cell r="T33">
            <v>212.3714521</v>
          </cell>
          <cell r="U33">
            <v>236.3262306</v>
          </cell>
          <cell r="V33">
            <v>262.14473629999998</v>
          </cell>
          <cell r="W33">
            <v>289.9545645</v>
          </cell>
          <cell r="X33">
            <v>319.88697939999997</v>
          </cell>
          <cell r="Y33">
            <v>352.12495899999999</v>
          </cell>
          <cell r="Z33">
            <v>386.89126879999998</v>
          </cell>
          <cell r="AA33">
            <v>424.27426000000003</v>
          </cell>
          <cell r="AB33">
            <v>464.69433989999999</v>
          </cell>
          <cell r="AC33">
            <v>508.5183925</v>
          </cell>
          <cell r="AD33">
            <v>556.17130540000005</v>
          </cell>
          <cell r="AE33">
            <v>608.12437120000004</v>
          </cell>
          <cell r="AF33">
            <v>664.86404470000002</v>
          </cell>
          <cell r="AG33">
            <v>726.87648549999994</v>
          </cell>
          <cell r="AH33">
            <v>794.643013</v>
          </cell>
          <cell r="AI33">
            <v>868.63751730000001</v>
          </cell>
          <cell r="AJ33">
            <v>949.32441700000004</v>
          </cell>
          <cell r="AK33">
            <v>1037.15533</v>
          </cell>
        </row>
        <row r="34">
          <cell r="A34" t="str">
            <v>auto_cb_cele_2</v>
          </cell>
          <cell r="B34">
            <v>11.44571741</v>
          </cell>
          <cell r="C34">
            <v>16.42226621</v>
          </cell>
          <cell r="D34">
            <v>21.938273899999999</v>
          </cell>
          <cell r="E34">
            <v>27.93983326</v>
          </cell>
          <cell r="F34">
            <v>34.476478219999997</v>
          </cell>
          <cell r="G34">
            <v>41.448912249999999</v>
          </cell>
          <cell r="H34">
            <v>48.768486660000001</v>
          </cell>
          <cell r="I34">
            <v>56.415550199999998</v>
          </cell>
          <cell r="J34">
            <v>65.806829160000007</v>
          </cell>
          <cell r="K34">
            <v>78.220614049999995</v>
          </cell>
          <cell r="L34">
            <v>95.120058920000005</v>
          </cell>
          <cell r="M34">
            <v>117.7131053</v>
          </cell>
          <cell r="N34">
            <v>146.0086757</v>
          </cell>
          <cell r="O34">
            <v>179.8637157</v>
          </cell>
          <cell r="P34">
            <v>219.10844320000001</v>
          </cell>
          <cell r="Q34">
            <v>263.59206519999998</v>
          </cell>
          <cell r="R34">
            <v>313.10575879999999</v>
          </cell>
          <cell r="S34">
            <v>367.95620580000002</v>
          </cell>
          <cell r="T34">
            <v>428.41109949999998</v>
          </cell>
          <cell r="U34">
            <v>494.69009579999999</v>
          </cell>
          <cell r="V34">
            <v>566.8809119</v>
          </cell>
          <cell r="W34">
            <v>645.33818540000004</v>
          </cell>
          <cell r="X34">
            <v>730.32886889999997</v>
          </cell>
          <cell r="Y34">
            <v>822.19280549999996</v>
          </cell>
          <cell r="Z34">
            <v>921.31024950000005</v>
          </cell>
          <cell r="AA34">
            <v>1027.6125870000001</v>
          </cell>
          <cell r="AB34">
            <v>1141.8455389999999</v>
          </cell>
          <cell r="AC34">
            <v>1264.532293</v>
          </cell>
          <cell r="AD34">
            <v>1396.377215</v>
          </cell>
          <cell r="AE34">
            <v>1538.1967420000001</v>
          </cell>
          <cell r="AF34">
            <v>1690.8088</v>
          </cell>
          <cell r="AG34">
            <v>1854.9766219999999</v>
          </cell>
          <cell r="AH34">
            <v>2031.4349030000001</v>
          </cell>
          <cell r="AI34">
            <v>2220.9689440000002</v>
          </cell>
          <cell r="AJ34">
            <v>2424.4287009999998</v>
          </cell>
          <cell r="AK34">
            <v>2642.7440759999999</v>
          </cell>
        </row>
        <row r="35">
          <cell r="A35" t="str">
            <v>auto_cb_cele_0</v>
          </cell>
          <cell r="B35">
            <v>11.44571741</v>
          </cell>
          <cell r="C35">
            <v>16.42226621</v>
          </cell>
          <cell r="D35">
            <v>21.938273899999999</v>
          </cell>
          <cell r="E35">
            <v>27.939833270000001</v>
          </cell>
          <cell r="F35">
            <v>34.476478229999998</v>
          </cell>
          <cell r="G35">
            <v>41.448912280000002</v>
          </cell>
          <cell r="H35">
            <v>48.7549226</v>
          </cell>
          <cell r="I35">
            <v>56.422093060000002</v>
          </cell>
          <cell r="J35">
            <v>64.556606360000004</v>
          </cell>
          <cell r="K35">
            <v>73.30802104</v>
          </cell>
          <cell r="L35">
            <v>82.87106249</v>
          </cell>
          <cell r="M35">
            <v>93.403442780000006</v>
          </cell>
          <cell r="N35">
            <v>105.086001</v>
          </cell>
          <cell r="O35">
            <v>118.07665540000001</v>
          </cell>
          <cell r="P35">
            <v>132.51957100000001</v>
          </cell>
          <cell r="Q35">
            <v>148.5557795</v>
          </cell>
          <cell r="R35">
            <v>166.40583849999999</v>
          </cell>
          <cell r="S35">
            <v>186.13248859999999</v>
          </cell>
          <cell r="T35">
            <v>207.72779180000001</v>
          </cell>
          <cell r="U35">
            <v>231.182534</v>
          </cell>
          <cell r="V35">
            <v>256.47617689999998</v>
          </cell>
          <cell r="W35">
            <v>283.72784080000002</v>
          </cell>
          <cell r="X35">
            <v>313.0571923</v>
          </cell>
          <cell r="Y35">
            <v>344.63113879999997</v>
          </cell>
          <cell r="Z35">
            <v>378.65122120000001</v>
          </cell>
          <cell r="AA35">
            <v>415.18240880000002</v>
          </cell>
          <cell r="AB35">
            <v>454.60855759999998</v>
          </cell>
          <cell r="AC35">
            <v>497.25429969999999</v>
          </cell>
          <cell r="AD35">
            <v>543.49303139999995</v>
          </cell>
          <cell r="AE35">
            <v>593.73538510000003</v>
          </cell>
          <cell r="AF35">
            <v>648.39834880000001</v>
          </cell>
          <cell r="AG35">
            <v>707.88976309999998</v>
          </cell>
          <cell r="AH35">
            <v>772.60353610000004</v>
          </cell>
          <cell r="AI35">
            <v>842.91688920000001</v>
          </cell>
          <cell r="AJ35">
            <v>919.18837970000004</v>
          </cell>
          <cell r="AK35">
            <v>1001.755</v>
          </cell>
        </row>
        <row r="36">
          <cell r="A36" t="str">
            <v>auto_cc_cele_2</v>
          </cell>
          <cell r="B36">
            <v>9.4015406210000005</v>
          </cell>
          <cell r="C36">
            <v>12.791177530000001</v>
          </cell>
          <cell r="D36">
            <v>16.55968682</v>
          </cell>
          <cell r="E36">
            <v>20.672149730000001</v>
          </cell>
          <cell r="F36">
            <v>25.164793079999999</v>
          </cell>
          <cell r="G36">
            <v>29.968026999999999</v>
          </cell>
          <cell r="H36">
            <v>35.019504220000002</v>
          </cell>
          <cell r="I36">
            <v>40.310081910000001</v>
          </cell>
          <cell r="J36">
            <v>46.838217200000003</v>
          </cell>
          <cell r="K36">
            <v>55.495011249999997</v>
          </cell>
          <cell r="L36">
            <v>67.286611429999994</v>
          </cell>
          <cell r="M36">
            <v>83.032703280000007</v>
          </cell>
          <cell r="N36">
            <v>102.7265742</v>
          </cell>
          <cell r="O36">
            <v>126.2591362</v>
          </cell>
          <cell r="P36">
            <v>153.50479989999999</v>
          </cell>
          <cell r="Q36">
            <v>184.35218409999999</v>
          </cell>
          <cell r="R36">
            <v>218.64472319999999</v>
          </cell>
          <cell r="S36">
            <v>256.57660900000002</v>
          </cell>
          <cell r="T36">
            <v>298.31902589999999</v>
          </cell>
          <cell r="U36">
            <v>344.01120049999997</v>
          </cell>
          <cell r="V36">
            <v>393.70038090000003</v>
          </cell>
          <cell r="W36">
            <v>447.61536260000003</v>
          </cell>
          <cell r="X36">
            <v>505.92010549999998</v>
          </cell>
          <cell r="Y36">
            <v>568.82357109999998</v>
          </cell>
          <cell r="Z36">
            <v>636.55579809999995</v>
          </cell>
          <cell r="AA36">
            <v>709.03165209999997</v>
          </cell>
          <cell r="AB36">
            <v>786.71292540000002</v>
          </cell>
          <cell r="AC36">
            <v>869.89481890000002</v>
          </cell>
          <cell r="AD36">
            <v>958.98214959999996</v>
          </cell>
          <cell r="AE36">
            <v>1054.444405</v>
          </cell>
          <cell r="AF36">
            <v>1156.740888</v>
          </cell>
          <cell r="AG36">
            <v>1266.2815479999999</v>
          </cell>
          <cell r="AH36">
            <v>1383.4429230000001</v>
          </cell>
          <cell r="AI36">
            <v>1508.6210249999999</v>
          </cell>
          <cell r="AJ36">
            <v>1642.240403</v>
          </cell>
          <cell r="AK36">
            <v>1784.7621919999999</v>
          </cell>
        </row>
        <row r="37">
          <cell r="A37" t="str">
            <v>auto_cc_cele_0</v>
          </cell>
          <cell r="B37">
            <v>9.4015406210000005</v>
          </cell>
          <cell r="C37">
            <v>12.79117754</v>
          </cell>
          <cell r="D37">
            <v>16.55968682</v>
          </cell>
          <cell r="E37">
            <v>20.672149739999998</v>
          </cell>
          <cell r="F37">
            <v>25.16479309</v>
          </cell>
          <cell r="G37">
            <v>29.968027029999998</v>
          </cell>
          <cell r="H37">
            <v>35.010357079999999</v>
          </cell>
          <cell r="I37">
            <v>40.311397720000002</v>
          </cell>
          <cell r="J37">
            <v>45.946151499999999</v>
          </cell>
          <cell r="K37">
            <v>52.020082899999998</v>
          </cell>
          <cell r="L37">
            <v>58.670013570000002</v>
          </cell>
          <cell r="M37">
            <v>66.006663090000004</v>
          </cell>
          <cell r="N37">
            <v>74.156677419999994</v>
          </cell>
          <cell r="O37">
            <v>83.230556539999995</v>
          </cell>
          <cell r="P37">
            <v>93.329018160000004</v>
          </cell>
          <cell r="Q37">
            <v>104.5502919</v>
          </cell>
          <cell r="R37">
            <v>117.04913670000001</v>
          </cell>
          <cell r="S37">
            <v>130.87151309999999</v>
          </cell>
          <cell r="T37">
            <v>146.01347910000001</v>
          </cell>
          <cell r="U37">
            <v>162.46862859999999</v>
          </cell>
          <cell r="V37">
            <v>180.22050350000001</v>
          </cell>
          <cell r="W37">
            <v>199.3485407</v>
          </cell>
          <cell r="X37">
            <v>219.93039730000001</v>
          </cell>
          <cell r="Y37">
            <v>242.0744962</v>
          </cell>
          <cell r="Z37">
            <v>265.91055130000001</v>
          </cell>
          <cell r="AA37">
            <v>291.4690665</v>
          </cell>
          <cell r="AB37">
            <v>319.00000720000003</v>
          </cell>
          <cell r="AC37">
            <v>348.70721529999997</v>
          </cell>
          <cell r="AD37">
            <v>380.82343020000002</v>
          </cell>
          <cell r="AE37">
            <v>415.60220600000002</v>
          </cell>
          <cell r="AF37">
            <v>453.29620560000001</v>
          </cell>
          <cell r="AG37">
            <v>494.14624650000002</v>
          </cell>
          <cell r="AH37">
            <v>538.37790140000004</v>
          </cell>
          <cell r="AI37">
            <v>586.19961439999997</v>
          </cell>
          <cell r="AJ37">
            <v>637.80153189999999</v>
          </cell>
          <cell r="AK37">
            <v>693.35391019999997</v>
          </cell>
        </row>
        <row r="38">
          <cell r="A38" t="str">
            <v>auto_cd_cele_2</v>
          </cell>
          <cell r="B38">
            <v>5.770071272</v>
          </cell>
          <cell r="C38">
            <v>7.5799113839999999</v>
          </cell>
          <cell r="D38">
            <v>9.5402272860000004</v>
          </cell>
          <cell r="E38">
            <v>11.603567350000001</v>
          </cell>
          <cell r="F38">
            <v>13.76644699</v>
          </cell>
          <cell r="G38">
            <v>15.99376764</v>
          </cell>
          <cell r="H38">
            <v>18.252981120000001</v>
          </cell>
          <cell r="I38">
            <v>20.477844359999999</v>
          </cell>
          <cell r="J38">
            <v>22.917180200000001</v>
          </cell>
          <cell r="K38">
            <v>25.77255074</v>
          </cell>
          <cell r="L38">
            <v>29.25138321</v>
          </cell>
          <cell r="M38">
            <v>33.529637430000001</v>
          </cell>
          <cell r="N38">
            <v>38.598233219999997</v>
          </cell>
          <cell r="O38">
            <v>44.423204120000001</v>
          </cell>
          <cell r="P38">
            <v>50.97008915</v>
          </cell>
          <cell r="Q38">
            <v>58.210870059999998</v>
          </cell>
          <cell r="R38">
            <v>66.102568500000004</v>
          </cell>
          <cell r="S38">
            <v>74.683902279999998</v>
          </cell>
          <cell r="T38">
            <v>83.992952180000003</v>
          </cell>
          <cell r="U38">
            <v>94.062670769999997</v>
          </cell>
          <cell r="V38">
            <v>104.9055281</v>
          </cell>
          <cell r="W38">
            <v>116.57555410000001</v>
          </cell>
          <cell r="X38">
            <v>129.11029339999999</v>
          </cell>
          <cell r="Y38">
            <v>142.55589090000001</v>
          </cell>
          <cell r="Z38">
            <v>156.96080989999999</v>
          </cell>
          <cell r="AA38">
            <v>172.30094120000001</v>
          </cell>
          <cell r="AB38">
            <v>188.66866110000001</v>
          </cell>
          <cell r="AC38">
            <v>206.11295630000001</v>
          </cell>
          <cell r="AD38">
            <v>224.70182389999999</v>
          </cell>
          <cell r="AE38">
            <v>244.51601360000001</v>
          </cell>
          <cell r="AF38">
            <v>265.63440439999999</v>
          </cell>
          <cell r="AG38">
            <v>288.12568449999998</v>
          </cell>
          <cell r="AH38">
            <v>312.05142410000002</v>
          </cell>
          <cell r="AI38">
            <v>337.47871220000002</v>
          </cell>
          <cell r="AJ38">
            <v>364.4839035</v>
          </cell>
          <cell r="AK38">
            <v>393.1551394</v>
          </cell>
        </row>
        <row r="39">
          <cell r="A39" t="str">
            <v>auto_cd_cele_0</v>
          </cell>
          <cell r="B39">
            <v>5.770071272</v>
          </cell>
          <cell r="C39">
            <v>7.5799113839999999</v>
          </cell>
          <cell r="D39">
            <v>9.5402272850000003</v>
          </cell>
          <cell r="E39">
            <v>11.603567350000001</v>
          </cell>
          <cell r="F39">
            <v>13.76644699</v>
          </cell>
          <cell r="G39">
            <v>15.993767650000001</v>
          </cell>
          <cell r="H39">
            <v>18.245263170000001</v>
          </cell>
          <cell r="I39">
            <v>20.514340489999999</v>
          </cell>
          <cell r="J39">
            <v>22.813588129999999</v>
          </cell>
          <cell r="K39">
            <v>25.1650314</v>
          </cell>
          <cell r="L39">
            <v>27.600869429999999</v>
          </cell>
          <cell r="M39">
            <v>30.141342659999999</v>
          </cell>
          <cell r="N39">
            <v>32.812832880000002</v>
          </cell>
          <cell r="O39">
            <v>35.63617309</v>
          </cell>
          <cell r="P39">
            <v>38.62937934</v>
          </cell>
          <cell r="Q39">
            <v>41.809866550000002</v>
          </cell>
          <cell r="R39">
            <v>45.216672490000001</v>
          </cell>
          <cell r="S39">
            <v>48.861233730000002</v>
          </cell>
          <cell r="T39">
            <v>52.741183800000002</v>
          </cell>
          <cell r="U39">
            <v>56.852127189999997</v>
          </cell>
          <cell r="V39">
            <v>61.18480314</v>
          </cell>
          <cell r="W39">
            <v>65.753774780000001</v>
          </cell>
          <cell r="X39">
            <v>70.570145839999995</v>
          </cell>
          <cell r="Y39">
            <v>75.650293329999997</v>
          </cell>
          <cell r="Z39">
            <v>81.012821979999998</v>
          </cell>
          <cell r="AA39">
            <v>86.648693600000001</v>
          </cell>
          <cell r="AB39">
            <v>92.600014819999998</v>
          </cell>
          <cell r="AC39">
            <v>98.893567860000005</v>
          </cell>
          <cell r="AD39">
            <v>105.5593138</v>
          </cell>
          <cell r="AE39">
            <v>112.6290127</v>
          </cell>
          <cell r="AF39">
            <v>120.1316606</v>
          </cell>
          <cell r="AG39">
            <v>128.09156329999999</v>
          </cell>
          <cell r="AH39">
            <v>136.5281957</v>
          </cell>
          <cell r="AI39">
            <v>145.45641749999999</v>
          </cell>
          <cell r="AJ39">
            <v>154.88690740000001</v>
          </cell>
          <cell r="AK39">
            <v>164.82657829999999</v>
          </cell>
        </row>
        <row r="40">
          <cell r="A40" t="str">
            <v>auto_ce_cele_2</v>
          </cell>
          <cell r="B40">
            <v>3.4730440960000002</v>
          </cell>
          <cell r="C40">
            <v>4.5874376720000001</v>
          </cell>
          <cell r="D40">
            <v>5.7895748810000001</v>
          </cell>
          <cell r="E40">
            <v>7.0494690440000003</v>
          </cell>
          <cell r="F40">
            <v>8.3642147960000006</v>
          </cell>
          <cell r="G40">
            <v>9.7114328650000008</v>
          </cell>
          <cell r="H40">
            <v>11.07049818</v>
          </cell>
          <cell r="I40">
            <v>12.401865799999999</v>
          </cell>
          <cell r="J40">
            <v>13.85354201</v>
          </cell>
          <cell r="K40">
            <v>15.5400115</v>
          </cell>
          <cell r="L40">
            <v>17.572721399999999</v>
          </cell>
          <cell r="M40">
            <v>20.042917039999999</v>
          </cell>
          <cell r="N40">
            <v>22.939460180000001</v>
          </cell>
          <cell r="O40">
            <v>26.2383098</v>
          </cell>
          <cell r="P40">
            <v>29.916365450000001</v>
          </cell>
          <cell r="Q40">
            <v>33.95498241</v>
          </cell>
          <cell r="R40">
            <v>38.326463369999999</v>
          </cell>
          <cell r="S40">
            <v>43.047483020000001</v>
          </cell>
          <cell r="T40">
            <v>48.135084849999998</v>
          </cell>
          <cell r="U40">
            <v>53.603439260000002</v>
          </cell>
          <cell r="V40">
            <v>59.454763929999999</v>
          </cell>
          <cell r="W40">
            <v>65.712781590000006</v>
          </cell>
          <cell r="X40">
            <v>72.390319410000004</v>
          </cell>
          <cell r="Y40">
            <v>79.502760199999997</v>
          </cell>
          <cell r="Z40">
            <v>87.064028930000006</v>
          </cell>
          <cell r="AA40">
            <v>95.046389759999997</v>
          </cell>
          <cell r="AB40">
            <v>103.4801022</v>
          </cell>
          <cell r="AC40">
            <v>112.3673604</v>
          </cell>
          <cell r="AD40">
            <v>121.71589179999999</v>
          </cell>
          <cell r="AE40">
            <v>131.53697919999999</v>
          </cell>
          <cell r="AF40">
            <v>141.8383068</v>
          </cell>
          <cell r="AG40">
            <v>152.61957240000001</v>
          </cell>
          <cell r="AH40">
            <v>163.87376470000001</v>
          </cell>
          <cell r="AI40">
            <v>175.59373540000001</v>
          </cell>
          <cell r="AJ40">
            <v>187.77424379999999</v>
          </cell>
          <cell r="AK40">
            <v>200.41277220000001</v>
          </cell>
        </row>
        <row r="41">
          <cell r="A41" t="str">
            <v>auto_ce_cele_0</v>
          </cell>
          <cell r="B41">
            <v>3.4730440960000002</v>
          </cell>
          <cell r="C41">
            <v>4.5874376720000001</v>
          </cell>
          <cell r="D41">
            <v>5.7895748810000001</v>
          </cell>
          <cell r="E41">
            <v>7.0494690450000004</v>
          </cell>
          <cell r="F41">
            <v>8.3642147970000007</v>
          </cell>
          <cell r="G41">
            <v>9.7114328679999993</v>
          </cell>
          <cell r="H41">
            <v>11.06589039</v>
          </cell>
          <cell r="I41">
            <v>12.423105530000001</v>
          </cell>
          <cell r="J41">
            <v>13.790413170000001</v>
          </cell>
          <cell r="K41">
            <v>15.1808142</v>
          </cell>
          <cell r="L41">
            <v>16.61316287</v>
          </cell>
          <cell r="M41">
            <v>18.099100629999999</v>
          </cell>
          <cell r="N41">
            <v>19.653894430000001</v>
          </cell>
          <cell r="O41">
            <v>21.28960189</v>
          </cell>
          <cell r="P41">
            <v>23.01662718</v>
          </cell>
          <cell r="Q41">
            <v>24.84489516</v>
          </cell>
          <cell r="R41">
            <v>26.797086239999999</v>
          </cell>
          <cell r="S41">
            <v>28.880283890000001</v>
          </cell>
          <cell r="T41">
            <v>31.093282389999999</v>
          </cell>
          <cell r="U41">
            <v>33.433021340000003</v>
          </cell>
          <cell r="V41">
            <v>35.892798089999999</v>
          </cell>
          <cell r="W41">
            <v>38.478764380000001</v>
          </cell>
          <cell r="X41">
            <v>41.194199900000001</v>
          </cell>
          <cell r="Y41">
            <v>44.044427980000002</v>
          </cell>
          <cell r="Z41">
            <v>47.034803609999997</v>
          </cell>
          <cell r="AA41">
            <v>50.15372704</v>
          </cell>
          <cell r="AB41">
            <v>53.41709822</v>
          </cell>
          <cell r="AC41">
            <v>56.830694880000003</v>
          </cell>
          <cell r="AD41">
            <v>60.400608429999998</v>
          </cell>
          <cell r="AE41">
            <v>64.132792159999994</v>
          </cell>
          <cell r="AF41">
            <v>68.030743779999995</v>
          </cell>
          <cell r="AG41">
            <v>72.094649889999999</v>
          </cell>
          <cell r="AH41">
            <v>76.321528240000006</v>
          </cell>
          <cell r="AI41">
            <v>80.705573920000006</v>
          </cell>
          <cell r="AJ41">
            <v>85.23864734</v>
          </cell>
          <cell r="AK41">
            <v>89.910773640000002</v>
          </cell>
        </row>
        <row r="42">
          <cell r="A42" t="str">
            <v>auto_cf_cele_2</v>
          </cell>
          <cell r="B42">
            <v>1.7251505170000001</v>
          </cell>
          <cell r="C42">
            <v>2.2500569050000001</v>
          </cell>
          <cell r="D42">
            <v>2.799747322</v>
          </cell>
          <cell r="E42">
            <v>3.3544501919999998</v>
          </cell>
          <cell r="F42">
            <v>3.9088074779999999</v>
          </cell>
          <cell r="G42">
            <v>4.4525896530000004</v>
          </cell>
          <cell r="H42">
            <v>4.9767518639999997</v>
          </cell>
          <cell r="I42">
            <v>5.4580834170000001</v>
          </cell>
          <cell r="J42">
            <v>5.9319159050000003</v>
          </cell>
          <cell r="K42">
            <v>6.4221247440000004</v>
          </cell>
          <cell r="L42">
            <v>6.946759707</v>
          </cell>
          <cell r="M42">
            <v>7.5209467419999996</v>
          </cell>
          <cell r="N42">
            <v>8.1400314480000002</v>
          </cell>
          <cell r="O42">
            <v>8.7973903930000006</v>
          </cell>
          <cell r="P42">
            <v>9.4877081309999998</v>
          </cell>
          <cell r="Q42">
            <v>10.207268429999999</v>
          </cell>
          <cell r="R42">
            <v>10.95007483</v>
          </cell>
          <cell r="S42">
            <v>11.71825003</v>
          </cell>
          <cell r="T42">
            <v>12.51427561</v>
          </cell>
          <cell r="U42">
            <v>13.33993862</v>
          </cell>
          <cell r="V42">
            <v>14.194450229999999</v>
          </cell>
          <cell r="W42">
            <v>15.08010125</v>
          </cell>
          <cell r="X42">
            <v>15.99636954</v>
          </cell>
          <cell r="Y42">
            <v>16.94226527</v>
          </cell>
          <cell r="Z42">
            <v>17.91550415</v>
          </cell>
          <cell r="AA42">
            <v>18.906468199999999</v>
          </cell>
          <cell r="AB42">
            <v>19.913048239999998</v>
          </cell>
          <cell r="AC42">
            <v>20.927457889999999</v>
          </cell>
          <cell r="AD42">
            <v>21.94184847</v>
          </cell>
          <cell r="AE42">
            <v>22.948887129999999</v>
          </cell>
          <cell r="AF42">
            <v>23.941153180000001</v>
          </cell>
          <cell r="AG42">
            <v>24.910674780000001</v>
          </cell>
          <cell r="AH42">
            <v>25.8491456</v>
          </cell>
          <cell r="AI42">
            <v>26.74895368</v>
          </cell>
          <cell r="AJ42">
            <v>27.603582530000001</v>
          </cell>
          <cell r="AK42">
            <v>28.407643010000001</v>
          </cell>
        </row>
        <row r="43">
          <cell r="A43" t="str">
            <v>auto_cf_cele_0</v>
          </cell>
          <cell r="B43">
            <v>1.7251505170000001</v>
          </cell>
          <cell r="C43">
            <v>2.2500569050000001</v>
          </cell>
          <cell r="D43">
            <v>2.799747322</v>
          </cell>
          <cell r="E43">
            <v>3.3544501919999998</v>
          </cell>
          <cell r="F43">
            <v>3.9088074779999999</v>
          </cell>
          <cell r="G43">
            <v>4.4525896539999996</v>
          </cell>
          <cell r="H43">
            <v>4.9743937850000002</v>
          </cell>
          <cell r="I43">
            <v>5.4706762419999997</v>
          </cell>
          <cell r="J43">
            <v>5.9423054999999998</v>
          </cell>
          <cell r="K43">
            <v>6.3921483940000003</v>
          </cell>
          <cell r="L43">
            <v>6.8249692819999996</v>
          </cell>
          <cell r="M43">
            <v>7.2431187919999998</v>
          </cell>
          <cell r="N43">
            <v>7.650425072</v>
          </cell>
          <cell r="O43">
            <v>8.0499559680000008</v>
          </cell>
          <cell r="P43">
            <v>8.4444142549999999</v>
          </cell>
          <cell r="Q43">
            <v>8.836297837</v>
          </cell>
          <cell r="R43">
            <v>9.2318149129999991</v>
          </cell>
          <cell r="S43">
            <v>9.6336494239999997</v>
          </cell>
          <cell r="T43">
            <v>10.042170219999999</v>
          </cell>
          <cell r="U43">
            <v>10.4567227</v>
          </cell>
          <cell r="V43">
            <v>10.87518375</v>
          </cell>
          <cell r="W43">
            <v>11.297677520000001</v>
          </cell>
          <cell r="X43">
            <v>11.72307365</v>
          </cell>
          <cell r="Y43">
            <v>12.15010328</v>
          </cell>
          <cell r="Z43">
            <v>12.57687114</v>
          </cell>
          <cell r="AA43">
            <v>12.997767319999999</v>
          </cell>
          <cell r="AB43">
            <v>13.411976340000001</v>
          </cell>
          <cell r="AC43">
            <v>13.81645163</v>
          </cell>
          <cell r="AD43">
            <v>14.20805053</v>
          </cell>
          <cell r="AE43">
            <v>14.58376629</v>
          </cell>
          <cell r="AF43">
            <v>14.94054905</v>
          </cell>
          <cell r="AG43">
            <v>15.275338359999999</v>
          </cell>
          <cell r="AH43">
            <v>15.58521768</v>
          </cell>
          <cell r="AI43">
            <v>15.86755735</v>
          </cell>
          <cell r="AJ43">
            <v>16.120143760000001</v>
          </cell>
          <cell r="AK43">
            <v>16.341276319999999</v>
          </cell>
        </row>
        <row r="44">
          <cell r="A44" t="str">
            <v>auto_cg_cele_2</v>
          </cell>
          <cell r="B44">
            <v>3.1066862139999998</v>
          </cell>
          <cell r="C44">
            <v>4.0857231929999998</v>
          </cell>
          <cell r="D44">
            <v>5.0923917269999999</v>
          </cell>
          <cell r="E44">
            <v>6.086429753</v>
          </cell>
          <cell r="F44">
            <v>7.0559589620000001</v>
          </cell>
          <cell r="G44">
            <v>7.9824510030000004</v>
          </cell>
          <cell r="H44">
            <v>8.8504809959999999</v>
          </cell>
          <cell r="I44">
            <v>9.6206049619999998</v>
          </cell>
          <cell r="J44">
            <v>10.348259629999999</v>
          </cell>
          <cell r="K44">
            <v>11.06857261</v>
          </cell>
          <cell r="L44">
            <v>11.803981459999999</v>
          </cell>
          <cell r="M44">
            <v>12.572165930000001</v>
          </cell>
          <cell r="N44">
            <v>13.365037600000001</v>
          </cell>
          <cell r="O44">
            <v>14.173386410000001</v>
          </cell>
          <cell r="P44">
            <v>14.99098307</v>
          </cell>
          <cell r="Q44">
            <v>15.814306009999999</v>
          </cell>
          <cell r="R44">
            <v>16.636790019999999</v>
          </cell>
          <cell r="S44">
            <v>17.461503929999999</v>
          </cell>
          <cell r="T44">
            <v>18.29195605</v>
          </cell>
          <cell r="U44">
            <v>19.1304944</v>
          </cell>
          <cell r="V44">
            <v>19.975894010000001</v>
          </cell>
          <cell r="W44">
            <v>20.829846069999999</v>
          </cell>
          <cell r="X44">
            <v>21.69000046</v>
          </cell>
          <cell r="Y44">
            <v>22.552809969999998</v>
          </cell>
          <cell r="Z44">
            <v>23.412591030000002</v>
          </cell>
          <cell r="AA44">
            <v>24.2553582</v>
          </cell>
          <cell r="AB44">
            <v>25.074490669999999</v>
          </cell>
          <cell r="AC44">
            <v>25.856997629999999</v>
          </cell>
          <cell r="AD44">
            <v>26.590163149999999</v>
          </cell>
          <cell r="AE44">
            <v>27.262969049999999</v>
          </cell>
          <cell r="AF44">
            <v>27.865814610000001</v>
          </cell>
          <cell r="AG44">
            <v>28.390125520000002</v>
          </cell>
          <cell r="AH44">
            <v>28.828531250000001</v>
          </cell>
          <cell r="AI44">
            <v>29.175806179999999</v>
          </cell>
          <cell r="AJ44">
            <v>29.429123959999998</v>
          </cell>
          <cell r="AK44">
            <v>29.587832710000001</v>
          </cell>
        </row>
        <row r="45">
          <cell r="A45" t="str">
            <v>auto_cg_cele_0</v>
          </cell>
          <cell r="B45">
            <v>3.1066862139999998</v>
          </cell>
          <cell r="C45">
            <v>4.0857231929999998</v>
          </cell>
          <cell r="D45">
            <v>5.092391728</v>
          </cell>
          <cell r="E45">
            <v>6.0864297540000001</v>
          </cell>
          <cell r="F45">
            <v>7.0559589650000003</v>
          </cell>
          <cell r="G45">
            <v>7.9824510069999999</v>
          </cell>
          <cell r="H45">
            <v>8.8463231489999998</v>
          </cell>
          <cell r="I45">
            <v>9.6421381939999993</v>
          </cell>
          <cell r="J45">
            <v>10.37239537</v>
          </cell>
          <cell r="K45">
            <v>11.04305991</v>
          </cell>
          <cell r="L45">
            <v>11.662992089999999</v>
          </cell>
          <cell r="M45">
            <v>12.237342099999999</v>
          </cell>
          <cell r="N45">
            <v>12.77366215</v>
          </cell>
          <cell r="O45">
            <v>13.27843919</v>
          </cell>
          <cell r="P45">
            <v>13.757521179999999</v>
          </cell>
          <cell r="Q45">
            <v>14.216160289999999</v>
          </cell>
          <cell r="R45">
            <v>14.664604779999999</v>
          </cell>
          <cell r="S45">
            <v>15.10823001</v>
          </cell>
          <cell r="T45">
            <v>15.54878708</v>
          </cell>
          <cell r="U45">
            <v>15.985996009999999</v>
          </cell>
          <cell r="V45">
            <v>16.417001540000001</v>
          </cell>
          <cell r="W45">
            <v>16.84127621</v>
          </cell>
          <cell r="X45">
            <v>17.256210889999998</v>
          </cell>
          <cell r="Y45">
            <v>17.658626420000001</v>
          </cell>
          <cell r="Z45">
            <v>18.044169010000001</v>
          </cell>
          <cell r="AA45">
            <v>18.403844459999998</v>
          </cell>
          <cell r="AB45">
            <v>18.73432674</v>
          </cell>
          <cell r="AC45">
            <v>19.029846620000001</v>
          </cell>
          <cell r="AD45">
            <v>19.284953940000001</v>
          </cell>
          <cell r="AE45">
            <v>19.49509797</v>
          </cell>
          <cell r="AF45">
            <v>19.656575610000001</v>
          </cell>
          <cell r="AG45">
            <v>19.7666182</v>
          </cell>
          <cell r="AH45">
            <v>19.823531169999999</v>
          </cell>
          <cell r="AI45">
            <v>19.826755810000002</v>
          </cell>
          <cell r="AJ45">
            <v>19.77687044</v>
          </cell>
          <cell r="AK45">
            <v>19.67552607</v>
          </cell>
        </row>
        <row r="46">
          <cell r="A46" t="str">
            <v>auto_ca_cgas_2</v>
          </cell>
          <cell r="B46">
            <v>0.42568169729999999</v>
          </cell>
          <cell r="C46">
            <v>0.44891626740000001</v>
          </cell>
          <cell r="D46">
            <v>0.47569227739999997</v>
          </cell>
          <cell r="E46">
            <v>0.50438940239999996</v>
          </cell>
          <cell r="F46">
            <v>0.53457385909999999</v>
          </cell>
          <cell r="G46">
            <v>0.56546761769999998</v>
          </cell>
          <cell r="H46">
            <v>0.596352514</v>
          </cell>
          <cell r="I46">
            <v>0.62450908169999997</v>
          </cell>
          <cell r="J46">
            <v>0.65160807109999996</v>
          </cell>
          <cell r="K46">
            <v>0.67839632139999995</v>
          </cell>
          <cell r="L46">
            <v>0.70517252990000001</v>
          </cell>
          <cell r="M46">
            <v>0.73258057720000003</v>
          </cell>
          <cell r="N46">
            <v>0.76024278590000005</v>
          </cell>
          <cell r="O46">
            <v>0.7876290078</v>
          </cell>
          <cell r="P46">
            <v>0.81432455540000004</v>
          </cell>
          <cell r="Q46">
            <v>0.84004846190000004</v>
          </cell>
          <cell r="R46">
            <v>0.86432611150000005</v>
          </cell>
          <cell r="S46">
            <v>0.88724748330000003</v>
          </cell>
          <cell r="T46">
            <v>0.90892015609999999</v>
          </cell>
          <cell r="U46">
            <v>0.92942317350000003</v>
          </cell>
          <cell r="V46">
            <v>0.94872749860000005</v>
          </cell>
          <cell r="W46">
            <v>0.96703165930000001</v>
          </cell>
          <cell r="X46">
            <v>0.98442653319999995</v>
          </cell>
          <cell r="Y46">
            <v>1.001029204</v>
          </cell>
          <cell r="Z46">
            <v>1.016951535</v>
          </cell>
          <cell r="AA46">
            <v>1.032028521</v>
          </cell>
          <cell r="AB46">
            <v>1.046545329</v>
          </cell>
          <cell r="AC46">
            <v>1.060609819</v>
          </cell>
          <cell r="AD46">
            <v>1.074374462</v>
          </cell>
          <cell r="AE46">
            <v>1.0879888289999999</v>
          </cell>
          <cell r="AF46">
            <v>1.1015517260000001</v>
          </cell>
          <cell r="AG46">
            <v>1.1150999619999999</v>
          </cell>
          <cell r="AH46">
            <v>1.1286305160000001</v>
          </cell>
          <cell r="AI46">
            <v>1.142133267</v>
          </cell>
          <cell r="AJ46">
            <v>1.1555949599999999</v>
          </cell>
          <cell r="AK46">
            <v>1.169003037</v>
          </cell>
        </row>
        <row r="47">
          <cell r="A47" t="str">
            <v>auto_ca_cgas_0</v>
          </cell>
          <cell r="B47">
            <v>0.42568169729999999</v>
          </cell>
          <cell r="C47">
            <v>0.44891626740000001</v>
          </cell>
          <cell r="D47">
            <v>0.47569227739999997</v>
          </cell>
          <cell r="E47">
            <v>0.50438940239999996</v>
          </cell>
          <cell r="F47">
            <v>0.53457385899999998</v>
          </cell>
          <cell r="G47">
            <v>0.56546761759999997</v>
          </cell>
          <cell r="H47">
            <v>0.59610467879999995</v>
          </cell>
          <cell r="I47">
            <v>0.62610936279999996</v>
          </cell>
          <cell r="J47">
            <v>0.65539410369999995</v>
          </cell>
          <cell r="K47">
            <v>0.68398508879999997</v>
          </cell>
          <cell r="L47">
            <v>0.71206797769999997</v>
          </cell>
          <cell r="M47">
            <v>0.73954096260000002</v>
          </cell>
          <cell r="N47">
            <v>0.76642276359999995</v>
          </cell>
          <cell r="O47">
            <v>0.79262829020000003</v>
          </cell>
          <cell r="P47">
            <v>0.8180424905</v>
          </cell>
          <cell r="Q47">
            <v>0.84256658340000001</v>
          </cell>
          <cell r="R47">
            <v>0.86654834560000005</v>
          </cell>
          <cell r="S47">
            <v>0.89004242150000001</v>
          </cell>
          <cell r="T47">
            <v>0.91297178379999999</v>
          </cell>
          <cell r="U47">
            <v>0.93526005729999995</v>
          </cell>
          <cell r="V47">
            <v>0.95677890290000001</v>
          </cell>
          <cell r="W47">
            <v>0.97768362470000003</v>
          </cell>
          <cell r="X47">
            <v>0.99805395730000002</v>
          </cell>
          <cell r="Y47">
            <v>1.0180035009999999</v>
          </cell>
          <cell r="Z47">
            <v>1.037649217</v>
          </cell>
          <cell r="AA47">
            <v>1.0568312120000001</v>
          </cell>
          <cell r="AB47">
            <v>1.0758826720000001</v>
          </cell>
          <cell r="AC47">
            <v>1.094956797</v>
          </cell>
          <cell r="AD47">
            <v>1.1142116200000001</v>
          </cell>
          <cell r="AE47">
            <v>1.133788596</v>
          </cell>
          <cell r="AF47">
            <v>1.1537754689999999</v>
          </cell>
          <cell r="AG47">
            <v>1.1741984270000001</v>
          </cell>
          <cell r="AH47">
            <v>1.1950294530000001</v>
          </cell>
          <cell r="AI47">
            <v>1.21619535</v>
          </cell>
          <cell r="AJ47">
            <v>1.2375864999999999</v>
          </cell>
          <cell r="AK47">
            <v>1.2590637840000001</v>
          </cell>
        </row>
        <row r="48">
          <cell r="A48" t="str">
            <v>auto_cb_cgas_2</v>
          </cell>
          <cell r="B48">
            <v>0.49500522540000003</v>
          </cell>
          <cell r="C48">
            <v>0.51185913090000001</v>
          </cell>
          <cell r="D48">
            <v>0.53236494290000003</v>
          </cell>
          <cell r="E48">
            <v>0.55492543989999998</v>
          </cell>
          <cell r="F48">
            <v>0.57909410130000005</v>
          </cell>
          <cell r="G48">
            <v>0.60411808609999995</v>
          </cell>
          <cell r="H48">
            <v>0.6292972403</v>
          </cell>
          <cell r="I48">
            <v>0.65197834290000001</v>
          </cell>
          <cell r="J48">
            <v>0.67363324499999999</v>
          </cell>
          <cell r="K48">
            <v>0.69494023189999998</v>
          </cell>
          <cell r="L48">
            <v>0.71615854999999995</v>
          </cell>
          <cell r="M48">
            <v>0.73789954889999998</v>
          </cell>
          <cell r="N48">
            <v>0.7598605477</v>
          </cell>
          <cell r="O48">
            <v>0.78158191539999999</v>
          </cell>
          <cell r="P48">
            <v>0.80270179320000001</v>
          </cell>
          <cell r="Q48">
            <v>0.82297544379999998</v>
          </cell>
          <cell r="R48">
            <v>0.84196743669999996</v>
          </cell>
          <cell r="S48">
            <v>0.85975083500000005</v>
          </cell>
          <cell r="T48">
            <v>0.87642419719999998</v>
          </cell>
          <cell r="U48">
            <v>0.89206228070000004</v>
          </cell>
          <cell r="V48">
            <v>0.90664044880000005</v>
          </cell>
          <cell r="W48">
            <v>0.92033848969999998</v>
          </cell>
          <cell r="X48">
            <v>0.93323508779999997</v>
          </cell>
          <cell r="Y48">
            <v>0.94542993710000001</v>
          </cell>
          <cell r="Z48">
            <v>0.95701515260000003</v>
          </cell>
          <cell r="AA48">
            <v>0.96783139110000005</v>
          </cell>
          <cell r="AB48">
            <v>0.97812083530000005</v>
          </cell>
          <cell r="AC48">
            <v>0.98796203890000001</v>
          </cell>
          <cell r="AD48">
            <v>0.99747109710000004</v>
          </cell>
          <cell r="AE48">
            <v>1.0067616610000001</v>
          </cell>
          <cell r="AF48">
            <v>1.0159031629999999</v>
          </cell>
          <cell r="AG48">
            <v>1.0249108920000001</v>
          </cell>
          <cell r="AH48">
            <v>1.0337654570000001</v>
          </cell>
          <cell r="AI48">
            <v>1.0424421500000001</v>
          </cell>
          <cell r="AJ48">
            <v>1.0509148660000001</v>
          </cell>
          <cell r="AK48">
            <v>1.0591591279999999</v>
          </cell>
        </row>
        <row r="49">
          <cell r="A49" t="str">
            <v>auto_cb_cgas_0</v>
          </cell>
          <cell r="B49">
            <v>0.49500522540000003</v>
          </cell>
          <cell r="C49">
            <v>0.51185913090000001</v>
          </cell>
          <cell r="D49">
            <v>0.53236494280000002</v>
          </cell>
          <cell r="E49">
            <v>0.55492543989999998</v>
          </cell>
          <cell r="F49">
            <v>0.57909410120000004</v>
          </cell>
          <cell r="G49">
            <v>0.60411808590000005</v>
          </cell>
          <cell r="H49">
            <v>0.62905782219999995</v>
          </cell>
          <cell r="I49">
            <v>0.65352775610000002</v>
          </cell>
          <cell r="J49">
            <v>0.6774178407</v>
          </cell>
          <cell r="K49">
            <v>0.70073082840000001</v>
          </cell>
          <cell r="L49">
            <v>0.72362476630000006</v>
          </cell>
          <cell r="M49">
            <v>0.74599224639999995</v>
          </cell>
          <cell r="N49">
            <v>0.76784505650000001</v>
          </cell>
          <cell r="O49">
            <v>0.78910241020000005</v>
          </cell>
          <cell r="P49">
            <v>0.80965851300000002</v>
          </cell>
          <cell r="Q49">
            <v>0.82942367839999998</v>
          </cell>
          <cell r="R49">
            <v>0.84872965040000004</v>
          </cell>
          <cell r="S49">
            <v>0.86764310280000001</v>
          </cell>
          <cell r="T49">
            <v>0.88610346090000003</v>
          </cell>
          <cell r="U49">
            <v>0.90404238349999999</v>
          </cell>
          <cell r="V49">
            <v>0.92133591579999996</v>
          </cell>
          <cell r="W49">
            <v>0.93811627460000002</v>
          </cell>
          <cell r="X49">
            <v>0.95444176709999995</v>
          </cell>
          <cell r="Y49">
            <v>0.97039877689999998</v>
          </cell>
          <cell r="Z49">
            <v>0.98607361419999995</v>
          </cell>
          <cell r="AA49">
            <v>1.001296529</v>
          </cell>
          <cell r="AB49">
            <v>1.016347111</v>
          </cell>
          <cell r="AC49">
            <v>1.0313381049999999</v>
          </cell>
          <cell r="AD49">
            <v>1.0463850690000001</v>
          </cell>
          <cell r="AE49">
            <v>1.0615883429999999</v>
          </cell>
          <cell r="AF49">
            <v>1.077000352</v>
          </cell>
          <cell r="AG49">
            <v>1.0926193829999999</v>
          </cell>
          <cell r="AH49">
            <v>1.1083970510000001</v>
          </cell>
          <cell r="AI49">
            <v>1.124247182</v>
          </cell>
          <cell r="AJ49">
            <v>1.1400544239999999</v>
          </cell>
          <cell r="AK49">
            <v>1.1556811789999999</v>
          </cell>
        </row>
        <row r="50">
          <cell r="A50" t="str">
            <v>auto_cc_cgas_2</v>
          </cell>
          <cell r="B50">
            <v>0.40659851759999999</v>
          </cell>
          <cell r="C50">
            <v>0.41422794159999998</v>
          </cell>
          <cell r="D50">
            <v>0.42457654649999998</v>
          </cell>
          <cell r="E50">
            <v>0.4365094021</v>
          </cell>
          <cell r="F50">
            <v>0.44969619080000001</v>
          </cell>
          <cell r="G50">
            <v>0.46361108280000002</v>
          </cell>
          <cell r="H50">
            <v>0.47776152150000001</v>
          </cell>
          <cell r="I50">
            <v>0.49028206749999997</v>
          </cell>
          <cell r="J50">
            <v>0.50210322210000002</v>
          </cell>
          <cell r="K50">
            <v>0.5136693766</v>
          </cell>
          <cell r="L50">
            <v>0.52514283859999999</v>
          </cell>
          <cell r="M50">
            <v>0.53694304159999995</v>
          </cell>
          <cell r="N50">
            <v>0.54889981529999998</v>
          </cell>
          <cell r="O50">
            <v>0.56072712849999995</v>
          </cell>
          <cell r="P50">
            <v>0.57219780070000004</v>
          </cell>
          <cell r="Q50">
            <v>0.58315818269999997</v>
          </cell>
          <cell r="R50">
            <v>0.59331960319999999</v>
          </cell>
          <cell r="S50">
            <v>0.60272367680000005</v>
          </cell>
          <cell r="T50">
            <v>0.61143507009999998</v>
          </cell>
          <cell r="U50">
            <v>0.61950425170000001</v>
          </cell>
          <cell r="V50">
            <v>0.62691572579999999</v>
          </cell>
          <cell r="W50">
            <v>0.63378653409999997</v>
          </cell>
          <cell r="X50">
            <v>0.64016531669999999</v>
          </cell>
          <cell r="Y50">
            <v>0.64611274379999994</v>
          </cell>
          <cell r="Z50">
            <v>0.65168278229999999</v>
          </cell>
          <cell r="AA50">
            <v>0.65676461490000004</v>
          </cell>
          <cell r="AB50">
            <v>0.66150618709999998</v>
          </cell>
          <cell r="AC50">
            <v>0.66594672150000001</v>
          </cell>
          <cell r="AD50">
            <v>0.6701484432</v>
          </cell>
          <cell r="AE50">
            <v>0.67417238530000001</v>
          </cell>
          <cell r="AF50">
            <v>0.67805205670000002</v>
          </cell>
          <cell r="AG50">
            <v>0.68178709849999997</v>
          </cell>
          <cell r="AH50">
            <v>0.68535562029999997</v>
          </cell>
          <cell r="AI50">
            <v>0.68873324189999996</v>
          </cell>
          <cell r="AJ50">
            <v>0.69189583850000003</v>
          </cell>
          <cell r="AK50">
            <v>0.69482125139999995</v>
          </cell>
        </row>
        <row r="51">
          <cell r="A51" t="str">
            <v>auto_cc_cgas_0</v>
          </cell>
          <cell r="B51">
            <v>0.40659851759999999</v>
          </cell>
          <cell r="C51">
            <v>0.41422794159999998</v>
          </cell>
          <cell r="D51">
            <v>0.42457654639999998</v>
          </cell>
          <cell r="E51">
            <v>0.4365094021</v>
          </cell>
          <cell r="F51">
            <v>0.4496961907</v>
          </cell>
          <cell r="G51">
            <v>0.46361108270000001</v>
          </cell>
          <cell r="H51">
            <v>0.4775948169</v>
          </cell>
          <cell r="I51">
            <v>0.49136311469999999</v>
          </cell>
          <cell r="J51">
            <v>0.50482178990000004</v>
          </cell>
          <cell r="K51">
            <v>0.51795727869999997</v>
          </cell>
          <cell r="L51">
            <v>0.53086508919999997</v>
          </cell>
          <cell r="M51">
            <v>0.54346410379999999</v>
          </cell>
          <cell r="N51">
            <v>0.55575802590000001</v>
          </cell>
          <cell r="O51">
            <v>0.56769116279999998</v>
          </cell>
          <cell r="P51">
            <v>0.57919295339999999</v>
          </cell>
          <cell r="Q51">
            <v>0.59020426999999998</v>
          </cell>
          <cell r="R51">
            <v>0.60095272529999999</v>
          </cell>
          <cell r="S51">
            <v>0.611493061</v>
          </cell>
          <cell r="T51">
            <v>0.62179139940000006</v>
          </cell>
          <cell r="U51">
            <v>0.6318030737</v>
          </cell>
          <cell r="V51">
            <v>0.64144130529999999</v>
          </cell>
          <cell r="W51">
            <v>0.65078620529999998</v>
          </cell>
          <cell r="X51">
            <v>0.6598660127</v>
          </cell>
          <cell r="Y51">
            <v>0.66872569100000001</v>
          </cell>
          <cell r="Z51">
            <v>0.67740823559999996</v>
          </cell>
          <cell r="AA51">
            <v>0.68578597730000002</v>
          </cell>
          <cell r="AB51">
            <v>0.69402696279999998</v>
          </cell>
          <cell r="AC51">
            <v>0.70218796760000002</v>
          </cell>
          <cell r="AD51">
            <v>0.710326923</v>
          </cell>
          <cell r="AE51">
            <v>0.71849205729999999</v>
          </cell>
          <cell r="AF51">
            <v>0.72670114610000003</v>
          </cell>
          <cell r="AG51">
            <v>0.73493801839999995</v>
          </cell>
          <cell r="AH51">
            <v>0.7431579438</v>
          </cell>
          <cell r="AI51">
            <v>0.75129386009999999</v>
          </cell>
          <cell r="AJ51">
            <v>0.75926238769999999</v>
          </cell>
          <cell r="AK51">
            <v>0.76696871830000002</v>
          </cell>
        </row>
        <row r="52">
          <cell r="A52" t="str">
            <v>auto_cd_cgas_2</v>
          </cell>
          <cell r="B52">
            <v>0.2495444651</v>
          </cell>
          <cell r="C52">
            <v>0.25218263079999997</v>
          </cell>
          <cell r="D52">
            <v>0.25629924729999998</v>
          </cell>
          <cell r="E52">
            <v>0.26123432210000003</v>
          </cell>
          <cell r="F52">
            <v>0.26678418939999998</v>
          </cell>
          <cell r="G52">
            <v>0.27265652480000002</v>
          </cell>
          <cell r="H52">
            <v>0.27857942250000001</v>
          </cell>
          <cell r="I52">
            <v>0.28353309469999999</v>
          </cell>
          <cell r="J52">
            <v>0.2879767855</v>
          </cell>
          <cell r="K52">
            <v>0.29215628760000001</v>
          </cell>
          <cell r="L52">
            <v>0.2961723034</v>
          </cell>
          <cell r="M52">
            <v>0.30026258950000001</v>
          </cell>
          <cell r="N52">
            <v>0.30437242869999998</v>
          </cell>
          <cell r="O52">
            <v>0.30838700730000002</v>
          </cell>
          <cell r="P52">
            <v>0.3122194808</v>
          </cell>
          <cell r="Q52">
            <v>0.31581704820000001</v>
          </cell>
          <cell r="R52">
            <v>0.31905566270000002</v>
          </cell>
          <cell r="S52">
            <v>0.3219686551</v>
          </cell>
          <cell r="T52">
            <v>0.32460204609999999</v>
          </cell>
          <cell r="U52">
            <v>0.3269931667</v>
          </cell>
          <cell r="V52">
            <v>0.32914366410000001</v>
          </cell>
          <cell r="W52">
            <v>0.33111625919999998</v>
          </cell>
          <cell r="X52">
            <v>0.33293642969999998</v>
          </cell>
          <cell r="Y52">
            <v>0.33463256419999998</v>
          </cell>
          <cell r="Z52">
            <v>0.33622675870000002</v>
          </cell>
          <cell r="AA52">
            <v>0.33765762910000002</v>
          </cell>
          <cell r="AB52">
            <v>0.33898694670000001</v>
          </cell>
          <cell r="AC52">
            <v>0.34021972589999999</v>
          </cell>
          <cell r="AD52">
            <v>0.34137135010000003</v>
          </cell>
          <cell r="AE52">
            <v>0.34245940650000001</v>
          </cell>
          <cell r="AF52">
            <v>0.34349165209999999</v>
          </cell>
          <cell r="AG52">
            <v>0.34446223790000002</v>
          </cell>
          <cell r="AH52">
            <v>0.3453568709</v>
          </cell>
          <cell r="AI52">
            <v>0.34616251949999999</v>
          </cell>
          <cell r="AJ52">
            <v>0.34686924120000001</v>
          </cell>
          <cell r="AK52">
            <v>0.34747070120000001</v>
          </cell>
        </row>
        <row r="53">
          <cell r="A53" t="str">
            <v>auto_cd_cgas_0</v>
          </cell>
          <cell r="B53">
            <v>0.2495444651</v>
          </cell>
          <cell r="C53">
            <v>0.25218263079999997</v>
          </cell>
          <cell r="D53">
            <v>0.25629924729999998</v>
          </cell>
          <cell r="E53">
            <v>0.26123432200000002</v>
          </cell>
          <cell r="F53">
            <v>0.26678418929999997</v>
          </cell>
          <cell r="G53">
            <v>0.27265652470000001</v>
          </cell>
          <cell r="H53">
            <v>0.27848832610000002</v>
          </cell>
          <cell r="I53">
            <v>0.28411778090000001</v>
          </cell>
          <cell r="J53">
            <v>0.28948862339999998</v>
          </cell>
          <cell r="K53">
            <v>0.29459182</v>
          </cell>
          <cell r="L53">
            <v>0.29947838370000002</v>
          </cell>
          <cell r="M53">
            <v>0.30411303709999998</v>
          </cell>
          <cell r="N53">
            <v>0.30850962650000002</v>
          </cell>
          <cell r="O53">
            <v>0.31265635390000002</v>
          </cell>
          <cell r="P53">
            <v>0.31653619080000001</v>
          </cell>
          <cell r="Q53">
            <v>0.32013760479999998</v>
          </cell>
          <cell r="R53">
            <v>0.32359247889999998</v>
          </cell>
          <cell r="S53">
            <v>0.32694841419999998</v>
          </cell>
          <cell r="T53">
            <v>0.33020403669999998</v>
          </cell>
          <cell r="U53">
            <v>0.33334568910000001</v>
          </cell>
          <cell r="V53">
            <v>0.33633278420000001</v>
          </cell>
          <cell r="W53">
            <v>0.33920077640000001</v>
          </cell>
          <cell r="X53">
            <v>0.34195604860000001</v>
          </cell>
          <cell r="Y53">
            <v>0.34460977929999997</v>
          </cell>
          <cell r="Z53">
            <v>0.34716854759999999</v>
          </cell>
          <cell r="AA53">
            <v>0.34955464200000003</v>
          </cell>
          <cell r="AB53">
            <v>0.3518290395</v>
          </cell>
          <cell r="AC53">
            <v>0.35399842879999999</v>
          </cell>
          <cell r="AD53">
            <v>0.35606961079999999</v>
          </cell>
          <cell r="AE53">
            <v>0.3580466269</v>
          </cell>
          <cell r="AF53">
            <v>0.35992223899999998</v>
          </cell>
          <cell r="AG53">
            <v>0.3616770735</v>
          </cell>
          <cell r="AH53">
            <v>0.36328266539999998</v>
          </cell>
          <cell r="AI53">
            <v>0.36470468919999999</v>
          </cell>
          <cell r="AJ53">
            <v>0.3659059878</v>
          </cell>
          <cell r="AK53">
            <v>0.36684898529999999</v>
          </cell>
        </row>
        <row r="54">
          <cell r="A54" t="str">
            <v>auto_ce_cgas_2</v>
          </cell>
          <cell r="B54">
            <v>0.15020246549999999</v>
          </cell>
          <cell r="C54">
            <v>0.1519863746</v>
          </cell>
          <cell r="D54">
            <v>0.15459716439999999</v>
          </cell>
          <cell r="E54">
            <v>0.15761589140000001</v>
          </cell>
          <cell r="F54">
            <v>0.16091039609999999</v>
          </cell>
          <cell r="G54">
            <v>0.16430585549999999</v>
          </cell>
          <cell r="H54">
            <v>0.1676406419</v>
          </cell>
          <cell r="I54">
            <v>0.17029692439999999</v>
          </cell>
          <cell r="J54">
            <v>0.1725202498</v>
          </cell>
          <cell r="K54">
            <v>0.17445572009999999</v>
          </cell>
          <cell r="L54">
            <v>0.1761637419</v>
          </cell>
          <cell r="M54">
            <v>0.17778898870000001</v>
          </cell>
          <cell r="N54">
            <v>0.1793221508</v>
          </cell>
          <cell r="O54">
            <v>0.18071884490000001</v>
          </cell>
          <cell r="P54">
            <v>0.18194867479999999</v>
          </cell>
          <cell r="Q54">
            <v>0.1829978941</v>
          </cell>
          <cell r="R54">
            <v>0.18381107329999999</v>
          </cell>
          <cell r="S54">
            <v>0.18441322809999999</v>
          </cell>
          <cell r="T54">
            <v>0.18483657889999999</v>
          </cell>
          <cell r="U54">
            <v>0.1851076072</v>
          </cell>
          <cell r="V54">
            <v>0.18523232009999999</v>
          </cell>
          <cell r="W54">
            <v>0.18524624670000001</v>
          </cell>
          <cell r="X54">
            <v>0.1851633865</v>
          </cell>
          <cell r="Y54">
            <v>0.1849974371</v>
          </cell>
          <cell r="Z54">
            <v>0.18475709400000001</v>
          </cell>
          <cell r="AA54">
            <v>0.18440777380000001</v>
          </cell>
          <cell r="AB54">
            <v>0.1839748843</v>
          </cell>
          <cell r="AC54">
            <v>0.1834536141</v>
          </cell>
          <cell r="AD54">
            <v>0.18284369310000001</v>
          </cell>
          <cell r="AE54">
            <v>0.18214685189999999</v>
          </cell>
          <cell r="AF54">
            <v>0.1813613808</v>
          </cell>
          <cell r="AG54">
            <v>0.18048024800000001</v>
          </cell>
          <cell r="AH54">
            <v>0.17949341939999999</v>
          </cell>
          <cell r="AI54">
            <v>0.17839261870000001</v>
          </cell>
          <cell r="AJ54">
            <v>0.1771722707</v>
          </cell>
          <cell r="AK54">
            <v>0.1758294812</v>
          </cell>
        </row>
        <row r="55">
          <cell r="A55" t="str">
            <v>auto_ce_cgas_0</v>
          </cell>
          <cell r="B55">
            <v>0.15020246549999999</v>
          </cell>
          <cell r="C55">
            <v>0.1519863746</v>
          </cell>
          <cell r="D55">
            <v>0.15459716439999999</v>
          </cell>
          <cell r="E55">
            <v>0.15761589140000001</v>
          </cell>
          <cell r="F55">
            <v>0.16091039600000001</v>
          </cell>
          <cell r="G55">
            <v>0.16430585540000001</v>
          </cell>
          <cell r="H55">
            <v>0.16758517319999999</v>
          </cell>
          <cell r="I55">
            <v>0.17065050479999999</v>
          </cell>
          <cell r="J55">
            <v>0.17346841709999999</v>
          </cell>
          <cell r="K55">
            <v>0.17603544870000001</v>
          </cell>
          <cell r="L55">
            <v>0.17838444980000001</v>
          </cell>
          <cell r="M55">
            <v>0.18050096500000001</v>
          </cell>
          <cell r="N55">
            <v>0.18240121710000001</v>
          </cell>
          <cell r="O55">
            <v>0.18408886669999999</v>
          </cell>
          <cell r="P55">
            <v>0.18556538829999999</v>
          </cell>
          <cell r="Q55">
            <v>0.186834789</v>
          </cell>
          <cell r="R55">
            <v>0.18798059119999999</v>
          </cell>
          <cell r="S55">
            <v>0.18904069409999999</v>
          </cell>
          <cell r="T55">
            <v>0.19002332199999999</v>
          </cell>
          <cell r="U55">
            <v>0.19092620799999999</v>
          </cell>
          <cell r="V55">
            <v>0.19172913259999999</v>
          </cell>
          <cell r="W55">
            <v>0.19244988760000001</v>
          </cell>
          <cell r="X55">
            <v>0.19308854789999999</v>
          </cell>
          <cell r="Y55">
            <v>0.1936459895</v>
          </cell>
          <cell r="Z55">
            <v>0.1941188368</v>
          </cell>
          <cell r="AA55">
            <v>0.1944585522</v>
          </cell>
          <cell r="AB55">
            <v>0.19468791990000001</v>
          </cell>
          <cell r="AC55">
            <v>0.19480108860000001</v>
          </cell>
          <cell r="AD55">
            <v>0.19479239179999999</v>
          </cell>
          <cell r="AE55">
            <v>0.19465596169999999</v>
          </cell>
          <cell r="AF55">
            <v>0.1943820081</v>
          </cell>
          <cell r="AG55">
            <v>0.19395679290000001</v>
          </cell>
          <cell r="AH55">
            <v>0.1933644165</v>
          </cell>
          <cell r="AI55">
            <v>0.19258855329999999</v>
          </cell>
          <cell r="AJ55">
            <v>0.19161398909999999</v>
          </cell>
          <cell r="AK55">
            <v>0.1904277667</v>
          </cell>
        </row>
        <row r="56">
          <cell r="A56" t="str">
            <v>auto_cf_cgas_2</v>
          </cell>
          <cell r="B56">
            <v>7.4609436000000001E-2</v>
          </cell>
          <cell r="C56">
            <v>7.5275468799999995E-2</v>
          </cell>
          <cell r="D56">
            <v>7.6237746300000006E-2</v>
          </cell>
          <cell r="E56">
            <v>7.7275136899999999E-2</v>
          </cell>
          <cell r="F56">
            <v>7.8314796800000003E-2</v>
          </cell>
          <cell r="G56">
            <v>7.9279187200000004E-2</v>
          </cell>
          <cell r="H56">
            <v>8.0100754999999996E-2</v>
          </cell>
          <cell r="I56">
            <v>8.0511284899999994E-2</v>
          </cell>
          <cell r="J56">
            <v>8.0601776999999999E-2</v>
          </cell>
          <cell r="K56">
            <v>8.0442433199999996E-2</v>
          </cell>
          <cell r="L56">
            <v>8.0068241100000007E-2</v>
          </cell>
          <cell r="M56">
            <v>7.9548830299999998E-2</v>
          </cell>
          <cell r="N56">
            <v>7.8904959499999996E-2</v>
          </cell>
          <cell r="O56">
            <v>7.8144933E-2</v>
          </cell>
          <cell r="P56">
            <v>7.72804079E-2</v>
          </cell>
          <cell r="Q56">
            <v>7.6325885999999996E-2</v>
          </cell>
          <cell r="R56">
            <v>7.5279576500000001E-2</v>
          </cell>
          <cell r="S56">
            <v>7.4160443000000006E-2</v>
          </cell>
          <cell r="T56">
            <v>7.2988032199999997E-2</v>
          </cell>
          <cell r="U56">
            <v>7.1777936700000003E-2</v>
          </cell>
          <cell r="V56">
            <v>7.0537487800000007E-2</v>
          </cell>
          <cell r="W56">
            <v>6.9279880599999996E-2</v>
          </cell>
          <cell r="X56">
            <v>6.8010145899999999E-2</v>
          </cell>
          <cell r="Y56">
            <v>6.6731631700000002E-2</v>
          </cell>
          <cell r="Z56">
            <v>6.5444913699999996E-2</v>
          </cell>
          <cell r="AA56">
            <v>6.41386548E-2</v>
          </cell>
          <cell r="AB56">
            <v>6.2815583600000002E-2</v>
          </cell>
          <cell r="AC56">
            <v>6.1469998200000001E-2</v>
          </cell>
          <cell r="AD56">
            <v>6.0097616200000002E-2</v>
          </cell>
          <cell r="AE56">
            <v>5.86961545E-2</v>
          </cell>
          <cell r="AF56">
            <v>5.7264266199999997E-2</v>
          </cell>
          <cell r="AG56">
            <v>5.5800907199999999E-2</v>
          </cell>
          <cell r="AH56">
            <v>5.4305589799999998E-2</v>
          </cell>
          <cell r="AI56">
            <v>5.2779348699999999E-2</v>
          </cell>
          <cell r="AJ56">
            <v>5.1224809099999997E-2</v>
          </cell>
          <cell r="AK56">
            <v>4.9645856799999999E-2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7.5275468799999995E-2</v>
          </cell>
          <cell r="D57">
            <v>7.6237746300000006E-2</v>
          </cell>
          <cell r="E57">
            <v>7.7275136899999999E-2</v>
          </cell>
          <cell r="F57">
            <v>7.8314796800000003E-2</v>
          </cell>
          <cell r="G57">
            <v>7.9279187200000004E-2</v>
          </cell>
          <cell r="H57">
            <v>8.0075674299999997E-2</v>
          </cell>
          <cell r="I57">
            <v>8.0665448099999995E-2</v>
          </cell>
          <cell r="J57">
            <v>8.1040527900000006E-2</v>
          </cell>
          <cell r="K57">
            <v>8.1208113200000001E-2</v>
          </cell>
          <cell r="L57">
            <v>8.1191129799999998E-2</v>
          </cell>
          <cell r="M57">
            <v>8.0996662400000002E-2</v>
          </cell>
          <cell r="N57">
            <v>8.0645704900000004E-2</v>
          </cell>
          <cell r="O57">
            <v>8.0156032299999999E-2</v>
          </cell>
          <cell r="P57">
            <v>7.9544448200000006E-2</v>
          </cell>
          <cell r="Q57">
            <v>7.8827007500000004E-2</v>
          </cell>
          <cell r="R57">
            <v>7.8045063900000003E-2</v>
          </cell>
          <cell r="S57">
            <v>7.7223867099999996E-2</v>
          </cell>
          <cell r="T57">
            <v>7.6375570300000001E-2</v>
          </cell>
          <cell r="U57">
            <v>7.5505096800000004E-2</v>
          </cell>
          <cell r="V57">
            <v>7.4608486399999993E-2</v>
          </cell>
          <cell r="W57">
            <v>7.3690712899999997E-2</v>
          </cell>
          <cell r="X57">
            <v>7.2749495100000006E-2</v>
          </cell>
          <cell r="Y57">
            <v>7.1781355300000002E-2</v>
          </cell>
          <cell r="Z57">
            <v>7.0780225099999997E-2</v>
          </cell>
          <cell r="AA57">
            <v>6.9726951800000006E-2</v>
          </cell>
          <cell r="AB57">
            <v>6.8621925700000003E-2</v>
          </cell>
          <cell r="AC57">
            <v>6.7458253999999995E-2</v>
          </cell>
          <cell r="AD57">
            <v>6.6230246600000001E-2</v>
          </cell>
          <cell r="AE57">
            <v>6.4934237800000003E-2</v>
          </cell>
          <cell r="AF57">
            <v>6.3567970900000006E-2</v>
          </cell>
          <cell r="AG57">
            <v>6.2130646099999999E-2</v>
          </cell>
          <cell r="AH57">
            <v>6.0623218299999997E-2</v>
          </cell>
          <cell r="AI57">
            <v>5.9048532200000003E-2</v>
          </cell>
          <cell r="AJ57">
            <v>5.74113204E-2</v>
          </cell>
          <cell r="AK57">
            <v>5.5718056699999997E-2</v>
          </cell>
        </row>
        <row r="58">
          <cell r="A58" t="str">
            <v>auto_cg_cgas_2</v>
          </cell>
          <cell r="B58">
            <v>0.13435819299999999</v>
          </cell>
          <cell r="C58">
            <v>0.13584513670000001</v>
          </cell>
          <cell r="D58">
            <v>0.1376897638</v>
          </cell>
          <cell r="E58">
            <v>0.13945774320000001</v>
          </cell>
          <cell r="F58">
            <v>0.14101039260000001</v>
          </cell>
          <cell r="G58">
            <v>0.142224713</v>
          </cell>
          <cell r="H58">
            <v>0.14300149409999999</v>
          </cell>
          <cell r="I58">
            <v>0.14289621199999999</v>
          </cell>
          <cell r="J58">
            <v>0.14205778120000001</v>
          </cell>
          <cell r="K58">
            <v>0.1406308453</v>
          </cell>
          <cell r="L58">
            <v>0.13870191870000001</v>
          </cell>
          <cell r="M58">
            <v>0.13641192730000001</v>
          </cell>
          <cell r="N58">
            <v>0.13383613059999999</v>
          </cell>
          <cell r="O58">
            <v>0.13102737850000001</v>
          </cell>
          <cell r="P58">
            <v>0.12803708750000001</v>
          </cell>
          <cell r="Q58">
            <v>0.1249136376</v>
          </cell>
          <cell r="R58">
            <v>0.1216780113</v>
          </cell>
          <cell r="S58">
            <v>0.1183702958</v>
          </cell>
          <cell r="T58">
            <v>0.1150277763</v>
          </cell>
          <cell r="U58">
            <v>0.11167924949999999</v>
          </cell>
          <cell r="V58">
            <v>0.1083404617</v>
          </cell>
          <cell r="W58">
            <v>0.1050306714</v>
          </cell>
          <cell r="X58">
            <v>0.101757419</v>
          </cell>
          <cell r="Y58">
            <v>9.8524689100000007E-2</v>
          </cell>
          <cell r="Z58">
            <v>9.5332177899999995E-2</v>
          </cell>
          <cell r="AA58">
            <v>9.2166756500000002E-2</v>
          </cell>
          <cell r="AB58">
            <v>8.9029116399999997E-2</v>
          </cell>
          <cell r="AC58">
            <v>8.5911338399999995E-2</v>
          </cell>
          <cell r="AD58">
            <v>8.2807903599999996E-2</v>
          </cell>
          <cell r="AE58">
            <v>7.9717051400000002E-2</v>
          </cell>
          <cell r="AF58">
            <v>7.6639658999999999E-2</v>
          </cell>
          <cell r="AG58">
            <v>7.3578227400000001E-2</v>
          </cell>
          <cell r="AH58">
            <v>7.0536668600000005E-2</v>
          </cell>
          <cell r="AI58">
            <v>6.7520819199999998E-2</v>
          </cell>
          <cell r="AJ58">
            <v>6.4538124399999994E-2</v>
          </cell>
          <cell r="AK58">
            <v>6.1596939900000001E-2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0.13584513670000001</v>
          </cell>
          <cell r="D59">
            <v>0.1376897638</v>
          </cell>
          <cell r="E59">
            <v>0.13945774320000001</v>
          </cell>
          <cell r="F59">
            <v>0.14101039260000001</v>
          </cell>
          <cell r="G59">
            <v>0.142224713</v>
          </cell>
          <cell r="H59">
            <v>0.14295726819999999</v>
          </cell>
          <cell r="I59">
            <v>0.14315966259999999</v>
          </cell>
          <cell r="J59">
            <v>0.1428398602</v>
          </cell>
          <cell r="K59">
            <v>0.14203385669999999</v>
          </cell>
          <cell r="L59">
            <v>0.1408031733</v>
          </cell>
          <cell r="M59">
            <v>0.13918658680000001</v>
          </cell>
          <cell r="N59">
            <v>0.13724470590000001</v>
          </cell>
          <cell r="O59">
            <v>0.13503265440000001</v>
          </cell>
          <cell r="P59">
            <v>0.132601411</v>
          </cell>
          <cell r="Q59">
            <v>0.1299966558</v>
          </cell>
          <cell r="R59">
            <v>0.1272945855</v>
          </cell>
          <cell r="S59">
            <v>0.1245468025</v>
          </cell>
          <cell r="T59">
            <v>0.121782315</v>
          </cell>
          <cell r="U59">
            <v>0.119015458</v>
          </cell>
          <cell r="V59">
            <v>0.1162451261</v>
          </cell>
          <cell r="W59">
            <v>0.1134781354</v>
          </cell>
          <cell r="X59">
            <v>0.110710392</v>
          </cell>
          <cell r="Y59">
            <v>0.10793513959999999</v>
          </cell>
          <cell r="Z59">
            <v>0.1051417093</v>
          </cell>
          <cell r="AA59">
            <v>0.10230479990000001</v>
          </cell>
          <cell r="AB59">
            <v>9.9422022099999993E-2</v>
          </cell>
          <cell r="AC59">
            <v>9.6484411500000006E-2</v>
          </cell>
          <cell r="AD59">
            <v>9.3486461199999996E-2</v>
          </cell>
          <cell r="AE59">
            <v>9.0427550800000006E-2</v>
          </cell>
          <cell r="AF59">
            <v>8.7311146000000006E-2</v>
          </cell>
          <cell r="AG59">
            <v>8.4144364099999994E-2</v>
          </cell>
          <cell r="AH59">
            <v>8.0937611399999998E-2</v>
          </cell>
          <cell r="AI59">
            <v>7.7703976999999994E-2</v>
          </cell>
          <cell r="AJ59">
            <v>7.44585101E-2</v>
          </cell>
          <cell r="AK59">
            <v>7.1217428099999994E-2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139.4020707</v>
          </cell>
          <cell r="C100">
            <v>140.45254220000001</v>
          </cell>
          <cell r="D100">
            <v>141.39329989999999</v>
          </cell>
          <cell r="E100">
            <v>142.37993420000001</v>
          </cell>
          <cell r="F100">
            <v>143.5089475</v>
          </cell>
          <cell r="G100">
            <v>144.8199927</v>
          </cell>
          <cell r="H100">
            <v>146.26277780000001</v>
          </cell>
          <cell r="I100">
            <v>148.8861843</v>
          </cell>
          <cell r="J100">
            <v>151.7292515</v>
          </cell>
          <cell r="K100">
            <v>155.2295853</v>
          </cell>
          <cell r="L100">
            <v>158.87420399999999</v>
          </cell>
          <cell r="M100">
            <v>162.49367910000001</v>
          </cell>
          <cell r="N100">
            <v>166.11351790000001</v>
          </cell>
          <cell r="O100">
            <v>169.72726549999999</v>
          </cell>
          <cell r="P100">
            <v>173.49427710000001</v>
          </cell>
          <cell r="Q100">
            <v>177.51291860000001</v>
          </cell>
          <cell r="R100">
            <v>181.614679</v>
          </cell>
          <cell r="S100">
            <v>186.05346130000001</v>
          </cell>
          <cell r="T100">
            <v>190.88622960000001</v>
          </cell>
          <cell r="U100">
            <v>196.1777768</v>
          </cell>
          <cell r="V100">
            <v>201.97299820000001</v>
          </cell>
          <cell r="W100">
            <v>208.4295032</v>
          </cell>
          <cell r="X100">
            <v>215.66497390000001</v>
          </cell>
          <cell r="Y100">
            <v>223.7995195</v>
          </cell>
          <cell r="Z100">
            <v>232.95943689999999</v>
          </cell>
          <cell r="AA100">
            <v>243.17502820000001</v>
          </cell>
          <cell r="AB100">
            <v>254.85336520000001</v>
          </cell>
          <cell r="AC100">
            <v>268.23286089999999</v>
          </cell>
          <cell r="AD100">
            <v>283.6300263</v>
          </cell>
          <cell r="AE100">
            <v>301.38781210000002</v>
          </cell>
          <cell r="AF100">
            <v>321.93658269999997</v>
          </cell>
          <cell r="AG100">
            <v>345.89454669999998</v>
          </cell>
          <cell r="AH100">
            <v>374.15332339999998</v>
          </cell>
          <cell r="AI100">
            <v>407.97448259999999</v>
          </cell>
          <cell r="AJ100">
            <v>449.21337199999999</v>
          </cell>
          <cell r="AK100">
            <v>500.71002759999999</v>
          </cell>
        </row>
        <row r="101">
          <cell r="A101" t="str">
            <v>m_toe_2</v>
          </cell>
          <cell r="B101">
            <v>150.64917399999999</v>
          </cell>
          <cell r="C101">
            <v>151.0937083</v>
          </cell>
          <cell r="D101">
            <v>151.41638699999999</v>
          </cell>
          <cell r="E101">
            <v>151.63132959999999</v>
          </cell>
          <cell r="F101">
            <v>152.37310529999999</v>
          </cell>
          <cell r="G101">
            <v>153.54362</v>
          </cell>
          <cell r="H101">
            <v>155.0231885</v>
          </cell>
          <cell r="I101">
            <v>153.68654269999999</v>
          </cell>
          <cell r="J101">
            <v>152.11857710000001</v>
          </cell>
          <cell r="K101">
            <v>151.11532700000001</v>
          </cell>
          <cell r="L101">
            <v>150.32635239999999</v>
          </cell>
          <cell r="M101">
            <v>149.90700849999999</v>
          </cell>
          <cell r="N101">
            <v>149.68611150000001</v>
          </cell>
          <cell r="O101">
            <v>149.52226289999999</v>
          </cell>
          <cell r="P101">
            <v>149.4532308</v>
          </cell>
          <cell r="Q101">
            <v>149.50320360000001</v>
          </cell>
          <cell r="R101">
            <v>149.4453547</v>
          </cell>
          <cell r="S101">
            <v>149.41831909999999</v>
          </cell>
          <cell r="T101">
            <v>149.48081429999999</v>
          </cell>
          <cell r="U101">
            <v>149.66985700000001</v>
          </cell>
          <cell r="V101">
            <v>149.9927021</v>
          </cell>
          <cell r="W101">
            <v>150.51717120000001</v>
          </cell>
          <cell r="X101">
            <v>151.27111310000001</v>
          </cell>
          <cell r="Y101">
            <v>152.27582390000001</v>
          </cell>
          <cell r="Z101">
            <v>153.54409580000001</v>
          </cell>
          <cell r="AA101">
            <v>155.0196262</v>
          </cell>
          <cell r="AB101">
            <v>156.82924840000001</v>
          </cell>
          <cell r="AC101">
            <v>159.0041263</v>
          </cell>
          <cell r="AD101">
            <v>161.5812152</v>
          </cell>
          <cell r="AE101">
            <v>164.5736235</v>
          </cell>
          <cell r="AF101">
            <v>167.99228539999999</v>
          </cell>
          <cell r="AG101">
            <v>171.8765539</v>
          </cell>
          <cell r="AH101">
            <v>176.306196</v>
          </cell>
          <cell r="AI101">
            <v>181.40646079999999</v>
          </cell>
          <cell r="AJ101">
            <v>187.37427149999999</v>
          </cell>
          <cell r="AK101">
            <v>194.52465029999999</v>
          </cell>
        </row>
        <row r="102">
          <cell r="A102" t="str">
            <v>ci_toe_2</v>
          </cell>
          <cell r="B102">
            <v>192.35883190000001</v>
          </cell>
          <cell r="C102">
            <v>193.71082100000001</v>
          </cell>
          <cell r="D102">
            <v>194.94587580000001</v>
          </cell>
          <cell r="E102">
            <v>196.11533969999999</v>
          </cell>
          <cell r="F102">
            <v>197.71929919999999</v>
          </cell>
          <cell r="G102">
            <v>199.76502919999999</v>
          </cell>
          <cell r="H102">
            <v>202.14722599999999</v>
          </cell>
          <cell r="I102">
            <v>203.39351490000001</v>
          </cell>
          <cell r="J102">
            <v>204.60616669999999</v>
          </cell>
          <cell r="K102">
            <v>206.74729780000001</v>
          </cell>
          <cell r="L102">
            <v>209.2625616</v>
          </cell>
          <cell r="M102">
            <v>212.07911519999999</v>
          </cell>
          <cell r="N102">
            <v>215.077225</v>
          </cell>
          <cell r="O102">
            <v>218.12798309999999</v>
          </cell>
          <cell r="P102">
            <v>221.36147700000001</v>
          </cell>
          <cell r="Q102">
            <v>224.87994549999999</v>
          </cell>
          <cell r="R102">
            <v>228.57268379999999</v>
          </cell>
          <cell r="S102">
            <v>232.5926116</v>
          </cell>
          <cell r="T102">
            <v>237.0483006</v>
          </cell>
          <cell r="U102">
            <v>242.03652020000001</v>
          </cell>
          <cell r="V102">
            <v>247.61790060000001</v>
          </cell>
          <cell r="W102">
            <v>253.97903260000001</v>
          </cell>
          <cell r="X102">
            <v>261.26138630000003</v>
          </cell>
          <cell r="Y102">
            <v>269.60490379999999</v>
          </cell>
          <cell r="Z102">
            <v>279.14970169999998</v>
          </cell>
          <cell r="AA102">
            <v>289.91714530000002</v>
          </cell>
          <cell r="AB102">
            <v>302.30666330000003</v>
          </cell>
          <cell r="AC102">
            <v>316.63528430000002</v>
          </cell>
          <cell r="AD102">
            <v>333.25507820000001</v>
          </cell>
          <cell r="AE102">
            <v>352.53609990000001</v>
          </cell>
          <cell r="AF102">
            <v>374.93736560000002</v>
          </cell>
          <cell r="AG102">
            <v>401.124461</v>
          </cell>
          <cell r="AH102">
            <v>432.0700938</v>
          </cell>
          <cell r="AI102">
            <v>469.1653149</v>
          </cell>
          <cell r="AJ102">
            <v>514.46635070000002</v>
          </cell>
          <cell r="AK102">
            <v>571.13047759999995</v>
          </cell>
        </row>
        <row r="103">
          <cell r="A103" t="str">
            <v>ch_toe_2</v>
          </cell>
          <cell r="B103">
            <v>64.301440170000006</v>
          </cell>
          <cell r="C103">
            <v>63.916926250000003</v>
          </cell>
          <cell r="D103">
            <v>63.417061769999997</v>
          </cell>
          <cell r="E103">
            <v>62.919764360000002</v>
          </cell>
          <cell r="F103">
            <v>62.64937381</v>
          </cell>
          <cell r="G103">
            <v>62.537234290000001</v>
          </cell>
          <cell r="H103">
            <v>62.51770793</v>
          </cell>
          <cell r="I103">
            <v>61.981808059999999</v>
          </cell>
          <cell r="J103">
            <v>61.40800428</v>
          </cell>
          <cell r="K103">
            <v>60.784545360000003</v>
          </cell>
          <cell r="L103">
            <v>60.135343159999998</v>
          </cell>
          <cell r="M103">
            <v>59.5450059</v>
          </cell>
          <cell r="N103">
            <v>59.035825840000001</v>
          </cell>
          <cell r="O103">
            <v>58.621501819999999</v>
          </cell>
          <cell r="P103">
            <v>58.299969699999998</v>
          </cell>
          <cell r="Q103">
            <v>58.059952729999999</v>
          </cell>
          <cell r="R103">
            <v>57.842968290000002</v>
          </cell>
          <cell r="S103">
            <v>57.642623489999998</v>
          </cell>
          <cell r="T103">
            <v>57.45562563</v>
          </cell>
          <cell r="U103">
            <v>57.283701090000001</v>
          </cell>
          <cell r="V103">
            <v>57.114276599999997</v>
          </cell>
          <cell r="W103">
            <v>56.981123510000003</v>
          </cell>
          <cell r="X103">
            <v>56.880426399999997</v>
          </cell>
          <cell r="Y103">
            <v>56.813382109999999</v>
          </cell>
          <cell r="Z103">
            <v>56.784098710000002</v>
          </cell>
          <cell r="AA103">
            <v>56.747706979999997</v>
          </cell>
          <cell r="AB103">
            <v>56.759053399999999</v>
          </cell>
          <cell r="AC103">
            <v>56.819020119999998</v>
          </cell>
          <cell r="AD103">
            <v>56.929874239999997</v>
          </cell>
          <cell r="AE103">
            <v>57.094329209999998</v>
          </cell>
          <cell r="AF103">
            <v>57.314716079999997</v>
          </cell>
          <cell r="AG103">
            <v>57.592528450000003</v>
          </cell>
          <cell r="AH103">
            <v>57.928684859999997</v>
          </cell>
          <cell r="AI103">
            <v>58.325602449999998</v>
          </cell>
          <cell r="AJ103">
            <v>58.788110920000001</v>
          </cell>
          <cell r="AK103">
            <v>59.32462881</v>
          </cell>
        </row>
        <row r="104">
          <cell r="A104" t="str">
            <v>x_toe_2</v>
          </cell>
          <cell r="B104">
            <v>33.390972560000002</v>
          </cell>
          <cell r="C104">
            <v>33.918503209999997</v>
          </cell>
          <cell r="D104">
            <v>34.446749310000001</v>
          </cell>
          <cell r="E104">
            <v>34.976159780000003</v>
          </cell>
          <cell r="F104">
            <v>35.513379819999997</v>
          </cell>
          <cell r="G104">
            <v>36.06134926</v>
          </cell>
          <cell r="H104">
            <v>36.621032339999999</v>
          </cell>
          <cell r="I104">
            <v>37.197404089999999</v>
          </cell>
          <cell r="J104">
            <v>37.833657619999997</v>
          </cell>
          <cell r="K104">
            <v>38.813069210000002</v>
          </cell>
          <cell r="L104">
            <v>39.802651740000002</v>
          </cell>
          <cell r="M104">
            <v>40.776566539999997</v>
          </cell>
          <cell r="N104">
            <v>41.686578519999998</v>
          </cell>
          <cell r="O104">
            <v>42.500043470000001</v>
          </cell>
          <cell r="P104">
            <v>43.286061150000002</v>
          </cell>
          <cell r="Q104">
            <v>44.076224000000003</v>
          </cell>
          <cell r="R104">
            <v>44.644381639999999</v>
          </cell>
          <cell r="S104">
            <v>45.236545300000003</v>
          </cell>
          <cell r="T104">
            <v>45.863117549999998</v>
          </cell>
          <cell r="U104">
            <v>46.527412439999999</v>
          </cell>
          <cell r="V104">
            <v>47.233523079999998</v>
          </cell>
          <cell r="W104">
            <v>47.986518330000003</v>
          </cell>
          <cell r="X104">
            <v>48.79427432</v>
          </cell>
          <cell r="Y104">
            <v>49.657057590000001</v>
          </cell>
          <cell r="Z104">
            <v>50.569732350000002</v>
          </cell>
          <cell r="AA104">
            <v>51.52980213</v>
          </cell>
          <cell r="AB104">
            <v>52.616896910000001</v>
          </cell>
          <cell r="AC104">
            <v>53.782682729999998</v>
          </cell>
          <cell r="AD104">
            <v>55.026289069999997</v>
          </cell>
          <cell r="AE104">
            <v>56.331006389999999</v>
          </cell>
          <cell r="AF104">
            <v>57.67678635</v>
          </cell>
          <cell r="AG104">
            <v>59.054111159999998</v>
          </cell>
          <cell r="AH104">
            <v>60.460740680000001</v>
          </cell>
          <cell r="AI104">
            <v>61.890026040000002</v>
          </cell>
          <cell r="AJ104">
            <v>63.333181860000003</v>
          </cell>
          <cell r="AK104">
            <v>64.779571469999993</v>
          </cell>
        </row>
        <row r="105">
          <cell r="A105" t="str">
            <v>y_toe_0</v>
          </cell>
          <cell r="B105">
            <v>139.4020707</v>
          </cell>
          <cell r="C105">
            <v>140.45254209999999</v>
          </cell>
          <cell r="D105">
            <v>141.39329989999999</v>
          </cell>
          <cell r="E105">
            <v>142.37993420000001</v>
          </cell>
          <cell r="F105">
            <v>143.5089475</v>
          </cell>
          <cell r="G105">
            <v>144.8199927</v>
          </cell>
          <cell r="H105">
            <v>146.24419739999999</v>
          </cell>
          <cell r="I105">
            <v>147.73624290000001</v>
          </cell>
          <cell r="J105">
            <v>149.26423560000001</v>
          </cell>
          <cell r="K105">
            <v>150.8126522</v>
          </cell>
          <cell r="L105">
            <v>152.42573580000001</v>
          </cell>
          <cell r="M105">
            <v>154.02928850000001</v>
          </cell>
          <cell r="N105">
            <v>155.5897338</v>
          </cell>
          <cell r="O105">
            <v>157.01918670000001</v>
          </cell>
          <cell r="P105">
            <v>158.36655970000001</v>
          </cell>
          <cell r="Q105">
            <v>159.68864740000001</v>
          </cell>
          <cell r="R105">
            <v>161.05752459999999</v>
          </cell>
          <cell r="S105">
            <v>162.54900950000001</v>
          </cell>
          <cell r="T105">
            <v>164.2084275</v>
          </cell>
          <cell r="U105">
            <v>166.05555100000001</v>
          </cell>
          <cell r="V105">
            <v>168.07300760000001</v>
          </cell>
          <cell r="W105">
            <v>170.32022330000001</v>
          </cell>
          <cell r="X105">
            <v>172.8134273</v>
          </cell>
          <cell r="Y105">
            <v>175.56630730000001</v>
          </cell>
          <cell r="Z105">
            <v>178.5779694</v>
          </cell>
          <cell r="AA105">
            <v>181.75338840000001</v>
          </cell>
          <cell r="AB105">
            <v>185.18572470000001</v>
          </cell>
          <cell r="AC105">
            <v>188.8871666</v>
          </cell>
          <cell r="AD105">
            <v>192.85702069999999</v>
          </cell>
          <cell r="AE105">
            <v>197.05647329999999</v>
          </cell>
          <cell r="AF105">
            <v>201.4297277</v>
          </cell>
          <cell r="AG105">
            <v>205.92727210000001</v>
          </cell>
          <cell r="AH105">
            <v>210.50985460000001</v>
          </cell>
          <cell r="AI105">
            <v>215.142281</v>
          </cell>
          <cell r="AJ105">
            <v>219.79067330000001</v>
          </cell>
          <cell r="AK105">
            <v>224.421404</v>
          </cell>
        </row>
        <row r="106">
          <cell r="A106" t="str">
            <v>m_toe_0</v>
          </cell>
          <cell r="B106">
            <v>150.64917389999999</v>
          </cell>
          <cell r="C106">
            <v>151.0937084</v>
          </cell>
          <cell r="D106">
            <v>151.4163872</v>
          </cell>
          <cell r="E106">
            <v>151.63132999999999</v>
          </cell>
          <cell r="F106">
            <v>152.37310579999999</v>
          </cell>
          <cell r="G106">
            <v>153.5436206</v>
          </cell>
          <cell r="H106">
            <v>154.66241500000001</v>
          </cell>
          <cell r="I106">
            <v>155.7254868</v>
          </cell>
          <cell r="J106">
            <v>156.7439382</v>
          </cell>
          <cell r="K106">
            <v>157.7421664</v>
          </cell>
          <cell r="L106">
            <v>158.78720279999999</v>
          </cell>
          <cell r="M106">
            <v>159.8342342</v>
          </cell>
          <cell r="N106">
            <v>160.85908140000001</v>
          </cell>
          <cell r="O106">
            <v>161.77472259999999</v>
          </cell>
          <cell r="P106">
            <v>162.6241866</v>
          </cell>
          <cell r="Q106">
            <v>163.46338030000001</v>
          </cell>
          <cell r="R106">
            <v>164.5701042</v>
          </cell>
          <cell r="S106">
            <v>165.95095459999999</v>
          </cell>
          <cell r="T106">
            <v>167.6022792</v>
          </cell>
          <cell r="U106">
            <v>169.50912500000001</v>
          </cell>
          <cell r="V106">
            <v>171.63366769999999</v>
          </cell>
          <cell r="W106">
            <v>174.01155449999999</v>
          </cell>
          <cell r="X106">
            <v>176.65067099999999</v>
          </cell>
          <cell r="Y106">
            <v>179.5589573</v>
          </cell>
          <cell r="Z106">
            <v>182.73273169999999</v>
          </cell>
          <cell r="AA106">
            <v>186.0883355</v>
          </cell>
          <cell r="AB106">
            <v>189.70463950000001</v>
          </cell>
          <cell r="AC106">
            <v>193.60086860000001</v>
          </cell>
          <cell r="AD106">
            <v>197.7833388</v>
          </cell>
          <cell r="AE106">
            <v>202.22140909999999</v>
          </cell>
          <cell r="AF106">
            <v>206.86430680000001</v>
          </cell>
          <cell r="AG106">
            <v>211.6641132</v>
          </cell>
          <cell r="AH106">
            <v>216.5813861</v>
          </cell>
          <cell r="AI106">
            <v>221.57957579999999</v>
          </cell>
          <cell r="AJ106">
            <v>226.6219055</v>
          </cell>
          <cell r="AK106">
            <v>231.67015950000001</v>
          </cell>
        </row>
        <row r="107">
          <cell r="A107" t="str">
            <v>ci_toe_0</v>
          </cell>
          <cell r="B107">
            <v>192.35883179999999</v>
          </cell>
          <cell r="C107">
            <v>193.71082100000001</v>
          </cell>
          <cell r="D107">
            <v>194.9458759</v>
          </cell>
          <cell r="E107">
            <v>196.11533979999999</v>
          </cell>
          <cell r="F107">
            <v>197.71929940000001</v>
          </cell>
          <cell r="G107">
            <v>199.7650295</v>
          </cell>
          <cell r="H107">
            <v>201.91582629999999</v>
          </cell>
          <cell r="I107">
            <v>204.08800020000001</v>
          </cell>
          <cell r="J107">
            <v>206.2445754</v>
          </cell>
          <cell r="K107">
            <v>208.38497430000001</v>
          </cell>
          <cell r="L107">
            <v>210.5896553</v>
          </cell>
          <cell r="M107">
            <v>212.78046950000001</v>
          </cell>
          <cell r="N107">
            <v>214.90815380000001</v>
          </cell>
          <cell r="O107">
            <v>216.82492500000001</v>
          </cell>
          <cell r="P107">
            <v>218.59867689999999</v>
          </cell>
          <cell r="Q107">
            <v>220.32612069999999</v>
          </cell>
          <cell r="R107">
            <v>222.2510589</v>
          </cell>
          <cell r="S107">
            <v>224.48381800000001</v>
          </cell>
          <cell r="T107">
            <v>227.0843903</v>
          </cell>
          <cell r="U107">
            <v>230.07206020000001</v>
          </cell>
          <cell r="V107">
            <v>233.41478040000001</v>
          </cell>
          <cell r="W107">
            <v>237.18220249999999</v>
          </cell>
          <cell r="X107">
            <v>241.3929613</v>
          </cell>
          <cell r="Y107">
            <v>246.06170750000001</v>
          </cell>
          <cell r="Z107">
            <v>251.1855467</v>
          </cell>
          <cell r="AA107">
            <v>256.63586270000002</v>
          </cell>
          <cell r="AB107">
            <v>262.53440399999999</v>
          </cell>
          <cell r="AC107">
            <v>268.9082737</v>
          </cell>
          <cell r="AD107">
            <v>275.76318270000002</v>
          </cell>
          <cell r="AE107">
            <v>283.0408759</v>
          </cell>
          <cell r="AF107">
            <v>290.64928579999997</v>
          </cell>
          <cell r="AG107">
            <v>298.50232720000002</v>
          </cell>
          <cell r="AH107">
            <v>306.52907970000001</v>
          </cell>
          <cell r="AI107">
            <v>314.66479220000002</v>
          </cell>
          <cell r="AJ107">
            <v>322.8461289</v>
          </cell>
          <cell r="AK107">
            <v>331.00928950000002</v>
          </cell>
        </row>
        <row r="108">
          <cell r="A108" t="str">
            <v>ch_toe_0</v>
          </cell>
          <cell r="B108">
            <v>64.301440170000006</v>
          </cell>
          <cell r="C108">
            <v>63.916926349999997</v>
          </cell>
          <cell r="D108">
            <v>63.417061930000003</v>
          </cell>
          <cell r="E108">
            <v>62.91976459</v>
          </cell>
          <cell r="F108">
            <v>62.64937406</v>
          </cell>
          <cell r="G108">
            <v>62.53723454</v>
          </cell>
          <cell r="H108">
            <v>62.373026189999997</v>
          </cell>
          <cell r="I108">
            <v>62.192817609999999</v>
          </cell>
          <cell r="J108">
            <v>62.013502219999999</v>
          </cell>
          <cell r="K108">
            <v>61.844335119999997</v>
          </cell>
          <cell r="L108">
            <v>61.715362159999998</v>
          </cell>
          <cell r="M108">
            <v>61.58556669</v>
          </cell>
          <cell r="N108">
            <v>61.46116602</v>
          </cell>
          <cell r="O108">
            <v>61.346177699999998</v>
          </cell>
          <cell r="P108">
            <v>61.240763129999998</v>
          </cell>
          <cell r="Q108">
            <v>61.142803149999999</v>
          </cell>
          <cell r="R108">
            <v>61.140933689999997</v>
          </cell>
          <cell r="S108">
            <v>61.193917149999997</v>
          </cell>
          <cell r="T108">
            <v>61.275338529999999</v>
          </cell>
          <cell r="U108">
            <v>61.368571009999997</v>
          </cell>
          <cell r="V108">
            <v>61.447589030000003</v>
          </cell>
          <cell r="W108">
            <v>61.536212040000002</v>
          </cell>
          <cell r="X108">
            <v>61.63478173</v>
          </cell>
          <cell r="Y108">
            <v>61.74877609</v>
          </cell>
          <cell r="Z108">
            <v>61.87961241</v>
          </cell>
          <cell r="AA108">
            <v>61.977811080000002</v>
          </cell>
          <cell r="AB108">
            <v>62.092468750000002</v>
          </cell>
          <cell r="AC108">
            <v>62.221902829999998</v>
          </cell>
          <cell r="AD108">
            <v>62.36637855</v>
          </cell>
          <cell r="AE108">
            <v>62.527540600000002</v>
          </cell>
          <cell r="AF108">
            <v>62.706661099999998</v>
          </cell>
          <cell r="AG108">
            <v>62.902975259999998</v>
          </cell>
          <cell r="AH108">
            <v>63.114669820000003</v>
          </cell>
          <cell r="AI108">
            <v>63.339445269999999</v>
          </cell>
          <cell r="AJ108">
            <v>63.57444521</v>
          </cell>
          <cell r="AK108">
            <v>63.816332860000003</v>
          </cell>
        </row>
        <row r="109">
          <cell r="A109" t="str">
            <v>x_toe_0</v>
          </cell>
          <cell r="B109">
            <v>33.390972560000002</v>
          </cell>
          <cell r="C109">
            <v>33.918503209999997</v>
          </cell>
          <cell r="D109">
            <v>34.446749310000001</v>
          </cell>
          <cell r="E109">
            <v>34.976159780000003</v>
          </cell>
          <cell r="F109">
            <v>35.513379829999998</v>
          </cell>
          <cell r="G109">
            <v>36.061349270000001</v>
          </cell>
          <cell r="H109">
            <v>36.61775986</v>
          </cell>
          <cell r="I109">
            <v>37.180911930000001</v>
          </cell>
          <cell r="J109">
            <v>37.750096120000002</v>
          </cell>
          <cell r="K109">
            <v>38.32550921</v>
          </cell>
          <cell r="L109">
            <v>38.907921109999997</v>
          </cell>
          <cell r="M109">
            <v>39.49748657</v>
          </cell>
          <cell r="N109">
            <v>40.079495399999999</v>
          </cell>
          <cell r="O109">
            <v>40.62280655</v>
          </cell>
          <cell r="P109">
            <v>41.151306239999997</v>
          </cell>
          <cell r="Q109">
            <v>41.683103899999999</v>
          </cell>
          <cell r="R109">
            <v>42.235636139999997</v>
          </cell>
          <cell r="S109">
            <v>42.822228869999996</v>
          </cell>
          <cell r="T109">
            <v>43.450977829999999</v>
          </cell>
          <cell r="U109">
            <v>44.124044699999999</v>
          </cell>
          <cell r="V109">
            <v>44.844305779999999</v>
          </cell>
          <cell r="W109">
            <v>45.613363239999998</v>
          </cell>
          <cell r="X109">
            <v>46.436355210000002</v>
          </cell>
          <cell r="Y109">
            <v>47.314781029999999</v>
          </cell>
          <cell r="Z109">
            <v>48.24554191</v>
          </cell>
          <cell r="AA109">
            <v>49.228050150000001</v>
          </cell>
          <cell r="AB109">
            <v>50.263491559999999</v>
          </cell>
          <cell r="AC109">
            <v>51.357858630000003</v>
          </cell>
          <cell r="AD109">
            <v>52.510798250000001</v>
          </cell>
          <cell r="AE109">
            <v>53.709465960000003</v>
          </cell>
          <cell r="AF109">
            <v>54.938087580000001</v>
          </cell>
          <cell r="AG109">
            <v>56.186082839999997</v>
          </cell>
          <cell r="AH109">
            <v>57.447491210000003</v>
          </cell>
          <cell r="AI109">
            <v>58.71761935</v>
          </cell>
          <cell r="AJ109">
            <v>59.992004659999999</v>
          </cell>
          <cell r="AK109">
            <v>61.265941089999998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29"/>
  <sheetViews>
    <sheetView zoomScale="77" workbookViewId="0">
      <pane xSplit="2" ySplit="4" topLeftCell="C404" activePane="bottomRight" state="frozen"/>
      <selection pane="topRight" activeCell="C1" sqref="C1"/>
      <selection pane="bottomLeft" activeCell="A4" sqref="A4"/>
      <selection pane="bottomRight" activeCell="B412" sqref="B412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18</v>
      </c>
      <c r="C5" s="1">
        <f>[1]Results!F1365</f>
        <v>0</v>
      </c>
      <c r="D5" s="1">
        <f>[1]Results!G1365</f>
        <v>0</v>
      </c>
      <c r="E5" s="1">
        <f>[1]Results!H1365</f>
        <v>0</v>
      </c>
      <c r="F5" s="1">
        <f>[1]Results!I1365</f>
        <v>0</v>
      </c>
      <c r="G5" s="1">
        <f>[1]Results!J1365</f>
        <v>0</v>
      </c>
      <c r="H5" s="1">
        <f>[1]Results!K1365</f>
        <v>4.189966151812996E-8</v>
      </c>
      <c r="I5" s="1">
        <f>[1]Results!L1365</f>
        <v>2.6451680448857928E-2</v>
      </c>
      <c r="J5" s="1">
        <f>[1]Results!M1365</f>
        <v>-0.15565591366692999</v>
      </c>
      <c r="K5" s="1">
        <f>[1]Results!N1365</f>
        <v>-0.32186234162195904</v>
      </c>
      <c r="L5" s="1">
        <f>[1]Results!O1365</f>
        <v>-0.12420399640338253</v>
      </c>
      <c r="M5" s="1">
        <f>[1]Results!P1365</f>
        <v>9.8600801079706812E-2</v>
      </c>
      <c r="N5" s="1">
        <f>[1]Results!Q1365</f>
        <v>0.30532883553020529</v>
      </c>
      <c r="O5" s="1">
        <f>[1]Results!R1365</f>
        <v>0.48520094102038058</v>
      </c>
      <c r="P5" s="1">
        <f>[1]Results!S1365</f>
        <v>0.64779487227404342</v>
      </c>
      <c r="Q5" s="1">
        <f>[1]Results!T1365</f>
        <v>0.81299232965130752</v>
      </c>
      <c r="R5" s="1">
        <f>[1]Results!U1365</f>
        <v>0.97990508546070831</v>
      </c>
      <c r="S5" s="1">
        <f>[1]Results!V1365</f>
        <v>1.096498022914405</v>
      </c>
      <c r="T5" s="1">
        <f>[1]Results!W1365</f>
        <v>1.1724440438024786</v>
      </c>
      <c r="U5" s="1">
        <f>[1]Results!X1365</f>
        <v>1.2159579893547878</v>
      </c>
      <c r="V5" s="1">
        <f>[1]Results!Y1365</f>
        <v>1.2379319034204972</v>
      </c>
      <c r="W5" s="1">
        <f>[1]Results!Z1365</f>
        <v>1.2472318505114766</v>
      </c>
      <c r="X5" s="1">
        <f>[1]Results!AA1365</f>
        <v>1.2488008570635589</v>
      </c>
      <c r="Y5" s="1">
        <f>[1]Results!AB1365</f>
        <v>1.2470361271508912</v>
      </c>
      <c r="Z5" s="1">
        <f>[1]Results!AC1365</f>
        <v>1.2458265970272109</v>
      </c>
      <c r="AA5" s="1">
        <f>[1]Results!AD1365</f>
        <v>1.2488462631096375</v>
      </c>
      <c r="AB5" s="1">
        <f>[1]Results!AE1365</f>
        <v>1.2591457289297781</v>
      </c>
      <c r="AC5" s="1">
        <f>[1]Results!AF1365</f>
        <v>1.2795069228018541</v>
      </c>
      <c r="AD5" s="1">
        <f>[1]Results!AG1365</f>
        <v>1.3096553926756238</v>
      </c>
      <c r="AE5" s="1">
        <f>[1]Results!AH1365</f>
        <v>1.3537455737539839</v>
      </c>
      <c r="AF5" s="1">
        <f>[1]Results!AI1365</f>
        <v>1.4172629264254111</v>
      </c>
      <c r="AG5" s="1">
        <f>[1]Results!AJ1365</f>
        <v>1.5054165799928132</v>
      </c>
      <c r="AH5" s="1">
        <f>[1]Results!AK1365</f>
        <v>1.6227132461245075</v>
      </c>
      <c r="AI5" s="1">
        <f>[1]Results!AL1365</f>
        <v>1.7744441417009149</v>
      </c>
      <c r="AJ5" s="1">
        <f>[1]Results!AM1365</f>
        <v>1.9684968828021843</v>
      </c>
      <c r="AK5" s="1">
        <f>[1]Results!AN1365</f>
        <v>2.2161472996350184</v>
      </c>
      <c r="AL5" s="1">
        <f>[1]Results!AO1365</f>
        <v>2.5334746559109611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-6.1644800375404429E-9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2.798226162479267E-2</v>
      </c>
      <c r="J6" s="1">
        <f>[1]Results!M1366</f>
        <v>-0.21743509031737496</v>
      </c>
      <c r="K6" s="1">
        <f>[1]Results!N1366</f>
        <v>-0.43868980647734368</v>
      </c>
      <c r="L6" s="1">
        <f>[1]Results!O1366</f>
        <v>-0.20566382621648449</v>
      </c>
      <c r="M6" s="1">
        <f>[1]Results!P1366</f>
        <v>3.8832121188647761E-2</v>
      </c>
      <c r="N6" s="1">
        <f>[1]Results!Q1366</f>
        <v>0.24809441446058678</v>
      </c>
      <c r="O6" s="1">
        <f>[1]Results!R1366</f>
        <v>0.41280093398470274</v>
      </c>
      <c r="P6" s="1">
        <f>[1]Results!S1366</f>
        <v>0.55195245249572977</v>
      </c>
      <c r="Q6" s="1">
        <f>[1]Results!T1366</f>
        <v>0.69479511820942363</v>
      </c>
      <c r="R6" s="1">
        <f>[1]Results!U1366</f>
        <v>0.84154858905991503</v>
      </c>
      <c r="S6" s="1">
        <f>[1]Results!V1366</f>
        <v>0.93207066461673538</v>
      </c>
      <c r="T6" s="1">
        <f>[1]Results!W1366</f>
        <v>0.97930067189759828</v>
      </c>
      <c r="U6" s="1">
        <f>[1]Results!X1366</f>
        <v>0.99111111132172969</v>
      </c>
      <c r="V6" s="1">
        <f>[1]Results!Y1366</f>
        <v>0.97900573959381898</v>
      </c>
      <c r="W6" s="1">
        <f>[1]Results!Z1366</f>
        <v>0.95253647806832209</v>
      </c>
      <c r="X6" s="1">
        <f>[1]Results!AA1366</f>
        <v>0.91795258887470421</v>
      </c>
      <c r="Y6" s="1">
        <f>[1]Results!AB1366</f>
        <v>0.88016736964733333</v>
      </c>
      <c r="Z6" s="1">
        <f>[1]Results!AC1366</f>
        <v>0.8433337698836807</v>
      </c>
      <c r="AA6" s="1">
        <f>[1]Results!AD1366</f>
        <v>0.8113286356308036</v>
      </c>
      <c r="AB6" s="1">
        <f>[1]Results!AE1366</f>
        <v>0.78666215858507194</v>
      </c>
      <c r="AC6" s="1">
        <f>[1]Results!AF1366</f>
        <v>0.7738613688534679</v>
      </c>
      <c r="AD6" s="1">
        <f>[1]Results!AG1366</f>
        <v>0.77192501300304972</v>
      </c>
      <c r="AE6" s="1">
        <f>[1]Results!AH1366</f>
        <v>0.78402715705641057</v>
      </c>
      <c r="AF6" s="1">
        <f>[1]Results!AI1366</f>
        <v>0.81464814925731321</v>
      </c>
      <c r="AG6" s="1">
        <f>[1]Results!AJ1366</f>
        <v>0.86777573963228161</v>
      </c>
      <c r="AH6" s="1">
        <f>[1]Results!AK1366</f>
        <v>0.94646455425555498</v>
      </c>
      <c r="AI6" s="1">
        <f>[1]Results!AL1366</f>
        <v>1.0538629188955539</v>
      </c>
      <c r="AJ6" s="1">
        <f>[1]Results!AM1366</f>
        <v>1.1943606380804273</v>
      </c>
      <c r="AK6" s="1">
        <f>[1]Results!AN1366</f>
        <v>1.374327083457727</v>
      </c>
      <c r="AL6" s="1">
        <f>[1]Results!AO1366</f>
        <v>1.6026741447201287</v>
      </c>
    </row>
    <row r="7" spans="1:38" x14ac:dyDescent="0.35">
      <c r="A7" s="3" t="str">
        <f>[1]Results!E1367</f>
        <v>100*((CH_2-CH_0)/GDP_0)</v>
      </c>
      <c r="B7" t="s">
        <v>19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2.9225118781274435E-2</v>
      </c>
      <c r="J7" s="1">
        <f>[1]Results!M1367</f>
        <v>5.0580215157313355E-2</v>
      </c>
      <c r="K7" s="1">
        <f>[1]Results!N1367</f>
        <v>5.9778939448091671E-2</v>
      </c>
      <c r="L7" s="1">
        <f>[1]Results!O1367</f>
        <v>0.14685618965827746</v>
      </c>
      <c r="M7" s="1">
        <f>[1]Results!P1367</f>
        <v>0.31612890215195466</v>
      </c>
      <c r="N7" s="1">
        <f>[1]Results!Q1367</f>
        <v>0.53959173411600703</v>
      </c>
      <c r="O7" s="1">
        <f>[1]Results!R1367</f>
        <v>0.80226313327946519</v>
      </c>
      <c r="P7" s="1">
        <f>[1]Results!S1367</f>
        <v>1.0739349691541145</v>
      </c>
      <c r="Q7" s="1">
        <f>[1]Results!T1367</f>
        <v>1.3357265325683076</v>
      </c>
      <c r="R7" s="1">
        <f>[1]Results!U1367</f>
        <v>1.5790758619174192</v>
      </c>
      <c r="S7" s="1">
        <f>[1]Results!V1367</f>
        <v>1.7792017602471073</v>
      </c>
      <c r="T7" s="1">
        <f>[1]Results!W1367</f>
        <v>1.929896911976968</v>
      </c>
      <c r="U7" s="1">
        <f>[1]Results!X1367</f>
        <v>2.0440198451027873</v>
      </c>
      <c r="V7" s="1">
        <f>[1]Results!Y1367</f>
        <v>2.133373292400075</v>
      </c>
      <c r="W7" s="1">
        <f>[1]Results!Z1367</f>
        <v>2.2052311260556805</v>
      </c>
      <c r="X7" s="1">
        <f>[1]Results!AA1367</f>
        <v>2.2599203151430958</v>
      </c>
      <c r="Y7" s="1">
        <f>[1]Results!AB1367</f>
        <v>2.2985997084652601</v>
      </c>
      <c r="Z7" s="1">
        <f>[1]Results!AC1367</f>
        <v>2.3239186209058094</v>
      </c>
      <c r="AA7" s="1">
        <f>[1]Results!AD1367</f>
        <v>2.3382130707591418</v>
      </c>
      <c r="AB7" s="1">
        <f>[1]Results!AE1367</f>
        <v>2.3438521652229078</v>
      </c>
      <c r="AC7" s="1">
        <f>[1]Results!AF1367</f>
        <v>2.3345755725213779</v>
      </c>
      <c r="AD7" s="1">
        <f>[1]Results!AG1367</f>
        <v>2.3084266089647443</v>
      </c>
      <c r="AE7" s="1">
        <f>[1]Results!AH1367</f>
        <v>2.2714511121747512</v>
      </c>
      <c r="AF7" s="1">
        <f>[1]Results!AI1367</f>
        <v>2.2303238794391493</v>
      </c>
      <c r="AG7" s="1">
        <f>[1]Results!AJ1367</f>
        <v>2.1902459934347829</v>
      </c>
      <c r="AH7" s="1">
        <f>[1]Results!AK1367</f>
        <v>2.1533369960587527</v>
      </c>
      <c r="AI7" s="1">
        <f>[1]Results!AL1367</f>
        <v>2.1219259798680468</v>
      </c>
      <c r="AJ7" s="1">
        <f>[1]Results!AM1367</f>
        <v>2.1029110398761004</v>
      </c>
      <c r="AK7" s="1">
        <f>[1]Results!AN1367</f>
        <v>2.1053366891703904</v>
      </c>
      <c r="AL7" s="1">
        <f>[1]Results!AO1367</f>
        <v>2.1401557586048527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4.4833487150658156E-10</v>
      </c>
      <c r="E8" s="1">
        <f>[1]Results!H1368</f>
        <v>8.8255542918011358E-10</v>
      </c>
      <c r="F8" s="1">
        <f>[1]Results!I1368</f>
        <v>1.3018138083390684E-9</v>
      </c>
      <c r="G8" s="1">
        <f>[1]Results!J1368</f>
        <v>1.7059750869438073E-9</v>
      </c>
      <c r="H8" s="1">
        <f>[1]Results!K1368</f>
        <v>2.5139789760404027E-9</v>
      </c>
      <c r="I8" s="1">
        <f>[1]Results!L1368</f>
        <v>7.2892850146234357E-3</v>
      </c>
      <c r="J8" s="1">
        <f>[1]Results!M1368</f>
        <v>-4.966432986799358E-2</v>
      </c>
      <c r="K8" s="1">
        <f>[1]Results!N1368</f>
        <v>-8.8609412930934273E-2</v>
      </c>
      <c r="L8" s="1">
        <f>[1]Results!O1368</f>
        <v>-9.7962469470296548E-2</v>
      </c>
      <c r="M8" s="1">
        <f>[1]Results!P1368</f>
        <v>-8.9020453639083383E-2</v>
      </c>
      <c r="N8" s="1">
        <f>[1]Results!Q1368</f>
        <v>-5.1127265390929044E-2</v>
      </c>
      <c r="O8" s="1">
        <f>[1]Results!R1368</f>
        <v>-8.1382860592386485E-3</v>
      </c>
      <c r="P8" s="1">
        <f>[1]Results!S1368</f>
        <v>2.7491472480141711E-2</v>
      </c>
      <c r="Q8" s="1">
        <f>[1]Results!T1368</f>
        <v>5.3361581298563075E-2</v>
      </c>
      <c r="R8" s="1">
        <f>[1]Results!U1368</f>
        <v>7.1026020330391099E-2</v>
      </c>
      <c r="S8" s="1">
        <f>[1]Results!V1368</f>
        <v>6.6287277542660394E-2</v>
      </c>
      <c r="T8" s="1">
        <f>[1]Results!W1368</f>
        <v>5.2074133958039809E-2</v>
      </c>
      <c r="U8" s="1">
        <f>[1]Results!X1368</f>
        <v>3.7894739765194994E-2</v>
      </c>
      <c r="V8" s="1">
        <f>[1]Results!Y1368</f>
        <v>2.7511329503952759E-2</v>
      </c>
      <c r="W8" s="1">
        <f>[1]Results!Z1368</f>
        <v>2.1345315160636875E-2</v>
      </c>
      <c r="X8" s="1">
        <f>[1]Results!AA1368</f>
        <v>1.8520189472215589E-2</v>
      </c>
      <c r="Y8" s="1">
        <f>[1]Results!AB1368</f>
        <v>1.7870376971095114E-2</v>
      </c>
      <c r="Z8" s="1">
        <f>[1]Results!AC1368</f>
        <v>1.8743048180181313E-2</v>
      </c>
      <c r="AA8" s="1">
        <f>[1]Results!AD1368</f>
        <v>2.0707504113632275E-2</v>
      </c>
      <c r="AB8" s="1">
        <f>[1]Results!AE1368</f>
        <v>2.3238184388898759E-2</v>
      </c>
      <c r="AC8" s="1">
        <f>[1]Results!AF1368</f>
        <v>2.5816416935166547E-2</v>
      </c>
      <c r="AD8" s="1">
        <f>[1]Results!AG1368</f>
        <v>2.8023318993263605E-2</v>
      </c>
      <c r="AE8" s="1">
        <f>[1]Results!AH1368</f>
        <v>3.0481191535583738E-2</v>
      </c>
      <c r="AF8" s="1">
        <f>[1]Results!AI1368</f>
        <v>3.3779589777695594E-2</v>
      </c>
      <c r="AG8" s="1">
        <f>[1]Results!AJ1368</f>
        <v>3.8200078646671284E-2</v>
      </c>
      <c r="AH8" s="1">
        <f>[1]Results!AK1368</f>
        <v>4.374982328543086E-2</v>
      </c>
      <c r="AI8" s="1">
        <f>[1]Results!AL1368</f>
        <v>5.0541852953668802E-2</v>
      </c>
      <c r="AJ8" s="1">
        <f>[1]Results!AM1368</f>
        <v>5.9162055615531263E-2</v>
      </c>
      <c r="AK8" s="1">
        <f>[1]Results!AN1368</f>
        <v>7.0327602476037449E-2</v>
      </c>
      <c r="AL8" s="1">
        <f>[1]Results!AO1368</f>
        <v>8.4748563501460664E-2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21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4.3393776772291649E-9</v>
      </c>
      <c r="G10" s="1">
        <f>[1]Results!J1370</f>
        <v>0</v>
      </c>
      <c r="H10" s="1">
        <f>[1]Results!K1370</f>
        <v>4.1899647568273066E-9</v>
      </c>
      <c r="I10" s="1">
        <f>[1]Results!L1370</f>
        <v>5.2619148530291442E-3</v>
      </c>
      <c r="J10" s="1">
        <f>[1]Results!M1370</f>
        <v>-4.0345173521861719E-2</v>
      </c>
      <c r="K10" s="1">
        <f>[1]Results!N1370</f>
        <v>-9.6862610115736408E-2</v>
      </c>
      <c r="L10" s="1">
        <f>[1]Results!O1370</f>
        <v>-9.7053292248052078E-2</v>
      </c>
      <c r="M10" s="1">
        <f>[1]Results!P1370</f>
        <v>-6.5977628242263206E-2</v>
      </c>
      <c r="N10" s="1">
        <f>[1]Results!Q1370</f>
        <v>-1.5253255673408451E-2</v>
      </c>
      <c r="O10" s="1">
        <f>[1]Results!R1370</f>
        <v>4.5114489957226077E-2</v>
      </c>
      <c r="P10" s="1">
        <f>[1]Results!S1370</f>
        <v>0.11203332821508891</v>
      </c>
      <c r="Q10" s="1">
        <f>[1]Results!T1370</f>
        <v>0.18774564735309673</v>
      </c>
      <c r="R10" s="1">
        <f>[1]Results!U1370</f>
        <v>0.27336459248367806</v>
      </c>
      <c r="S10" s="1">
        <f>[1]Results!V1370</f>
        <v>0.35585589290295783</v>
      </c>
      <c r="T10" s="1">
        <f>[1]Results!W1370</f>
        <v>0.43395604062822513</v>
      </c>
      <c r="U10" s="1">
        <f>[1]Results!X1370</f>
        <v>0.50966813416707446</v>
      </c>
      <c r="V10" s="1">
        <f>[1]Results!Y1370</f>
        <v>0.58618156256921827</v>
      </c>
      <c r="W10" s="1">
        <f>[1]Results!Z1370</f>
        <v>0.66676914741666204</v>
      </c>
      <c r="X10" s="1">
        <f>[1]Results!AA1370</f>
        <v>0.75328616841228091</v>
      </c>
      <c r="Y10" s="1">
        <f>[1]Results!AB1370</f>
        <v>0.84757261813650009</v>
      </c>
      <c r="Z10" s="1">
        <f>[1]Results!AC1370</f>
        <v>0.95140176780635788</v>
      </c>
      <c r="AA10" s="1">
        <f>[1]Results!AD1370</f>
        <v>1.0665618078840311</v>
      </c>
      <c r="AB10" s="1">
        <f>[1]Results!AE1370</f>
        <v>1.1954962764737351</v>
      </c>
      <c r="AC10" s="1">
        <f>[1]Results!AF1370</f>
        <v>1.3385487251072941</v>
      </c>
      <c r="AD10" s="1">
        <f>[1]Results!AG1370</f>
        <v>1.4960206273849275</v>
      </c>
      <c r="AE10" s="1">
        <f>[1]Results!AH1370</f>
        <v>1.6698943457489088</v>
      </c>
      <c r="AF10" s="1">
        <f>[1]Results!AI1370</f>
        <v>1.8636556868202183</v>
      </c>
      <c r="AG10" s="1">
        <f>[1]Results!AJ1370</f>
        <v>2.0819744560385161</v>
      </c>
      <c r="AH10" s="1">
        <f>[1]Results!AK1370</f>
        <v>2.3304363119799545</v>
      </c>
      <c r="AI10" s="1">
        <f>[1]Results!AL1370</f>
        <v>2.6164796232690288</v>
      </c>
      <c r="AJ10" s="1">
        <f>[1]Results!AM1370</f>
        <v>2.9512133696435736</v>
      </c>
      <c r="AK10" s="1">
        <f>[1]Results!AN1370</f>
        <v>3.350959886892082</v>
      </c>
      <c r="AL10" s="1">
        <f>[1]Results!AO1370</f>
        <v>3.8400739412897047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0</v>
      </c>
      <c r="D12" s="1">
        <f>[1]Results!G1372</f>
        <v>-4.4833500198915822E-9</v>
      </c>
      <c r="E12" s="1">
        <f>[1]Results!H1372</f>
        <v>-4.4127732930403357E-9</v>
      </c>
      <c r="F12" s="1">
        <f>[1]Results!I1372</f>
        <v>-4.3393827289323538E-9</v>
      </c>
      <c r="G12" s="1">
        <f>[1]Results!J1372</f>
        <v>-1.2794811600503211E-8</v>
      </c>
      <c r="H12" s="1">
        <f>[1]Results!K1372</f>
        <v>-1.2569896709362283E-8</v>
      </c>
      <c r="I12" s="1">
        <f>[1]Results!L1372</f>
        <v>-8.0353861280557624E-3</v>
      </c>
      <c r="J12" s="1">
        <f>[1]Results!M1372</f>
        <v>-0.16589097149322188</v>
      </c>
      <c r="K12" s="1">
        <f>[1]Results!N1372</f>
        <v>-0.28477865503707905</v>
      </c>
      <c r="L12" s="1">
        <f>[1]Results!O1372</f>
        <v>-0.17400689772584171</v>
      </c>
      <c r="M12" s="1">
        <f>[1]Results!P1372</f>
        <v>-0.15155046514255452</v>
      </c>
      <c r="N12" s="1">
        <f>[1]Results!Q1372</f>
        <v>-0.21900966180094483</v>
      </c>
      <c r="O12" s="1">
        <f>[1]Results!R1372</f>
        <v>-0.36217669335714953</v>
      </c>
      <c r="P12" s="1">
        <f>[1]Results!S1372</f>
        <v>-0.53817342509514066</v>
      </c>
      <c r="Q12" s="1">
        <f>[1]Results!T1372</f>
        <v>-0.71047985027008898</v>
      </c>
      <c r="R12" s="1">
        <f>[1]Results!U1372</f>
        <v>-0.87253540080351011</v>
      </c>
      <c r="S12" s="1">
        <f>[1]Results!V1372</f>
        <v>-1.0385596232666863</v>
      </c>
      <c r="T12" s="1">
        <f>[1]Results!W1372</f>
        <v>-1.191408908802704</v>
      </c>
      <c r="U12" s="1">
        <f>[1]Results!X1372</f>
        <v>-1.3377300067613456</v>
      </c>
      <c r="V12" s="1">
        <f>[1]Results!Y1372</f>
        <v>-1.4816229581676867</v>
      </c>
      <c r="W12" s="1">
        <f>[1]Results!Z1372</f>
        <v>-1.6247683969651443</v>
      </c>
      <c r="X12" s="1">
        <f>[1]Results!AA1372</f>
        <v>-1.7644056169306466</v>
      </c>
      <c r="Y12" s="1">
        <f>[1]Results!AB1372</f>
        <v>-1.8991362338025619</v>
      </c>
      <c r="Z12" s="1">
        <f>[1]Results!AC1372</f>
        <v>-2.02949378862795</v>
      </c>
      <c r="AA12" s="1">
        <f>[1]Results!AD1372</f>
        <v>-2.1559286245026712</v>
      </c>
      <c r="AB12" s="1">
        <f>[1]Results!AE1372</f>
        <v>-2.2802027156913081</v>
      </c>
      <c r="AC12" s="1">
        <f>[1]Results!AF1372</f>
        <v>-2.3936173833992127</v>
      </c>
      <c r="AD12" s="1">
        <f>[1]Results!AG1372</f>
        <v>-2.4947918101980187</v>
      </c>
      <c r="AE12" s="1">
        <f>[1]Results!AH1372</f>
        <v>-2.5875998950544679</v>
      </c>
      <c r="AF12" s="1">
        <f>[1]Results!AI1372</f>
        <v>-2.6767166424865794</v>
      </c>
      <c r="AG12" s="1">
        <f>[1]Results!AJ1372</f>
        <v>-2.7668038410491587</v>
      </c>
      <c r="AH12" s="1">
        <f>[1]Results!AK1372</f>
        <v>-2.861060056878479</v>
      </c>
      <c r="AI12" s="1">
        <f>[1]Results!AL1372</f>
        <v>-2.9639614614361491</v>
      </c>
      <c r="AJ12" s="1">
        <f>[1]Results!AM1372</f>
        <v>-3.0856275506105915</v>
      </c>
      <c r="AK12" s="1">
        <f>[1]Results!AN1372</f>
        <v>-3.2401492764274513</v>
      </c>
      <c r="AL12" s="1">
        <f>[1]Results!AO1372</f>
        <v>-3.4467550666782412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0</v>
      </c>
      <c r="G13" s="1">
        <f>[1]Results!J1373</f>
        <v>0</v>
      </c>
      <c r="H13" s="1">
        <f>[1]Results!K1373</f>
        <v>0</v>
      </c>
      <c r="I13" s="1">
        <f>[1]Results!L1373</f>
        <v>2.8705479581099091E-2</v>
      </c>
      <c r="J13" s="1">
        <f>[1]Results!M1373</f>
        <v>5.0591118066927329E-2</v>
      </c>
      <c r="K13" s="1">
        <f>[1]Results!N1373</f>
        <v>6.141423125531361E-2</v>
      </c>
      <c r="L13" s="1">
        <f>[1]Results!O1373</f>
        <v>0.14917872088045445</v>
      </c>
      <c r="M13" s="1">
        <f>[1]Results!P1373</f>
        <v>0.31777659454325974</v>
      </c>
      <c r="N13" s="1">
        <f>[1]Results!Q1373</f>
        <v>0.53925679765299439</v>
      </c>
      <c r="O13" s="1">
        <f>[1]Results!R1373</f>
        <v>0.79864921738239536</v>
      </c>
      <c r="P13" s="1">
        <f>[1]Results!S1373</f>
        <v>1.0663247088512948</v>
      </c>
      <c r="Q13" s="1">
        <f>[1]Results!T1373</f>
        <v>1.3239145161854298</v>
      </c>
      <c r="R13" s="1">
        <f>[1]Results!U1373</f>
        <v>1.5631780340367059</v>
      </c>
      <c r="S13" s="1">
        <f>[1]Results!V1373</f>
        <v>1.759987221766643</v>
      </c>
      <c r="T13" s="1">
        <f>[1]Results!W1373</f>
        <v>1.908437512704277</v>
      </c>
      <c r="U13" s="1">
        <f>[1]Results!X1373</f>
        <v>2.0211310229032424</v>
      </c>
      <c r="V13" s="1">
        <f>[1]Results!Y1373</f>
        <v>2.1095207371175975</v>
      </c>
      <c r="W13" s="1">
        <f>[1]Results!Z1373</f>
        <v>2.1806227871915325</v>
      </c>
      <c r="X13" s="1">
        <f>[1]Results!AA1373</f>
        <v>2.2346955289051262</v>
      </c>
      <c r="Y13" s="1">
        <f>[1]Results!AB1373</f>
        <v>2.2728766785222718</v>
      </c>
      <c r="Z13" s="1">
        <f>[1]Results!AC1373</f>
        <v>2.2977979099846055</v>
      </c>
      <c r="AA13" s="1">
        <f>[1]Results!AD1373</f>
        <v>2.3117924002992081</v>
      </c>
      <c r="AB13" s="1">
        <f>[1]Results!AE1373</f>
        <v>2.3172272114146244</v>
      </c>
      <c r="AC13" s="1">
        <f>[1]Results!AF1373</f>
        <v>2.308015694341282</v>
      </c>
      <c r="AD13" s="1">
        <f>[1]Results!AG1373</f>
        <v>2.2823308323674119</v>
      </c>
      <c r="AE13" s="1">
        <f>[1]Results!AH1373</f>
        <v>2.2461864577232751</v>
      </c>
      <c r="AF13" s="1">
        <f>[1]Results!AI1373</f>
        <v>2.2061730945929567</v>
      </c>
      <c r="AG13" s="1">
        <f>[1]Results!AJ1373</f>
        <v>2.1674173405404984</v>
      </c>
      <c r="AH13" s="1">
        <f>[1]Results!AK1373</f>
        <v>2.1320290656396623</v>
      </c>
      <c r="AI13" s="1">
        <f>[1]Results!AL1373</f>
        <v>2.1023485657991046</v>
      </c>
      <c r="AJ13" s="1">
        <f>[1]Results!AM1373</f>
        <v>2.0852204767596487</v>
      </c>
      <c r="AK13" s="1">
        <f>[1]Results!AN1373</f>
        <v>2.0896076850166279</v>
      </c>
      <c r="AL13" s="1">
        <f>[1]Results!AO1373</f>
        <v>2.126377982188548</v>
      </c>
    </row>
    <row r="14" spans="1:3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4.3393776772291649E-9</v>
      </c>
      <c r="G14" s="1">
        <f>[1]Results!J1374</f>
        <v>0</v>
      </c>
      <c r="H14" s="1">
        <f>[1]Results!K1374</f>
        <v>4.1899671957076697E-9</v>
      </c>
      <c r="I14" s="1">
        <f>[1]Results!L1374</f>
        <v>5.7815540532140742E-3</v>
      </c>
      <c r="J14" s="1">
        <f>[1]Results!M1374</f>
        <v>-4.0356076431475693E-2</v>
      </c>
      <c r="K14" s="1">
        <f>[1]Results!N1374</f>
        <v>-9.8497901922953698E-2</v>
      </c>
      <c r="L14" s="1">
        <f>[1]Results!O1374</f>
        <v>-9.9375823470224528E-2</v>
      </c>
      <c r="M14" s="1">
        <f>[1]Results!P1374</f>
        <v>-6.7625320633563774E-2</v>
      </c>
      <c r="N14" s="1">
        <f>[1]Results!Q1374</f>
        <v>-1.491831921039141E-2</v>
      </c>
      <c r="O14" s="1">
        <f>[1]Results!R1374</f>
        <v>4.8728405854291487E-2</v>
      </c>
      <c r="P14" s="1">
        <f>[1]Results!S1374</f>
        <v>0.11964358851791707</v>
      </c>
      <c r="Q14" s="1">
        <f>[1]Results!T1374</f>
        <v>0.19955766373597458</v>
      </c>
      <c r="R14" s="1">
        <f>[1]Results!U1374</f>
        <v>0.28926242036438737</v>
      </c>
      <c r="S14" s="1">
        <f>[1]Results!V1374</f>
        <v>0.37507043138342633</v>
      </c>
      <c r="T14" s="1">
        <f>[1]Results!W1374</f>
        <v>0.45541543990091593</v>
      </c>
      <c r="U14" s="1">
        <f>[1]Results!X1374</f>
        <v>0.53255695636661937</v>
      </c>
      <c r="V14" s="1">
        <f>[1]Results!Y1374</f>
        <v>0.61003411785169548</v>
      </c>
      <c r="W14" s="1">
        <f>[1]Results!Z1374</f>
        <v>0.69137748628080975</v>
      </c>
      <c r="X14" s="1">
        <f>[1]Results!AA1374</f>
        <v>0.77851095465025444</v>
      </c>
      <c r="Y14" s="1">
        <f>[1]Results!AB1374</f>
        <v>0.8732956480794849</v>
      </c>
      <c r="Z14" s="1">
        <f>[1]Results!AC1374</f>
        <v>0.97752247872755793</v>
      </c>
      <c r="AA14" s="1">
        <f>[1]Results!AD1374</f>
        <v>1.0929824783439648</v>
      </c>
      <c r="AB14" s="1">
        <f>[1]Results!AE1374</f>
        <v>1.2221212302820217</v>
      </c>
      <c r="AC14" s="1">
        <f>[1]Results!AF1374</f>
        <v>1.3651086032873907</v>
      </c>
      <c r="AD14" s="1">
        <f>[1]Results!AG1374</f>
        <v>1.5221164039822666</v>
      </c>
      <c r="AE14" s="1">
        <f>[1]Results!AH1374</f>
        <v>1.6951590002003816</v>
      </c>
      <c r="AF14" s="1">
        <f>[1]Results!AI1374</f>
        <v>1.8878064716664138</v>
      </c>
      <c r="AG14" s="1">
        <f>[1]Results!AJ1374</f>
        <v>2.104803108932801</v>
      </c>
      <c r="AH14" s="1">
        <f>[1]Results!AK1374</f>
        <v>2.351744242399048</v>
      </c>
      <c r="AI14" s="1">
        <f>[1]Results!AL1374</f>
        <v>2.636057037337971</v>
      </c>
      <c r="AJ14" s="1">
        <f>[1]Results!AM1374</f>
        <v>2.9689039327600231</v>
      </c>
      <c r="AK14" s="1">
        <f>[1]Results!AN1374</f>
        <v>3.3666888910458446</v>
      </c>
      <c r="AL14" s="1">
        <f>[1]Results!AO1374</f>
        <v>3.8538517177060041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0</v>
      </c>
      <c r="F15" s="1">
        <f>[1]Results!I1375</f>
        <v>4.3393776772291649E-9</v>
      </c>
      <c r="G15" s="1">
        <f>[1]Results!J1375</f>
        <v>0</v>
      </c>
      <c r="H15" s="1">
        <f>[1]Results!K1375</f>
        <v>3.7709675494804684E-9</v>
      </c>
      <c r="I15" s="1">
        <f>[1]Results!L1375</f>
        <v>4.9125761810720802E-3</v>
      </c>
      <c r="J15" s="1">
        <f>[1]Results!M1375</f>
        <v>-3.7717209630484576E-2</v>
      </c>
      <c r="K15" s="1">
        <f>[1]Results!N1375</f>
        <v>-9.1073858996380846E-2</v>
      </c>
      <c r="L15" s="1">
        <f>[1]Results!O1375</f>
        <v>-8.9065172106689017E-2</v>
      </c>
      <c r="M15" s="1">
        <f>[1]Results!P1375</f>
        <v>-5.6474539516857401E-2</v>
      </c>
      <c r="N15" s="1">
        <f>[1]Results!Q1375</f>
        <v>-5.5671296628511981E-3</v>
      </c>
      <c r="O15" s="1">
        <f>[1]Results!R1375</f>
        <v>5.3971903880556643E-2</v>
      </c>
      <c r="P15" s="1">
        <f>[1]Results!S1375</f>
        <v>0.1193363809434293</v>
      </c>
      <c r="Q15" s="1">
        <f>[1]Results!T1375</f>
        <v>0.19292720654586318</v>
      </c>
      <c r="R15" s="1">
        <f>[1]Results!U1375</f>
        <v>0.2759643176067717</v>
      </c>
      <c r="S15" s="1">
        <f>[1]Results!V1375</f>
        <v>0.35621964679003781</v>
      </c>
      <c r="T15" s="1">
        <f>[1]Results!W1375</f>
        <v>0.43241703752925448</v>
      </c>
      <c r="U15" s="1">
        <f>[1]Results!X1375</f>
        <v>0.50635679900199204</v>
      </c>
      <c r="V15" s="1">
        <f>[1]Results!Y1375</f>
        <v>0.58102310381357092</v>
      </c>
      <c r="W15" s="1">
        <f>[1]Results!Z1375</f>
        <v>0.65954460385938418</v>
      </c>
      <c r="X15" s="1">
        <f>[1]Results!AA1375</f>
        <v>0.74374703640159623</v>
      </c>
      <c r="Y15" s="1">
        <f>[1]Results!AB1375</f>
        <v>0.83547535501596304</v>
      </c>
      <c r="Z15" s="1">
        <f>[1]Results!AC1375</f>
        <v>0.93649546144200735</v>
      </c>
      <c r="AA15" s="1">
        <f>[1]Results!AD1375</f>
        <v>1.0486034026632063</v>
      </c>
      <c r="AB15" s="1">
        <f>[1]Results!AE1375</f>
        <v>1.1742777593548261</v>
      </c>
      <c r="AC15" s="1">
        <f>[1]Results!AF1375</f>
        <v>1.3140456052212499</v>
      </c>
      <c r="AD15" s="1">
        <f>[1]Results!AG1375</f>
        <v>1.4684064520585334</v>
      </c>
      <c r="AE15" s="1">
        <f>[1]Results!AH1375</f>
        <v>1.6393914499325253</v>
      </c>
      <c r="AF15" s="1">
        <f>[1]Results!AI1375</f>
        <v>1.8304915455329258</v>
      </c>
      <c r="AG15" s="1">
        <f>[1]Results!AJ1375</f>
        <v>2.0463746564730303</v>
      </c>
      <c r="AH15" s="1">
        <f>[1]Results!AK1375</f>
        <v>2.2926668379123361</v>
      </c>
      <c r="AI15" s="1">
        <f>[1]Results!AL1375</f>
        <v>2.5768482103954331</v>
      </c>
      <c r="AJ15" s="1">
        <f>[1]Results!AM1375</f>
        <v>2.9099911243378744</v>
      </c>
      <c r="AK15" s="1">
        <f>[1]Results!AN1375</f>
        <v>3.3083376991849214</v>
      </c>
      <c r="AL15" s="1">
        <f>[1]Results!AO1375</f>
        <v>3.7961287746046324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0</v>
      </c>
      <c r="I16" s="1">
        <f>[1]Results!L1376</f>
        <v>5.1963920018223376E-4</v>
      </c>
      <c r="J16" s="1">
        <f>[1]Results!M1376</f>
        <v>-1.0902909612650337E-5</v>
      </c>
      <c r="K16" s="1">
        <f>[1]Results!N1376</f>
        <v>-1.6352918072193312E-3</v>
      </c>
      <c r="L16" s="1">
        <f>[1]Results!O1376</f>
        <v>-2.3225312221731654E-3</v>
      </c>
      <c r="M16" s="1">
        <f>[1]Results!P1376</f>
        <v>-1.6476923912997225E-3</v>
      </c>
      <c r="N16" s="1">
        <f>[1]Results!Q1376</f>
        <v>3.3493646301621806E-4</v>
      </c>
      <c r="O16" s="1">
        <f>[1]Results!R1376</f>
        <v>3.6139158970670275E-3</v>
      </c>
      <c r="P16" s="1">
        <f>[1]Results!S1376</f>
        <v>7.6102603028271078E-3</v>
      </c>
      <c r="Q16" s="1">
        <f>[1]Results!T1376</f>
        <v>1.1812016382874869E-2</v>
      </c>
      <c r="R16" s="1">
        <f>[1]Results!U1376</f>
        <v>1.5897827880708943E-2</v>
      </c>
      <c r="S16" s="1">
        <f>[1]Results!V1376</f>
        <v>1.9214538480469272E-2</v>
      </c>
      <c r="T16" s="1">
        <f>[1]Results!W1376</f>
        <v>2.1459399272691592E-2</v>
      </c>
      <c r="U16" s="1">
        <f>[1]Results!X1376</f>
        <v>2.288882219954276E-2</v>
      </c>
      <c r="V16" s="1">
        <f>[1]Results!Y1376</f>
        <v>2.3852555282478548E-2</v>
      </c>
      <c r="W16" s="1">
        <f>[1]Results!Z1376</f>
        <v>2.4608338864146973E-2</v>
      </c>
      <c r="X16" s="1">
        <f>[1]Results!AA1376</f>
        <v>2.5224786237973407E-2</v>
      </c>
      <c r="Y16" s="1">
        <f>[1]Results!AB1376</f>
        <v>2.5723029942986177E-2</v>
      </c>
      <c r="Z16" s="1">
        <f>[1]Results!AC1376</f>
        <v>2.6120710921202637E-2</v>
      </c>
      <c r="AA16" s="1">
        <f>[1]Results!AD1376</f>
        <v>2.6420670459933765E-2</v>
      </c>
      <c r="AB16" s="1">
        <f>[1]Results!AE1376</f>
        <v>2.6624953808284453E-2</v>
      </c>
      <c r="AC16" s="1">
        <f>[1]Results!AF1376</f>
        <v>2.655987818009704E-2</v>
      </c>
      <c r="AD16" s="1">
        <f>[1]Results!AG1376</f>
        <v>2.6095776597336029E-2</v>
      </c>
      <c r="AE16" s="1">
        <f>[1]Results!AH1376</f>
        <v>2.5264654451473439E-2</v>
      </c>
      <c r="AF16" s="1">
        <f>[1]Results!AI1376</f>
        <v>2.4150784846194966E-2</v>
      </c>
      <c r="AG16" s="1">
        <f>[1]Results!AJ1376</f>
        <v>2.2828652894285584E-2</v>
      </c>
      <c r="AH16" s="1">
        <f>[1]Results!AK1376</f>
        <v>2.1307930419090869E-2</v>
      </c>
      <c r="AI16" s="1">
        <f>[1]Results!AL1376</f>
        <v>1.9577414068942343E-2</v>
      </c>
      <c r="AJ16" s="1">
        <f>[1]Results!AM1376</f>
        <v>1.7690563116450578E-2</v>
      </c>
      <c r="AK16" s="1">
        <f>[1]Results!AN1376</f>
        <v>1.5729004153763031E-2</v>
      </c>
      <c r="AL16" s="1">
        <f>[1]Results!AO1376</f>
        <v>1.3777776416300246E-2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0</v>
      </c>
      <c r="G17" s="1">
        <f>[1]Results!J1377</f>
        <v>0</v>
      </c>
      <c r="H17" s="1">
        <f>[1]Results!K1377</f>
        <v>4.1899659762674882E-10</v>
      </c>
      <c r="I17" s="1">
        <f>[1]Results!L1377</f>
        <v>3.4933867195766256E-4</v>
      </c>
      <c r="J17" s="1">
        <f>[1]Results!M1377</f>
        <v>-2.6279638913765521E-3</v>
      </c>
      <c r="K17" s="1">
        <f>[1]Results!N1377</f>
        <v>-5.7887511193535296E-3</v>
      </c>
      <c r="L17" s="1">
        <f>[1]Results!O1377</f>
        <v>-7.9881201413624855E-3</v>
      </c>
      <c r="M17" s="1">
        <f>[1]Results!P1377</f>
        <v>-9.5030887254069288E-3</v>
      </c>
      <c r="N17" s="1">
        <f>[1]Results!Q1377</f>
        <v>-9.6861260105597282E-3</v>
      </c>
      <c r="O17" s="1">
        <f>[1]Results!R1377</f>
        <v>-8.8574139233289478E-3</v>
      </c>
      <c r="P17" s="1">
        <f>[1]Results!S1377</f>
        <v>-7.303052728342258E-3</v>
      </c>
      <c r="Q17" s="1">
        <f>[1]Results!T1377</f>
        <v>-5.1815591927677545E-3</v>
      </c>
      <c r="R17" s="1">
        <f>[1]Results!U1377</f>
        <v>-2.599725123092094E-3</v>
      </c>
      <c r="S17" s="1">
        <f>[1]Results!V1377</f>
        <v>-3.6375388708078109E-4</v>
      </c>
      <c r="T17" s="1">
        <f>[1]Results!W1377</f>
        <v>1.5390030989706155E-3</v>
      </c>
      <c r="U17" s="1">
        <f>[1]Results!X1377</f>
        <v>3.3113351650815902E-3</v>
      </c>
      <c r="V17" s="1">
        <f>[1]Results!Y1377</f>
        <v>5.1584587556456766E-3</v>
      </c>
      <c r="W17" s="1">
        <f>[1]Results!Z1377</f>
        <v>7.2245435572768713E-3</v>
      </c>
      <c r="X17" s="1">
        <f>[1]Results!AA1377</f>
        <v>9.5391320106827712E-3</v>
      </c>
      <c r="Y17" s="1">
        <f>[1]Results!AB1377</f>
        <v>1.2097263120537317E-2</v>
      </c>
      <c r="Z17" s="1">
        <f>[1]Results!AC1377</f>
        <v>1.4906306364349312E-2</v>
      </c>
      <c r="AA17" s="1">
        <f>[1]Results!AD1377</f>
        <v>1.7958405220824557E-2</v>
      </c>
      <c r="AB17" s="1">
        <f>[1]Results!AE1377</f>
        <v>2.1218517118910846E-2</v>
      </c>
      <c r="AC17" s="1">
        <f>[1]Results!AF1377</f>
        <v>2.4503119886046098E-2</v>
      </c>
      <c r="AD17" s="1">
        <f>[1]Results!AG1377</f>
        <v>2.7614175326392355E-2</v>
      </c>
      <c r="AE17" s="1">
        <f>[1]Results!AH1377</f>
        <v>3.050289581638338E-2</v>
      </c>
      <c r="AF17" s="1">
        <f>[1]Results!AI1377</f>
        <v>3.3164141287293572E-2</v>
      </c>
      <c r="AG17" s="1">
        <f>[1]Results!AJ1377</f>
        <v>3.5599799565486784E-2</v>
      </c>
      <c r="AH17" s="1">
        <f>[1]Results!AK1377</f>
        <v>3.776947406761863E-2</v>
      </c>
      <c r="AI17" s="1">
        <f>[1]Results!AL1377</f>
        <v>3.963141287359586E-2</v>
      </c>
      <c r="AJ17" s="1">
        <f>[1]Results!AM1377</f>
        <v>4.1222245305701406E-2</v>
      </c>
      <c r="AK17" s="1">
        <f>[1]Results!AN1377</f>
        <v>4.2622187707160961E-2</v>
      </c>
      <c r="AL17" s="1">
        <f>[1]Results!AO1377</f>
        <v>4.3945166685073117E-2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5.3129364817827707E-2</v>
      </c>
      <c r="J18" s="1">
        <f>[1]Results!M1378</f>
        <v>9.1941767512659922E-2</v>
      </c>
      <c r="K18" s="1">
        <f>[1]Results!N1378</f>
        <v>0.10868375564048183</v>
      </c>
      <c r="L18" s="1">
        <f>[1]Results!O1378</f>
        <v>0.26708376802480061</v>
      </c>
      <c r="M18" s="1">
        <f>[1]Results!P1378</f>
        <v>0.575156020690204</v>
      </c>
      <c r="N18" s="1">
        <f>[1]Results!Q1378</f>
        <v>0.98182394736519019</v>
      </c>
      <c r="O18" s="1">
        <f>[1]Results!R1378</f>
        <v>1.4595999178272256</v>
      </c>
      <c r="P18" s="1">
        <f>[1]Results!S1378</f>
        <v>1.9525758622966016</v>
      </c>
      <c r="Q18" s="1">
        <f>[1]Results!T1378</f>
        <v>2.4269373069392808</v>
      </c>
      <c r="R18" s="1">
        <f>[1]Results!U1378</f>
        <v>2.8681893091296429</v>
      </c>
      <c r="S18" s="1">
        <f>[1]Results!V1378</f>
        <v>3.2315559135695615</v>
      </c>
      <c r="T18" s="1">
        <f>[1]Results!W1378</f>
        <v>3.5066747961837175</v>
      </c>
      <c r="U18" s="1">
        <f>[1]Results!X1378</f>
        <v>3.7177131198782298</v>
      </c>
      <c r="V18" s="1">
        <f>[1]Results!Y1378</f>
        <v>3.8864301762561171</v>
      </c>
      <c r="W18" s="1">
        <f>[1]Results!Z1378</f>
        <v>4.0260405928795651</v>
      </c>
      <c r="X18" s="1">
        <f>[1]Results!AA1378</f>
        <v>4.1374238078137671</v>
      </c>
      <c r="Y18" s="1">
        <f>[1]Results!AB1378</f>
        <v>4.2216031517600561</v>
      </c>
      <c r="Z18" s="1">
        <f>[1]Results!AC1378</f>
        <v>4.2828287086770889</v>
      </c>
      <c r="AA18" s="1">
        <f>[1]Results!AD1378</f>
        <v>4.3246488141013728</v>
      </c>
      <c r="AB18" s="1">
        <f>[1]Results!AE1378</f>
        <v>4.350682538930184</v>
      </c>
      <c r="AC18" s="1">
        <f>[1]Results!AF1378</f>
        <v>4.3503675424979127</v>
      </c>
      <c r="AD18" s="1">
        <f>[1]Results!AG1378</f>
        <v>4.3182146528483623</v>
      </c>
      <c r="AE18" s="1">
        <f>[1]Results!AH1378</f>
        <v>4.2646528198624134</v>
      </c>
      <c r="AF18" s="1">
        <f>[1]Results!AI1378</f>
        <v>4.2010244049449863</v>
      </c>
      <c r="AG18" s="1">
        <f>[1]Results!AJ1378</f>
        <v>4.1363982876245098</v>
      </c>
      <c r="AH18" s="1">
        <f>[1]Results!AK1378</f>
        <v>4.074731968412193</v>
      </c>
      <c r="AI18" s="1">
        <f>[1]Results!AL1378</f>
        <v>4.0208073513538389</v>
      </c>
      <c r="AJ18" s="1">
        <f>[1]Results!AM1378</f>
        <v>3.9882180910665532</v>
      </c>
      <c r="AK18" s="1">
        <f>[1]Results!AN1378</f>
        <v>3.9946665105679013</v>
      </c>
      <c r="AL18" s="1">
        <f>[1]Results!AO1378</f>
        <v>4.0614310443019441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1.5184098423048908E-8</v>
      </c>
      <c r="E19" s="1">
        <f>[1]Results!H1379</f>
        <v>2.8363378312690202E-8</v>
      </c>
      <c r="F19" s="1">
        <f>[1]Results!I1379</f>
        <v>4.0248782084972845E-8</v>
      </c>
      <c r="G19" s="1">
        <f>[1]Results!J1379</f>
        <v>5.1291371150341547E-8</v>
      </c>
      <c r="H19" s="1">
        <f>[1]Results!K1379</f>
        <v>7.4356321100310652E-8</v>
      </c>
      <c r="I19" s="1">
        <f>[1]Results!L1379</f>
        <v>0.21474393660085855</v>
      </c>
      <c r="J19" s="1">
        <f>[1]Results!M1379</f>
        <v>-1.4695745492169787</v>
      </c>
      <c r="K19" s="1">
        <f>[1]Results!N1379</f>
        <v>-2.6444771621894625</v>
      </c>
      <c r="L19" s="1">
        <f>[1]Results!O1379</f>
        <v>-2.9529144854925082</v>
      </c>
      <c r="M19" s="1">
        <f>[1]Results!P1379</f>
        <v>-2.7093614322248105</v>
      </c>
      <c r="N19" s="1">
        <f>[1]Results!Q1379</f>
        <v>-1.5708270684337111</v>
      </c>
      <c r="O19" s="1">
        <f>[1]Results!R1379</f>
        <v>-0.25228901274055859</v>
      </c>
      <c r="P19" s="1">
        <f>[1]Results!S1379</f>
        <v>0.85950345762044744</v>
      </c>
      <c r="Q19" s="1">
        <f>[1]Results!T1379</f>
        <v>1.6830901994164815</v>
      </c>
      <c r="R19" s="1">
        <f>[1]Results!U1379</f>
        <v>2.2617832303996277</v>
      </c>
      <c r="S19" s="1">
        <f>[1]Results!V1379</f>
        <v>2.1271015954568151</v>
      </c>
      <c r="T19" s="1">
        <f>[1]Results!W1379</f>
        <v>1.6822033891844335</v>
      </c>
      <c r="U19" s="1">
        <f>[1]Results!X1379</f>
        <v>1.2329821313224354</v>
      </c>
      <c r="V19" s="1">
        <f>[1]Results!Y1379</f>
        <v>0.9027561895192493</v>
      </c>
      <c r="W19" s="1">
        <f>[1]Results!Z1379</f>
        <v>0.70761364648681546</v>
      </c>
      <c r="X19" s="1">
        <f>[1]Results!AA1379</f>
        <v>0.62083567432031916</v>
      </c>
      <c r="Y19" s="1">
        <f>[1]Results!AB1379</f>
        <v>0.60615485485988607</v>
      </c>
      <c r="Z19" s="1">
        <f>[1]Results!AC1379</f>
        <v>0.64355862339782188</v>
      </c>
      <c r="AA19" s="1">
        <f>[1]Results!AD1379</f>
        <v>0.719912627881647</v>
      </c>
      <c r="AB19" s="1">
        <f>[1]Results!AE1379</f>
        <v>0.81878503386816348</v>
      </c>
      <c r="AC19" s="1">
        <f>[1]Results!AF1379</f>
        <v>0.92169345060133523</v>
      </c>
      <c r="AD19" s="1">
        <f>[1]Results!AG1379</f>
        <v>1.0133442325798603</v>
      </c>
      <c r="AE19" s="1">
        <f>[1]Results!AH1379</f>
        <v>1.1158963201389982</v>
      </c>
      <c r="AF19" s="1">
        <f>[1]Results!AI1379</f>
        <v>1.2512691954535526</v>
      </c>
      <c r="AG19" s="1">
        <f>[1]Results!AJ1379</f>
        <v>1.4309883777950949</v>
      </c>
      <c r="AH19" s="1">
        <f>[1]Results!AK1379</f>
        <v>1.6568891045787293</v>
      </c>
      <c r="AI19" s="1">
        <f>[1]Results!AL1379</f>
        <v>1.9351037846515817</v>
      </c>
      <c r="AJ19" s="1">
        <f>[1]Results!AM1379</f>
        <v>2.2904823511399774</v>
      </c>
      <c r="AK19" s="1">
        <f>[1]Results!AN1379</f>
        <v>2.7542956820079345</v>
      </c>
      <c r="AL19" s="1">
        <f>[1]Results!AO1379</f>
        <v>3.3592151236417012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2.0135426659351197E-8</v>
      </c>
      <c r="G21" s="1">
        <f>[1]Results!J1381</f>
        <v>0</v>
      </c>
      <c r="H21" s="1">
        <f>[1]Results!K1381</f>
        <v>1.9352408564543566E-8</v>
      </c>
      <c r="I21" s="1">
        <f>[1]Results!L1381</f>
        <v>2.422834539270724E-2</v>
      </c>
      <c r="J21" s="1">
        <f>[1]Results!M1381</f>
        <v>-0.18516380187251213</v>
      </c>
      <c r="K21" s="1">
        <f>[1]Results!N1381</f>
        <v>-0.44306014820066908</v>
      </c>
      <c r="L21" s="1">
        <f>[1]Results!O1381</f>
        <v>-0.44239917690721553</v>
      </c>
      <c r="M21" s="1">
        <f>[1]Results!P1381</f>
        <v>-0.29976195970113917</v>
      </c>
      <c r="N21" s="1">
        <f>[1]Results!Q1381</f>
        <v>-6.9034249825872251E-2</v>
      </c>
      <c r="O21" s="1">
        <f>[1]Results!R1381</f>
        <v>0.20332620608034535</v>
      </c>
      <c r="P21" s="1">
        <f>[1]Results!S1381</f>
        <v>0.50256165774935635</v>
      </c>
      <c r="Q21" s="1">
        <f>[1]Results!T1381</f>
        <v>0.83807871531842437</v>
      </c>
      <c r="R21" s="1">
        <f>[1]Results!U1381</f>
        <v>1.2141391137109103</v>
      </c>
      <c r="S21" s="1">
        <f>[1]Results!V1381</f>
        <v>1.5724057785655665</v>
      </c>
      <c r="T21" s="1">
        <f>[1]Results!W1381</f>
        <v>1.9073158692328507</v>
      </c>
      <c r="U21" s="1">
        <f>[1]Results!X1381</f>
        <v>2.2277138765197879</v>
      </c>
      <c r="V21" s="1">
        <f>[1]Results!Y1381</f>
        <v>2.5474931550210522</v>
      </c>
      <c r="W21" s="1">
        <f>[1]Results!Z1381</f>
        <v>2.8801979125259169</v>
      </c>
      <c r="X21" s="1">
        <f>[1]Results!AA1381</f>
        <v>3.2348548228434915</v>
      </c>
      <c r="Y21" s="1">
        <f>[1]Results!AB1381</f>
        <v>3.6185072251954997</v>
      </c>
      <c r="Z21" s="1">
        <f>[1]Results!AC1381</f>
        <v>4.0382928184250488</v>
      </c>
      <c r="AA21" s="1">
        <f>[1]Results!AD1381</f>
        <v>4.501220599503486</v>
      </c>
      <c r="AB21" s="1">
        <f>[1]Results!AE1381</f>
        <v>5.0143656966503025</v>
      </c>
      <c r="AC21" s="1">
        <f>[1]Results!AF1381</f>
        <v>5.5828538887275458</v>
      </c>
      <c r="AD21" s="1">
        <f>[1]Results!AG1381</f>
        <v>6.2059353269844131</v>
      </c>
      <c r="AE21" s="1">
        <f>[1]Results!AH1381</f>
        <v>6.8909768897203794</v>
      </c>
      <c r="AF21" s="1">
        <f>[1]Results!AI1381</f>
        <v>7.6508350274900216</v>
      </c>
      <c r="AG21" s="1">
        <f>[1]Results!AJ1381</f>
        <v>8.5027891628948193</v>
      </c>
      <c r="AH21" s="1">
        <f>[1]Results!AK1381</f>
        <v>9.4675415900440143</v>
      </c>
      <c r="AI21" s="1">
        <f>[1]Results!AL1381</f>
        <v>10.572762855368278</v>
      </c>
      <c r="AJ21" s="1">
        <f>[1]Results!AM1381</f>
        <v>11.860033709684803</v>
      </c>
      <c r="AK21" s="1">
        <f>[1]Results!AN1381</f>
        <v>13.39059441776822</v>
      </c>
      <c r="AL21" s="1">
        <f>[1]Results!AO1381</f>
        <v>15.2559303422527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0</v>
      </c>
      <c r="F22" s="1">
        <f>[1]Results!I1382</f>
        <v>2.1965429475301335E-8</v>
      </c>
      <c r="G22" s="1">
        <f>[1]Results!J1382</f>
        <v>0</v>
      </c>
      <c r="H22" s="1">
        <f>[1]Results!K1382</f>
        <v>1.8991830330605808E-8</v>
      </c>
      <c r="I22" s="1">
        <f>[1]Results!L1382</f>
        <v>2.4657536263994473E-2</v>
      </c>
      <c r="J22" s="1">
        <f>[1]Results!M1382</f>
        <v>-0.18863741038658288</v>
      </c>
      <c r="K22" s="1">
        <f>[1]Results!N1382</f>
        <v>-0.45382203912140984</v>
      </c>
      <c r="L22" s="1">
        <f>[1]Results!O1382</f>
        <v>-0.4421384867465572</v>
      </c>
      <c r="M22" s="1">
        <f>[1]Results!P1382</f>
        <v>-0.27935829873815266</v>
      </c>
      <c r="N22" s="1">
        <f>[1]Results!Q1382</f>
        <v>-2.7423603063769786E-2</v>
      </c>
      <c r="O22" s="1">
        <f>[1]Results!R1382</f>
        <v>0.26466547157080189</v>
      </c>
      <c r="P22" s="1">
        <f>[1]Results!S1382</f>
        <v>0.58230156869505389</v>
      </c>
      <c r="Q22" s="1">
        <f>[1]Results!T1382</f>
        <v>0.93657512055707048</v>
      </c>
      <c r="R22" s="1">
        <f>[1]Results!U1382</f>
        <v>1.3326887667764131</v>
      </c>
      <c r="S22" s="1">
        <f>[1]Results!V1382</f>
        <v>1.7111097607821479</v>
      </c>
      <c r="T22" s="1">
        <f>[1]Results!W1382</f>
        <v>2.0656747239665263</v>
      </c>
      <c r="U22" s="1">
        <f>[1]Results!X1382</f>
        <v>2.4049551778119627</v>
      </c>
      <c r="V22" s="1">
        <f>[1]Results!Y1382</f>
        <v>2.743005316753222</v>
      </c>
      <c r="W22" s="1">
        <f>[1]Results!Z1382</f>
        <v>3.0936927632318811</v>
      </c>
      <c r="X22" s="1">
        <f>[1]Results!AA1382</f>
        <v>3.4667603115838386</v>
      </c>
      <c r="Y22" s="1">
        <f>[1]Results!AB1382</f>
        <v>3.8697271610220962</v>
      </c>
      <c r="Z22" s="1">
        <f>[1]Results!AC1382</f>
        <v>4.310153430994923</v>
      </c>
      <c r="AA22" s="1">
        <f>[1]Results!AD1382</f>
        <v>4.7955280663244615</v>
      </c>
      <c r="AB22" s="1">
        <f>[1]Results!AE1382</f>
        <v>5.3331035090325107</v>
      </c>
      <c r="AC22" s="1">
        <f>[1]Results!AF1382</f>
        <v>5.9295284845536811</v>
      </c>
      <c r="AD22" s="1">
        <f>[1]Results!AG1382</f>
        <v>6.5845963554316267</v>
      </c>
      <c r="AE22" s="1">
        <f>[1]Results!AH1382</f>
        <v>7.3062018033721809</v>
      </c>
      <c r="AF22" s="1">
        <f>[1]Results!AI1382</f>
        <v>8.1080309090254552</v>
      </c>
      <c r="AG22" s="1">
        <f>[1]Results!AJ1382</f>
        <v>9.0085330070021961</v>
      </c>
      <c r="AH22" s="1">
        <f>[1]Results!AK1382</f>
        <v>10.030001374635811</v>
      </c>
      <c r="AI22" s="1">
        <f>[1]Results!AL1382</f>
        <v>11.20217326183306</v>
      </c>
      <c r="AJ22" s="1">
        <f>[1]Results!AM1382</f>
        <v>12.569324815766802</v>
      </c>
      <c r="AK22" s="1">
        <f>[1]Results!AN1382</f>
        <v>14.196557436689439</v>
      </c>
      <c r="AL22" s="1">
        <f>[1]Results!AO1382</f>
        <v>16.181142082202427</v>
      </c>
    </row>
    <row r="23" spans="1:38" x14ac:dyDescent="0.35">
      <c r="A23" s="3" t="str">
        <f>[1]Results!E1383</f>
        <v>100*(X_2/X_0-1)</v>
      </c>
      <c r="B23" t="s">
        <v>22</v>
      </c>
      <c r="C23" s="1">
        <f>[1]Results!F1383</f>
        <v>0</v>
      </c>
      <c r="D23" s="1">
        <f>[1]Results!G1383</f>
        <v>0</v>
      </c>
      <c r="E23" s="1">
        <f>[1]Results!H1383</f>
        <v>-1.5155432464553087E-8</v>
      </c>
      <c r="F23" s="1">
        <f>[1]Results!I1383</f>
        <v>-1.484081746383481E-8</v>
      </c>
      <c r="G23" s="1">
        <f>[1]Results!J1383</f>
        <v>-2.9074587182265077E-8</v>
      </c>
      <c r="H23" s="1">
        <f>[1]Results!K1383</f>
        <v>-2.8483437830573166E-8</v>
      </c>
      <c r="I23" s="1">
        <f>[1]Results!L1383</f>
        <v>1.5577327917770667E-2</v>
      </c>
      <c r="J23" s="1">
        <f>[1]Results!M1383</f>
        <v>-0.98581403110499233</v>
      </c>
      <c r="K23" s="1">
        <f>[1]Results!N1383</f>
        <v>-1.8310993189280533</v>
      </c>
      <c r="L23" s="1">
        <f>[1]Results!O1383</f>
        <v>-1.3936117837562767</v>
      </c>
      <c r="M23" s="1">
        <f>[1]Results!P1383</f>
        <v>-1.1085606400528136</v>
      </c>
      <c r="N23" s="1">
        <f>[1]Results!Q1383</f>
        <v>-1.0336973719732634</v>
      </c>
      <c r="O23" s="1">
        <f>[1]Results!R1383</f>
        <v>-1.1880423255198891</v>
      </c>
      <c r="P23" s="1">
        <f>[1]Results!S1383</f>
        <v>-1.4508006030287346</v>
      </c>
      <c r="Q23" s="1">
        <f>[1]Results!T1383</f>
        <v>-1.6858021528942779</v>
      </c>
      <c r="R23" s="1">
        <f>[1]Results!U1383</f>
        <v>-1.8731316772186313</v>
      </c>
      <c r="S23" s="1">
        <f>[1]Results!V1383</f>
        <v>-2.1564620926067812</v>
      </c>
      <c r="T23" s="1">
        <f>[1]Results!W1383</f>
        <v>-2.4557873342615277</v>
      </c>
      <c r="U23" s="1">
        <f>[1]Results!X1383</f>
        <v>-2.7657519041753953</v>
      </c>
      <c r="V23" s="1">
        <f>[1]Results!Y1383</f>
        <v>-3.0810065903341011</v>
      </c>
      <c r="W23" s="1">
        <f>[1]Results!Z1383</f>
        <v>-3.3951189559439099</v>
      </c>
      <c r="X23" s="1">
        <f>[1]Results!AA1383</f>
        <v>-3.6983375074547853</v>
      </c>
      <c r="Y23" s="1">
        <f>[1]Results!AB1383</f>
        <v>-3.9832839581240509</v>
      </c>
      <c r="Z23" s="1">
        <f>[1]Results!AC1383</f>
        <v>-4.2485808801166147</v>
      </c>
      <c r="AA23" s="1">
        <f>[1]Results!AD1383</f>
        <v>-4.4934409868307323</v>
      </c>
      <c r="AB23" s="1">
        <f>[1]Results!AE1383</f>
        <v>-4.7169545349970088</v>
      </c>
      <c r="AC23" s="1">
        <f>[1]Results!AF1383</f>
        <v>-4.8965420214813538</v>
      </c>
      <c r="AD23" s="1">
        <f>[1]Results!AG1383</f>
        <v>-5.0306372986433923</v>
      </c>
      <c r="AE23" s="1">
        <f>[1]Results!AH1383</f>
        <v>-5.1243157075387185</v>
      </c>
      <c r="AF23" s="1">
        <f>[1]Results!AI1383</f>
        <v>-5.1841596366784533</v>
      </c>
      <c r="AG23" s="1">
        <f>[1]Results!AJ1383</f>
        <v>-5.2161872173624557</v>
      </c>
      <c r="AH23" s="1">
        <f>[1]Results!AK1383</f>
        <v>-5.2214311618935749</v>
      </c>
      <c r="AI23" s="1">
        <f>[1]Results!AL1383</f>
        <v>-5.2004041847737215</v>
      </c>
      <c r="AJ23" s="1">
        <f>[1]Results!AM1383</f>
        <v>-5.1611913605413395</v>
      </c>
      <c r="AK23" s="1">
        <f>[1]Results!AN1383</f>
        <v>-5.1143136211262874</v>
      </c>
      <c r="AL23" s="1">
        <f>[1]Results!AO1383</f>
        <v>-5.0719494110611052</v>
      </c>
    </row>
    <row r="24" spans="1:38" x14ac:dyDescent="0.35">
      <c r="A24" s="3" t="str">
        <f>[1]Results!E1384</f>
        <v>100*(M_2/M_0-1)</v>
      </c>
      <c r="B24" t="s">
        <v>23</v>
      </c>
      <c r="C24" s="1">
        <f>[1]Results!F1384</f>
        <v>0</v>
      </c>
      <c r="D24" s="1">
        <f>[1]Results!G1384</f>
        <v>1.5049739232608772E-8</v>
      </c>
      <c r="E24" s="1">
        <f>[1]Results!H1384</f>
        <v>0</v>
      </c>
      <c r="F24" s="1">
        <f>[1]Results!I1384</f>
        <v>0</v>
      </c>
      <c r="G24" s="1">
        <f>[1]Results!J1384</f>
        <v>1.4247447666093649E-8</v>
      </c>
      <c r="H24" s="1">
        <f>[1]Results!K1384</f>
        <v>1.3969381207346032E-8</v>
      </c>
      <c r="I24" s="1">
        <f>[1]Results!L1384</f>
        <v>4.2038779744935084E-2</v>
      </c>
      <c r="J24" s="1">
        <f>[1]Results!M1384</f>
        <v>-0.41814228364804862</v>
      </c>
      <c r="K24" s="1">
        <f>[1]Results!N1384</f>
        <v>-0.85788805280926361</v>
      </c>
      <c r="L24" s="1">
        <f>[1]Results!O1384</f>
        <v>-0.79686058294814455</v>
      </c>
      <c r="M24" s="1">
        <f>[1]Results!P1384</f>
        <v>-0.59129647602310653</v>
      </c>
      <c r="N24" s="1">
        <f>[1]Results!Q1384</f>
        <v>-0.29581551491505431</v>
      </c>
      <c r="O24" s="1">
        <f>[1]Results!R1384</f>
        <v>2.3311721974428323E-2</v>
      </c>
      <c r="P24" s="1">
        <f>[1]Results!S1384</f>
        <v>0.34523871161096231</v>
      </c>
      <c r="Q24" s="1">
        <f>[1]Results!T1384</f>
        <v>0.68302942761606644</v>
      </c>
      <c r="R24" s="1">
        <f>[1]Results!U1384</f>
        <v>1.033305740909074</v>
      </c>
      <c r="S24" s="1">
        <f>[1]Results!V1384</f>
        <v>1.3018199825310273</v>
      </c>
      <c r="T24" s="1">
        <f>[1]Results!W1384</f>
        <v>1.5093439131241837</v>
      </c>
      <c r="U24" s="1">
        <f>[1]Results!X1384</f>
        <v>1.6815361563534692</v>
      </c>
      <c r="V24" s="1">
        <f>[1]Results!Y1384</f>
        <v>1.8359874762647221</v>
      </c>
      <c r="W24" s="1">
        <f>[1]Results!Z1384</f>
        <v>1.9817094993727302</v>
      </c>
      <c r="X24" s="1">
        <f>[1]Results!AA1384</f>
        <v>2.120929921109882</v>
      </c>
      <c r="Y24" s="1">
        <f>[1]Results!AB1384</f>
        <v>2.2542512273691973</v>
      </c>
      <c r="Z24" s="1">
        <f>[1]Results!AC1384</f>
        <v>2.3844854893526612</v>
      </c>
      <c r="AA24" s="1">
        <f>[1]Results!AD1384</f>
        <v>2.5145655370813591</v>
      </c>
      <c r="AB24" s="1">
        <f>[1]Results!AE1384</f>
        <v>2.6457958405784243</v>
      </c>
      <c r="AC24" s="1">
        <f>[1]Results!AF1384</f>
        <v>2.780204735811731</v>
      </c>
      <c r="AD24" s="1">
        <f>[1]Results!AG1384</f>
        <v>2.9135613048008491</v>
      </c>
      <c r="AE24" s="1">
        <f>[1]Results!AH1384</f>
        <v>3.0550844584813497</v>
      </c>
      <c r="AF24" s="1">
        <f>[1]Results!AI1384</f>
        <v>3.2168596076149303</v>
      </c>
      <c r="AG24" s="1">
        <f>[1]Results!AJ1384</f>
        <v>3.4112431093388906</v>
      </c>
      <c r="AH24" s="1">
        <f>[1]Results!AK1384</f>
        <v>3.6493403386574474</v>
      </c>
      <c r="AI24" s="1">
        <f>[1]Results!AL1384</f>
        <v>3.9453921037255979</v>
      </c>
      <c r="AJ24" s="1">
        <f>[1]Results!AM1384</f>
        <v>4.3226944334700645</v>
      </c>
      <c r="AK24" s="1">
        <f>[1]Results!AN1384</f>
        <v>4.8136376496882294</v>
      </c>
      <c r="AL24" s="1">
        <f>[1]Results!AO1384</f>
        <v>5.4641685636542814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0</v>
      </c>
      <c r="G25" s="1">
        <f>[1]Results!J1385</f>
        <v>0</v>
      </c>
      <c r="H25" s="1">
        <f>[1]Results!K1385</f>
        <v>0</v>
      </c>
      <c r="I25" s="1">
        <f>[1]Results!L1385</f>
        <v>5.2968974567524363E-2</v>
      </c>
      <c r="J25" s="1">
        <f>[1]Results!M1385</f>
        <v>9.3343873562345969E-2</v>
      </c>
      <c r="K25" s="1">
        <f>[1]Results!N1385</f>
        <v>0.11333510852238327</v>
      </c>
      <c r="L25" s="1">
        <f>[1]Results!O1385</f>
        <v>0.27538488516083426</v>
      </c>
      <c r="M25" s="1">
        <f>[1]Results!P1385</f>
        <v>0.58684091726930454</v>
      </c>
      <c r="N25" s="1">
        <f>[1]Results!Q1385</f>
        <v>0.99595824614562289</v>
      </c>
      <c r="O25" s="1">
        <f>[1]Results!R1385</f>
        <v>1.4748641388393269</v>
      </c>
      <c r="P25" s="1">
        <f>[1]Results!S1385</f>
        <v>1.9678966050276081</v>
      </c>
      <c r="Q25" s="1">
        <f>[1]Results!T1385</f>
        <v>2.4416876529612219</v>
      </c>
      <c r="R25" s="1">
        <f>[1]Results!U1385</f>
        <v>2.8821120511231202</v>
      </c>
      <c r="S25" s="1">
        <f>[1]Results!V1385</f>
        <v>3.2449210298084452</v>
      </c>
      <c r="T25" s="1">
        <f>[1]Results!W1385</f>
        <v>3.5201411897032076</v>
      </c>
      <c r="U25" s="1">
        <f>[1]Results!X1385</f>
        <v>3.7318125020582515</v>
      </c>
      <c r="V25" s="1">
        <f>[1]Results!Y1385</f>
        <v>3.9013599547821354</v>
      </c>
      <c r="W25" s="1">
        <f>[1]Results!Z1385</f>
        <v>4.0417080311277775</v>
      </c>
      <c r="X25" s="1">
        <f>[1]Results!AA1385</f>
        <v>4.1536043625891805</v>
      </c>
      <c r="Y25" s="1">
        <f>[1]Results!AB1385</f>
        <v>4.2380523442860918</v>
      </c>
      <c r="Z25" s="1">
        <f>[1]Results!AC1385</f>
        <v>4.2993353511916244</v>
      </c>
      <c r="AA25" s="1">
        <f>[1]Results!AD1385</f>
        <v>4.3410565888241104</v>
      </c>
      <c r="AB25" s="1">
        <f>[1]Results!AE1385</f>
        <v>4.3668975988643277</v>
      </c>
      <c r="AC25" s="1">
        <f>[1]Results!AF1385</f>
        <v>4.3664497080049713</v>
      </c>
      <c r="AD25" s="1">
        <f>[1]Results!AG1385</f>
        <v>4.334416769430427</v>
      </c>
      <c r="AE25" s="1">
        <f>[1]Results!AH1385</f>
        <v>4.2813484917642919</v>
      </c>
      <c r="AF25" s="1">
        <f>[1]Results!AI1385</f>
        <v>4.218625339904003</v>
      </c>
      <c r="AG25" s="1">
        <f>[1]Results!AJ1385</f>
        <v>4.1553301252232444</v>
      </c>
      <c r="AH25" s="1">
        <f>[1]Results!AK1385</f>
        <v>4.0954694887663345</v>
      </c>
      <c r="AI25" s="1">
        <f>[1]Results!AL1385</f>
        <v>4.0439193573671872</v>
      </c>
      <c r="AJ25" s="1">
        <f>[1]Results!AM1385</f>
        <v>4.0143718965405251</v>
      </c>
      <c r="AK25" s="1">
        <f>[1]Results!AN1385</f>
        <v>4.0246331225215259</v>
      </c>
      <c r="AL25" s="1">
        <f>[1]Results!AO1385</f>
        <v>4.0961323088918755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1.9404233775333068E-8</v>
      </c>
      <c r="G26" s="1">
        <f>[1]Results!J1386</f>
        <v>0</v>
      </c>
      <c r="H26" s="1">
        <f>[1]Results!K1386</f>
        <v>1.8651435951255735E-8</v>
      </c>
      <c r="I26" s="1">
        <f>[1]Results!L1386</f>
        <v>2.565876239739584E-2</v>
      </c>
      <c r="J26" s="1">
        <f>[1]Results!M1386</f>
        <v>-0.17853845117811185</v>
      </c>
      <c r="K26" s="1">
        <f>[1]Results!N1386</f>
        <v>-0.43435833272565949</v>
      </c>
      <c r="L26" s="1">
        <f>[1]Results!O1386</f>
        <v>-0.43677797773935545</v>
      </c>
      <c r="M26" s="1">
        <f>[1]Results!P1386</f>
        <v>-0.296294927045615</v>
      </c>
      <c r="N26" s="1">
        <f>[1]Results!Q1386</f>
        <v>-6.5120541916807717E-2</v>
      </c>
      <c r="O26" s="1">
        <f>[1]Results!R1386</f>
        <v>0.21184305294958961</v>
      </c>
      <c r="P26" s="1">
        <f>[1]Results!S1386</f>
        <v>0.5177722877812263</v>
      </c>
      <c r="Q26" s="1">
        <f>[1]Results!T1386</f>
        <v>0.85948958456938396</v>
      </c>
      <c r="R26" s="1">
        <f>[1]Results!U1386</f>
        <v>1.239732105925162</v>
      </c>
      <c r="S26" s="1">
        <f>[1]Results!V1386</f>
        <v>1.5994330323185757</v>
      </c>
      <c r="T26" s="1">
        <f>[1]Results!W1386</f>
        <v>1.9319907543278614</v>
      </c>
      <c r="U26" s="1">
        <f>[1]Results!X1386</f>
        <v>2.2471140457341665</v>
      </c>
      <c r="V26" s="1">
        <f>[1]Results!Y1386</f>
        <v>2.5597711025288739</v>
      </c>
      <c r="W26" s="1">
        <f>[1]Results!Z1386</f>
        <v>2.8841880079049975</v>
      </c>
      <c r="X26" s="1">
        <f>[1]Results!AA1386</f>
        <v>3.2294472681801745</v>
      </c>
      <c r="Y26" s="1">
        <f>[1]Results!AB1386</f>
        <v>3.6024740484710271</v>
      </c>
      <c r="Z26" s="1">
        <f>[1]Results!AC1386</f>
        <v>4.0102853646572401</v>
      </c>
      <c r="AA26" s="1">
        <f>[1]Results!AD1386</f>
        <v>4.4597103085437961</v>
      </c>
      <c r="AB26" s="1">
        <f>[1]Results!AE1386</f>
        <v>4.9576609458121812</v>
      </c>
      <c r="AC26" s="1">
        <f>[1]Results!AF1386</f>
        <v>5.5084708956203654</v>
      </c>
      <c r="AD26" s="1">
        <f>[1]Results!AG1386</f>
        <v>6.1109112672178112</v>
      </c>
      <c r="AE26" s="1">
        <f>[1]Results!AH1386</f>
        <v>6.7722736797641181</v>
      </c>
      <c r="AF26" s="1">
        <f>[1]Results!AI1386</f>
        <v>7.5053426426396008</v>
      </c>
      <c r="AG26" s="1">
        <f>[1]Results!AJ1386</f>
        <v>8.327144344591586</v>
      </c>
      <c r="AH26" s="1">
        <f>[1]Results!AK1386</f>
        <v>9.2577865455602861</v>
      </c>
      <c r="AI26" s="1">
        <f>[1]Results!AL1386</f>
        <v>10.324080093373089</v>
      </c>
      <c r="AJ26" s="1">
        <f>[1]Results!AM1386</f>
        <v>11.566606453631699</v>
      </c>
      <c r="AK26" s="1">
        <f>[1]Results!AN1386</f>
        <v>13.045152980852116</v>
      </c>
      <c r="AL26" s="1">
        <f>[1]Results!AO1386</f>
        <v>14.848892636585109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0</v>
      </c>
      <c r="I27" s="1">
        <f>[1]Results!L1387</f>
        <v>6.3801466731883139E-2</v>
      </c>
      <c r="J27" s="1">
        <f>[1]Results!M1387</f>
        <v>-1.3383264622968127E-3</v>
      </c>
      <c r="K27" s="1">
        <f>[1]Results!N1387</f>
        <v>-0.2007809984990061</v>
      </c>
      <c r="L27" s="1">
        <f>[1]Results!O1387</f>
        <v>-0.28529643510769587</v>
      </c>
      <c r="M27" s="1">
        <f>[1]Results!P1387</f>
        <v>-0.20250772629261116</v>
      </c>
      <c r="N27" s="1">
        <f>[1]Results!Q1387</f>
        <v>4.1168427077176162E-2</v>
      </c>
      <c r="O27" s="1">
        <f>[1]Results!R1387</f>
        <v>0.44402776354550699</v>
      </c>
      <c r="P27" s="1">
        <f>[1]Results!S1387</f>
        <v>0.9338642523668339</v>
      </c>
      <c r="Q27" s="1">
        <f>[1]Results!T1387</f>
        <v>1.4471099856924852</v>
      </c>
      <c r="R27" s="1">
        <f>[1]Results!U1387</f>
        <v>1.9445481636813033</v>
      </c>
      <c r="S27" s="1">
        <f>[1]Results!V1387</f>
        <v>2.3463549514757709</v>
      </c>
      <c r="T27" s="1">
        <f>[1]Results!W1387</f>
        <v>2.6165045147762855</v>
      </c>
      <c r="U27" s="1">
        <f>[1]Results!X1387</f>
        <v>2.7876867527299343</v>
      </c>
      <c r="V27" s="1">
        <f>[1]Results!Y1387</f>
        <v>2.9036937717888289</v>
      </c>
      <c r="W27" s="1">
        <f>[1]Results!Z1387</f>
        <v>2.9966727083268418</v>
      </c>
      <c r="X27" s="1">
        <f>[1]Results!AA1387</f>
        <v>3.0758970567993815</v>
      </c>
      <c r="Y27" s="1">
        <f>[1]Results!AB1387</f>
        <v>3.143527420773462</v>
      </c>
      <c r="Z27" s="1">
        <f>[1]Results!AC1387</f>
        <v>3.2015371603924647</v>
      </c>
      <c r="AA27" s="1">
        <f>[1]Results!AD1387</f>
        <v>3.2498586061140866</v>
      </c>
      <c r="AB27" s="1">
        <f>[1]Results!AE1387</f>
        <v>3.2880858557872372</v>
      </c>
      <c r="AC27" s="1">
        <f>[1]Results!AF1387</f>
        <v>3.2955880762310041</v>
      </c>
      <c r="AD27" s="1">
        <f>[1]Results!AG1387</f>
        <v>3.2542995342791814</v>
      </c>
      <c r="AE27" s="1">
        <f>[1]Results!AH1387</f>
        <v>3.1667394083851441</v>
      </c>
      <c r="AF27" s="1">
        <f>[1]Results!AI1387</f>
        <v>3.0417299278500343</v>
      </c>
      <c r="AG27" s="1">
        <f>[1]Results!AJ1387</f>
        <v>2.8874108288980738</v>
      </c>
      <c r="AH27" s="1">
        <f>[1]Results!AK1387</f>
        <v>2.7045044567686194</v>
      </c>
      <c r="AI27" s="1">
        <f>[1]Results!AL1387</f>
        <v>2.4916076433753487</v>
      </c>
      <c r="AJ27" s="1">
        <f>[1]Results!AM1387</f>
        <v>2.2558552978379609</v>
      </c>
      <c r="AK27" s="1">
        <f>[1]Results!AN1387</f>
        <v>2.0081986395369622</v>
      </c>
      <c r="AL27" s="1">
        <f>[1]Results!AO1387</f>
        <v>1.7601208833061266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0</v>
      </c>
      <c r="G28" s="1">
        <f>[1]Results!J1388</f>
        <v>0</v>
      </c>
      <c r="H28" s="1">
        <f>[1]Results!K1388</f>
        <v>2.3340884780509441E-8</v>
      </c>
      <c r="I28" s="1">
        <f>[1]Results!L1388</f>
        <v>1.9464067978858246E-2</v>
      </c>
      <c r="J28" s="1">
        <f>[1]Results!M1388</f>
        <v>-0.14645727837450107</v>
      </c>
      <c r="K28" s="1">
        <f>[1]Results!N1388</f>
        <v>-0.32267413777860021</v>
      </c>
      <c r="L28" s="1">
        <f>[1]Results!O1388</f>
        <v>-0.44532675460705606</v>
      </c>
      <c r="M28" s="1">
        <f>[1]Results!P1388</f>
        <v>-0.52965657906746122</v>
      </c>
      <c r="N28" s="1">
        <f>[1]Results!Q1388</f>
        <v>-0.5397084349343495</v>
      </c>
      <c r="O28" s="1">
        <f>[1]Results!R1388</f>
        <v>-0.49324789653852896</v>
      </c>
      <c r="P28" s="1">
        <f>[1]Results!S1388</f>
        <v>-0.40605435579690319</v>
      </c>
      <c r="Q28" s="1">
        <f>[1]Results!T1388</f>
        <v>-0.28743532530483007</v>
      </c>
      <c r="R28" s="1">
        <f>[1]Results!U1388</f>
        <v>-0.14380902205018975</v>
      </c>
      <c r="S28" s="1">
        <f>[1]Results!V1388</f>
        <v>-2.006083701656669E-2</v>
      </c>
      <c r="T28" s="1">
        <f>[1]Results!W1388</f>
        <v>8.4619528682927658E-2</v>
      </c>
      <c r="U28" s="1">
        <f>[1]Results!X1388</f>
        <v>0.18156256075676502</v>
      </c>
      <c r="V28" s="1">
        <f>[1]Results!Y1388</f>
        <v>0.28216928255690998</v>
      </c>
      <c r="W28" s="1">
        <f>[1]Results!Z1388</f>
        <v>0.39454496886224266</v>
      </c>
      <c r="X28" s="1">
        <f>[1]Results!AA1388</f>
        <v>0.52044195998675047</v>
      </c>
      <c r="Y28" s="1">
        <f>[1]Results!AB1388</f>
        <v>0.65988622698180954</v>
      </c>
      <c r="Z28" s="1">
        <f>[1]Results!AC1388</f>
        <v>0.81373197405318898</v>
      </c>
      <c r="AA28" s="1">
        <f>[1]Results!AD1388</f>
        <v>0.98204713860639004</v>
      </c>
      <c r="AB28" s="1">
        <f>[1]Results!AE1388</f>
        <v>1.1640815385124847</v>
      </c>
      <c r="AC28" s="1">
        <f>[1]Results!AF1388</f>
        <v>1.3500202633040193</v>
      </c>
      <c r="AD28" s="1">
        <f>[1]Results!AG1388</f>
        <v>1.5293136884587888</v>
      </c>
      <c r="AE28" s="1">
        <f>[1]Results!AH1388</f>
        <v>1.6996073790143118</v>
      </c>
      <c r="AF28" s="1">
        <f>[1]Results!AI1388</f>
        <v>1.8604615271484715</v>
      </c>
      <c r="AG28" s="1">
        <f>[1]Results!AJ1388</f>
        <v>2.0114886564868151</v>
      </c>
      <c r="AH28" s="1">
        <f>[1]Results!AK1388</f>
        <v>2.1497560588324749</v>
      </c>
      <c r="AI28" s="1">
        <f>[1]Results!AL1388</f>
        <v>2.2721181449647965</v>
      </c>
      <c r="AJ28" s="1">
        <f>[1]Results!AM1388</f>
        <v>2.3798262716201002</v>
      </c>
      <c r="AK28" s="1">
        <f>[1]Results!AN1388</f>
        <v>2.4767008196796558</v>
      </c>
      <c r="AL28" s="1">
        <f>[1]Results!AO1388</f>
        <v>2.568658953934766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6.8551364584834573E-8</v>
      </c>
      <c r="F29" s="1">
        <f>[1]Results!I1389</f>
        <v>6.6044680835375402E-8</v>
      </c>
      <c r="G29" s="1">
        <f>[1]Results!J1389</f>
        <v>1.2745806632352696E-7</v>
      </c>
      <c r="H29" s="1">
        <f>[1]Results!K1389</f>
        <v>1.2298584373127142E-7</v>
      </c>
      <c r="I29" s="1">
        <f>[1]Results!L1389</f>
        <v>-5.5236212949560937E-3</v>
      </c>
      <c r="J29" s="1">
        <f>[1]Results!M1389</f>
        <v>0.8216165372294526</v>
      </c>
      <c r="K29" s="1">
        <f>[1]Results!N1389</f>
        <v>1.4886474293942076</v>
      </c>
      <c r="L29" s="1">
        <f>[1]Results!O1389</f>
        <v>2.4968587133659792</v>
      </c>
      <c r="M29" s="1">
        <f>[1]Results!P1389</f>
        <v>3.7786553922157795</v>
      </c>
      <c r="N29" s="1">
        <f>[1]Results!Q1389</f>
        <v>4.9581499159768727</v>
      </c>
      <c r="O29" s="1">
        <f>[1]Results!R1389</f>
        <v>6.1455618644278065</v>
      </c>
      <c r="P29" s="1">
        <f>[1]Results!S1389</f>
        <v>7.2766633807306746</v>
      </c>
      <c r="Q29" s="1">
        <f>[1]Results!T1389</f>
        <v>8.3285468778052199</v>
      </c>
      <c r="R29" s="1">
        <f>[1]Results!U1389</f>
        <v>9.2887091725464046</v>
      </c>
      <c r="S29" s="1">
        <f>[1]Results!V1389</f>
        <v>10.276868926317251</v>
      </c>
      <c r="T29" s="1">
        <f>[1]Results!W1389</f>
        <v>11.2029255119793</v>
      </c>
      <c r="U29" s="1">
        <f>[1]Results!X1389</f>
        <v>12.069243851025702</v>
      </c>
      <c r="V29" s="1">
        <f>[1]Results!Y1389</f>
        <v>12.866693991919732</v>
      </c>
      <c r="W29" s="1">
        <f>[1]Results!Z1389</f>
        <v>13.584006226956657</v>
      </c>
      <c r="X29" s="1">
        <f>[1]Results!AA1389</f>
        <v>14.207630360400403</v>
      </c>
      <c r="Y29" s="1">
        <f>[1]Results!AB1389</f>
        <v>14.732476098312164</v>
      </c>
      <c r="Z29" s="1">
        <f>[1]Results!AC1389</f>
        <v>15.152532485439885</v>
      </c>
      <c r="AA29" s="1">
        <f>[1]Results!AD1389</f>
        <v>15.462475159428646</v>
      </c>
      <c r="AB29" s="1">
        <f>[1]Results!AE1389</f>
        <v>15.661795509184785</v>
      </c>
      <c r="AC29" s="1">
        <f>[1]Results!AF1389</f>
        <v>15.752971857925813</v>
      </c>
      <c r="AD29" s="1">
        <f>[1]Results!AG1389</f>
        <v>15.755213412591317</v>
      </c>
      <c r="AE29" s="1">
        <f>[1]Results!AH1389</f>
        <v>15.685305525673844</v>
      </c>
      <c r="AF29" s="1">
        <f>[1]Results!AI1389</f>
        <v>15.558918899588736</v>
      </c>
      <c r="AG29" s="1">
        <f>[1]Results!AJ1389</f>
        <v>15.392251414059821</v>
      </c>
      <c r="AH29" s="1">
        <f>[1]Results!AK1389</f>
        <v>15.206777717788555</v>
      </c>
      <c r="AI29" s="1">
        <f>[1]Results!AL1389</f>
        <v>15.031112057085627</v>
      </c>
      <c r="AJ29" s="1">
        <f>[1]Results!AM1389</f>
        <v>14.898001211628674</v>
      </c>
      <c r="AK29" s="1">
        <f>[1]Results!AN1389</f>
        <v>14.845158211005272</v>
      </c>
      <c r="AL29" s="1">
        <f>[1]Results!AO1389</f>
        <v>14.91977347097686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6.8551364584834573E-8</v>
      </c>
      <c r="F30" s="1">
        <f>[1]Results!I1390</f>
        <v>-2.8299962373523613E-8</v>
      </c>
      <c r="G30" s="1">
        <f>[1]Results!J1390</f>
        <v>1.2745806632352696E-7</v>
      </c>
      <c r="H30" s="1">
        <f>[1]Results!K1390</f>
        <v>3.1838531810990389E-8</v>
      </c>
      <c r="I30" s="1">
        <f>[1]Results!L1390</f>
        <v>7.822244889069685E-2</v>
      </c>
      <c r="J30" s="1">
        <f>[1]Results!M1390</f>
        <v>0.10351347663493105</v>
      </c>
      <c r="K30" s="1">
        <f>[1]Results!N1390</f>
        <v>0.1054481446153277</v>
      </c>
      <c r="L30" s="1">
        <f>[1]Results!O1390</f>
        <v>0.33307617853985949</v>
      </c>
      <c r="M30" s="1">
        <f>[1]Results!P1390</f>
        <v>0.70551270894103624</v>
      </c>
      <c r="N30" s="1">
        <f>[1]Results!Q1390</f>
        <v>1.1489551543998999</v>
      </c>
      <c r="O30" s="1">
        <f>[1]Results!R1390</f>
        <v>1.6550834190204311</v>
      </c>
      <c r="P30" s="1">
        <f>[1]Results!S1390</f>
        <v>2.1558720593633174</v>
      </c>
      <c r="Q30" s="1">
        <f>[1]Results!T1390</f>
        <v>2.6322754203581979</v>
      </c>
      <c r="R30" s="1">
        <f>[1]Results!U1390</f>
        <v>3.0792867755255573</v>
      </c>
      <c r="S30" s="1">
        <f>[1]Results!V1390</f>
        <v>3.4370532216964067</v>
      </c>
      <c r="T30" s="1">
        <f>[1]Results!W1390</f>
        <v>3.7121264260602693</v>
      </c>
      <c r="U30" s="1">
        <f>[1]Results!X1390</f>
        <v>3.9434684034378442</v>
      </c>
      <c r="V30" s="1">
        <f>[1]Results!Y1390</f>
        <v>4.1459166138176684</v>
      </c>
      <c r="W30" s="1">
        <f>[1]Results!Z1390</f>
        <v>4.3241336007693754</v>
      </c>
      <c r="X30" s="1">
        <f>[1]Results!AA1390</f>
        <v>4.4698562872572243</v>
      </c>
      <c r="Y30" s="1">
        <f>[1]Results!AB1390</f>
        <v>4.5834780177282273</v>
      </c>
      <c r="Z30" s="1">
        <f>[1]Results!AC1390</f>
        <v>4.6704167885593506</v>
      </c>
      <c r="AA30" s="1">
        <f>[1]Results!AD1390</f>
        <v>4.733246223992893</v>
      </c>
      <c r="AB30" s="1">
        <f>[1]Results!AE1390</f>
        <v>4.7754021757145715</v>
      </c>
      <c r="AC30" s="1">
        <f>[1]Results!AF1390</f>
        <v>4.7784664605815532</v>
      </c>
      <c r="AD30" s="1">
        <f>[1]Results!AG1390</f>
        <v>4.741470754980746</v>
      </c>
      <c r="AE30" s="1">
        <f>[1]Results!AH1390</f>
        <v>4.6846321676961011</v>
      </c>
      <c r="AF30" s="1">
        <f>[1]Results!AI1390</f>
        <v>4.6196430356660656</v>
      </c>
      <c r="AG30" s="1">
        <f>[1]Results!AJ1390</f>
        <v>4.5545571534081795</v>
      </c>
      <c r="AH30" s="1">
        <f>[1]Results!AK1390</f>
        <v>4.4913277008427066</v>
      </c>
      <c r="AI30" s="1">
        <f>[1]Results!AL1390</f>
        <v>4.4367053899645015</v>
      </c>
      <c r="AJ30" s="1">
        <f>[1]Results!AM1390</f>
        <v>4.4106861308187177</v>
      </c>
      <c r="AK30" s="1">
        <f>[1]Results!AN1390</f>
        <v>4.434320890676501</v>
      </c>
      <c r="AL30" s="1">
        <f>[1]Results!AO1390</f>
        <v>4.5323544926458847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0</v>
      </c>
      <c r="E31" s="1">
        <f>[1]Results!H1391</f>
        <v>6.8551364584834573E-8</v>
      </c>
      <c r="F31" s="1">
        <f>[1]Results!I1391</f>
        <v>2.9983659999288648E-8</v>
      </c>
      <c r="G31" s="1">
        <f>[1]Results!J1391</f>
        <v>1.2745806632352696E-7</v>
      </c>
      <c r="H31" s="1">
        <f>[1]Results!K1391</f>
        <v>1.2298584373127142E-7</v>
      </c>
      <c r="I31" s="1">
        <f>[1]Results!L1391</f>
        <v>-1.4697982847100555E-2</v>
      </c>
      <c r="J31" s="1">
        <f>[1]Results!M1391</f>
        <v>0.86107594498729956</v>
      </c>
      <c r="K31" s="1">
        <f>[1]Results!N1391</f>
        <v>1.6053808684309501</v>
      </c>
      <c r="L31" s="1">
        <f>[1]Results!O1391</f>
        <v>2.5094334582277056</v>
      </c>
      <c r="M31" s="1">
        <f>[1]Results!P1391</f>
        <v>3.561685420723415</v>
      </c>
      <c r="N31" s="1">
        <f>[1]Results!Q1391</f>
        <v>4.4749217243119643</v>
      </c>
      <c r="O31" s="1">
        <f>[1]Results!R1391</f>
        <v>5.4136227815805738</v>
      </c>
      <c r="P31" s="1">
        <f>[1]Results!S1391</f>
        <v>6.3318012455988892</v>
      </c>
      <c r="Q31" s="1">
        <f>[1]Results!T1391</f>
        <v>7.1986767543350307</v>
      </c>
      <c r="R31" s="1">
        <f>[1]Results!U1391</f>
        <v>7.9921490860623159</v>
      </c>
      <c r="S31" s="1">
        <f>[1]Results!V1391</f>
        <v>8.8398094002178453</v>
      </c>
      <c r="T31" s="1">
        <f>[1]Results!W1391</f>
        <v>9.6555074422025591</v>
      </c>
      <c r="U31" s="1">
        <f>[1]Results!X1391</f>
        <v>10.441836738527321</v>
      </c>
      <c r="V31" s="1">
        <f>[1]Results!Y1391</f>
        <v>11.185383468133626</v>
      </c>
      <c r="W31" s="1">
        <f>[1]Results!Z1391</f>
        <v>11.867998526530753</v>
      </c>
      <c r="X31" s="1">
        <f>[1]Results!AA1391</f>
        <v>12.469250096620254</v>
      </c>
      <c r="Y31" s="1">
        <f>[1]Results!AB1391</f>
        <v>12.977016458081426</v>
      </c>
      <c r="Z31" s="1">
        <f>[1]Results!AC1391</f>
        <v>13.378923204502179</v>
      </c>
      <c r="AA31" s="1">
        <f>[1]Results!AD1391</f>
        <v>13.663769293731786</v>
      </c>
      <c r="AB31" s="1">
        <f>[1]Results!AE1391</f>
        <v>13.825193906472389</v>
      </c>
      <c r="AC31" s="1">
        <f>[1]Results!AF1391</f>
        <v>13.859785963247484</v>
      </c>
      <c r="AD31" s="1">
        <f>[1]Results!AG1391</f>
        <v>13.780406185177728</v>
      </c>
      <c r="AE31" s="1">
        <f>[1]Results!AH1391</f>
        <v>13.597043245893193</v>
      </c>
      <c r="AF31" s="1">
        <f>[1]Results!AI1391</f>
        <v>13.317350867482691</v>
      </c>
      <c r="AG31" s="1">
        <f>[1]Results!AJ1391</f>
        <v>12.94826348243423</v>
      </c>
      <c r="AH31" s="1">
        <f>[1]Results!AK1391</f>
        <v>12.500309674242558</v>
      </c>
      <c r="AI31" s="1">
        <f>[1]Results!AL1391</f>
        <v>11.988445516267943</v>
      </c>
      <c r="AJ31" s="1">
        <f>[1]Results!AM1391</f>
        <v>11.427652781715334</v>
      </c>
      <c r="AK31" s="1">
        <f>[1]Results!AN1391</f>
        <v>10.830927587936623</v>
      </c>
      <c r="AL31" s="1">
        <f>[1]Results!AO1391</f>
        <v>10.20916117445072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0</v>
      </c>
      <c r="E32" s="1">
        <f>[1]Results!H1392</f>
        <v>6.8551364584834573E-8</v>
      </c>
      <c r="F32" s="1">
        <f>[1]Results!I1392</f>
        <v>-6.4360983209610367E-8</v>
      </c>
      <c r="G32" s="1">
        <f>[1]Results!J1392</f>
        <v>1.2745806632352696E-7</v>
      </c>
      <c r="H32" s="1">
        <f>[1]Results!K1392</f>
        <v>3.1838531810990389E-8</v>
      </c>
      <c r="I32" s="1">
        <f>[1]Results!L1392</f>
        <v>6.9048087338552389E-2</v>
      </c>
      <c r="J32" s="1">
        <f>[1]Results!M1392</f>
        <v>0.142972884392778</v>
      </c>
      <c r="K32" s="1">
        <f>[1]Results!N1392</f>
        <v>0.22218158365207019</v>
      </c>
      <c r="L32" s="1">
        <f>[1]Results!O1392</f>
        <v>0.34565092340158587</v>
      </c>
      <c r="M32" s="1">
        <f>[1]Results!P1392</f>
        <v>0.48854273744867172</v>
      </c>
      <c r="N32" s="1">
        <f>[1]Results!Q1392</f>
        <v>0.66572696273499155</v>
      </c>
      <c r="O32" s="1">
        <f>[1]Results!R1392</f>
        <v>0.92314433617319835</v>
      </c>
      <c r="P32" s="1">
        <f>[1]Results!S1392</f>
        <v>1.211009924231532</v>
      </c>
      <c r="Q32" s="1">
        <f>[1]Results!T1392</f>
        <v>1.5024052968880088</v>
      </c>
      <c r="R32" s="1">
        <f>[1]Results!U1392</f>
        <v>1.7827266890414686</v>
      </c>
      <c r="S32" s="1">
        <f>[1]Results!V1392</f>
        <v>1.9999936955970012</v>
      </c>
      <c r="T32" s="1">
        <f>[1]Results!W1392</f>
        <v>2.1647083562835281</v>
      </c>
      <c r="U32" s="1">
        <f>[1]Results!X1392</f>
        <v>2.316061290939464</v>
      </c>
      <c r="V32" s="1">
        <f>[1]Results!Y1392</f>
        <v>2.4646060900315625</v>
      </c>
      <c r="W32" s="1">
        <f>[1]Results!Z1392</f>
        <v>2.608125900343472</v>
      </c>
      <c r="X32" s="1">
        <f>[1]Results!AA1392</f>
        <v>2.7314760234770752</v>
      </c>
      <c r="Y32" s="1">
        <f>[1]Results!AB1392</f>
        <v>2.8280183774974894</v>
      </c>
      <c r="Z32" s="1">
        <f>[1]Results!AC1392</f>
        <v>2.8968075076216451</v>
      </c>
      <c r="AA32" s="1">
        <f>[1]Results!AD1392</f>
        <v>2.934540358296033</v>
      </c>
      <c r="AB32" s="1">
        <f>[1]Results!AE1392</f>
        <v>2.938800573002176</v>
      </c>
      <c r="AC32" s="1">
        <f>[1]Results!AF1392</f>
        <v>2.8852805659032246</v>
      </c>
      <c r="AD32" s="1">
        <f>[1]Results!AG1392</f>
        <v>2.7666635275671574</v>
      </c>
      <c r="AE32" s="1">
        <f>[1]Results!AH1392</f>
        <v>2.5963698879154506</v>
      </c>
      <c r="AF32" s="1">
        <f>[1]Results!AI1392</f>
        <v>2.3780750035600207</v>
      </c>
      <c r="AG32" s="1">
        <f>[1]Results!AJ1392</f>
        <v>2.1105692217825887</v>
      </c>
      <c r="AH32" s="1">
        <f>[1]Results!AK1392</f>
        <v>1.7848596572967104</v>
      </c>
      <c r="AI32" s="1">
        <f>[1]Results!AL1392</f>
        <v>1.394038849146817</v>
      </c>
      <c r="AJ32" s="1">
        <f>[1]Results!AM1392</f>
        <v>0.94033770090537772</v>
      </c>
      <c r="AK32" s="1">
        <f>[1]Results!AN1392</f>
        <v>0.4200902676078524</v>
      </c>
      <c r="AL32" s="1">
        <f>[1]Results!AO1392</f>
        <v>-0.17825780388025514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6.8551364584834573E-8</v>
      </c>
      <c r="F34" s="1">
        <f>[1]Results!I1394</f>
        <v>-2.8299962373523613E-8</v>
      </c>
      <c r="G34" s="1">
        <f>[1]Results!J1394</f>
        <v>1.2745806632352696E-7</v>
      </c>
      <c r="H34" s="1">
        <f>[1]Results!K1394</f>
        <v>3.1838531810990389E-8</v>
      </c>
      <c r="I34" s="1">
        <f>[1]Results!L1394</f>
        <v>7.822244889069685E-2</v>
      </c>
      <c r="J34" s="1">
        <f>[1]Results!M1394</f>
        <v>0.10351347663493105</v>
      </c>
      <c r="K34" s="1">
        <f>[1]Results!N1394</f>
        <v>0.1054481446153277</v>
      </c>
      <c r="L34" s="1">
        <f>[1]Results!O1394</f>
        <v>0.33307617853985949</v>
      </c>
      <c r="M34" s="1">
        <f>[1]Results!P1394</f>
        <v>0.70551270894103624</v>
      </c>
      <c r="N34" s="1">
        <f>[1]Results!Q1394</f>
        <v>1.1489551543998999</v>
      </c>
      <c r="O34" s="1">
        <f>[1]Results!R1394</f>
        <v>1.6550834190204311</v>
      </c>
      <c r="P34" s="1">
        <f>[1]Results!S1394</f>
        <v>2.1558720593633174</v>
      </c>
      <c r="Q34" s="1">
        <f>[1]Results!T1394</f>
        <v>2.6322754203581979</v>
      </c>
      <c r="R34" s="1">
        <f>[1]Results!U1394</f>
        <v>3.0792867755255573</v>
      </c>
      <c r="S34" s="1">
        <f>[1]Results!V1394</f>
        <v>3.4370532216964067</v>
      </c>
      <c r="T34" s="1">
        <f>[1]Results!W1394</f>
        <v>3.7121264260602693</v>
      </c>
      <c r="U34" s="1">
        <f>[1]Results!X1394</f>
        <v>3.9434684034378442</v>
      </c>
      <c r="V34" s="1">
        <f>[1]Results!Y1394</f>
        <v>4.1459166138176684</v>
      </c>
      <c r="W34" s="1">
        <f>[1]Results!Z1394</f>
        <v>4.3241336007693754</v>
      </c>
      <c r="X34" s="1">
        <f>[1]Results!AA1394</f>
        <v>4.4698562872572243</v>
      </c>
      <c r="Y34" s="1">
        <f>[1]Results!AB1394</f>
        <v>4.5834780177282273</v>
      </c>
      <c r="Z34" s="1">
        <f>[1]Results!AC1394</f>
        <v>4.6704167885593506</v>
      </c>
      <c r="AA34" s="1">
        <f>[1]Results!AD1394</f>
        <v>4.733246223992893</v>
      </c>
      <c r="AB34" s="1">
        <f>[1]Results!AE1394</f>
        <v>4.7754021757145715</v>
      </c>
      <c r="AC34" s="1">
        <f>[1]Results!AF1394</f>
        <v>4.7784664605815532</v>
      </c>
      <c r="AD34" s="1">
        <f>[1]Results!AG1394</f>
        <v>4.741470754980746</v>
      </c>
      <c r="AE34" s="1">
        <f>[1]Results!AH1394</f>
        <v>4.6846321676961011</v>
      </c>
      <c r="AF34" s="1">
        <f>[1]Results!AI1394</f>
        <v>4.6196430356660656</v>
      </c>
      <c r="AG34" s="1">
        <f>[1]Results!AJ1394</f>
        <v>4.5545571534081795</v>
      </c>
      <c r="AH34" s="1">
        <f>[1]Results!AK1394</f>
        <v>4.4913277008427066</v>
      </c>
      <c r="AI34" s="1">
        <f>[1]Results!AL1394</f>
        <v>4.4367053899645015</v>
      </c>
      <c r="AJ34" s="1">
        <f>[1]Results!AM1394</f>
        <v>4.4106861308187177</v>
      </c>
      <c r="AK34" s="1">
        <f>[1]Results!AN1394</f>
        <v>4.434320890676501</v>
      </c>
      <c r="AL34" s="1">
        <f>[1]Results!AO1394</f>
        <v>4.5323544926458847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9.9932395691837428E-8</v>
      </c>
      <c r="D35" s="1">
        <f>[1]Results!G1395</f>
        <v>0</v>
      </c>
      <c r="E35" s="1">
        <f>[1]Results!H1395</f>
        <v>0</v>
      </c>
      <c r="F35" s="1">
        <f>[1]Results!I1395</f>
        <v>0</v>
      </c>
      <c r="G35" s="1">
        <f>[1]Results!J1395</f>
        <v>9.2654683925275094E-8</v>
      </c>
      <c r="H35" s="1">
        <f>[1]Results!K1395</f>
        <v>9.0982088529756311E-8</v>
      </c>
      <c r="I35" s="1">
        <f>[1]Results!L1395</f>
        <v>-7.2662926974698117E-2</v>
      </c>
      <c r="J35" s="1">
        <f>[1]Results!M1395</f>
        <v>0.29555686198645681</v>
      </c>
      <c r="K35" s="1">
        <f>[1]Results!N1395</f>
        <v>0.7669417469892581</v>
      </c>
      <c r="L35" s="1">
        <f>[1]Results!O1395</f>
        <v>1.4001291249675862</v>
      </c>
      <c r="M35" s="1">
        <f>[1]Results!P1395</f>
        <v>2.2113129074645022</v>
      </c>
      <c r="N35" s="1">
        <f>[1]Results!Q1395</f>
        <v>3.0220303206587751</v>
      </c>
      <c r="O35" s="1">
        <f>[1]Results!R1395</f>
        <v>3.8055271165443605</v>
      </c>
      <c r="P35" s="1">
        <f>[1]Results!S1395</f>
        <v>4.5479317199320191</v>
      </c>
      <c r="Q35" s="1">
        <f>[1]Results!T1395</f>
        <v>5.2402407566154663</v>
      </c>
      <c r="R35" s="1">
        <f>[1]Results!U1395</f>
        <v>5.8729524352626905</v>
      </c>
      <c r="S35" s="1">
        <f>[1]Results!V1395</f>
        <v>6.5619273471768214</v>
      </c>
      <c r="T35" s="1">
        <f>[1]Results!W1395</f>
        <v>7.2825649166433637</v>
      </c>
      <c r="U35" s="1">
        <f>[1]Results!X1395</f>
        <v>8.0014064123299367</v>
      </c>
      <c r="V35" s="1">
        <f>[1]Results!Y1395</f>
        <v>8.6913946056717872</v>
      </c>
      <c r="W35" s="1">
        <f>[1]Results!Z1395</f>
        <v>9.3334826795169903</v>
      </c>
      <c r="X35" s="1">
        <f>[1]Results!AA1395</f>
        <v>9.9183626348805944</v>
      </c>
      <c r="Y35" s="1">
        <f>[1]Results!AB1395</f>
        <v>10.440119445868024</v>
      </c>
      <c r="Z35" s="1">
        <f>[1]Results!AC1395</f>
        <v>10.889567947001911</v>
      </c>
      <c r="AA35" s="1">
        <f>[1]Results!AD1395</f>
        <v>11.258723750069333</v>
      </c>
      <c r="AB35" s="1">
        <f>[1]Results!AE1395</f>
        <v>11.543048082889417</v>
      </c>
      <c r="AC35" s="1">
        <f>[1]Results!AF1395</f>
        <v>11.756270704840777</v>
      </c>
      <c r="AD35" s="1">
        <f>[1]Results!AG1395</f>
        <v>11.918731268294014</v>
      </c>
      <c r="AE35" s="1">
        <f>[1]Results!AH1395</f>
        <v>12.036165189777325</v>
      </c>
      <c r="AF35" s="1">
        <f>[1]Results!AI1395</f>
        <v>12.115015638956805</v>
      </c>
      <c r="AG35" s="1">
        <f>[1]Results!AJ1395</f>
        <v>12.165181260561319</v>
      </c>
      <c r="AH35" s="1">
        <f>[1]Results!AK1395</f>
        <v>12.206187050462148</v>
      </c>
      <c r="AI35" s="1">
        <f>[1]Results!AL1395</f>
        <v>12.263280460059867</v>
      </c>
      <c r="AJ35" s="1">
        <f>[1]Results!AM1395</f>
        <v>12.358581576172845</v>
      </c>
      <c r="AK35" s="1">
        <f>[1]Results!AN1395</f>
        <v>12.518329553263307</v>
      </c>
      <c r="AL35" s="1">
        <f>[1]Results!AO1395</f>
        <v>12.778529966457764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9.804792533429918E-8</v>
      </c>
      <c r="E36" s="1">
        <f>[1]Results!H1396</f>
        <v>9.6270302840650857E-8</v>
      </c>
      <c r="F36" s="1">
        <f>[1]Results!I1396</f>
        <v>9.4493723956645681E-8</v>
      </c>
      <c r="G36" s="1">
        <f>[1]Results!J1396</f>
        <v>0</v>
      </c>
      <c r="H36" s="1">
        <f>[1]Results!K1396</f>
        <v>9.1237595256643544E-8</v>
      </c>
      <c r="I36" s="1">
        <f>[1]Results!L1396</f>
        <v>-0.10185675123445259</v>
      </c>
      <c r="J36" s="1">
        <f>[1]Results!M1396</f>
        <v>0.3703516696813125</v>
      </c>
      <c r="K36" s="1">
        <f>[1]Results!N1396</f>
        <v>0.94776916054732929</v>
      </c>
      <c r="L36" s="1">
        <f>[1]Results!O1396</f>
        <v>1.6963525104446653</v>
      </c>
      <c r="M36" s="1">
        <f>[1]Results!P1396</f>
        <v>2.6162785806701727</v>
      </c>
      <c r="N36" s="1">
        <f>[1]Results!Q1396</f>
        <v>3.4630516856465121</v>
      </c>
      <c r="O36" s="1">
        <f>[1]Results!R1396</f>
        <v>4.2026218854255948</v>
      </c>
      <c r="P36" s="1">
        <f>[1]Results!S1396</f>
        <v>4.8440803825228418</v>
      </c>
      <c r="Q36" s="1">
        <f>[1]Results!T1396</f>
        <v>5.3976631851660128</v>
      </c>
      <c r="R36" s="1">
        <f>[1]Results!U1396</f>
        <v>5.8687428669365271</v>
      </c>
      <c r="S36" s="1">
        <f>[1]Results!V1396</f>
        <v>6.4301309170396781</v>
      </c>
      <c r="T36" s="1">
        <f>[1]Results!W1396</f>
        <v>7.052338062336716</v>
      </c>
      <c r="U36" s="1">
        <f>[1]Results!X1396</f>
        <v>7.6885859864328054</v>
      </c>
      <c r="V36" s="1">
        <f>[1]Results!Y1396</f>
        <v>8.3037482329587178</v>
      </c>
      <c r="W36" s="1">
        <f>[1]Results!Z1396</f>
        <v>8.8737528920062694</v>
      </c>
      <c r="X36" s="1">
        <f>[1]Results!AA1396</f>
        <v>9.3895433686512106</v>
      </c>
      <c r="Y36" s="1">
        <f>[1]Results!AB1396</f>
        <v>9.8444737526749648</v>
      </c>
      <c r="Z36" s="1">
        <f>[1]Results!AC1396</f>
        <v>10.225188617225633</v>
      </c>
      <c r="AA36" s="1">
        <f>[1]Results!AD1396</f>
        <v>10.521424666066025</v>
      </c>
      <c r="AB36" s="1">
        <f>[1]Results!AE1396</f>
        <v>10.72748494275686</v>
      </c>
      <c r="AC36" s="1">
        <f>[1]Results!AF1396</f>
        <v>10.86730662675186</v>
      </c>
      <c r="AD36" s="1">
        <f>[1]Results!AG1396</f>
        <v>10.967720651894929</v>
      </c>
      <c r="AE36" s="1">
        <f>[1]Results!AH1396</f>
        <v>11.025662952249382</v>
      </c>
      <c r="AF36" s="1">
        <f>[1]Results!AI1396</f>
        <v>11.041950173803405</v>
      </c>
      <c r="AG36" s="1">
        <f>[1]Results!AJ1396</f>
        <v>11.021517311401062</v>
      </c>
      <c r="AH36" s="1">
        <f>[1]Results!AK1396</f>
        <v>10.982950855865671</v>
      </c>
      <c r="AI36" s="1">
        <f>[1]Results!AL1396</f>
        <v>10.948893803693949</v>
      </c>
      <c r="AJ36" s="1">
        <f>[1]Results!AM1396</f>
        <v>10.931095617118004</v>
      </c>
      <c r="AK36" s="1">
        <f>[1]Results!AN1396</f>
        <v>10.943613754036562</v>
      </c>
      <c r="AL36" s="1">
        <f>[1]Results!AO1396</f>
        <v>11.006040476673862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-0.29469069028934536</v>
      </c>
      <c r="J37" s="1">
        <f>[1]Results!M1397</f>
        <v>5.3623139142944254E-2</v>
      </c>
      <c r="K37" s="1">
        <f>[1]Results!N1397</f>
        <v>0.40792812373620091</v>
      </c>
      <c r="L37" s="1">
        <f>[1]Results!O1397</f>
        <v>0.84830499224046729</v>
      </c>
      <c r="M37" s="1">
        <f>[1]Results!P1397</f>
        <v>1.3621329669661009</v>
      </c>
      <c r="N37" s="1">
        <f>[1]Results!Q1397</f>
        <v>1.7253541697817676</v>
      </c>
      <c r="O37" s="1">
        <f>[1]Results!R1397</f>
        <v>1.8475999475478178</v>
      </c>
      <c r="P37" s="1">
        <f>[1]Results!S1397</f>
        <v>1.8342517741261277</v>
      </c>
      <c r="Q37" s="1">
        <f>[1]Results!T1397</f>
        <v>1.7297028069188869</v>
      </c>
      <c r="R37" s="1">
        <f>[1]Results!U1397</f>
        <v>1.555091230906025</v>
      </c>
      <c r="S37" s="1">
        <f>[1]Results!V1397</f>
        <v>1.6068024382265955</v>
      </c>
      <c r="T37" s="1">
        <f>[1]Results!W1397</f>
        <v>1.7222284849573333</v>
      </c>
      <c r="U37" s="1">
        <f>[1]Results!X1397</f>
        <v>1.8397051365040218</v>
      </c>
      <c r="V37" s="1">
        <f>[1]Results!Y1397</f>
        <v>1.9419809326582937</v>
      </c>
      <c r="W37" s="1">
        <f>[1]Results!Z1397</f>
        <v>2.0232459272639058</v>
      </c>
      <c r="X37" s="1">
        <f>[1]Results!AA1397</f>
        <v>2.1007176534276084</v>
      </c>
      <c r="Y37" s="1">
        <f>[1]Results!AB1397</f>
        <v>2.1740245209940223</v>
      </c>
      <c r="Z37" s="1">
        <f>[1]Results!AC1397</f>
        <v>2.2161189646383583</v>
      </c>
      <c r="AA37" s="1">
        <f>[1]Results!AD1397</f>
        <v>2.2172981801480418</v>
      </c>
      <c r="AB37" s="1">
        <f>[1]Results!AE1397</f>
        <v>2.1749593484193808</v>
      </c>
      <c r="AC37" s="1">
        <f>[1]Results!AF1397</f>
        <v>2.1631729762204399</v>
      </c>
      <c r="AD37" s="1">
        <f>[1]Results!AG1397</f>
        <v>2.2168126269958899</v>
      </c>
      <c r="AE37" s="1">
        <f>[1]Results!AH1397</f>
        <v>2.2755452482101202</v>
      </c>
      <c r="AF37" s="1">
        <f>[1]Results!AI1397</f>
        <v>2.3250681464804135</v>
      </c>
      <c r="AG37" s="1">
        <f>[1]Results!AJ1397</f>
        <v>2.3630463086458109</v>
      </c>
      <c r="AH37" s="1">
        <f>[1]Results!AK1397</f>
        <v>2.4201623419047635</v>
      </c>
      <c r="AI37" s="1">
        <f>[1]Results!AL1397</f>
        <v>2.5178522860618724</v>
      </c>
      <c r="AJ37" s="1">
        <f>[1]Results!AM1397</f>
        <v>2.6334461137192955</v>
      </c>
      <c r="AK37" s="1">
        <f>[1]Results!AN1397</f>
        <v>2.7592111040933398</v>
      </c>
      <c r="AL37" s="1">
        <f>[1]Results!AO1397</f>
        <v>2.8930289274021748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2.3543722527108457E-8</v>
      </c>
      <c r="E38" s="1">
        <f>[1]Results!H1398</f>
        <v>2.2840107583022018E-8</v>
      </c>
      <c r="F38" s="1">
        <f>[1]Results!I1398</f>
        <v>2.215991834475517E-8</v>
      </c>
      <c r="G38" s="1">
        <f>[1]Results!J1398</f>
        <v>4.2993431037530172E-8</v>
      </c>
      <c r="H38" s="1">
        <f>[1]Results!K1398</f>
        <v>6.2576588355511831E-8</v>
      </c>
      <c r="I38" s="1">
        <f>[1]Results!L1398</f>
        <v>1.3860267636500723E-3</v>
      </c>
      <c r="J38" s="1">
        <f>[1]Results!M1398</f>
        <v>-2.7950123247344472E-2</v>
      </c>
      <c r="K38" s="1">
        <f>[1]Results!N1398</f>
        <v>0.1603471332920936</v>
      </c>
      <c r="L38" s="1">
        <f>[1]Results!O1398</f>
        <v>0.56916195266980552</v>
      </c>
      <c r="M38" s="1">
        <f>[1]Results!P1398</f>
        <v>1.1851358884811036</v>
      </c>
      <c r="N38" s="1">
        <f>[1]Results!Q1398</f>
        <v>1.9891828563950886</v>
      </c>
      <c r="O38" s="1">
        <f>[1]Results!R1398</f>
        <v>2.8769027671816882</v>
      </c>
      <c r="P38" s="1">
        <f>[1]Results!S1398</f>
        <v>3.7832325343542861</v>
      </c>
      <c r="Q38" s="1">
        <f>[1]Results!T1398</f>
        <v>4.6704298402865829</v>
      </c>
      <c r="R38" s="1">
        <f>[1]Results!U1398</f>
        <v>5.5153044596509382</v>
      </c>
      <c r="S38" s="1">
        <f>[1]Results!V1398</f>
        <v>6.2979566281540222</v>
      </c>
      <c r="T38" s="1">
        <f>[1]Results!W1398</f>
        <v>7.0562295870880032</v>
      </c>
      <c r="U38" s="1">
        <f>[1]Results!X1398</f>
        <v>7.8049367397267755</v>
      </c>
      <c r="V38" s="1">
        <f>[1]Results!Y1398</f>
        <v>8.5415414277069992</v>
      </c>
      <c r="W38" s="1">
        <f>[1]Results!Z1398</f>
        <v>9.2551412745661032</v>
      </c>
      <c r="X38" s="1">
        <f>[1]Results!AA1398</f>
        <v>9.9317267578319814</v>
      </c>
      <c r="Y38" s="1">
        <f>[1]Results!AB1398</f>
        <v>10.559969467019892</v>
      </c>
      <c r="Z38" s="1">
        <f>[1]Results!AC1398</f>
        <v>11.131085376380078</v>
      </c>
      <c r="AA38" s="1">
        <f>[1]Results!AD1398</f>
        <v>11.63673713137694</v>
      </c>
      <c r="AB38" s="1">
        <f>[1]Results!AE1398</f>
        <v>12.070250593385357</v>
      </c>
      <c r="AC38" s="1">
        <f>[1]Results!AF1398</f>
        <v>12.426512751704788</v>
      </c>
      <c r="AD38" s="1">
        <f>[1]Results!AG1398</f>
        <v>12.709824606489018</v>
      </c>
      <c r="AE38" s="1">
        <f>[1]Results!AH1398</f>
        <v>12.932676595319537</v>
      </c>
      <c r="AF38" s="1">
        <f>[1]Results!AI1398</f>
        <v>13.107275277625718</v>
      </c>
      <c r="AG38" s="1">
        <f>[1]Results!AJ1398</f>
        <v>13.246206287660689</v>
      </c>
      <c r="AH38" s="1">
        <f>[1]Results!AK1398</f>
        <v>13.364231556718465</v>
      </c>
      <c r="AI38" s="1">
        <f>[1]Results!AL1398</f>
        <v>13.482146439213082</v>
      </c>
      <c r="AJ38" s="1">
        <f>[1]Results!AM1398</f>
        <v>13.627832440378352</v>
      </c>
      <c r="AK38" s="1">
        <f>[1]Results!AN1398</f>
        <v>13.834236107223873</v>
      </c>
      <c r="AL38" s="1">
        <f>[1]Results!AO1398</f>
        <v>14.142267673933805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2.3543722527108457E-8</v>
      </c>
      <c r="E39" s="1">
        <f>[1]Results!H1399</f>
        <v>2.2840085378561525E-8</v>
      </c>
      <c r="F39" s="1">
        <f>[1]Results!I1399</f>
        <v>-7.2184713761913599E-8</v>
      </c>
      <c r="G39" s="1">
        <f>[1]Results!J1399</f>
        <v>4.2993431037530172E-8</v>
      </c>
      <c r="H39" s="1">
        <f>[1]Results!K1399</f>
        <v>-2.8570745769229688E-8</v>
      </c>
      <c r="I39" s="1">
        <f>[1]Results!L1399</f>
        <v>8.5203451491566717E-2</v>
      </c>
      <c r="J39" s="1">
        <f>[1]Results!M1399</f>
        <v>-0.74073395067122405</v>
      </c>
      <c r="K39" s="1">
        <f>[1]Results!N1399</f>
        <v>-1.2061684382753346</v>
      </c>
      <c r="L39" s="1">
        <f>[1]Results!O1399</f>
        <v>-1.5608472421356767</v>
      </c>
      <c r="M39" s="1">
        <f>[1]Results!P1399</f>
        <v>-1.8317155620209857</v>
      </c>
      <c r="N39" s="1">
        <f>[1]Results!Q1399</f>
        <v>-1.7532280347246409</v>
      </c>
      <c r="O39" s="1">
        <f>[1]Results!R1399</f>
        <v>-1.5442322613813397</v>
      </c>
      <c r="P39" s="1">
        <f>[1]Results!S1399</f>
        <v>-1.272401748693075</v>
      </c>
      <c r="Q39" s="1">
        <f>[1]Results!T1399</f>
        <v>-0.97055610667727832</v>
      </c>
      <c r="R39" s="1">
        <f>[1]Results!U1399</f>
        <v>-0.65353706074704476</v>
      </c>
      <c r="S39" s="1">
        <f>[1]Results!V1399</f>
        <v>-0.50716960984368287</v>
      </c>
      <c r="T39" s="1">
        <f>[1]Results!W1399</f>
        <v>-0.40428529932471369</v>
      </c>
      <c r="U39" s="1">
        <f>[1]Results!X1399</f>
        <v>-0.29672731273645558</v>
      </c>
      <c r="V39" s="1">
        <f>[1]Results!Y1399</f>
        <v>-0.16485896690356938</v>
      </c>
      <c r="W39" s="1">
        <f>[1]Results!Z1399</f>
        <v>-4.3303653092796601E-3</v>
      </c>
      <c r="X39" s="1">
        <f>[1]Results!AA1399</f>
        <v>0.17674195264754111</v>
      </c>
      <c r="Y39" s="1">
        <f>[1]Results!AB1399</f>
        <v>0.37310497017439825</v>
      </c>
      <c r="Z39" s="1">
        <f>[1]Results!AC1399</f>
        <v>0.58739794708499993</v>
      </c>
      <c r="AA39" s="1">
        <f>[1]Results!AD1399</f>
        <v>0.81957420336624676</v>
      </c>
      <c r="AB39" s="1">
        <f>[1]Results!AE1399</f>
        <v>1.067630774458439</v>
      </c>
      <c r="AC39" s="1">
        <f>[1]Results!AF1399</f>
        <v>1.3084152519190262</v>
      </c>
      <c r="AD39" s="1">
        <f>[1]Results!AG1399</f>
        <v>1.5278126007421511</v>
      </c>
      <c r="AE39" s="1">
        <f>[1]Results!AH1399</f>
        <v>1.7405328984906765</v>
      </c>
      <c r="AF39" s="1">
        <f>[1]Results!AI1399</f>
        <v>1.9542217098679204</v>
      </c>
      <c r="AG39" s="1">
        <f>[1]Results!AJ1399</f>
        <v>2.1730080574800414</v>
      </c>
      <c r="AH39" s="1">
        <f>[1]Results!AK1399</f>
        <v>2.3924226829834305</v>
      </c>
      <c r="AI39" s="1">
        <f>[1]Results!AL1399</f>
        <v>2.6111083364132259</v>
      </c>
      <c r="AJ39" s="1">
        <f>[1]Results!AM1399</f>
        <v>2.8424234558251493</v>
      </c>
      <c r="AK39" s="1">
        <f>[1]Results!AN1399</f>
        <v>3.1006003305300345</v>
      </c>
      <c r="AL39" s="1">
        <f>[1]Results!AO1399</f>
        <v>3.4015186969267752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0</v>
      </c>
      <c r="E40" s="1">
        <f>[1]Results!H1400</f>
        <v>1.7933765583677541E-8</v>
      </c>
      <c r="F40" s="1">
        <f>[1]Results!I1400</f>
        <v>1.7399703899911856E-8</v>
      </c>
      <c r="G40" s="1">
        <f>[1]Results!J1400</f>
        <v>3.3757929784883345E-8</v>
      </c>
      <c r="H40" s="1">
        <f>[1]Results!K1400</f>
        <v>4.9134385449178808E-8</v>
      </c>
      <c r="I40" s="1">
        <f>[1]Results!L1400</f>
        <v>1.3860350272176802E-3</v>
      </c>
      <c r="J40" s="1">
        <f>[1]Results!M1400</f>
        <v>-2.7950129434173299E-2</v>
      </c>
      <c r="K40" s="1">
        <f>[1]Results!N1400</f>
        <v>0.16034713595851624</v>
      </c>
      <c r="L40" s="1">
        <f>[1]Results!O1400</f>
        <v>0.56916196386460616</v>
      </c>
      <c r="M40" s="1">
        <f>[1]Results!P1400</f>
        <v>1.1851358876118434</v>
      </c>
      <c r="N40" s="1">
        <f>[1]Results!Q1400</f>
        <v>1.9891828605556272</v>
      </c>
      <c r="O40" s="1">
        <f>[1]Results!R1400</f>
        <v>2.8769027832418859</v>
      </c>
      <c r="P40" s="1">
        <f>[1]Results!S1400</f>
        <v>3.7832325272240341</v>
      </c>
      <c r="Q40" s="1">
        <f>[1]Results!T1400</f>
        <v>4.6704298510803266</v>
      </c>
      <c r="R40" s="1">
        <f>[1]Results!U1400</f>
        <v>5.5153044650749772</v>
      </c>
      <c r="S40" s="1">
        <f>[1]Results!V1400</f>
        <v>6.2979566208037241</v>
      </c>
      <c r="T40" s="1">
        <f>[1]Results!W1400</f>
        <v>7.0562295816159359</v>
      </c>
      <c r="U40" s="1">
        <f>[1]Results!X1400</f>
        <v>7.8049367415311766</v>
      </c>
      <c r="V40" s="1">
        <f>[1]Results!Y1400</f>
        <v>8.5415414111341459</v>
      </c>
      <c r="W40" s="1">
        <f>[1]Results!Z1400</f>
        <v>9.255141223526774</v>
      </c>
      <c r="X40" s="1">
        <f>[1]Results!AA1400</f>
        <v>9.9317267715599566</v>
      </c>
      <c r="Y40" s="1">
        <f>[1]Results!AB1400</f>
        <v>10.559969432644877</v>
      </c>
      <c r="Z40" s="1">
        <f>[1]Results!AC1400</f>
        <v>11.131085368583115</v>
      </c>
      <c r="AA40" s="1">
        <f>[1]Results!AD1400</f>
        <v>11.63673709029036</v>
      </c>
      <c r="AB40" s="1">
        <f>[1]Results!AE1400</f>
        <v>12.070250659867776</v>
      </c>
      <c r="AC40" s="1">
        <f>[1]Results!AF1400</f>
        <v>12.426512791959876</v>
      </c>
      <c r="AD40" s="1">
        <f>[1]Results!AG1400</f>
        <v>12.709824604453379</v>
      </c>
      <c r="AE40" s="1">
        <f>[1]Results!AH1400</f>
        <v>12.932676558573064</v>
      </c>
      <c r="AF40" s="1">
        <f>[1]Results!AI1400</f>
        <v>13.107275275462493</v>
      </c>
      <c r="AG40" s="1">
        <f>[1]Results!AJ1400</f>
        <v>13.246206338057021</v>
      </c>
      <c r="AH40" s="1">
        <f>[1]Results!AK1400</f>
        <v>13.364231542278905</v>
      </c>
      <c r="AI40" s="1">
        <f>[1]Results!AL1400</f>
        <v>13.482146408227269</v>
      </c>
      <c r="AJ40" s="1">
        <f>[1]Results!AM1400</f>
        <v>13.627832441644582</v>
      </c>
      <c r="AK40" s="1">
        <f>[1]Results!AN1400</f>
        <v>13.834236093740127</v>
      </c>
      <c r="AL40" s="1">
        <f>[1]Results!AO1400</f>
        <v>14.142267691987609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0</v>
      </c>
      <c r="E41" s="1">
        <f>[1]Results!H1401</f>
        <v>1.7933765583677541E-8</v>
      </c>
      <c r="F41" s="1">
        <f>[1]Results!I1401</f>
        <v>-7.7093031958241909E-8</v>
      </c>
      <c r="G41" s="1">
        <f>[1]Results!J1401</f>
        <v>3.3757951989343837E-8</v>
      </c>
      <c r="H41" s="1">
        <f>[1]Results!K1401</f>
        <v>-4.1755365831619429E-8</v>
      </c>
      <c r="I41" s="1">
        <f>[1]Results!L1401</f>
        <v>-1.0631589578380396E-2</v>
      </c>
      <c r="J41" s="1">
        <f>[1]Results!M1401</f>
        <v>9.2198973836254972E-2</v>
      </c>
      <c r="K41" s="1">
        <f>[1]Results!N1401</f>
        <v>4.5133470904268336E-2</v>
      </c>
      <c r="L41" s="1">
        <f>[1]Results!O1401</f>
        <v>2.1793254460678035E-2</v>
      </c>
      <c r="M41" s="1">
        <f>[1]Results!P1401</f>
        <v>-7.3154540684239322E-3</v>
      </c>
      <c r="N41" s="1">
        <f>[1]Results!Q1401</f>
        <v>-6.1397047069688959E-2</v>
      </c>
      <c r="O41" s="1">
        <f>[1]Results!R1401</f>
        <v>-4.9837096392291169E-2</v>
      </c>
      <c r="P41" s="1">
        <f>[1]Results!S1401</f>
        <v>-1.0447352194575821E-3</v>
      </c>
      <c r="Q41" s="1">
        <f>[1]Results!T1401</f>
        <v>6.568524020054145E-2</v>
      </c>
      <c r="R41" s="1">
        <f>[1]Results!U1401</f>
        <v>0.14204981034824371</v>
      </c>
      <c r="S41" s="1">
        <f>[1]Results!V1401</f>
        <v>0.24550893273194152</v>
      </c>
      <c r="T41" s="1">
        <f>[1]Results!W1401</f>
        <v>0.29752971782821547</v>
      </c>
      <c r="U41" s="1">
        <f>[1]Results!X1401</f>
        <v>0.33600158516573497</v>
      </c>
      <c r="V41" s="1">
        <f>[1]Results!Y1401</f>
        <v>0.38376902987282691</v>
      </c>
      <c r="W41" s="1">
        <f>[1]Results!Z1401</f>
        <v>0.44933568991283312</v>
      </c>
      <c r="X41" s="1">
        <f>[1]Results!AA1401</f>
        <v>0.53151042564161255</v>
      </c>
      <c r="Y41" s="1">
        <f>[1]Results!AB1401</f>
        <v>0.62574225079710111</v>
      </c>
      <c r="Z41" s="1">
        <f>[1]Results!AC1401</f>
        <v>0.72922047947054924</v>
      </c>
      <c r="AA41" s="1">
        <f>[1]Results!AD1401</f>
        <v>0.84072090702000946</v>
      </c>
      <c r="AB41" s="1">
        <f>[1]Results!AE1401</f>
        <v>0.95866407326501424</v>
      </c>
      <c r="AC41" s="1">
        <f>[1]Results!AF1401</f>
        <v>1.0745998212874808</v>
      </c>
      <c r="AD41" s="1">
        <f>[1]Results!AG1401</f>
        <v>1.1766568601048411</v>
      </c>
      <c r="AE41" s="1">
        <f>[1]Results!AH1401</f>
        <v>1.2609120747234304</v>
      </c>
      <c r="AF41" s="1">
        <f>[1]Results!AI1401</f>
        <v>1.329269817536427</v>
      </c>
      <c r="AG41" s="1">
        <f>[1]Results!AJ1401</f>
        <v>1.3814950523116654</v>
      </c>
      <c r="AH41" s="1">
        <f>[1]Results!AK1401</f>
        <v>1.4139089115748682</v>
      </c>
      <c r="AI41" s="1">
        <f>[1]Results!AL1401</f>
        <v>1.4207289112700527</v>
      </c>
      <c r="AJ41" s="1">
        <f>[1]Results!AM1401</f>
        <v>1.3990898726679246</v>
      </c>
      <c r="AK41" s="1">
        <f>[1]Results!AN1401</f>
        <v>1.3484437877061106</v>
      </c>
      <c r="AL41" s="1">
        <f>[1]Results!AO1401</f>
        <v>1.2658656005539282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0</v>
      </c>
      <c r="E42" s="1">
        <f>[1]Results!H1402</f>
        <v>0</v>
      </c>
      <c r="F42" s="1">
        <f>[1]Results!I1402</f>
        <v>3.6061020836086755E-8</v>
      </c>
      <c r="G42" s="1">
        <f>[1]Results!J1402</f>
        <v>0</v>
      </c>
      <c r="H42" s="1">
        <f>[1]Results!K1402</f>
        <v>0</v>
      </c>
      <c r="I42" s="1">
        <f>[1]Results!L1402</f>
        <v>9.174361552144461E-3</v>
      </c>
      <c r="J42" s="1">
        <f>[1]Results!M1402</f>
        <v>-3.9459407757846954E-2</v>
      </c>
      <c r="K42" s="1">
        <f>[1]Results!N1402</f>
        <v>-0.11673343903674249</v>
      </c>
      <c r="L42" s="1">
        <f>[1]Results!O1402</f>
        <v>-1.2574744861726384E-2</v>
      </c>
      <c r="M42" s="1">
        <f>[1]Results!P1402</f>
        <v>0.21696997149236452</v>
      </c>
      <c r="N42" s="1">
        <f>[1]Results!Q1402</f>
        <v>0.48322819166490838</v>
      </c>
      <c r="O42" s="1">
        <f>[1]Results!R1402</f>
        <v>0.73193908284723275</v>
      </c>
      <c r="P42" s="1">
        <f>[1]Results!S1402</f>
        <v>0.94486213513178541</v>
      </c>
      <c r="Q42" s="1">
        <f>[1]Results!T1402</f>
        <v>1.1298701234701891</v>
      </c>
      <c r="R42" s="1">
        <f>[1]Results!U1402</f>
        <v>1.2965600864840887</v>
      </c>
      <c r="S42" s="1">
        <f>[1]Results!V1402</f>
        <v>1.4370595260994046</v>
      </c>
      <c r="T42" s="1">
        <f>[1]Results!W1402</f>
        <v>1.5474180697767403</v>
      </c>
      <c r="U42" s="1">
        <f>[1]Results!X1402</f>
        <v>1.6274071124983802</v>
      </c>
      <c r="V42" s="1">
        <f>[1]Results!Y1402</f>
        <v>1.6813105237861059</v>
      </c>
      <c r="W42" s="1">
        <f>[1]Results!Z1402</f>
        <v>1.7160077004259033</v>
      </c>
      <c r="X42" s="1">
        <f>[1]Results!AA1402</f>
        <v>1.7383802637801482</v>
      </c>
      <c r="Y42" s="1">
        <f>[1]Results!AB1402</f>
        <v>1.7554596402307387</v>
      </c>
      <c r="Z42" s="1">
        <f>[1]Results!AC1402</f>
        <v>1.7736092809377046</v>
      </c>
      <c r="AA42" s="1">
        <f>[1]Results!AD1402</f>
        <v>1.7987058656968591</v>
      </c>
      <c r="AB42" s="1">
        <f>[1]Results!AE1402</f>
        <v>1.8366016027123955</v>
      </c>
      <c r="AC42" s="1">
        <f>[1]Results!AF1402</f>
        <v>1.8931858946783287</v>
      </c>
      <c r="AD42" s="1">
        <f>[1]Results!AG1402</f>
        <v>1.9748072274135886</v>
      </c>
      <c r="AE42" s="1">
        <f>[1]Results!AH1402</f>
        <v>2.0882622797806505</v>
      </c>
      <c r="AF42" s="1">
        <f>[1]Results!AI1402</f>
        <v>2.2415680321060449</v>
      </c>
      <c r="AG42" s="1">
        <f>[1]Results!AJ1402</f>
        <v>2.4439879316255908</v>
      </c>
      <c r="AH42" s="1">
        <f>[1]Results!AK1402</f>
        <v>2.7064680435459954</v>
      </c>
      <c r="AI42" s="1">
        <f>[1]Results!AL1402</f>
        <v>3.0426665408176845</v>
      </c>
      <c r="AJ42" s="1">
        <f>[1]Results!AM1402</f>
        <v>3.4703484299133391</v>
      </c>
      <c r="AK42" s="1">
        <f>[1]Results!AN1402</f>
        <v>4.0142306230686486</v>
      </c>
      <c r="AL42" s="1">
        <f>[1]Results!AO1402</f>
        <v>4.7106122965261399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</v>
      </c>
      <c r="E43" s="1">
        <f>[1]Results!H1403</f>
        <v>0</v>
      </c>
      <c r="F43" s="1">
        <f>[1]Results!I1403</f>
        <v>9.9999997473787516E-6</v>
      </c>
      <c r="G43" s="1">
        <f>[1]Results!J1403</f>
        <v>0</v>
      </c>
      <c r="H43" s="1">
        <f>[1]Results!K1403</f>
        <v>0</v>
      </c>
      <c r="I43" s="1">
        <f>[1]Results!L1403</f>
        <v>2.5944799999997485</v>
      </c>
      <c r="J43" s="1">
        <f>[1]Results!M1403</f>
        <v>-11.23203999999896</v>
      </c>
      <c r="K43" s="1">
        <f>[1]Results!N1403</f>
        <v>-33.437040000000707</v>
      </c>
      <c r="L43" s="1">
        <f>[1]Results!O1403</f>
        <v>-3.6236900000003516</v>
      </c>
      <c r="M43" s="1">
        <f>[1]Results!P1403</f>
        <v>62.915399999998044</v>
      </c>
      <c r="N43" s="1">
        <f>[1]Results!Q1403</f>
        <v>140.96867999999813</v>
      </c>
      <c r="O43" s="1">
        <f>[1]Results!R1403</f>
        <v>214.73850999999922</v>
      </c>
      <c r="P43" s="1">
        <f>[1]Results!S1403</f>
        <v>278.58093999999983</v>
      </c>
      <c r="Q43" s="1">
        <f>[1]Results!T1403</f>
        <v>334.51627000000008</v>
      </c>
      <c r="R43" s="1">
        <f>[1]Results!U1403</f>
        <v>385.21988000000056</v>
      </c>
      <c r="S43" s="1">
        <f>[1]Results!V1403</f>
        <v>428.33727999999974</v>
      </c>
      <c r="T43" s="1">
        <f>[1]Results!W1403</f>
        <v>462.74541999999929</v>
      </c>
      <c r="U43" s="1">
        <f>[1]Results!X1403</f>
        <v>488.4463399999986</v>
      </c>
      <c r="V43" s="1">
        <f>[1]Results!Y1403</f>
        <v>506.76509000000078</v>
      </c>
      <c r="W43" s="1">
        <f>[1]Results!Z1403</f>
        <v>519.66039999999703</v>
      </c>
      <c r="X43" s="1">
        <f>[1]Results!AA1403</f>
        <v>529.36373000000094</v>
      </c>
      <c r="Y43" s="1">
        <f>[1]Results!AB1403</f>
        <v>538.04336999999941</v>
      </c>
      <c r="Z43" s="1">
        <f>[1]Results!AC1403</f>
        <v>547.6840400000001</v>
      </c>
      <c r="AA43" s="1">
        <f>[1]Results!AD1403</f>
        <v>560.14255000000048</v>
      </c>
      <c r="AB43" s="1">
        <f>[1]Results!AE1403</f>
        <v>576.94843000000037</v>
      </c>
      <c r="AC43" s="1">
        <f>[1]Results!AF1403</f>
        <v>600.33421000000089</v>
      </c>
      <c r="AD43" s="1">
        <f>[1]Results!AG1403</f>
        <v>632.58882000000085</v>
      </c>
      <c r="AE43" s="1">
        <f>[1]Results!AH1403</f>
        <v>676.24245999999766</v>
      </c>
      <c r="AF43" s="1">
        <f>[1]Results!AI1403</f>
        <v>734.28681000000142</v>
      </c>
      <c r="AG43" s="1">
        <f>[1]Results!AJ1403</f>
        <v>810.19842000000062</v>
      </c>
      <c r="AH43" s="1">
        <f>[1]Results!AK1403</f>
        <v>908.12767999999778</v>
      </c>
      <c r="AI43" s="1">
        <f>[1]Results!AL1403</f>
        <v>1033.2851599999995</v>
      </c>
      <c r="AJ43" s="1">
        <f>[1]Results!AM1403</f>
        <v>1192.4461200000005</v>
      </c>
      <c r="AK43" s="1">
        <f>[1]Results!AN1403</f>
        <v>1394.9696499999991</v>
      </c>
      <c r="AL43" s="1">
        <f>[1]Results!AO1403</f>
        <v>1654.4843699999983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-1.000000082740371E-8</v>
      </c>
      <c r="F44" s="1">
        <f>[1]Results!I1404</f>
        <v>-1.000000082740371E-8</v>
      </c>
      <c r="G44" s="1">
        <f>[1]Results!J1404</f>
        <v>-1.000000082740371E-8</v>
      </c>
      <c r="H44" s="1">
        <f>[1]Results!K1404</f>
        <v>-1.000000082740371E-8</v>
      </c>
      <c r="I44" s="1">
        <f>[1]Results!L1404</f>
        <v>-6.7376400000013215E-3</v>
      </c>
      <c r="J44" s="1">
        <f>[1]Results!M1404</f>
        <v>2.9545430000002537E-2</v>
      </c>
      <c r="K44" s="1">
        <f>[1]Results!N1404</f>
        <v>8.4131120000000004E-2</v>
      </c>
      <c r="L44" s="1">
        <f>[1]Results!O1404</f>
        <v>2.0075100000016555E-3</v>
      </c>
      <c r="M44" s="1">
        <f>[1]Results!P1404</f>
        <v>-0.16413224999999865</v>
      </c>
      <c r="N44" s="1">
        <f>[1]Results!Q1404</f>
        <v>-0.34717419999999999</v>
      </c>
      <c r="O44" s="1">
        <f>[1]Results!R1404</f>
        <v>-0.51092193999999891</v>
      </c>
      <c r="P44" s="1">
        <f>[1]Results!S1404</f>
        <v>-0.64628046999999911</v>
      </c>
      <c r="Q44" s="1">
        <f>[1]Results!T1404</f>
        <v>-0.76189125999999852</v>
      </c>
      <c r="R44" s="1">
        <f>[1]Results!U1404</f>
        <v>-0.86566347999999937</v>
      </c>
      <c r="S44" s="1">
        <f>[1]Results!V1404</f>
        <v>-0.95175524000000045</v>
      </c>
      <c r="T44" s="1">
        <f>[1]Results!W1404</f>
        <v>-1.0178781500000011</v>
      </c>
      <c r="U44" s="1">
        <f>[1]Results!X1404</f>
        <v>-1.0645016300000005</v>
      </c>
      <c r="V44" s="1">
        <f>[1]Results!Y1404</f>
        <v>-1.0951375400000005</v>
      </c>
      <c r="W44" s="1">
        <f>[1]Results!Z1404</f>
        <v>-1.1154442499999999</v>
      </c>
      <c r="X44" s="1">
        <f>[1]Results!AA1404</f>
        <v>-1.128572080000001</v>
      </c>
      <c r="Y44" s="1">
        <f>[1]Results!AB1404</f>
        <v>-1.1401990400000006</v>
      </c>
      <c r="Z44" s="1">
        <f>[1]Results!AC1404</f>
        <v>-1.154405180000001</v>
      </c>
      <c r="AA44" s="1">
        <f>[1]Results!AD1404</f>
        <v>-1.1749406700000007</v>
      </c>
      <c r="AB44" s="1">
        <f>[1]Results!AE1404</f>
        <v>-1.2075057700000003</v>
      </c>
      <c r="AC44" s="1">
        <f>[1]Results!AF1404</f>
        <v>-1.2525350899999996</v>
      </c>
      <c r="AD44" s="1">
        <f>[1]Results!AG1404</f>
        <v>-1.3161478199999994</v>
      </c>
      <c r="AE44" s="1">
        <f>[1]Results!AH1404</f>
        <v>-1.4032236599999997</v>
      </c>
      <c r="AF44" s="1">
        <f>[1]Results!AI1404</f>
        <v>-1.5195741399999991</v>
      </c>
      <c r="AG44" s="1">
        <f>[1]Results!AJ1404</f>
        <v>-1.6719135300000008</v>
      </c>
      <c r="AH44" s="1">
        <f>[1]Results!AK1404</f>
        <v>-1.8682149900000007</v>
      </c>
      <c r="AI44" s="1">
        <f>[1]Results!AL1404</f>
        <v>-2.1184934399999999</v>
      </c>
      <c r="AJ44" s="1">
        <f>[1]Results!AM1404</f>
        <v>-2.4357971200000001</v>
      </c>
      <c r="AK44" s="1">
        <f>[1]Results!AN1404</f>
        <v>-2.8382833600000001</v>
      </c>
      <c r="AL44" s="1">
        <f>[1]Results!AO1404</f>
        <v>-3.3525798899999999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-9.0850677675335945E-10</v>
      </c>
      <c r="D45" s="1">
        <f>[1]Results!G1405</f>
        <v>1.7543470148817519E-9</v>
      </c>
      <c r="E45" s="1">
        <f>[1]Results!H1405</f>
        <v>3.9953477158627404E-9</v>
      </c>
      <c r="F45" s="1">
        <f>[1]Results!I1405</f>
        <v>6.1558428168274892E-9</v>
      </c>
      <c r="G45" s="1">
        <f>[1]Results!J1405</f>
        <v>6.8459024039901895E-9</v>
      </c>
      <c r="H45" s="1">
        <f>[1]Results!K1405</f>
        <v>6.3687794621403171E-9</v>
      </c>
      <c r="I45" s="1">
        <f>[1]Results!L1405</f>
        <v>4.7637476012459684E-2</v>
      </c>
      <c r="J45" s="1">
        <f>[1]Results!M1405</f>
        <v>-7.8533547744271806E-2</v>
      </c>
      <c r="K45" s="1">
        <f>[1]Results!N1405</f>
        <v>-0.13927049175466211</v>
      </c>
      <c r="L45" s="1">
        <f>[1]Results!O1405</f>
        <v>5.2739845231416019E-2</v>
      </c>
      <c r="M45" s="1">
        <f>[1]Results!P1405</f>
        <v>0.18319922036489183</v>
      </c>
      <c r="N45" s="1">
        <f>[1]Results!Q1405</f>
        <v>0.24565630018840104</v>
      </c>
      <c r="O45" s="1">
        <f>[1]Results!R1405</f>
        <v>0.26801389248212948</v>
      </c>
      <c r="P45" s="1">
        <f>[1]Results!S1405</f>
        <v>0.26715353282843279</v>
      </c>
      <c r="Q45" s="1">
        <f>[1]Results!T1405</f>
        <v>0.27062975799161654</v>
      </c>
      <c r="R45" s="1">
        <f>[1]Results!U1405</f>
        <v>0.28133191677926184</v>
      </c>
      <c r="S45" s="1">
        <f>[1]Results!V1405</f>
        <v>0.247312833761763</v>
      </c>
      <c r="T45" s="1">
        <f>[1]Results!W1405</f>
        <v>0.22392436543459421</v>
      </c>
      <c r="U45" s="1">
        <f>[1]Results!X1405</f>
        <v>0.20874731700149374</v>
      </c>
      <c r="V45" s="1">
        <f>[1]Results!Y1405</f>
        <v>0.19368152715821385</v>
      </c>
      <c r="W45" s="1">
        <f>[1]Results!Z1405</f>
        <v>0.17273565797645135</v>
      </c>
      <c r="X45" s="1">
        <f>[1]Results!AA1405</f>
        <v>0.14215063309982767</v>
      </c>
      <c r="Y45" s="1">
        <f>[1]Results!AB1405</f>
        <v>0.10201523700565651</v>
      </c>
      <c r="Z45" s="1">
        <f>[1]Results!AC1405</f>
        <v>5.5571058499597967E-2</v>
      </c>
      <c r="AA45" s="1">
        <f>[1]Results!AD1405</f>
        <v>2.889410538228776E-3</v>
      </c>
      <c r="AB45" s="1">
        <f>[1]Results!AE1405</f>
        <v>-5.8554711786976479E-2</v>
      </c>
      <c r="AC45" s="1">
        <f>[1]Results!AF1405</f>
        <v>-0.1332299335422133</v>
      </c>
      <c r="AD45" s="1">
        <f>[1]Results!AG1405</f>
        <v>-0.22200823688445398</v>
      </c>
      <c r="AE45" s="1">
        <f>[1]Results!AH1405</f>
        <v>-0.3143696478874875</v>
      </c>
      <c r="AF45" s="1">
        <f>[1]Results!AI1405</f>
        <v>-0.4105079643819266</v>
      </c>
      <c r="AG45" s="1">
        <f>[1]Results!AJ1405</f>
        <v>-0.51215939353461348</v>
      </c>
      <c r="AH45" s="1">
        <f>[1]Results!AK1405</f>
        <v>-0.62461875773776177</v>
      </c>
      <c r="AI45" s="1">
        <f>[1]Results!AL1405</f>
        <v>-0.75115985100339255</v>
      </c>
      <c r="AJ45" s="1">
        <f>[1]Results!AM1405</f>
        <v>-0.89191046446451949</v>
      </c>
      <c r="AK45" s="1">
        <f>[1]Results!AN1405</f>
        <v>-1.0531765718181589</v>
      </c>
      <c r="AL45" s="1">
        <f>[1]Results!AO1405</f>
        <v>-1.2451248292675605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1.8170137269790665E-9</v>
      </c>
      <c r="D46" s="1">
        <f>[1]Results!G1406</f>
        <v>0</v>
      </c>
      <c r="E46" s="1">
        <f>[1]Results!H1406</f>
        <v>-2.8833451251597531E-9</v>
      </c>
      <c r="F46" s="1">
        <f>[1]Results!I1406</f>
        <v>-3.6690454494059388E-9</v>
      </c>
      <c r="G46" s="1">
        <f>[1]Results!J1406</f>
        <v>-5.8059381954911338E-9</v>
      </c>
      <c r="H46" s="1">
        <f>[1]Results!K1406</f>
        <v>-6.845889653772641E-9</v>
      </c>
      <c r="I46" s="1">
        <f>[1]Results!L1406</f>
        <v>-7.0172563416543571E-2</v>
      </c>
      <c r="J46" s="1">
        <f>[1]Results!M1406</f>
        <v>-0.17000512193071898</v>
      </c>
      <c r="K46" s="1">
        <f>[1]Results!N1406</f>
        <v>-0.2720346538679641</v>
      </c>
      <c r="L46" s="1">
        <f>[1]Results!O1406</f>
        <v>-0.37685791245087275</v>
      </c>
      <c r="M46" s="1">
        <f>[1]Results!P1406</f>
        <v>-0.47704122829950196</v>
      </c>
      <c r="N46" s="1">
        <f>[1]Results!Q1406</f>
        <v>-0.56792011575088119</v>
      </c>
      <c r="O46" s="1">
        <f>[1]Results!R1406</f>
        <v>-0.65379933333156015</v>
      </c>
      <c r="P46" s="1">
        <f>[1]Results!S1406</f>
        <v>-0.73363801283917118</v>
      </c>
      <c r="Q46" s="1">
        <f>[1]Results!T1406</f>
        <v>-0.8088300794399983</v>
      </c>
      <c r="R46" s="1">
        <f>[1]Results!U1406</f>
        <v>-0.88046565466438942</v>
      </c>
      <c r="S46" s="1">
        <f>[1]Results!V1406</f>
        <v>-0.8993497831534738</v>
      </c>
      <c r="T46" s="1">
        <f>[1]Results!W1406</f>
        <v>-0.92384163152619581</v>
      </c>
      <c r="U46" s="1">
        <f>[1]Results!X1406</f>
        <v>-0.95197194842802368</v>
      </c>
      <c r="V46" s="1">
        <f>[1]Results!Y1406</f>
        <v>-0.98169245556467055</v>
      </c>
      <c r="W46" s="1">
        <f>[1]Results!Z1406</f>
        <v>-1.0116843036285725</v>
      </c>
      <c r="X46" s="1">
        <f>[1]Results!AA1406</f>
        <v>-1.0401415893776886</v>
      </c>
      <c r="Y46" s="1">
        <f>[1]Results!AB1406</f>
        <v>-1.0667104325056802</v>
      </c>
      <c r="Z46" s="1">
        <f>[1]Results!AC1406</f>
        <v>-1.0914376119629727</v>
      </c>
      <c r="AA46" s="1">
        <f>[1]Results!AD1406</f>
        <v>-1.1141757968393053</v>
      </c>
      <c r="AB46" s="1">
        <f>[1]Results!AE1406</f>
        <v>-1.1351545453141039</v>
      </c>
      <c r="AC46" s="1">
        <f>[1]Results!AF1406</f>
        <v>-1.1532051942048673</v>
      </c>
      <c r="AD46" s="1">
        <f>[1]Results!AG1406</f>
        <v>-1.1667474300729741</v>
      </c>
      <c r="AE46" s="1">
        <f>[1]Results!AH1406</f>
        <v>-1.1765393643772073</v>
      </c>
      <c r="AF46" s="1">
        <f>[1]Results!AI1406</f>
        <v>-1.1821720084923282</v>
      </c>
      <c r="AG46" s="1">
        <f>[1]Results!AJ1406</f>
        <v>-1.1832760027065941</v>
      </c>
      <c r="AH46" s="1">
        <f>[1]Results!AK1406</f>
        <v>-1.1790558289193038</v>
      </c>
      <c r="AI46" s="1">
        <f>[1]Results!AL1406</f>
        <v>-1.1688999795852417</v>
      </c>
      <c r="AJ46" s="1">
        <f>[1]Results!AM1406</f>
        <v>-1.1526879440086424</v>
      </c>
      <c r="AK46" s="1">
        <f>[1]Results!AN1406</f>
        <v>-1.1296746934767117</v>
      </c>
      <c r="AL46" s="1">
        <f>[1]Results!AO1406</f>
        <v>-1.0984896141729041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1.362760251866213E-9</v>
      </c>
      <c r="D47" s="1">
        <f>[1]Results!G1407</f>
        <v>8.7717350744087597E-10</v>
      </c>
      <c r="E47" s="1">
        <f>[1]Results!H1407</f>
        <v>-1.2033127966271095E-9</v>
      </c>
      <c r="F47" s="1">
        <f>[1]Results!I1407</f>
        <v>-2.8537019969299138E-9</v>
      </c>
      <c r="G47" s="1">
        <f>[1]Results!J1407</f>
        <v>-7.1045684960080457E-9</v>
      </c>
      <c r="H47" s="1">
        <f>[1]Results!K1407</f>
        <v>-1.0237962517686827E-8</v>
      </c>
      <c r="I47" s="1">
        <f>[1]Results!L1407</f>
        <v>-8.2922692005094421E-3</v>
      </c>
      <c r="J47" s="1">
        <f>[1]Results!M1407</f>
        <v>0.12874390933171895</v>
      </c>
      <c r="K47" s="1">
        <f>[1]Results!N1407</f>
        <v>0.19781675305668819</v>
      </c>
      <c r="L47" s="1">
        <f>[1]Results!O1407</f>
        <v>0.115828125994848</v>
      </c>
      <c r="M47" s="1">
        <f>[1]Results!P1407</f>
        <v>-4.9882601216570156E-2</v>
      </c>
      <c r="N47" s="1">
        <f>[1]Results!Q1407</f>
        <v>-0.27169015736020469</v>
      </c>
      <c r="O47" s="1">
        <f>[1]Results!R1407</f>
        <v>-0.48273729473711413</v>
      </c>
      <c r="P47" s="1">
        <f>[1]Results!S1407</f>
        <v>-0.66655679492062825</v>
      </c>
      <c r="Q47" s="1">
        <f>[1]Results!T1407</f>
        <v>-0.82635006803105093</v>
      </c>
      <c r="R47" s="1">
        <f>[1]Results!U1407</f>
        <v>-0.96699971699352705</v>
      </c>
      <c r="S47" s="1">
        <f>[1]Results!V1407</f>
        <v>-1.066536987810407</v>
      </c>
      <c r="T47" s="1">
        <f>[1]Results!W1407</f>
        <v>-1.1437932650624063</v>
      </c>
      <c r="U47" s="1">
        <f>[1]Results!X1407</f>
        <v>-1.2049475243033718</v>
      </c>
      <c r="V47" s="1">
        <f>[1]Results!Y1407</f>
        <v>-1.2523950619884734</v>
      </c>
      <c r="W47" s="1">
        <f>[1]Results!Z1407</f>
        <v>-1.2861939653007883</v>
      </c>
      <c r="X47" s="1">
        <f>[1]Results!AA1407</f>
        <v>-1.3081563959033184</v>
      </c>
      <c r="Y47" s="1">
        <f>[1]Results!AB1407</f>
        <v>-1.3182989385391544</v>
      </c>
      <c r="Z47" s="1">
        <f>[1]Results!AC1407</f>
        <v>-1.3193286914997719</v>
      </c>
      <c r="AA47" s="1">
        <f>[1]Results!AD1407</f>
        <v>-1.313762260652972</v>
      </c>
      <c r="AB47" s="1">
        <f>[1]Results!AE1407</f>
        <v>-1.3012101116390089</v>
      </c>
      <c r="AC47" s="1">
        <f>[1]Results!AF1407</f>
        <v>-1.2868163272238073</v>
      </c>
      <c r="AD47" s="1">
        <f>[1]Results!AG1407</f>
        <v>-1.2708035035305272</v>
      </c>
      <c r="AE47" s="1">
        <f>[1]Results!AH1407</f>
        <v>-1.259361359054223</v>
      </c>
      <c r="AF47" s="1">
        <f>[1]Results!AI1407</f>
        <v>-1.2579706790250085</v>
      </c>
      <c r="AG47" s="1">
        <f>[1]Results!AJ1407</f>
        <v>-1.2715322380330267</v>
      </c>
      <c r="AH47" s="1">
        <f>[1]Results!AK1407</f>
        <v>-1.3044084260587543</v>
      </c>
      <c r="AI47" s="1">
        <f>[1]Results!AL1407</f>
        <v>-1.3625760171772194</v>
      </c>
      <c r="AJ47" s="1">
        <f>[1]Results!AM1407</f>
        <v>-1.4553811468088234</v>
      </c>
      <c r="AK47" s="1">
        <f>[1]Results!AN1407</f>
        <v>-1.5948110935266282</v>
      </c>
      <c r="AL47" s="1">
        <f>[1]Results!AO1407</f>
        <v>-1.7972190384138331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1.8170135535067189E-9</v>
      </c>
      <c r="D48" s="1">
        <f>[1]Results!G1408</f>
        <v>7.8945617404402313E-9</v>
      </c>
      <c r="E48" s="1">
        <f>[1]Results!H1408</f>
        <v>5.7674871822843699E-9</v>
      </c>
      <c r="F48" s="1">
        <f>[1]Results!I1408</f>
        <v>8.153434177815555E-9</v>
      </c>
      <c r="G48" s="1">
        <f>[1]Results!J1408</f>
        <v>6.0771311594098876E-9</v>
      </c>
      <c r="H48" s="1">
        <f>[1]Results!K1408</f>
        <v>-4.4578229996261598E-11</v>
      </c>
      <c r="I48" s="1">
        <f>[1]Results!L1408</f>
        <v>-8.5340884386581051E-3</v>
      </c>
      <c r="J48" s="1">
        <f>[1]Results!M1408</f>
        <v>8.3471052104854351E-2</v>
      </c>
      <c r="K48" s="1">
        <f>[1]Results!N1408</f>
        <v>0.50988246745758903</v>
      </c>
      <c r="L48" s="1">
        <f>[1]Results!O1408</f>
        <v>0.53029679088909609</v>
      </c>
      <c r="M48" s="1">
        <f>[1]Results!P1408</f>
        <v>0.4441965933683808</v>
      </c>
      <c r="N48" s="1">
        <f>[1]Results!Q1408</f>
        <v>0.29418314141321833</v>
      </c>
      <c r="O48" s="1">
        <f>[1]Results!R1408</f>
        <v>3.2411467968023737E-2</v>
      </c>
      <c r="P48" s="1">
        <f>[1]Results!S1408</f>
        <v>-0.21655219879024912</v>
      </c>
      <c r="Q48" s="1">
        <f>[1]Results!T1408</f>
        <v>-0.44612505535833846</v>
      </c>
      <c r="R48" s="1">
        <f>[1]Results!U1408</f>
        <v>-0.65809766490266086</v>
      </c>
      <c r="S48" s="1">
        <f>[1]Results!V1408</f>
        <v>-0.83034437487280632</v>
      </c>
      <c r="T48" s="1">
        <f>[1]Results!W1408</f>
        <v>-0.92572793450129609</v>
      </c>
      <c r="U48" s="1">
        <f>[1]Results!X1408</f>
        <v>-1.0066065601873988</v>
      </c>
      <c r="V48" s="1">
        <f>[1]Results!Y1408</f>
        <v>-1.0833974794808969</v>
      </c>
      <c r="W48" s="1">
        <f>[1]Results!Z1408</f>
        <v>-1.1558300584107379</v>
      </c>
      <c r="X48" s="1">
        <f>[1]Results!AA1408</f>
        <v>-1.2234760491637111</v>
      </c>
      <c r="Y48" s="1">
        <f>[1]Results!AB1408</f>
        <v>-1.2821754511934138</v>
      </c>
      <c r="Z48" s="1">
        <f>[1]Results!AC1408</f>
        <v>-1.3329745166976041</v>
      </c>
      <c r="AA48" s="1">
        <f>[1]Results!AD1408</f>
        <v>-1.3784726676417354</v>
      </c>
      <c r="AB48" s="1">
        <f>[1]Results!AE1408</f>
        <v>-1.4177519210814604</v>
      </c>
      <c r="AC48" s="1">
        <f>[1]Results!AF1408</f>
        <v>-1.455113407884228</v>
      </c>
      <c r="AD48" s="1">
        <f>[1]Results!AG1408</f>
        <v>-1.4872142093088965</v>
      </c>
      <c r="AE48" s="1">
        <f>[1]Results!AH1408</f>
        <v>-1.519985619120106</v>
      </c>
      <c r="AF48" s="1">
        <f>[1]Results!AI1408</f>
        <v>-1.5605360690566623</v>
      </c>
      <c r="AG48" s="1">
        <f>[1]Results!AJ1408</f>
        <v>-1.6129212649469198</v>
      </c>
      <c r="AH48" s="1">
        <f>[1]Results!AK1408</f>
        <v>-1.6809905836456016</v>
      </c>
      <c r="AI48" s="1">
        <f>[1]Results!AL1408</f>
        <v>-1.771410005375569</v>
      </c>
      <c r="AJ48" s="1">
        <f>[1]Results!AM1408</f>
        <v>-1.8957596508838312</v>
      </c>
      <c r="AK48" s="1">
        <f>[1]Results!AN1408</f>
        <v>-2.0680868809542674</v>
      </c>
      <c r="AL48" s="1">
        <f>[1]Results!AO1408</f>
        <v>-2.3076630894137944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-9.0913121475466596E-8</v>
      </c>
      <c r="F49" s="1">
        <f>[1]Results!I1409</f>
        <v>4.0767178521861069E-8</v>
      </c>
      <c r="G49" s="1">
        <f>[1]Results!J1409</f>
        <v>-8.5636142621581257E-8</v>
      </c>
      <c r="H49" s="1">
        <f>[1]Results!K1409</f>
        <v>-8.3352025281868691E-8</v>
      </c>
      <c r="I49" s="1">
        <f>[1]Results!L1409</f>
        <v>-2.0881468282307747E-2</v>
      </c>
      <c r="J49" s="1">
        <f>[1]Results!M1409</f>
        <v>-0.34478599281412281</v>
      </c>
      <c r="K49" s="1">
        <f>[1]Results!N1409</f>
        <v>-0.21969262238958898</v>
      </c>
      <c r="L49" s="1">
        <f>[1]Results!O1409</f>
        <v>-0.48736357630170257</v>
      </c>
      <c r="M49" s="1">
        <f>[1]Results!P1409</f>
        <v>-0.95707230951682654</v>
      </c>
      <c r="N49" s="1">
        <f>[1]Results!Q1409</f>
        <v>-1.4574288425768467</v>
      </c>
      <c r="O49" s="1">
        <f>[1]Results!R1409</f>
        <v>-2.1436610445174642</v>
      </c>
      <c r="P49" s="1">
        <f>[1]Results!S1409</f>
        <v>-2.9862913247321043</v>
      </c>
      <c r="Q49" s="1">
        <f>[1]Results!T1409</f>
        <v>-3.9679925402648974</v>
      </c>
      <c r="R49" s="1">
        <f>[1]Results!U1409</f>
        <v>-5.0622345752424742</v>
      </c>
      <c r="S49" s="1">
        <f>[1]Results!V1409</f>
        <v>-6.2560885484401645</v>
      </c>
      <c r="T49" s="1">
        <f>[1]Results!W1409</f>
        <v>-7.4690536164272459</v>
      </c>
      <c r="U49" s="1">
        <f>[1]Results!X1409</f>
        <v>-8.6753739711547979</v>
      </c>
      <c r="V49" s="1">
        <f>[1]Results!Y1409</f>
        <v>-9.8643978294346741</v>
      </c>
      <c r="W49" s="1">
        <f>[1]Results!Z1409</f>
        <v>-11.032541927530099</v>
      </c>
      <c r="X49" s="1">
        <f>[1]Results!AA1409</f>
        <v>-12.167173337239362</v>
      </c>
      <c r="Y49" s="1">
        <f>[1]Results!AB1409</f>
        <v>-13.262122785084369</v>
      </c>
      <c r="Z49" s="1">
        <f>[1]Results!AC1409</f>
        <v>-14.3095036804875</v>
      </c>
      <c r="AA49" s="1">
        <f>[1]Results!AD1409</f>
        <v>-15.304592398291467</v>
      </c>
      <c r="AB49" s="1">
        <f>[1]Results!AE1409</f>
        <v>-16.257238286666432</v>
      </c>
      <c r="AC49" s="1">
        <f>[1]Results!AF1409</f>
        <v>-17.149981173036871</v>
      </c>
      <c r="AD49" s="1">
        <f>[1]Results!AG1409</f>
        <v>-17.985237677538301</v>
      </c>
      <c r="AE49" s="1">
        <f>[1]Results!AH1409</f>
        <v>-18.766055036556345</v>
      </c>
      <c r="AF49" s="1">
        <f>[1]Results!AI1409</f>
        <v>-19.504634056361763</v>
      </c>
      <c r="AG49" s="1">
        <f>[1]Results!AJ1409</f>
        <v>-20.218566195465488</v>
      </c>
      <c r="AH49" s="1">
        <f>[1]Results!AK1409</f>
        <v>-20.92692111319969</v>
      </c>
      <c r="AI49" s="1">
        <f>[1]Results!AL1409</f>
        <v>-21.650162189093454</v>
      </c>
      <c r="AJ49" s="1">
        <f>[1]Results!AM1409</f>
        <v>-22.413356255620805</v>
      </c>
      <c r="AK49" s="1">
        <f>[1]Results!AN1409</f>
        <v>-23.246295425258296</v>
      </c>
      <c r="AL49" s="1">
        <f>[1]Results!AO1409</f>
        <v>-24.183368141547675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2197953.023</v>
      </c>
      <c r="D50" s="1">
        <f>[1]Results!G1410</f>
        <v>2230476.3739999998</v>
      </c>
      <c r="E50" s="1">
        <f>[1]Results!H1410</f>
        <v>2266147.3840000001</v>
      </c>
      <c r="F50" s="1">
        <f>[1]Results!I1410</f>
        <v>2304476.6779999998</v>
      </c>
      <c r="G50" s="1">
        <f>[1]Results!J1410</f>
        <v>2344700.0660000001</v>
      </c>
      <c r="H50" s="1">
        <f>[1]Results!K1410</f>
        <v>2386655.034</v>
      </c>
      <c r="I50" s="1">
        <f>[1]Results!L1410</f>
        <v>2429108.12</v>
      </c>
      <c r="J50" s="1">
        <f>[1]Results!M1410</f>
        <v>2466687.6529999999</v>
      </c>
      <c r="K50" s="1">
        <f>[1]Results!N1410</f>
        <v>2504912.0189999999</v>
      </c>
      <c r="L50" s="1">
        <f>[1]Results!O1410</f>
        <v>2552908.8560000001</v>
      </c>
      <c r="M50" s="1">
        <f>[1]Results!P1410</f>
        <v>2604213.48</v>
      </c>
      <c r="N50" s="1">
        <f>[1]Results!Q1410</f>
        <v>2655187.4169999999</v>
      </c>
      <c r="O50" s="1">
        <f>[1]Results!R1410</f>
        <v>2705856.3909999998</v>
      </c>
      <c r="P50" s="1">
        <f>[1]Results!S1410</f>
        <v>2754847.659</v>
      </c>
      <c r="Q50" s="1">
        <f>[1]Results!T1410</f>
        <v>2803431.66</v>
      </c>
      <c r="R50" s="1">
        <f>[1]Results!U1410</f>
        <v>2852261.0819999999</v>
      </c>
      <c r="S50" s="1">
        <f>[1]Results!V1410</f>
        <v>2901323.1490000002</v>
      </c>
      <c r="T50" s="1">
        <f>[1]Results!W1410</f>
        <v>2951703.727</v>
      </c>
      <c r="U50" s="1">
        <f>[1]Results!X1410</f>
        <v>3004110.1830000002</v>
      </c>
      <c r="V50" s="1">
        <f>[1]Results!Y1410</f>
        <v>3059058.148</v>
      </c>
      <c r="W50" s="1">
        <f>[1]Results!Z1410</f>
        <v>3115812.676</v>
      </c>
      <c r="X50" s="1">
        <f>[1]Results!AA1410</f>
        <v>3176868.18</v>
      </c>
      <c r="Y50" s="1">
        <f>[1]Results!AB1410</f>
        <v>3242105.7280000001</v>
      </c>
      <c r="Z50" s="1">
        <f>[1]Results!AC1410</f>
        <v>3311949.0389999999</v>
      </c>
      <c r="AA50" s="1">
        <f>[1]Results!AD1410</f>
        <v>3386572.1549999998</v>
      </c>
      <c r="AB50" s="1">
        <f>[1]Results!AE1410</f>
        <v>3462524.787</v>
      </c>
      <c r="AC50" s="1">
        <f>[1]Results!AF1410</f>
        <v>3544385.835</v>
      </c>
      <c r="AD50" s="1">
        <f>[1]Results!AG1410</f>
        <v>3631601.8969999999</v>
      </c>
      <c r="AE50" s="1">
        <f>[1]Results!AH1410</f>
        <v>3724599.2259999998</v>
      </c>
      <c r="AF50" s="1">
        <f>[1]Results!AI1410</f>
        <v>3823271.2850000001</v>
      </c>
      <c r="AG50" s="1">
        <f>[1]Results!AJ1410</f>
        <v>3927216.5529999998</v>
      </c>
      <c r="AH50" s="1">
        <f>[1]Results!AK1410</f>
        <v>4036071.6469999999</v>
      </c>
      <c r="AI50" s="1">
        <f>[1]Results!AL1410</f>
        <v>4149602.5520000001</v>
      </c>
      <c r="AJ50" s="1">
        <f>[1]Results!AM1410</f>
        <v>4267694.5429999996</v>
      </c>
      <c r="AK50" s="1">
        <f>[1]Results!AN1410</f>
        <v>4390388.5669999998</v>
      </c>
      <c r="AL50" s="1">
        <f>[1]Results!AO1410</f>
        <v>4517957.1100000003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2.4098678608197588E-8</v>
      </c>
      <c r="AJ51" s="1">
        <f>[1]Results!AM1411</f>
        <v>2.3431856455147226E-8</v>
      </c>
      <c r="AK51" s="1">
        <f>[1]Results!AN1411</f>
        <v>0</v>
      </c>
      <c r="AL51" s="1">
        <f>[1]Results!AO1411</f>
        <v>0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1178854.173</v>
      </c>
      <c r="D52" s="1">
        <f>[1]Results!G1412</f>
        <v>1219325.7609999999</v>
      </c>
      <c r="E52" s="1">
        <f>[1]Results!H1412</f>
        <v>1257662.656</v>
      </c>
      <c r="F52" s="1">
        <f>[1]Results!I1412</f>
        <v>1297761.371</v>
      </c>
      <c r="G52" s="1">
        <f>[1]Results!J1412</f>
        <v>1339187.9790000001</v>
      </c>
      <c r="H52" s="1">
        <f>[1]Results!K1412</f>
        <v>1379161.1070000001</v>
      </c>
      <c r="I52" s="1">
        <f>[1]Results!L1412</f>
        <v>1419057.5149999999</v>
      </c>
      <c r="J52" s="1">
        <f>[1]Results!M1412</f>
        <v>1467473.702</v>
      </c>
      <c r="K52" s="1">
        <f>[1]Results!N1412</f>
        <v>1530283.513</v>
      </c>
      <c r="L52" s="1">
        <f>[1]Results!O1412</f>
        <v>1590148.564</v>
      </c>
      <c r="M52" s="1">
        <f>[1]Results!P1412</f>
        <v>1656005.5719999999</v>
      </c>
      <c r="N52" s="1">
        <f>[1]Results!Q1412</f>
        <v>1720173.253</v>
      </c>
      <c r="O52" s="1">
        <f>[1]Results!R1412</f>
        <v>1781185.798</v>
      </c>
      <c r="P52" s="1">
        <f>[1]Results!S1412</f>
        <v>1841619.9839999999</v>
      </c>
      <c r="Q52" s="1">
        <f>[1]Results!T1412</f>
        <v>1901047.3959999999</v>
      </c>
      <c r="R52" s="1">
        <f>[1]Results!U1412</f>
        <v>1959120.3570000001</v>
      </c>
      <c r="S52" s="1">
        <f>[1]Results!V1412</f>
        <v>2016553.0930000001</v>
      </c>
      <c r="T52" s="1">
        <f>[1]Results!W1412</f>
        <v>2074076.9809999999</v>
      </c>
      <c r="U52" s="1">
        <f>[1]Results!X1412</f>
        <v>2130163.58</v>
      </c>
      <c r="V52" s="1">
        <f>[1]Results!Y1412</f>
        <v>2184830.2519999999</v>
      </c>
      <c r="W52" s="1">
        <f>[1]Results!Z1412</f>
        <v>2235826.4210000001</v>
      </c>
      <c r="X52" s="1">
        <f>[1]Results!AA1412</f>
        <v>2288546.7820000001</v>
      </c>
      <c r="Y52" s="1">
        <f>[1]Results!AB1412</f>
        <v>2340769.4870000002</v>
      </c>
      <c r="Z52" s="1">
        <f>[1]Results!AC1412</f>
        <v>2392699.3190000001</v>
      </c>
      <c r="AA52" s="1">
        <f>[1]Results!AD1412</f>
        <v>2444565.2940000002</v>
      </c>
      <c r="AB52" s="1">
        <f>[1]Results!AE1412</f>
        <v>2488826.3629999999</v>
      </c>
      <c r="AC52" s="1">
        <f>[1]Results!AF1412</f>
        <v>2538078.6239999998</v>
      </c>
      <c r="AD52" s="1">
        <f>[1]Results!AG1412</f>
        <v>2588573.6290000002</v>
      </c>
      <c r="AE52" s="1">
        <f>[1]Results!AH1412</f>
        <v>2640207.5469999998</v>
      </c>
      <c r="AF52" s="1">
        <f>[1]Results!AI1412</f>
        <v>2692551.2620000001</v>
      </c>
      <c r="AG52" s="1">
        <f>[1]Results!AJ1412</f>
        <v>2745180.7439999999</v>
      </c>
      <c r="AH52" s="1">
        <f>[1]Results!AK1412</f>
        <v>2797755.1439999999</v>
      </c>
      <c r="AI52" s="1">
        <f>[1]Results!AL1412</f>
        <v>2849797.4180000001</v>
      </c>
      <c r="AJ52" s="1">
        <f>[1]Results!AM1412</f>
        <v>2900424.2769999998</v>
      </c>
      <c r="AK52" s="1">
        <f>[1]Results!AN1412</f>
        <v>2948624.983</v>
      </c>
      <c r="AL52" s="1">
        <f>[1]Results!AO1412</f>
        <v>2993138.8139999998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1011152.647</v>
      </c>
      <c r="D53" s="1">
        <f>[1]Results!G1413</f>
        <v>1045519.483</v>
      </c>
      <c r="E53" s="1">
        <f>[1]Results!H1413</f>
        <v>1082537.4269999999</v>
      </c>
      <c r="F53" s="1">
        <f>[1]Results!I1413</f>
        <v>1122292.7490000001</v>
      </c>
      <c r="G53" s="1">
        <f>[1]Results!J1413</f>
        <v>1163897.3289999999</v>
      </c>
      <c r="H53" s="1">
        <f>[1]Results!K1413</f>
        <v>1207189.26</v>
      </c>
      <c r="I53" s="1">
        <f>[1]Results!L1413</f>
        <v>1251729.4909999999</v>
      </c>
      <c r="J53" s="1">
        <f>[1]Results!M1413</f>
        <v>1300654.7509999999</v>
      </c>
      <c r="K53" s="1">
        <f>[1]Results!N1413</f>
        <v>1353740.703</v>
      </c>
      <c r="L53" s="1">
        <f>[1]Results!O1413</f>
        <v>1415169.747</v>
      </c>
      <c r="M53" s="1">
        <f>[1]Results!P1413</f>
        <v>1485053.7039999999</v>
      </c>
      <c r="N53" s="1">
        <f>[1]Results!Q1413</f>
        <v>1559443.05</v>
      </c>
      <c r="O53" s="1">
        <f>[1]Results!R1413</f>
        <v>1636568.6370000001</v>
      </c>
      <c r="P53" s="1">
        <f>[1]Results!S1413</f>
        <v>1714160.828</v>
      </c>
      <c r="Q53" s="1">
        <f>[1]Results!T1413</f>
        <v>1791144.7109999999</v>
      </c>
      <c r="R53" s="1">
        <f>[1]Results!U1413</f>
        <v>1866982.74</v>
      </c>
      <c r="S53" s="1">
        <f>[1]Results!V1413</f>
        <v>1941736.0060000001</v>
      </c>
      <c r="T53" s="1">
        <f>[1]Results!W1413</f>
        <v>2015882.8529999999</v>
      </c>
      <c r="U53" s="1">
        <f>[1]Results!X1413</f>
        <v>2089865.8670000001</v>
      </c>
      <c r="V53" s="1">
        <f>[1]Results!Y1413</f>
        <v>2164178.56</v>
      </c>
      <c r="W53" s="1">
        <f>[1]Results!Z1413</f>
        <v>2238605.08</v>
      </c>
      <c r="X53" s="1">
        <f>[1]Results!AA1413</f>
        <v>2315171.3760000002</v>
      </c>
      <c r="Y53" s="1">
        <f>[1]Results!AB1413</f>
        <v>2394567.014</v>
      </c>
      <c r="Z53" s="1">
        <f>[1]Results!AC1413</f>
        <v>2477868.4330000002</v>
      </c>
      <c r="AA53" s="1">
        <f>[1]Results!AD1413</f>
        <v>2566125.6630000002</v>
      </c>
      <c r="AB53" s="1">
        <f>[1]Results!AE1413</f>
        <v>2657852.4210000001</v>
      </c>
      <c r="AC53" s="1">
        <f>[1]Results!AF1413</f>
        <v>2757164.8459999999</v>
      </c>
      <c r="AD53" s="1">
        <f>[1]Results!AG1413</f>
        <v>2865491.0109999999</v>
      </c>
      <c r="AE53" s="1">
        <f>[1]Results!AH1413</f>
        <v>2984812.7710000002</v>
      </c>
      <c r="AF53" s="1">
        <f>[1]Results!AI1413</f>
        <v>3116690.2590000001</v>
      </c>
      <c r="AG53" s="1">
        <f>[1]Results!AJ1413</f>
        <v>3262254.1329999999</v>
      </c>
      <c r="AH53" s="1">
        <f>[1]Results!AK1413</f>
        <v>3422554.0819999999</v>
      </c>
      <c r="AI53" s="1">
        <f>[1]Results!AL1413</f>
        <v>3598796.3909999998</v>
      </c>
      <c r="AJ53" s="1">
        <f>[1]Results!AM1413</f>
        <v>3792363.5430000001</v>
      </c>
      <c r="AK53" s="1">
        <f>[1]Results!AN1413</f>
        <v>4005072.6439999999</v>
      </c>
      <c r="AL53" s="1">
        <f>[1]Results!AO1413</f>
        <v>4239566.9809999997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-65724.458440000002</v>
      </c>
      <c r="D54" s="1">
        <f>[1]Results!G1414</f>
        <v>-68542.987909999996</v>
      </c>
      <c r="E54" s="1">
        <f>[1]Results!H1414</f>
        <v>-66434.788700000005</v>
      </c>
      <c r="F54" s="1">
        <f>[1]Results!I1414</f>
        <v>-63456.443120000004</v>
      </c>
      <c r="G54" s="1">
        <f>[1]Results!J1414</f>
        <v>-60105.647810000002</v>
      </c>
      <c r="H54" s="1">
        <f>[1]Results!K1414</f>
        <v>-53781.562830000003</v>
      </c>
      <c r="I54" s="1">
        <f>[1]Results!L1414</f>
        <v>-46448.66216</v>
      </c>
      <c r="J54" s="1">
        <f>[1]Results!M1414</f>
        <v>-43617.155749999998</v>
      </c>
      <c r="K54" s="1">
        <f>[1]Results!N1414</f>
        <v>-51160.156320000002</v>
      </c>
      <c r="L54" s="1">
        <f>[1]Results!O1414</f>
        <v>-47038.15638</v>
      </c>
      <c r="M54" s="1">
        <f>[1]Results!P1414</f>
        <v>-40659.29997</v>
      </c>
      <c r="N54" s="1">
        <f>[1]Results!Q1414</f>
        <v>-28404.668590000001</v>
      </c>
      <c r="O54" s="1">
        <f>[1]Results!R1414</f>
        <v>-10871.393620000001</v>
      </c>
      <c r="P54" s="1">
        <f>[1]Results!S1414</f>
        <v>6830.1800080000003</v>
      </c>
      <c r="Q54" s="1">
        <f>[1]Results!T1414</f>
        <v>24045.142739999999</v>
      </c>
      <c r="R54" s="1">
        <f>[1]Results!U1414</f>
        <v>40607.953569999998</v>
      </c>
      <c r="S54" s="1">
        <f>[1]Results!V1414</f>
        <v>55898.085590000002</v>
      </c>
      <c r="T54" s="1">
        <f>[1]Results!W1414</f>
        <v>69726.140429999999</v>
      </c>
      <c r="U54" s="1">
        <f>[1]Results!X1414</f>
        <v>84136.248890000003</v>
      </c>
      <c r="V54" s="1">
        <f>[1]Results!Y1414</f>
        <v>99575.456829999996</v>
      </c>
      <c r="W54" s="1">
        <f>[1]Results!Z1414</f>
        <v>118027.0349</v>
      </c>
      <c r="X54" s="1">
        <f>[1]Results!AA1414</f>
        <v>135971.61840000001</v>
      </c>
      <c r="Y54" s="1">
        <f>[1]Results!AB1414</f>
        <v>156345.9706</v>
      </c>
      <c r="Z54" s="1">
        <f>[1]Results!AC1414</f>
        <v>179900.25880000001</v>
      </c>
      <c r="AA54" s="1">
        <f>[1]Results!AD1414</f>
        <v>207296.50150000001</v>
      </c>
      <c r="AB54" s="1">
        <f>[1]Results!AE1414</f>
        <v>244397.36499999999</v>
      </c>
      <c r="AC54" s="1">
        <f>[1]Results!AF1414</f>
        <v>282237.66009999998</v>
      </c>
      <c r="AD54" s="1">
        <f>[1]Results!AG1414</f>
        <v>325956.93839999998</v>
      </c>
      <c r="AE54" s="1">
        <f>[1]Results!AH1414</f>
        <v>377346.93320000003</v>
      </c>
      <c r="AF54" s="1">
        <f>[1]Results!AI1414</f>
        <v>438013.35930000001</v>
      </c>
      <c r="AG54" s="1">
        <f>[1]Results!AJ1414</f>
        <v>509047.08350000001</v>
      </c>
      <c r="AH54" s="1">
        <f>[1]Results!AK1414</f>
        <v>591320.27830000001</v>
      </c>
      <c r="AI54" s="1">
        <f>[1]Results!AL1414</f>
        <v>685954.299</v>
      </c>
      <c r="AJ54" s="1">
        <f>[1]Results!AM1414</f>
        <v>794596.87760000001</v>
      </c>
      <c r="AK54" s="1">
        <f>[1]Results!AN1414</f>
        <v>919375.42839999998</v>
      </c>
      <c r="AL54" s="1">
        <f>[1]Results!AO1414</f>
        <v>1063387.162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2105265.8119999999</v>
      </c>
      <c r="D55" s="1">
        <f>[1]Results!G1415</f>
        <v>2173808.7999999998</v>
      </c>
      <c r="E55" s="1">
        <f>[1]Results!H1415</f>
        <v>2240243.588</v>
      </c>
      <c r="F55" s="1">
        <f>[1]Results!I1415</f>
        <v>2303700.0320000001</v>
      </c>
      <c r="G55" s="1">
        <f>[1]Results!J1415</f>
        <v>2363805.679</v>
      </c>
      <c r="H55" s="1">
        <f>[1]Results!K1415</f>
        <v>2417587.2420000001</v>
      </c>
      <c r="I55" s="1">
        <f>[1]Results!L1415</f>
        <v>2464035.9040000001</v>
      </c>
      <c r="J55" s="1">
        <f>[1]Results!M1415</f>
        <v>2507653.06</v>
      </c>
      <c r="K55" s="1">
        <f>[1]Results!N1415</f>
        <v>2558813.216</v>
      </c>
      <c r="L55" s="1">
        <f>[1]Results!O1415</f>
        <v>2605851.3730000001</v>
      </c>
      <c r="M55" s="1">
        <f>[1]Results!P1415</f>
        <v>2646510.673</v>
      </c>
      <c r="N55" s="1">
        <f>[1]Results!Q1415</f>
        <v>2674915.341</v>
      </c>
      <c r="O55" s="1">
        <f>[1]Results!R1415</f>
        <v>2685786.7349999999</v>
      </c>
      <c r="P55" s="1">
        <f>[1]Results!S1415</f>
        <v>2678956.5550000002</v>
      </c>
      <c r="Q55" s="1">
        <f>[1]Results!T1415</f>
        <v>2654911.412</v>
      </c>
      <c r="R55" s="1">
        <f>[1]Results!U1415</f>
        <v>2614303.4589999998</v>
      </c>
      <c r="S55" s="1">
        <f>[1]Results!V1415</f>
        <v>2558405.3730000001</v>
      </c>
      <c r="T55" s="1">
        <f>[1]Results!W1415</f>
        <v>2488679.233</v>
      </c>
      <c r="U55" s="1">
        <f>[1]Results!X1415</f>
        <v>2404542.9840000002</v>
      </c>
      <c r="V55" s="1">
        <f>[1]Results!Y1415</f>
        <v>2304967.5269999998</v>
      </c>
      <c r="W55" s="1">
        <f>[1]Results!Z1415</f>
        <v>2186940.4920000001</v>
      </c>
      <c r="X55" s="1">
        <f>[1]Results!AA1415</f>
        <v>2050968.8740000001</v>
      </c>
      <c r="Y55" s="1">
        <f>[1]Results!AB1415</f>
        <v>1894622.9029999999</v>
      </c>
      <c r="Z55" s="1">
        <f>[1]Results!AC1415</f>
        <v>1714722.6440000001</v>
      </c>
      <c r="AA55" s="1">
        <f>[1]Results!AD1415</f>
        <v>1507426.1429999999</v>
      </c>
      <c r="AB55" s="1">
        <f>[1]Results!AE1415</f>
        <v>1263028.7779999999</v>
      </c>
      <c r="AC55" s="1">
        <f>[1]Results!AF1415</f>
        <v>980791.1176</v>
      </c>
      <c r="AD55" s="1">
        <f>[1]Results!AG1415</f>
        <v>654834.17920000001</v>
      </c>
      <c r="AE55" s="1">
        <f>[1]Results!AH1415</f>
        <v>277487.24599999998</v>
      </c>
      <c r="AF55" s="1">
        <f>[1]Results!AI1415</f>
        <v>-160526.1133</v>
      </c>
      <c r="AG55" s="1">
        <f>[1]Results!AJ1415</f>
        <v>-669573.19680000003</v>
      </c>
      <c r="AH55" s="1">
        <f>[1]Results!AK1415</f>
        <v>-1260893.4750000001</v>
      </c>
      <c r="AI55" s="1">
        <f>[1]Results!AL1415</f>
        <v>-1946847.774</v>
      </c>
      <c r="AJ55" s="1">
        <f>[1]Results!AM1415</f>
        <v>-2741444.6519999998</v>
      </c>
      <c r="AK55" s="1">
        <f>[1]Results!AN1415</f>
        <v>-3660820.08</v>
      </c>
      <c r="AL55" s="1">
        <f>[1]Results!AO1415</f>
        <v>-4724207.2429999998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49</v>
      </c>
      <c r="B58" t="s">
        <v>4</v>
      </c>
      <c r="C58" s="1">
        <f>[1]Results!F1731</f>
        <v>1202789.014</v>
      </c>
      <c r="D58" s="1">
        <f>[1]Results!G1731</f>
        <v>1220397.4890000001</v>
      </c>
      <c r="E58" s="1">
        <f>[1]Results!H1731</f>
        <v>1240919.308</v>
      </c>
      <c r="F58" s="1">
        <f>[1]Results!I1731</f>
        <v>1263569.8359999999</v>
      </c>
      <c r="G58" s="1">
        <f>[1]Results!J1731</f>
        <v>1287361.818</v>
      </c>
      <c r="H58" s="1">
        <f>[1]Results!K1731</f>
        <v>1311977.0630000001</v>
      </c>
      <c r="I58" s="1">
        <f>[1]Results!L1731</f>
        <v>1335837.54</v>
      </c>
      <c r="J58" s="1">
        <f>[1]Results!M1731</f>
        <v>1359122.2290000001</v>
      </c>
      <c r="K58" s="1">
        <f>[1]Results!N1731</f>
        <v>1382216.6810000001</v>
      </c>
      <c r="L58" s="1">
        <f>[1]Results!O1731</f>
        <v>1405464.2960000001</v>
      </c>
      <c r="M58" s="1">
        <f>[1]Results!P1731</f>
        <v>1429970.6</v>
      </c>
      <c r="N58" s="1">
        <f>[1]Results!Q1731</f>
        <v>1454798.4939999999</v>
      </c>
      <c r="O58" s="1">
        <f>[1]Results!R1731</f>
        <v>1480081.544</v>
      </c>
      <c r="P58" s="1">
        <f>[1]Results!S1731</f>
        <v>1505439.7919999999</v>
      </c>
      <c r="Q58" s="1">
        <f>[1]Results!T1731</f>
        <v>1530496.9310000001</v>
      </c>
      <c r="R58" s="1">
        <f>[1]Results!U1731</f>
        <v>1555068.4140000001</v>
      </c>
      <c r="S58" s="1">
        <f>[1]Results!V1731</f>
        <v>1580059.7720000001</v>
      </c>
      <c r="T58" s="1">
        <f>[1]Results!W1731</f>
        <v>1605643.5589999999</v>
      </c>
      <c r="U58" s="1">
        <f>[1]Results!X1731</f>
        <v>1631834.4650000001</v>
      </c>
      <c r="V58" s="1">
        <f>[1]Results!Y1731</f>
        <v>1658671.7649999999</v>
      </c>
      <c r="W58" s="1">
        <f>[1]Results!Z1731</f>
        <v>1685637.351</v>
      </c>
      <c r="X58" s="1">
        <f>[1]Results!AA1731</f>
        <v>1713848.4790000001</v>
      </c>
      <c r="Y58" s="1">
        <f>[1]Results!AB1731</f>
        <v>1743535.5090000001</v>
      </c>
      <c r="Z58" s="1">
        <f>[1]Results!AC1731</f>
        <v>1774993.3319999999</v>
      </c>
      <c r="AA58" s="1">
        <f>[1]Results!AD1731</f>
        <v>1808437.433</v>
      </c>
      <c r="AB58" s="1">
        <f>[1]Results!AE1731</f>
        <v>1842177.412</v>
      </c>
      <c r="AC58" s="1">
        <f>[1]Results!AF1731</f>
        <v>1878025.1370000001</v>
      </c>
      <c r="AD58" s="1">
        <f>[1]Results!AG1731</f>
        <v>1916281.21</v>
      </c>
      <c r="AE58" s="1">
        <f>[1]Results!AH1731</f>
        <v>1957309.294</v>
      </c>
      <c r="AF58" s="1">
        <f>[1]Results!AI1731</f>
        <v>2001409.5109999999</v>
      </c>
      <c r="AG58" s="1">
        <f>[1]Results!AJ1731</f>
        <v>2048642.493</v>
      </c>
      <c r="AH58" s="1">
        <f>[1]Results!AK1731</f>
        <v>2098848.2349999999</v>
      </c>
      <c r="AI58" s="1">
        <f>[1]Results!AL1731</f>
        <v>2151714.9029999999</v>
      </c>
      <c r="AJ58" s="1">
        <f>[1]Results!AM1731</f>
        <v>2206832.199</v>
      </c>
      <c r="AK58" s="1">
        <f>[1]Results!AN1731</f>
        <v>2263729.2439999999</v>
      </c>
      <c r="AL58" s="1">
        <f>[1]Results!AO1731</f>
        <v>2321895.804</v>
      </c>
    </row>
    <row r="59" spans="1:38" x14ac:dyDescent="0.35">
      <c r="A59" s="14"/>
      <c r="B59" t="s">
        <v>6</v>
      </c>
      <c r="C59" s="1">
        <f>[1]Results!F1702</f>
        <v>1202789.014</v>
      </c>
      <c r="D59" s="1">
        <f>[1]Results!G1702</f>
        <v>1220397.4890000001</v>
      </c>
      <c r="E59" s="1">
        <f>[1]Results!H1702</f>
        <v>1240919.308</v>
      </c>
      <c r="F59" s="1">
        <f>[1]Results!I1702</f>
        <v>1263569.8359999999</v>
      </c>
      <c r="G59" s="1">
        <f>[1]Results!J1702</f>
        <v>1287361.818</v>
      </c>
      <c r="H59" s="1">
        <f>[1]Results!K1702</f>
        <v>1311977.0630000001</v>
      </c>
      <c r="I59" s="1">
        <f>[1]Results!L1702</f>
        <v>1336547.2620000001</v>
      </c>
      <c r="J59" s="1">
        <f>[1]Results!M1702</f>
        <v>1360371.83</v>
      </c>
      <c r="K59" s="1">
        <f>[1]Results!N1702</f>
        <v>1383718.926</v>
      </c>
      <c r="L59" s="1">
        <f>[1]Results!O1702</f>
        <v>1409218.0630000001</v>
      </c>
      <c r="M59" s="1">
        <f>[1]Results!P1702</f>
        <v>1438195.162</v>
      </c>
      <c r="N59" s="1">
        <f>[1]Results!Q1702</f>
        <v>1469082.054</v>
      </c>
      <c r="O59" s="1">
        <f>[1]Results!R1702</f>
        <v>1501684.8130000001</v>
      </c>
      <c r="P59" s="1">
        <f>[1]Results!S1702</f>
        <v>1534834.6459999999</v>
      </c>
      <c r="Q59" s="1">
        <f>[1]Results!T1702</f>
        <v>1567641.132</v>
      </c>
      <c r="R59" s="1">
        <f>[1]Results!U1702</f>
        <v>1599670.72</v>
      </c>
      <c r="S59" s="1">
        <f>[1]Results!V1702</f>
        <v>1631120.287</v>
      </c>
      <c r="T59" s="1">
        <f>[1]Results!W1702</f>
        <v>1661948.257</v>
      </c>
      <c r="U59" s="1">
        <f>[1]Results!X1702</f>
        <v>1692501.389</v>
      </c>
      <c r="V59" s="1">
        <f>[1]Results!Y1702</f>
        <v>1723134.885</v>
      </c>
      <c r="W59" s="1">
        <f>[1]Results!Z1702</f>
        <v>1753501.7949999999</v>
      </c>
      <c r="X59" s="1">
        <f>[1]Results!AA1702</f>
        <v>1784757.6540000001</v>
      </c>
      <c r="Y59" s="1">
        <f>[1]Results!AB1702</f>
        <v>1817140.659</v>
      </c>
      <c r="Z59" s="1">
        <f>[1]Results!AC1702</f>
        <v>1851013.2560000001</v>
      </c>
      <c r="AA59" s="1">
        <f>[1]Results!AD1702</f>
        <v>1886646.0009999999</v>
      </c>
      <c r="AB59" s="1">
        <f>[1]Results!AE1702</f>
        <v>1922324.703</v>
      </c>
      <c r="AC59" s="1">
        <f>[1]Results!AF1702</f>
        <v>1959726.1329999999</v>
      </c>
      <c r="AD59" s="1">
        <f>[1]Results!AG1702</f>
        <v>1999030.3459999999</v>
      </c>
      <c r="AE59" s="1">
        <f>[1]Results!AH1702</f>
        <v>2040781.74</v>
      </c>
      <c r="AF59" s="1">
        <f>[1]Results!AI1702</f>
        <v>2085489.213</v>
      </c>
      <c r="AG59" s="1">
        <f>[1]Results!AJ1702</f>
        <v>2133382.5060000001</v>
      </c>
      <c r="AH59" s="1">
        <f>[1]Results!AK1702</f>
        <v>2184370.6749999998</v>
      </c>
      <c r="AI59" s="1">
        <f>[1]Results!AL1702</f>
        <v>2238231.2140000002</v>
      </c>
      <c r="AJ59" s="1">
        <f>[1]Results!AM1702</f>
        <v>2294845.48</v>
      </c>
      <c r="AK59" s="1">
        <f>[1]Results!AN1702</f>
        <v>2354157.6779999998</v>
      </c>
      <c r="AL59" s="1">
        <f>[1]Results!AO1702</f>
        <v>2416198.0010000002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1.912068903693398E-2</v>
      </c>
      <c r="I60" s="4">
        <f t="shared" si="0"/>
        <v>1.8186657124507954E-2</v>
      </c>
      <c r="J60" s="4">
        <f t="shared" si="0"/>
        <v>1.7430779045182421E-2</v>
      </c>
      <c r="K60" s="4">
        <f t="shared" si="0"/>
        <v>1.6992181797359285E-2</v>
      </c>
      <c r="L60" s="4">
        <f t="shared" si="0"/>
        <v>1.6819081493923971E-2</v>
      </c>
      <c r="M60" s="4">
        <f t="shared" si="0"/>
        <v>1.7436447208047712E-2</v>
      </c>
      <c r="N60" s="4">
        <f t="shared" si="0"/>
        <v>1.7362520600073816E-2</v>
      </c>
      <c r="O60" s="4">
        <f t="shared" si="0"/>
        <v>1.7379073530990441E-2</v>
      </c>
      <c r="P60" s="4">
        <f t="shared" si="0"/>
        <v>1.7133007368950626E-2</v>
      </c>
      <c r="Q60" s="4">
        <f t="shared" si="0"/>
        <v>1.6644397958095247E-2</v>
      </c>
      <c r="R60" s="4">
        <f t="shared" si="0"/>
        <v>1.6054578419798293E-2</v>
      </c>
      <c r="S60" s="4">
        <f t="shared" si="0"/>
        <v>1.6070905803890811E-2</v>
      </c>
      <c r="T60" s="4">
        <f t="shared" si="0"/>
        <v>1.6191657716604357E-2</v>
      </c>
      <c r="U60" s="4">
        <f t="shared" si="0"/>
        <v>1.631178093867347E-2</v>
      </c>
      <c r="V60" s="4">
        <f>V58/U58-1</f>
        <v>1.6446092159231318E-2</v>
      </c>
      <c r="W60" s="4">
        <f t="shared" ref="W60:AL60" si="1">W58/V58-1</f>
        <v>1.6257337086822643E-2</v>
      </c>
      <c r="X60" s="4">
        <f t="shared" si="1"/>
        <v>1.6736178741687091E-2</v>
      </c>
      <c r="Y60" s="4">
        <f t="shared" si="1"/>
        <v>1.7321852172907271E-2</v>
      </c>
      <c r="Z60" s="4">
        <f t="shared" si="1"/>
        <v>1.8042547936429676E-2</v>
      </c>
      <c r="AA60" s="4">
        <f t="shared" si="1"/>
        <v>1.8841817823797902E-2</v>
      </c>
      <c r="AB60" s="4">
        <f t="shared" si="1"/>
        <v>1.8656978883714537E-2</v>
      </c>
      <c r="AC60" s="4">
        <f t="shared" si="1"/>
        <v>1.9459431413330286E-2</v>
      </c>
      <c r="AD60" s="4">
        <f t="shared" si="1"/>
        <v>2.037037324277291E-2</v>
      </c>
      <c r="AE60" s="4">
        <f t="shared" si="1"/>
        <v>2.1410262640940925E-2</v>
      </c>
      <c r="AF60" s="4">
        <f t="shared" si="1"/>
        <v>2.2531041535022611E-2</v>
      </c>
      <c r="AG60" s="4">
        <f t="shared" si="1"/>
        <v>2.3599858869662427E-2</v>
      </c>
      <c r="AH60" s="4">
        <f t="shared" si="1"/>
        <v>2.4506834243430697E-2</v>
      </c>
      <c r="AI60" s="4">
        <f t="shared" si="1"/>
        <v>2.5188418637615451E-2</v>
      </c>
      <c r="AJ60" s="4">
        <f t="shared" si="1"/>
        <v>2.5615519938609665E-2</v>
      </c>
      <c r="AK60" s="4">
        <f t="shared" si="1"/>
        <v>2.5782225320883922E-2</v>
      </c>
      <c r="AL60" s="4">
        <f t="shared" si="1"/>
        <v>2.5695016378027624E-2</v>
      </c>
    </row>
    <row r="61" spans="1:38" x14ac:dyDescent="0.35">
      <c r="A61" s="16" t="s">
        <v>3</v>
      </c>
      <c r="B61" t="s">
        <v>4</v>
      </c>
      <c r="C61" s="1">
        <f>[1]Results!F1789</f>
        <v>1.0019287059999999</v>
      </c>
      <c r="D61" s="1">
        <f>[1]Results!G1789</f>
        <v>1.0209119040000001</v>
      </c>
      <c r="E61" s="1">
        <f>[1]Results!H1789</f>
        <v>1.039898405</v>
      </c>
      <c r="F61" s="1">
        <f>[1]Results!I1789</f>
        <v>1.0599435420000001</v>
      </c>
      <c r="G61" s="1">
        <f>[1]Results!J1789</f>
        <v>1.0784939929999999</v>
      </c>
      <c r="H61" s="1">
        <f>[1]Results!K1789</f>
        <v>1.097125055</v>
      </c>
      <c r="I61" s="1">
        <f>[1]Results!L1789</f>
        <v>1.1169742030000001</v>
      </c>
      <c r="J61" s="1">
        <f>[1]Results!M1789</f>
        <v>1.137783481</v>
      </c>
      <c r="K61" s="1">
        <f>[1]Results!N1789</f>
        <v>1.159358393</v>
      </c>
      <c r="L61" s="1">
        <f>[1]Results!O1789</f>
        <v>1.181517994</v>
      </c>
      <c r="M61" s="1">
        <f>[1]Results!P1789</f>
        <v>1.2041245009999999</v>
      </c>
      <c r="N61" s="1">
        <f>[1]Results!Q1789</f>
        <v>1.226927866</v>
      </c>
      <c r="O61" s="1">
        <f>[1]Results!R1789</f>
        <v>1.249627399</v>
      </c>
      <c r="P61" s="1">
        <f>[1]Results!S1789</f>
        <v>1.271862939</v>
      </c>
      <c r="Q61" s="1">
        <f>[1]Results!T1789</f>
        <v>1.293429036</v>
      </c>
      <c r="R61" s="1">
        <f>[1]Results!U1789</f>
        <v>1.3142356209999999</v>
      </c>
      <c r="S61" s="1">
        <f>[1]Results!V1789</f>
        <v>1.333160935</v>
      </c>
      <c r="T61" s="1">
        <f>[1]Results!W1789</f>
        <v>1.3505000579999999</v>
      </c>
      <c r="U61" s="1">
        <f>[1]Results!X1789</f>
        <v>1.3665865580000001</v>
      </c>
      <c r="V61" s="1">
        <f>[1]Results!Y1789</f>
        <v>1.381801619</v>
      </c>
      <c r="W61" s="1">
        <f>[1]Results!Z1789</f>
        <v>1.39655394</v>
      </c>
      <c r="X61" s="1">
        <f>[1]Results!AA1789</f>
        <v>1.411174114</v>
      </c>
      <c r="Y61" s="1">
        <f>[1]Results!AB1789</f>
        <v>1.426034746</v>
      </c>
      <c r="Z61" s="1">
        <f>[1]Results!AC1789</f>
        <v>1.441537466</v>
      </c>
      <c r="AA61" s="1">
        <f>[1]Results!AD1789</f>
        <v>1.4581446899999999</v>
      </c>
      <c r="AB61" s="1">
        <f>[1]Results!AE1789</f>
        <v>1.4763567150000001</v>
      </c>
      <c r="AC61" s="1">
        <f>[1]Results!AF1789</f>
        <v>1.4965311880000001</v>
      </c>
      <c r="AD61" s="1">
        <f>[1]Results!AG1789</f>
        <v>1.5190067009999999</v>
      </c>
      <c r="AE61" s="1">
        <f>[1]Results!AH1789</f>
        <v>1.544089525</v>
      </c>
      <c r="AF61" s="1">
        <f>[1]Results!AI1789</f>
        <v>1.5719021820000001</v>
      </c>
      <c r="AG61" s="1">
        <f>[1]Results!AJ1789</f>
        <v>1.602511612</v>
      </c>
      <c r="AH61" s="1">
        <f>[1]Results!AK1789</f>
        <v>1.6359148400000001</v>
      </c>
      <c r="AI61" s="1">
        <f>[1]Results!AL1789</f>
        <v>1.6720521740000001</v>
      </c>
      <c r="AJ61" s="1">
        <f>[1]Results!AM1789</f>
        <v>1.710811963</v>
      </c>
      <c r="AK61" s="1">
        <f>[1]Results!AN1789</f>
        <v>1.7520271270000001</v>
      </c>
      <c r="AL61" s="1">
        <f>[1]Results!AO1789</f>
        <v>1.795475232</v>
      </c>
    </row>
    <row r="62" spans="1:38" x14ac:dyDescent="0.35">
      <c r="A62" s="16"/>
      <c r="B62" t="s">
        <v>6</v>
      </c>
      <c r="C62" s="1">
        <f>[1]Results!F1760</f>
        <v>1.0019287059999999</v>
      </c>
      <c r="D62" s="1">
        <f>[1]Results!G1760</f>
        <v>1.0209119040000001</v>
      </c>
      <c r="E62" s="1">
        <f>[1]Results!H1760</f>
        <v>1.039898405</v>
      </c>
      <c r="F62" s="1">
        <f>[1]Results!I1760</f>
        <v>1.0599435429999999</v>
      </c>
      <c r="G62" s="1">
        <f>[1]Results!J1760</f>
        <v>1.0784939929999999</v>
      </c>
      <c r="H62" s="1">
        <f>[1]Results!K1760</f>
        <v>1.0971250560000001</v>
      </c>
      <c r="I62" s="1">
        <f>[1]Results!L1760</f>
        <v>1.1160387810000001</v>
      </c>
      <c r="J62" s="1">
        <f>[1]Results!M1760</f>
        <v>1.145953939</v>
      </c>
      <c r="K62" s="1">
        <f>[1]Results!N1760</f>
        <v>1.17539463</v>
      </c>
      <c r="L62" s="1">
        <f>[1]Results!O1760</f>
        <v>1.207083474</v>
      </c>
      <c r="M62" s="1">
        <f>[1]Results!P1760</f>
        <v>1.2411289649999999</v>
      </c>
      <c r="N62" s="1">
        <f>[1]Results!Q1760</f>
        <v>1.2736639380000001</v>
      </c>
      <c r="O62" s="1">
        <f>[1]Results!R1760</f>
        <v>1.3057416479999999</v>
      </c>
      <c r="P62" s="1">
        <f>[1]Results!S1760</f>
        <v>1.3369923859999999</v>
      </c>
      <c r="Q62" s="1">
        <f>[1]Results!T1760</f>
        <v>1.3671062650000001</v>
      </c>
      <c r="R62" s="1">
        <f>[1]Results!U1760</f>
        <v>1.3958420620000001</v>
      </c>
      <c r="S62" s="1">
        <f>[1]Results!V1760</f>
        <v>1.424346686</v>
      </c>
      <c r="T62" s="1">
        <f>[1]Results!W1760</f>
        <v>1.451663304</v>
      </c>
      <c r="U62" s="1">
        <f>[1]Results!X1760</f>
        <v>1.477632313</v>
      </c>
      <c r="V62" s="1">
        <f>[1]Results!Y1760</f>
        <v>1.502305462</v>
      </c>
      <c r="W62" s="1">
        <f>[1]Results!Z1760</f>
        <v>1.525873056</v>
      </c>
      <c r="X62" s="1">
        <f>[1]Results!AA1760</f>
        <v>1.548591061</v>
      </c>
      <c r="Y62" s="1">
        <f>[1]Results!AB1760</f>
        <v>1.570762985</v>
      </c>
      <c r="Z62" s="1">
        <f>[1]Results!AC1760</f>
        <v>1.592641091</v>
      </c>
      <c r="AA62" s="1">
        <f>[1]Results!AD1760</f>
        <v>1.6145923719999999</v>
      </c>
      <c r="AB62" s="1">
        <f>[1]Results!AE1760</f>
        <v>1.637078714</v>
      </c>
      <c r="AC62" s="1">
        <f>[1]Results!AF1760</f>
        <v>1.6607680840000001</v>
      </c>
      <c r="AD62" s="1">
        <f>[1]Results!AG1760</f>
        <v>1.68630619</v>
      </c>
      <c r="AE62" s="1">
        <f>[1]Results!AH1760</f>
        <v>1.7139497699999999</v>
      </c>
      <c r="AF62" s="1">
        <f>[1]Results!AI1760</f>
        <v>1.743856898</v>
      </c>
      <c r="AG62" s="1">
        <f>[1]Results!AJ1760</f>
        <v>1.7761869210000001</v>
      </c>
      <c r="AH62" s="1">
        <f>[1]Results!AK1760</f>
        <v>1.8112104769999999</v>
      </c>
      <c r="AI62" s="1">
        <f>[1]Results!AL1760</f>
        <v>1.8491961809999999</v>
      </c>
      <c r="AJ62" s="1">
        <f>[1]Results!AM1760</f>
        <v>1.8902302040000001</v>
      </c>
      <c r="AK62" s="1">
        <f>[1]Results!AN1760</f>
        <v>1.9344278210000001</v>
      </c>
      <c r="AL62" s="1">
        <f>[1]Results!AO1760</f>
        <v>1.981978767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1.8946655471911544</v>
      </c>
      <c r="E64" s="1">
        <f t="shared" si="2"/>
        <v>1.8597589983630813</v>
      </c>
      <c r="F64" s="1">
        <f t="shared" si="2"/>
        <v>1.927605322175685</v>
      </c>
      <c r="G64" s="1">
        <f t="shared" si="2"/>
        <v>1.7501357633631365</v>
      </c>
      <c r="H64" s="1">
        <f t="shared" si="2"/>
        <v>1.727507257428007</v>
      </c>
      <c r="I64" s="1">
        <f t="shared" si="2"/>
        <v>1.8091964912787528</v>
      </c>
      <c r="J64" s="1">
        <f t="shared" si="2"/>
        <v>1.8630043508713001</v>
      </c>
      <c r="K64" s="1">
        <f t="shared" si="2"/>
        <v>1.8962229949970544</v>
      </c>
      <c r="L64" s="1">
        <f t="shared" si="2"/>
        <v>1.9113676265937851</v>
      </c>
      <c r="M64" s="1">
        <f t="shared" si="2"/>
        <v>1.9133442837773629</v>
      </c>
      <c r="N64" s="1">
        <f t="shared" si="2"/>
        <v>1.8937713650924337</v>
      </c>
      <c r="O64" s="1">
        <f t="shared" si="2"/>
        <v>1.8501114555335985</v>
      </c>
      <c r="P64" s="1">
        <f t="shared" si="2"/>
        <v>1.7793735971053382</v>
      </c>
      <c r="Q64" s="1">
        <f t="shared" si="2"/>
        <v>1.6956305855532205</v>
      </c>
      <c r="R64" s="1">
        <f t="shared" si="2"/>
        <v>1.6086375379622986</v>
      </c>
      <c r="S64" s="1">
        <f t="shared" si="2"/>
        <v>1.4400244292267717</v>
      </c>
      <c r="T64" s="1">
        <f t="shared" si="2"/>
        <v>1.300602391263439</v>
      </c>
      <c r="U64" s="1">
        <f t="shared" si="2"/>
        <v>1.1911513742415725</v>
      </c>
      <c r="V64" s="1">
        <f t="shared" si="2"/>
        <v>1.1133624073009551</v>
      </c>
      <c r="W64" s="1">
        <f t="shared" si="2"/>
        <v>1.0676149743315655</v>
      </c>
      <c r="X64" s="1">
        <f t="shared" si="2"/>
        <v>1.0468749957484702</v>
      </c>
      <c r="Y64" s="1">
        <f t="shared" si="2"/>
        <v>1.0530686364333297</v>
      </c>
      <c r="Z64" s="1">
        <f t="shared" si="2"/>
        <v>1.0871207762282564</v>
      </c>
      <c r="AA64" s="1">
        <f t="shared" si="2"/>
        <v>1.1520494188806518</v>
      </c>
      <c r="AB64" s="1">
        <f t="shared" si="2"/>
        <v>1.2489861345652997</v>
      </c>
      <c r="AC64" s="1">
        <f t="shared" si="2"/>
        <v>1.3665039617474894</v>
      </c>
      <c r="AD64" s="1">
        <f t="shared" si="2"/>
        <v>1.5018406018010744</v>
      </c>
      <c r="AE64" s="1">
        <f t="shared" si="2"/>
        <v>1.6512648682515563</v>
      </c>
      <c r="AF64" s="1">
        <f t="shared" si="2"/>
        <v>1.8012334485592918</v>
      </c>
      <c r="AG64" s="1">
        <f t="shared" si="2"/>
        <v>1.9472859285082356</v>
      </c>
      <c r="AH64" s="1">
        <f t="shared" si="2"/>
        <v>2.0844297008438817</v>
      </c>
      <c r="AI64" s="1">
        <f t="shared" si="2"/>
        <v>2.2089984830750753</v>
      </c>
      <c r="AJ64" s="1">
        <f t="shared" si="2"/>
        <v>2.3180968634056498</v>
      </c>
      <c r="AK64" s="1">
        <f t="shared" si="2"/>
        <v>2.4090995908005564</v>
      </c>
      <c r="AL64" s="1">
        <f t="shared" si="2"/>
        <v>2.4798762719157263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1.8946655471911544</v>
      </c>
      <c r="E65" s="1">
        <f t="shared" si="3"/>
        <v>1.8597589983630813</v>
      </c>
      <c r="F65" s="1">
        <f t="shared" si="3"/>
        <v>1.927605418338918</v>
      </c>
      <c r="G65" s="1">
        <f t="shared" si="3"/>
        <v>1.7501356673673252</v>
      </c>
      <c r="H65" s="1">
        <f t="shared" si="3"/>
        <v>1.7275073501499039</v>
      </c>
      <c r="I65" s="1">
        <f t="shared" si="3"/>
        <v>1.723935197411075</v>
      </c>
      <c r="J65" s="1">
        <f t="shared" si="3"/>
        <v>2.68047656670094</v>
      </c>
      <c r="K65" s="1">
        <f t="shared" si="3"/>
        <v>2.569098983654694</v>
      </c>
      <c r="L65" s="1">
        <f t="shared" si="3"/>
        <v>2.6960174218253918</v>
      </c>
      <c r="M65" s="1">
        <f t="shared" si="3"/>
        <v>2.8204752805687017</v>
      </c>
      <c r="N65" s="1">
        <f t="shared" si="3"/>
        <v>2.6214014753898063</v>
      </c>
      <c r="O65" s="1">
        <f t="shared" si="3"/>
        <v>2.5185379787364237</v>
      </c>
      <c r="P65" s="1">
        <f t="shared" si="3"/>
        <v>2.3933324059829619</v>
      </c>
      <c r="Q65" s="1">
        <f t="shared" si="3"/>
        <v>2.2523597976570775</v>
      </c>
      <c r="R65" s="1">
        <f t="shared" si="3"/>
        <v>2.1019431872766559</v>
      </c>
      <c r="S65" s="1">
        <f t="shared" si="3"/>
        <v>2.042109546344939</v>
      </c>
      <c r="T65" s="1">
        <f t="shared" si="3"/>
        <v>1.9178349111558912</v>
      </c>
      <c r="U65" s="1">
        <f t="shared" si="3"/>
        <v>1.788914063505187</v>
      </c>
      <c r="V65" s="1">
        <f t="shared" si="3"/>
        <v>1.6697759505480025</v>
      </c>
      <c r="W65" s="1">
        <f t="shared" si="3"/>
        <v>1.5687617862098824</v>
      </c>
      <c r="X65" s="1">
        <f t="shared" si="3"/>
        <v>1.4888528839714921</v>
      </c>
      <c r="Y65" s="1">
        <f t="shared" si="3"/>
        <v>1.4317481585927938</v>
      </c>
      <c r="Z65" s="1">
        <f t="shared" si="3"/>
        <v>1.3928330504936026</v>
      </c>
      <c r="AA65" s="1">
        <f t="shared" si="3"/>
        <v>1.378294276346792</v>
      </c>
      <c r="AB65" s="1">
        <f t="shared" si="3"/>
        <v>1.3926946757556014</v>
      </c>
      <c r="AC65" s="1">
        <f t="shared" si="3"/>
        <v>1.4470513725096223</v>
      </c>
      <c r="AD65" s="1">
        <f t="shared" si="3"/>
        <v>1.5377286116006417</v>
      </c>
      <c r="AE65" s="1">
        <f t="shared" si="3"/>
        <v>1.6392977837553779</v>
      </c>
      <c r="AF65" s="1">
        <f t="shared" si="3"/>
        <v>1.7449244151420018</v>
      </c>
      <c r="AG65" s="1">
        <f t="shared" si="3"/>
        <v>1.8539378453059419</v>
      </c>
      <c r="AH65" s="1">
        <f t="shared" si="3"/>
        <v>1.9718395392913646</v>
      </c>
      <c r="AI65" s="1">
        <f t="shared" si="3"/>
        <v>2.0972550944447832</v>
      </c>
      <c r="AJ65" s="1">
        <f t="shared" si="3"/>
        <v>2.2190194540532726</v>
      </c>
      <c r="AK65" s="1">
        <f t="shared" si="3"/>
        <v>2.3382134570948843</v>
      </c>
      <c r="AL65" s="1">
        <f t="shared" si="3"/>
        <v>2.4581401013669568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348.0186405</v>
      </c>
      <c r="D67" s="6">
        <f>[1]Emissions!C820</f>
        <v>347.12999430000002</v>
      </c>
      <c r="E67" s="6">
        <f>[1]Emissions!D820</f>
        <v>345.9605952</v>
      </c>
      <c r="F67" s="6">
        <f>[1]Emissions!E820</f>
        <v>344.35910669999998</v>
      </c>
      <c r="G67" s="6">
        <f>[1]Emissions!F820</f>
        <v>344.5774715</v>
      </c>
      <c r="H67" s="6">
        <f>[1]Emissions!G820</f>
        <v>346.16872840000002</v>
      </c>
      <c r="I67" s="6">
        <f>[1]Emissions!H820</f>
        <v>347.92632329999998</v>
      </c>
      <c r="J67" s="6">
        <f>[1]Emissions!I820</f>
        <v>349.72034289999999</v>
      </c>
      <c r="K67" s="6">
        <f>[1]Emissions!J820</f>
        <v>351.50164360000002</v>
      </c>
      <c r="L67" s="6">
        <f>[1]Emissions!K820</f>
        <v>353.28982330000002</v>
      </c>
      <c r="M67" s="6">
        <f>[1]Emissions!L820</f>
        <v>355.24887619999998</v>
      </c>
      <c r="N67" s="6">
        <f>[1]Emissions!M820</f>
        <v>357.20530939999998</v>
      </c>
      <c r="O67" s="6">
        <f>[1]Emissions!N820</f>
        <v>359.11797109999998</v>
      </c>
      <c r="P67" s="6">
        <f>[1]Emissions!O820</f>
        <v>360.80939890000002</v>
      </c>
      <c r="Q67" s="6">
        <f>[1]Emissions!P820</f>
        <v>362.35975730000001</v>
      </c>
      <c r="R67" s="6">
        <f>[1]Emissions!Q820</f>
        <v>363.87801560000003</v>
      </c>
      <c r="S67" s="6">
        <f>[1]Emissions!R820</f>
        <v>365.97578479999999</v>
      </c>
      <c r="T67" s="6">
        <f>[1]Emissions!S820</f>
        <v>368.67938429999998</v>
      </c>
      <c r="U67" s="6">
        <f>[1]Emissions!T820</f>
        <v>371.98520710000003</v>
      </c>
      <c r="V67" s="6">
        <f>[1]Emissions!U820</f>
        <v>375.86559579999999</v>
      </c>
      <c r="W67" s="6">
        <f>[1]Emissions!V820</f>
        <v>380.21485749999999</v>
      </c>
      <c r="X67" s="6">
        <f>[1]Emissions!W820</f>
        <v>385.15684909999999</v>
      </c>
      <c r="Y67" s="6">
        <f>[1]Emissions!X820</f>
        <v>390.70405970000002</v>
      </c>
      <c r="Z67" s="6">
        <f>[1]Emissions!Y820</f>
        <v>396.88048500000002</v>
      </c>
      <c r="AA67" s="6">
        <f>[1]Emissions!Z820</f>
        <v>403.68621189999999</v>
      </c>
      <c r="AB67" s="6">
        <f>[1]Emissions!AA820</f>
        <v>410.86503329999999</v>
      </c>
      <c r="AC67" s="6">
        <f>[1]Emissions!AB820</f>
        <v>418.67284890000002</v>
      </c>
      <c r="AD67" s="6">
        <f>[1]Emissions!AC820</f>
        <v>427.1388177</v>
      </c>
      <c r="AE67" s="6">
        <f>[1]Emissions!AD820</f>
        <v>436.27647080000003</v>
      </c>
      <c r="AF67" s="6">
        <f>[1]Emissions!AE820</f>
        <v>446.02465369999999</v>
      </c>
      <c r="AG67" s="6">
        <f>[1]Emissions!AF820</f>
        <v>456.27840359999999</v>
      </c>
      <c r="AH67" s="6">
        <f>[1]Emissions!AG820</f>
        <v>466.93267020000002</v>
      </c>
      <c r="AI67" s="6">
        <f>[1]Emissions!AH820</f>
        <v>477.8952453</v>
      </c>
      <c r="AJ67" s="6">
        <f>[1]Emissions!AI820</f>
        <v>489.07739299999997</v>
      </c>
      <c r="AK67" s="6">
        <f>[1]Emissions!AJ820</f>
        <v>500.38850439999999</v>
      </c>
      <c r="AL67" s="6">
        <f>[1]Emissions!AK820</f>
        <v>511.73421080000003</v>
      </c>
    </row>
    <row r="68" spans="1:38" x14ac:dyDescent="0.35">
      <c r="A68" s="11"/>
      <c r="B68" t="s">
        <v>25</v>
      </c>
      <c r="C68" s="6">
        <f>[1]Emissions!B824</f>
        <v>119.490486</v>
      </c>
      <c r="D68" s="6">
        <f>[1]Emissions!C824</f>
        <v>118.3749048</v>
      </c>
      <c r="E68" s="6">
        <f>[1]Emissions!D824</f>
        <v>117.1349348</v>
      </c>
      <c r="F68" s="6">
        <f>[1]Emissions!E824</f>
        <v>115.9255994</v>
      </c>
      <c r="G68" s="6">
        <f>[1]Emissions!F824</f>
        <v>115.35153750000001</v>
      </c>
      <c r="H68" s="6">
        <f>[1]Emissions!G824</f>
        <v>115.169391</v>
      </c>
      <c r="I68" s="6">
        <f>[1]Emissions!H824</f>
        <v>114.939714</v>
      </c>
      <c r="J68" s="6">
        <f>[1]Emissions!I824</f>
        <v>114.7019439</v>
      </c>
      <c r="K68" s="6">
        <f>[1]Emissions!J824</f>
        <v>114.4740307</v>
      </c>
      <c r="L68" s="6">
        <f>[1]Emissions!K824</f>
        <v>114.2691679</v>
      </c>
      <c r="M68" s="6">
        <f>[1]Emissions!L824</f>
        <v>114.1311142</v>
      </c>
      <c r="N68" s="6">
        <f>[1]Emissions!M824</f>
        <v>113.9983428</v>
      </c>
      <c r="O68" s="6">
        <f>[1]Emissions!N824</f>
        <v>113.87726019999999</v>
      </c>
      <c r="P68" s="6">
        <f>[1]Emissions!O824</f>
        <v>113.77051729999999</v>
      </c>
      <c r="Q68" s="6">
        <f>[1]Emissions!P824</f>
        <v>113.674621</v>
      </c>
      <c r="R68" s="6">
        <f>[1]Emissions!Q824</f>
        <v>113.5831357</v>
      </c>
      <c r="S68" s="6">
        <f>[1]Emissions!R824</f>
        <v>113.6596541</v>
      </c>
      <c r="T68" s="6">
        <f>[1]Emissions!S824</f>
        <v>113.82774089999999</v>
      </c>
      <c r="U68" s="6">
        <f>[1]Emissions!T824</f>
        <v>114.0399778</v>
      </c>
      <c r="V68" s="6">
        <f>[1]Emissions!U824</f>
        <v>114.2679752</v>
      </c>
      <c r="W68" s="6">
        <f>[1]Emissions!V824</f>
        <v>114.47063799999999</v>
      </c>
      <c r="X68" s="6">
        <f>[1]Emissions!W824</f>
        <v>114.68242739999999</v>
      </c>
      <c r="Y68" s="6">
        <f>[1]Emissions!X824</f>
        <v>114.9056582</v>
      </c>
      <c r="Z68" s="6">
        <f>[1]Emissions!Y824</f>
        <v>115.1507569</v>
      </c>
      <c r="AA68" s="6">
        <f>[1]Emissions!Z824</f>
        <v>115.421949</v>
      </c>
      <c r="AB68" s="6">
        <f>[1]Emissions!AA824</f>
        <v>115.6454178</v>
      </c>
      <c r="AC68" s="6">
        <f>[1]Emissions!AB824</f>
        <v>115.89281750000001</v>
      </c>
      <c r="AD68" s="6">
        <f>[1]Emissions!AC824</f>
        <v>116.1630311</v>
      </c>
      <c r="AE68" s="6">
        <f>[1]Emissions!AD824</f>
        <v>116.457621</v>
      </c>
      <c r="AF68" s="6">
        <f>[1]Emissions!AE824</f>
        <v>116.78006670000001</v>
      </c>
      <c r="AG68" s="6">
        <f>[1]Emissions!AF824</f>
        <v>117.13215030000001</v>
      </c>
      <c r="AH68" s="6">
        <f>[1]Emissions!AG824</f>
        <v>117.51071880000001</v>
      </c>
      <c r="AI68" s="6">
        <f>[1]Emissions!AH824</f>
        <v>117.91002349999999</v>
      </c>
      <c r="AJ68" s="6">
        <f>[1]Emissions!AI824</f>
        <v>118.3231294</v>
      </c>
      <c r="AK68" s="6">
        <f>[1]Emissions!AJ824</f>
        <v>118.7418685</v>
      </c>
      <c r="AL68" s="6">
        <f>[1]Emissions!AK824</f>
        <v>119.1570694</v>
      </c>
    </row>
    <row r="69" spans="1:38" x14ac:dyDescent="0.35">
      <c r="A69" s="11"/>
      <c r="B69" t="s">
        <v>26</v>
      </c>
      <c r="C69" s="6">
        <f>SUM(C70:C72)</f>
        <v>228.52815449439998</v>
      </c>
      <c r="D69" s="6">
        <f t="shared" ref="D69:AL69" si="4">SUM(D70:D72)</f>
        <v>228.7550895338</v>
      </c>
      <c r="E69" s="6">
        <f t="shared" si="4"/>
        <v>228.82566036560002</v>
      </c>
      <c r="F69" s="6">
        <f t="shared" si="4"/>
        <v>228.43350736789998</v>
      </c>
      <c r="G69" s="6">
        <f t="shared" si="4"/>
        <v>229.22593396869999</v>
      </c>
      <c r="H69" s="6">
        <f t="shared" si="4"/>
        <v>230.99933738519999</v>
      </c>
      <c r="I69" s="6">
        <f t="shared" si="4"/>
        <v>232.98660920560002</v>
      </c>
      <c r="J69" s="6">
        <f t="shared" si="4"/>
        <v>235.01839898100002</v>
      </c>
      <c r="K69" s="6">
        <f t="shared" si="4"/>
        <v>237.02761295720001</v>
      </c>
      <c r="L69" s="6">
        <f t="shared" si="4"/>
        <v>239.0206554191</v>
      </c>
      <c r="M69" s="6">
        <f t="shared" si="4"/>
        <v>241.11776196420001</v>
      </c>
      <c r="N69" s="6">
        <f t="shared" si="4"/>
        <v>243.20696650849999</v>
      </c>
      <c r="O69" s="6">
        <f t="shared" si="4"/>
        <v>245.24071089980001</v>
      </c>
      <c r="P69" s="6">
        <f t="shared" si="4"/>
        <v>247.03888163709999</v>
      </c>
      <c r="Q69" s="6">
        <f t="shared" si="4"/>
        <v>248.68513630470002</v>
      </c>
      <c r="R69" s="6">
        <f t="shared" si="4"/>
        <v>250.2948798795</v>
      </c>
      <c r="S69" s="6">
        <f t="shared" si="4"/>
        <v>252.31613075039999</v>
      </c>
      <c r="T69" s="6">
        <f t="shared" si="4"/>
        <v>254.85164334040002</v>
      </c>
      <c r="U69" s="6">
        <f t="shared" si="4"/>
        <v>257.94522929969997</v>
      </c>
      <c r="V69" s="6">
        <f t="shared" si="4"/>
        <v>261.59762058770002</v>
      </c>
      <c r="W69" s="6">
        <f t="shared" si="4"/>
        <v>265.74421952400002</v>
      </c>
      <c r="X69" s="6">
        <f t="shared" si="4"/>
        <v>270.47442166500002</v>
      </c>
      <c r="Y69" s="6">
        <f t="shared" si="4"/>
        <v>275.79840143780001</v>
      </c>
      <c r="Z69" s="6">
        <f t="shared" si="4"/>
        <v>281.7297281287</v>
      </c>
      <c r="AA69" s="6">
        <f t="shared" si="4"/>
        <v>288.26426298539997</v>
      </c>
      <c r="AB69" s="6">
        <f t="shared" si="4"/>
        <v>295.21961548230001</v>
      </c>
      <c r="AC69" s="6">
        <f t="shared" si="4"/>
        <v>302.78003133129999</v>
      </c>
      <c r="AD69" s="6">
        <f t="shared" si="4"/>
        <v>310.97578663950003</v>
      </c>
      <c r="AE69" s="6">
        <f t="shared" si="4"/>
        <v>319.81884975200001</v>
      </c>
      <c r="AF69" s="6">
        <f t="shared" si="4"/>
        <v>329.24458698579997</v>
      </c>
      <c r="AG69" s="6">
        <f t="shared" si="4"/>
        <v>339.1462532969</v>
      </c>
      <c r="AH69" s="6">
        <f t="shared" si="4"/>
        <v>349.42195140260003</v>
      </c>
      <c r="AI69" s="6">
        <f t="shared" si="4"/>
        <v>359.98522190699998</v>
      </c>
      <c r="AJ69" s="6">
        <f t="shared" si="4"/>
        <v>370.75426363950004</v>
      </c>
      <c r="AK69" s="6">
        <f t="shared" si="4"/>
        <v>381.6466358294</v>
      </c>
      <c r="AL69" s="6">
        <f t="shared" si="4"/>
        <v>392.57714142909998</v>
      </c>
    </row>
    <row r="70" spans="1:38" x14ac:dyDescent="0.35">
      <c r="A70" s="11"/>
      <c r="B70" t="s">
        <v>50</v>
      </c>
      <c r="C70" s="6">
        <f>[1]Emissions!B821</f>
        <v>213.27374029999999</v>
      </c>
      <c r="D70" s="6">
        <f>[1]Emissions!C821</f>
        <v>213.29498029999999</v>
      </c>
      <c r="E70" s="6">
        <f>[1]Emissions!D821</f>
        <v>213.1396479</v>
      </c>
      <c r="F70" s="6">
        <f>[1]Emissions!E821</f>
        <v>212.50910189999999</v>
      </c>
      <c r="G70" s="6">
        <f>[1]Emissions!F821</f>
        <v>213.0467716</v>
      </c>
      <c r="H70" s="6">
        <f>[1]Emissions!G821</f>
        <v>214.54737539999999</v>
      </c>
      <c r="I70" s="6">
        <f>[1]Emissions!H821</f>
        <v>216.25429790000001</v>
      </c>
      <c r="J70" s="6">
        <f>[1]Emissions!I821</f>
        <v>217.999154</v>
      </c>
      <c r="K70" s="6">
        <f>[1]Emissions!J821</f>
        <v>219.7160533</v>
      </c>
      <c r="L70" s="6">
        <f>[1]Emissions!K821</f>
        <v>221.4112518</v>
      </c>
      <c r="M70" s="6">
        <f>[1]Emissions!L821</f>
        <v>223.19416390000001</v>
      </c>
      <c r="N70" s="6">
        <f>[1]Emissions!M821</f>
        <v>224.96714679999999</v>
      </c>
      <c r="O70" s="6">
        <f>[1]Emissions!N821</f>
        <v>226.68188649999999</v>
      </c>
      <c r="P70" s="6">
        <f>[1]Emissions!O821</f>
        <v>228.16708689999999</v>
      </c>
      <c r="Q70" s="6">
        <f>[1]Emissions!P821</f>
        <v>229.50280810000001</v>
      </c>
      <c r="R70" s="6">
        <f>[1]Emissions!Q821</f>
        <v>230.79880220000001</v>
      </c>
      <c r="S70" s="6">
        <f>[1]Emissions!R821</f>
        <v>232.4929947</v>
      </c>
      <c r="T70" s="6">
        <f>[1]Emissions!S821</f>
        <v>234.6800753</v>
      </c>
      <c r="U70" s="6">
        <f>[1]Emissions!T821</f>
        <v>237.39874209999999</v>
      </c>
      <c r="V70" s="6">
        <f>[1]Emissions!U821</f>
        <v>240.64751179999999</v>
      </c>
      <c r="W70" s="6">
        <f>[1]Emissions!V821</f>
        <v>244.36775130000001</v>
      </c>
      <c r="X70" s="6">
        <f>[1]Emissions!W821</f>
        <v>248.6365102</v>
      </c>
      <c r="Y70" s="6">
        <f>[1]Emissions!X821</f>
        <v>253.46502620000001</v>
      </c>
      <c r="Z70" s="6">
        <f>[1]Emissions!Y821</f>
        <v>258.86596980000002</v>
      </c>
      <c r="AA70" s="6">
        <f>[1]Emissions!Z821</f>
        <v>264.8353462</v>
      </c>
      <c r="AB70" s="6">
        <f>[1]Emissions!AA821</f>
        <v>271.2125001</v>
      </c>
      <c r="AC70" s="6">
        <f>[1]Emissions!AB821</f>
        <v>278.15849850000001</v>
      </c>
      <c r="AD70" s="6">
        <f>[1]Emissions!AC821</f>
        <v>285.70516980000002</v>
      </c>
      <c r="AE70" s="6">
        <f>[1]Emissions!AD821</f>
        <v>293.86376130000002</v>
      </c>
      <c r="AF70" s="6">
        <f>[1]Emissions!AE821</f>
        <v>302.57216149999999</v>
      </c>
      <c r="AG70" s="6">
        <f>[1]Emissions!AF821</f>
        <v>311.72819879999997</v>
      </c>
      <c r="AH70" s="6">
        <f>[1]Emissions!AG821</f>
        <v>321.23425570000001</v>
      </c>
      <c r="AI70" s="6">
        <f>[1]Emissions!AH821</f>
        <v>331.0072581</v>
      </c>
      <c r="AJ70" s="6">
        <f>[1]Emissions!AI821</f>
        <v>340.96842650000002</v>
      </c>
      <c r="AK70" s="6">
        <f>[1]Emissions!AJ821</f>
        <v>351.03828199999998</v>
      </c>
      <c r="AL70" s="6">
        <f>[1]Emissions!AK821</f>
        <v>361.13469809999998</v>
      </c>
    </row>
    <row r="71" spans="1:38" x14ac:dyDescent="0.35">
      <c r="A71" s="11"/>
      <c r="B71" t="s">
        <v>51</v>
      </c>
      <c r="C71" s="6">
        <f>[1]Emissions!B822</f>
        <v>2.7534944400000001E-2</v>
      </c>
      <c r="D71" s="6">
        <f>[1]Emissions!C822</f>
        <v>2.7853943799999999E-2</v>
      </c>
      <c r="E71" s="6">
        <f>[1]Emissions!D822</f>
        <v>2.82198756E-2</v>
      </c>
      <c r="F71" s="6">
        <f>[1]Emissions!E822</f>
        <v>2.8637517899999999E-2</v>
      </c>
      <c r="G71" s="6">
        <f>[1]Emissions!F822</f>
        <v>2.9095658699999999E-2</v>
      </c>
      <c r="H71" s="6">
        <f>[1]Emissions!G822</f>
        <v>2.9591995199999999E-2</v>
      </c>
      <c r="I71" s="6">
        <f>[1]Emissions!H822</f>
        <v>3.01031756E-2</v>
      </c>
      <c r="J71" s="6">
        <f>[1]Emissions!I822</f>
        <v>3.0621991000000001E-2</v>
      </c>
      <c r="K71" s="6">
        <f>[1]Emissions!J822</f>
        <v>3.1145997200000001E-2</v>
      </c>
      <c r="L71" s="6">
        <f>[1]Emissions!K822</f>
        <v>3.1675569100000002E-2</v>
      </c>
      <c r="M71" s="6">
        <f>[1]Emissions!L822</f>
        <v>3.2224504199999997E-2</v>
      </c>
      <c r="N71" s="6">
        <f>[1]Emissions!M822</f>
        <v>3.2779478500000001E-2</v>
      </c>
      <c r="O71" s="6">
        <f>[1]Emissions!N822</f>
        <v>3.3330219799999998E-2</v>
      </c>
      <c r="P71" s="6">
        <f>[1]Emissions!O822</f>
        <v>3.3849547100000002E-2</v>
      </c>
      <c r="Q71" s="6">
        <f>[1]Emissions!P822</f>
        <v>3.4348544699999997E-2</v>
      </c>
      <c r="R71" s="6">
        <f>[1]Emissions!Q822</f>
        <v>3.4839739500000001E-2</v>
      </c>
      <c r="S71" s="6">
        <f>[1]Emissions!R822</f>
        <v>3.5347050400000003E-2</v>
      </c>
      <c r="T71" s="6">
        <f>[1]Emissions!S822</f>
        <v>3.5887710400000002E-2</v>
      </c>
      <c r="U71" s="6">
        <f>[1]Emissions!T822</f>
        <v>3.6472849699999997E-2</v>
      </c>
      <c r="V71" s="6">
        <f>[1]Emissions!U822</f>
        <v>3.71076277E-2</v>
      </c>
      <c r="W71" s="6">
        <f>[1]Emissions!V822</f>
        <v>3.7787804000000001E-2</v>
      </c>
      <c r="X71" s="6">
        <f>[1]Emissions!W822</f>
        <v>3.8528535000000003E-2</v>
      </c>
      <c r="Y71" s="6">
        <f>[1]Emissions!X822</f>
        <v>3.9336187799999998E-2</v>
      </c>
      <c r="Z71" s="6">
        <f>[1]Emissions!Y822</f>
        <v>4.0214818700000002E-2</v>
      </c>
      <c r="AA71" s="6">
        <f>[1]Emissions!Z822</f>
        <v>4.1164555399999997E-2</v>
      </c>
      <c r="AB71" s="6">
        <f>[1]Emissions!AA822</f>
        <v>4.2160412299999998E-2</v>
      </c>
      <c r="AC71" s="6">
        <f>[1]Emissions!AB822</f>
        <v>4.3224351299999998E-2</v>
      </c>
      <c r="AD71" s="6">
        <f>[1]Emissions!AC822</f>
        <v>4.4364149499999998E-2</v>
      </c>
      <c r="AE71" s="6">
        <f>[1]Emissions!AD822</f>
        <v>4.5583142E-2</v>
      </c>
      <c r="AF71" s="6">
        <f>[1]Emissions!AE822</f>
        <v>4.68742558E-2</v>
      </c>
      <c r="AG71" s="6">
        <f>[1]Emissions!AF822</f>
        <v>4.8224726900000001E-2</v>
      </c>
      <c r="AH71" s="6">
        <f>[1]Emissions!AG822</f>
        <v>4.9622332599999999E-2</v>
      </c>
      <c r="AI71" s="6">
        <f>[1]Emissions!AH822</f>
        <v>5.1056406999999998E-2</v>
      </c>
      <c r="AJ71" s="6">
        <f>[1]Emissions!AI822</f>
        <v>5.2516389500000003E-2</v>
      </c>
      <c r="AK71" s="6">
        <f>[1]Emissions!AJ822</f>
        <v>5.3991509399999998E-2</v>
      </c>
      <c r="AL71" s="6">
        <f>[1]Emissions!AK822</f>
        <v>5.5470729099999998E-2</v>
      </c>
    </row>
    <row r="72" spans="1:38" x14ac:dyDescent="0.35">
      <c r="A72" s="11"/>
      <c r="B72" t="s">
        <v>52</v>
      </c>
      <c r="C72" s="6">
        <f>[1]Emissions!B823</f>
        <v>15.22687925</v>
      </c>
      <c r="D72" s="6">
        <f>[1]Emissions!C823</f>
        <v>15.432255290000001</v>
      </c>
      <c r="E72" s="6">
        <f>[1]Emissions!D823</f>
        <v>15.65779259</v>
      </c>
      <c r="F72" s="6">
        <f>[1]Emissions!E823</f>
        <v>15.89576795</v>
      </c>
      <c r="G72" s="6">
        <f>[1]Emissions!F823</f>
        <v>16.150066710000001</v>
      </c>
      <c r="H72" s="6">
        <f>[1]Emissions!G823</f>
        <v>16.42236999</v>
      </c>
      <c r="I72" s="6">
        <f>[1]Emissions!H823</f>
        <v>16.702208129999999</v>
      </c>
      <c r="J72" s="6">
        <f>[1]Emissions!I823</f>
        <v>16.98862299</v>
      </c>
      <c r="K72" s="6">
        <f>[1]Emissions!J823</f>
        <v>17.280413660000001</v>
      </c>
      <c r="L72" s="6">
        <f>[1]Emissions!K823</f>
        <v>17.577728050000001</v>
      </c>
      <c r="M72" s="6">
        <f>[1]Emissions!L823</f>
        <v>17.891373560000002</v>
      </c>
      <c r="N72" s="6">
        <f>[1]Emissions!M823</f>
        <v>18.20704023</v>
      </c>
      <c r="O72" s="6">
        <f>[1]Emissions!N823</f>
        <v>18.525494179999999</v>
      </c>
      <c r="P72" s="6">
        <f>[1]Emissions!O823</f>
        <v>18.837945189999999</v>
      </c>
      <c r="Q72" s="6">
        <f>[1]Emissions!P823</f>
        <v>19.147979660000001</v>
      </c>
      <c r="R72" s="6">
        <f>[1]Emissions!Q823</f>
        <v>19.46123794</v>
      </c>
      <c r="S72" s="6">
        <f>[1]Emissions!R823</f>
        <v>19.787789</v>
      </c>
      <c r="T72" s="6">
        <f>[1]Emissions!S823</f>
        <v>20.13568033</v>
      </c>
      <c r="U72" s="6">
        <f>[1]Emissions!T823</f>
        <v>20.510014349999999</v>
      </c>
      <c r="V72" s="6">
        <f>[1]Emissions!U823</f>
        <v>20.91300116</v>
      </c>
      <c r="W72" s="6">
        <f>[1]Emissions!V823</f>
        <v>21.338680419999999</v>
      </c>
      <c r="X72" s="6">
        <f>[1]Emissions!W823</f>
        <v>21.79938293</v>
      </c>
      <c r="Y72" s="6">
        <f>[1]Emissions!X823</f>
        <v>22.294039049999999</v>
      </c>
      <c r="Z72" s="6">
        <f>[1]Emissions!Y823</f>
        <v>22.82354351</v>
      </c>
      <c r="AA72" s="6">
        <f>[1]Emissions!Z823</f>
        <v>23.38775223</v>
      </c>
      <c r="AB72" s="6">
        <f>[1]Emissions!AA823</f>
        <v>23.964954970000001</v>
      </c>
      <c r="AC72" s="6">
        <f>[1]Emissions!AB823</f>
        <v>24.57830848</v>
      </c>
      <c r="AD72" s="6">
        <f>[1]Emissions!AC823</f>
        <v>25.226252689999999</v>
      </c>
      <c r="AE72" s="6">
        <f>[1]Emissions!AD823</f>
        <v>25.90950531</v>
      </c>
      <c r="AF72" s="6">
        <f>[1]Emissions!AE823</f>
        <v>26.625551229999999</v>
      </c>
      <c r="AG72" s="6">
        <f>[1]Emissions!AF823</f>
        <v>27.369829769999999</v>
      </c>
      <c r="AH72" s="6">
        <f>[1]Emissions!AG823</f>
        <v>28.138073370000001</v>
      </c>
      <c r="AI72" s="6">
        <f>[1]Emissions!AH823</f>
        <v>28.926907400000001</v>
      </c>
      <c r="AJ72" s="6">
        <f>[1]Emissions!AI823</f>
        <v>29.733320750000001</v>
      </c>
      <c r="AK72" s="6">
        <f>[1]Emissions!AJ823</f>
        <v>30.554362319999999</v>
      </c>
      <c r="AL72" s="6">
        <f>[1]Emissions!AK823</f>
        <v>31.3869726</v>
      </c>
    </row>
    <row r="73" spans="1:38" x14ac:dyDescent="0.35">
      <c r="A73" s="11"/>
      <c r="B73" t="str">
        <f>B65</f>
        <v>NZ50</v>
      </c>
      <c r="C73" s="6">
        <f>[1]Emissions!B825</f>
        <v>348.01866310000003</v>
      </c>
      <c r="D73" s="6">
        <f>[1]Emissions!C825</f>
        <v>347.13001630000002</v>
      </c>
      <c r="E73" s="6">
        <f>[1]Emissions!D825</f>
        <v>345.96061659999998</v>
      </c>
      <c r="F73" s="6">
        <f>[1]Emissions!E825</f>
        <v>344.35912739999998</v>
      </c>
      <c r="G73" s="6">
        <f>[1]Emissions!F825</f>
        <v>344.57749189999998</v>
      </c>
      <c r="H73" s="6">
        <f>[1]Emissions!G825</f>
        <v>346.16874860000001</v>
      </c>
      <c r="I73" s="6">
        <f>[1]Emissions!H825</f>
        <v>348.70130710000001</v>
      </c>
      <c r="J73" s="6">
        <f>[1]Emissions!I825</f>
        <v>337.30918020000001</v>
      </c>
      <c r="K73" s="6">
        <f>[1]Emissions!J825</f>
        <v>325.61488789999999</v>
      </c>
      <c r="L73" s="6">
        <f>[1]Emissions!K825</f>
        <v>315.10348670000002</v>
      </c>
      <c r="M73" s="6">
        <f>[1]Emissions!L825</f>
        <v>305.28161669999997</v>
      </c>
      <c r="N73" s="6">
        <f>[1]Emissions!M825</f>
        <v>296.7859393</v>
      </c>
      <c r="O73" s="6">
        <f>[1]Emissions!N825</f>
        <v>289.0922127</v>
      </c>
      <c r="P73" s="6">
        <f>[1]Emissions!O825</f>
        <v>281.82070520000002</v>
      </c>
      <c r="Q73" s="6">
        <f>[1]Emissions!P825</f>
        <v>274.91570100000001</v>
      </c>
      <c r="R73" s="6">
        <f>[1]Emissions!Q825</f>
        <v>268.32461380000001</v>
      </c>
      <c r="S73" s="6">
        <f>[1]Emissions!R825</f>
        <v>261.59106459999998</v>
      </c>
      <c r="T73" s="6">
        <f>[1]Emissions!S825</f>
        <v>254.86074819999999</v>
      </c>
      <c r="U73" s="6">
        <f>[1]Emissions!T825</f>
        <v>248.2264586</v>
      </c>
      <c r="V73" s="6">
        <f>[1]Emissions!U825</f>
        <v>241.73864309999999</v>
      </c>
      <c r="W73" s="6">
        <f>[1]Emissions!V825</f>
        <v>235.37436500000001</v>
      </c>
      <c r="X73" s="6">
        <f>[1]Emissions!W825</f>
        <v>229.237133</v>
      </c>
      <c r="Y73" s="6">
        <f>[1]Emissions!X825</f>
        <v>223.32188439999999</v>
      </c>
      <c r="Z73" s="6">
        <f>[1]Emissions!Y825</f>
        <v>217.60745349999999</v>
      </c>
      <c r="AA73" s="6">
        <f>[1]Emissions!Z825</f>
        <v>212.0539058</v>
      </c>
      <c r="AB73" s="6">
        <f>[1]Emissions!AA825</f>
        <v>206.48555350000001</v>
      </c>
      <c r="AC73" s="6">
        <f>[1]Emissions!AB825</f>
        <v>201.0132648</v>
      </c>
      <c r="AD73" s="6">
        <f>[1]Emissions!AC825</f>
        <v>195.6176111</v>
      </c>
      <c r="AE73" s="6">
        <f>[1]Emissions!AD825</f>
        <v>190.2404037</v>
      </c>
      <c r="AF73" s="6">
        <f>[1]Emissions!AE825</f>
        <v>184.77860390000001</v>
      </c>
      <c r="AG73" s="6">
        <f>[1]Emissions!AF825</f>
        <v>179.11036469999999</v>
      </c>
      <c r="AH73" s="6">
        <f>[1]Emissions!AG825</f>
        <v>173.12295700000001</v>
      </c>
      <c r="AI73" s="6">
        <f>[1]Emissions!AH825</f>
        <v>166.70855589999999</v>
      </c>
      <c r="AJ73" s="6">
        <f>[1]Emissions!AI825</f>
        <v>159.7428702</v>
      </c>
      <c r="AK73" s="6">
        <f>[1]Emissions!AJ825</f>
        <v>152.0770368</v>
      </c>
      <c r="AL73" s="6">
        <f>[1]Emissions!AK825</f>
        <v>143.5138044</v>
      </c>
    </row>
    <row r="74" spans="1:38" x14ac:dyDescent="0.35">
      <c r="A74" s="8"/>
      <c r="B74" t="s">
        <v>25</v>
      </c>
      <c r="C74" s="6">
        <f>[1]Emissions!B829</f>
        <v>119.49049309999999</v>
      </c>
      <c r="D74" s="6">
        <f>[1]Emissions!C829</f>
        <v>118.3749116</v>
      </c>
      <c r="E74" s="6">
        <f>[1]Emissions!D829</f>
        <v>117.13494129999999</v>
      </c>
      <c r="F74" s="6">
        <f>[1]Emissions!E829</f>
        <v>115.92560570000001</v>
      </c>
      <c r="G74" s="6">
        <f>[1]Emissions!F829</f>
        <v>115.3515438</v>
      </c>
      <c r="H74" s="6">
        <f>[1]Emissions!G829</f>
        <v>115.16939720000001</v>
      </c>
      <c r="I74" s="6">
        <f>[1]Emissions!H829</f>
        <v>115.2068263</v>
      </c>
      <c r="J74" s="6">
        <f>[1]Emissions!I829</f>
        <v>110.6811704</v>
      </c>
      <c r="K74" s="6">
        <f>[1]Emissions!J829</f>
        <v>106.1878014</v>
      </c>
      <c r="L74" s="6">
        <f>[1]Emissions!K829</f>
        <v>101.6806292</v>
      </c>
      <c r="M74" s="6">
        <f>[1]Emissions!L829</f>
        <v>97.184057449999997</v>
      </c>
      <c r="N74" s="6">
        <f>[1]Emissions!M829</f>
        <v>92.996080770000006</v>
      </c>
      <c r="O74" s="6">
        <f>[1]Emissions!N829</f>
        <v>89.029547890000003</v>
      </c>
      <c r="P74" s="6">
        <f>[1]Emissions!O829</f>
        <v>85.255311410000004</v>
      </c>
      <c r="Q74" s="6">
        <f>[1]Emissions!P829</f>
        <v>81.646300749999995</v>
      </c>
      <c r="R74" s="6">
        <f>[1]Emissions!Q829</f>
        <v>78.17163687</v>
      </c>
      <c r="S74" s="6">
        <f>[1]Emissions!R829</f>
        <v>74.686761610000005</v>
      </c>
      <c r="T74" s="6">
        <f>[1]Emissions!S829</f>
        <v>71.22572418</v>
      </c>
      <c r="U74" s="6">
        <f>[1]Emissions!T829</f>
        <v>67.797809869999995</v>
      </c>
      <c r="V74" s="6">
        <f>[1]Emissions!U829</f>
        <v>64.407723379999993</v>
      </c>
      <c r="W74" s="6">
        <f>[1]Emissions!V829</f>
        <v>61.042861709999997</v>
      </c>
      <c r="X74" s="6">
        <f>[1]Emissions!W829</f>
        <v>57.733684750000002</v>
      </c>
      <c r="Y74" s="6">
        <f>[1]Emissions!X829</f>
        <v>54.471931320000003</v>
      </c>
      <c r="Z74" s="6">
        <f>[1]Emissions!Y829</f>
        <v>51.254453439999999</v>
      </c>
      <c r="AA74" s="6">
        <f>[1]Emissions!Z829</f>
        <v>48.080268119999999</v>
      </c>
      <c r="AB74" s="6">
        <f>[1]Emissions!AA829</f>
        <v>44.909883000000001</v>
      </c>
      <c r="AC74" s="6">
        <f>[1]Emissions!AB829</f>
        <v>41.783227750000002</v>
      </c>
      <c r="AD74" s="6">
        <f>[1]Emissions!AC829</f>
        <v>38.6948273</v>
      </c>
      <c r="AE74" s="6">
        <f>[1]Emissions!AD829</f>
        <v>35.639473160000001</v>
      </c>
      <c r="AF74" s="6">
        <f>[1]Emissions!AE829</f>
        <v>32.61149116</v>
      </c>
      <c r="AG74" s="6">
        <f>[1]Emissions!AF829</f>
        <v>29.60417739</v>
      </c>
      <c r="AH74" s="6">
        <f>[1]Emissions!AG829</f>
        <v>26.609871989999998</v>
      </c>
      <c r="AI74" s="6">
        <f>[1]Emissions!AH829</f>
        <v>23.62049983</v>
      </c>
      <c r="AJ74" s="6">
        <f>[1]Emissions!AI829</f>
        <v>20.628019340000002</v>
      </c>
      <c r="AK74" s="6">
        <f>[1]Emissions!AJ829</f>
        <v>17.624318299999999</v>
      </c>
      <c r="AL74" s="6">
        <f>[1]Emissions!AK829</f>
        <v>14.600667639999999</v>
      </c>
    </row>
    <row r="75" spans="1:38" x14ac:dyDescent="0.35">
      <c r="A75" s="8"/>
      <c r="B75" t="s">
        <v>26</v>
      </c>
      <c r="C75" s="6">
        <f>SUM(C76:C78)</f>
        <v>228.5281699944</v>
      </c>
      <c r="D75" s="6">
        <f t="shared" ref="D75:AL75" si="5">SUM(D76:D78)</f>
        <v>228.75510473380001</v>
      </c>
      <c r="E75" s="6">
        <f t="shared" si="5"/>
        <v>228.82567526560001</v>
      </c>
      <c r="F75" s="6">
        <f t="shared" si="5"/>
        <v>228.4335217579</v>
      </c>
      <c r="G75" s="6">
        <f t="shared" si="5"/>
        <v>229.22594806869998</v>
      </c>
      <c r="H75" s="6">
        <f t="shared" si="5"/>
        <v>230.99935138519999</v>
      </c>
      <c r="I75" s="6">
        <f t="shared" si="5"/>
        <v>233.4944808011</v>
      </c>
      <c r="J75" s="6">
        <f t="shared" si="5"/>
        <v>226.62800972830001</v>
      </c>
      <c r="K75" s="6">
        <f t="shared" si="5"/>
        <v>219.42708651620001</v>
      </c>
      <c r="L75" s="6">
        <f t="shared" si="5"/>
        <v>213.42285748449999</v>
      </c>
      <c r="M75" s="6">
        <f t="shared" si="5"/>
        <v>208.09755925019999</v>
      </c>
      <c r="N75" s="6">
        <f t="shared" si="5"/>
        <v>203.78985853090001</v>
      </c>
      <c r="O75" s="6">
        <f t="shared" si="5"/>
        <v>200.06266483550002</v>
      </c>
      <c r="P75" s="6">
        <f t="shared" si="5"/>
        <v>196.56539377570002</v>
      </c>
      <c r="Q75" s="6">
        <f t="shared" si="5"/>
        <v>193.26940024859999</v>
      </c>
      <c r="R75" s="6">
        <f t="shared" si="5"/>
        <v>190.1529769441</v>
      </c>
      <c r="S75" s="6">
        <f t="shared" si="5"/>
        <v>186.90430305910002</v>
      </c>
      <c r="T75" s="6">
        <f t="shared" si="5"/>
        <v>183.63502406430001</v>
      </c>
      <c r="U75" s="6">
        <f t="shared" si="5"/>
        <v>180.42864868230001</v>
      </c>
      <c r="V75" s="6">
        <f t="shared" si="5"/>
        <v>177.33091975080001</v>
      </c>
      <c r="W75" s="6">
        <f t="shared" si="5"/>
        <v>174.3315032086</v>
      </c>
      <c r="X75" s="6">
        <f t="shared" si="5"/>
        <v>171.5034482332</v>
      </c>
      <c r="Y75" s="6">
        <f t="shared" si="5"/>
        <v>168.84995306510001</v>
      </c>
      <c r="Z75" s="6">
        <f t="shared" si="5"/>
        <v>166.35299999060001</v>
      </c>
      <c r="AA75" s="6">
        <f t="shared" si="5"/>
        <v>163.9736376159</v>
      </c>
      <c r="AB75" s="6">
        <f t="shared" si="5"/>
        <v>161.57567054629999</v>
      </c>
      <c r="AC75" s="6">
        <f t="shared" si="5"/>
        <v>159.23003705540003</v>
      </c>
      <c r="AD75" s="6">
        <f t="shared" si="5"/>
        <v>156.92278375109998</v>
      </c>
      <c r="AE75" s="6">
        <f t="shared" si="5"/>
        <v>154.6009305794</v>
      </c>
      <c r="AF75" s="6">
        <f t="shared" si="5"/>
        <v>152.1671127402</v>
      </c>
      <c r="AG75" s="6">
        <f t="shared" si="5"/>
        <v>149.5061872853</v>
      </c>
      <c r="AH75" s="6">
        <f t="shared" si="5"/>
        <v>146.51308507210001</v>
      </c>
      <c r="AI75" s="6">
        <f t="shared" si="5"/>
        <v>143.08805602590002</v>
      </c>
      <c r="AJ75" s="6">
        <f t="shared" si="5"/>
        <v>139.11485084180001</v>
      </c>
      <c r="AK75" s="6">
        <f t="shared" si="5"/>
        <v>134.45271850189999</v>
      </c>
      <c r="AL75" s="6">
        <f t="shared" si="5"/>
        <v>128.9131367526</v>
      </c>
    </row>
    <row r="76" spans="1:38" x14ac:dyDescent="0.35">
      <c r="A76" s="8"/>
      <c r="B76" t="s">
        <v>50</v>
      </c>
      <c r="C76" s="5">
        <f>[1]Emissions!B826</f>
        <v>213.2737558</v>
      </c>
      <c r="D76" s="5">
        <f>[1]Emissions!C826</f>
        <v>213.2949955</v>
      </c>
      <c r="E76" s="5">
        <f>[1]Emissions!D826</f>
        <v>213.1396628</v>
      </c>
      <c r="F76" s="5">
        <f>[1]Emissions!E826</f>
        <v>212.50911629999999</v>
      </c>
      <c r="G76" s="5">
        <f>[1]Emissions!F826</f>
        <v>213.04678569999999</v>
      </c>
      <c r="H76" s="5">
        <f>[1]Emissions!G826</f>
        <v>214.54738939999999</v>
      </c>
      <c r="I76" s="5">
        <f>[1]Emissions!H826</f>
        <v>216.7580591</v>
      </c>
      <c r="J76" s="5">
        <f>[1]Emissions!I826</f>
        <v>209.66367650000001</v>
      </c>
      <c r="K76" s="5">
        <f>[1]Emissions!J826</f>
        <v>202.25652529999999</v>
      </c>
      <c r="L76" s="5">
        <f>[1]Emissions!K826</f>
        <v>196.01120449999999</v>
      </c>
      <c r="M76" s="5">
        <f>[1]Emissions!L826</f>
        <v>190.42469270000001</v>
      </c>
      <c r="N76" s="5">
        <f>[1]Emissions!M826</f>
        <v>185.84922259999999</v>
      </c>
      <c r="O76" s="5">
        <f>[1]Emissions!N826</f>
        <v>181.84641569999999</v>
      </c>
      <c r="P76" s="5">
        <f>[1]Emissions!O826</f>
        <v>178.0712748</v>
      </c>
      <c r="Q76" s="5">
        <f>[1]Emissions!P826</f>
        <v>174.4896766</v>
      </c>
      <c r="R76" s="5">
        <f>[1]Emissions!Q826</f>
        <v>171.07538289999999</v>
      </c>
      <c r="S76" s="5">
        <f>[1]Emissions!R826</f>
        <v>167.51417810000001</v>
      </c>
      <c r="T76" s="5">
        <f>[1]Emissions!S826</f>
        <v>163.92027920000001</v>
      </c>
      <c r="U76" s="5">
        <f>[1]Emissions!T826</f>
        <v>160.3730353</v>
      </c>
      <c r="V76" s="5">
        <f>[1]Emissions!U826</f>
        <v>156.91375500000001</v>
      </c>
      <c r="W76" s="5">
        <f>[1]Emissions!V826</f>
        <v>153.53494130000001</v>
      </c>
      <c r="X76" s="5">
        <f>[1]Emissions!W826</f>
        <v>150.29426760000001</v>
      </c>
      <c r="Y76" s="5">
        <f>[1]Emissions!X826</f>
        <v>147.19338930000001</v>
      </c>
      <c r="Z76" s="5">
        <f>[1]Emissions!Y826</f>
        <v>144.21132660000001</v>
      </c>
      <c r="AA76" s="5">
        <f>[1]Emissions!Z826</f>
        <v>141.30721679999999</v>
      </c>
      <c r="AB76" s="5">
        <f>[1]Emissions!AA826</f>
        <v>138.3643107</v>
      </c>
      <c r="AC76" s="5">
        <f>[1]Emissions!AB826</f>
        <v>135.43086360000001</v>
      </c>
      <c r="AD76" s="5">
        <f>[1]Emissions!AC826</f>
        <v>132.48876559999999</v>
      </c>
      <c r="AE76" s="5">
        <f>[1]Emissions!AD826</f>
        <v>129.4812728</v>
      </c>
      <c r="AF76" s="5">
        <f>[1]Emissions!AE826</f>
        <v>126.3095457</v>
      </c>
      <c r="AG76" s="5">
        <f>[1]Emissions!AF826</f>
        <v>122.8576982</v>
      </c>
      <c r="AH76" s="5">
        <f>[1]Emissions!AG826</f>
        <v>119.0179428</v>
      </c>
      <c r="AI76" s="5">
        <f>[1]Emissions!AH826</f>
        <v>114.6848433</v>
      </c>
      <c r="AJ76" s="5">
        <f>[1]Emissions!AI826</f>
        <v>109.73349709999999</v>
      </c>
      <c r="AK76" s="5">
        <f>[1]Emissions!AJ826</f>
        <v>104.0096399</v>
      </c>
      <c r="AL76" s="5">
        <f>[1]Emissions!AK826</f>
        <v>97.303404830000005</v>
      </c>
    </row>
    <row r="77" spans="1:38" x14ac:dyDescent="0.35">
      <c r="A77" s="8"/>
      <c r="B77" t="s">
        <v>51</v>
      </c>
      <c r="C77" s="5">
        <f>[1]Emissions!B827</f>
        <v>2.7534944400000001E-2</v>
      </c>
      <c r="D77" s="5">
        <f>[1]Emissions!C827</f>
        <v>2.7853943799999999E-2</v>
      </c>
      <c r="E77" s="5">
        <f>[1]Emissions!D827</f>
        <v>2.82198756E-2</v>
      </c>
      <c r="F77" s="5">
        <f>[1]Emissions!E827</f>
        <v>2.8637517899999999E-2</v>
      </c>
      <c r="G77" s="5">
        <f>[1]Emissions!F827</f>
        <v>2.9095658699999999E-2</v>
      </c>
      <c r="H77" s="5">
        <f>[1]Emissions!G827</f>
        <v>2.9591995199999999E-2</v>
      </c>
      <c r="I77" s="5">
        <f>[1]Emissions!H827</f>
        <v>3.0113441099999999E-2</v>
      </c>
      <c r="J77" s="5">
        <f>[1]Emissions!I827</f>
        <v>3.0540488300000002E-2</v>
      </c>
      <c r="K77" s="5">
        <f>[1]Emissions!J827</f>
        <v>3.0955726199999999E-2</v>
      </c>
      <c r="L77" s="5">
        <f>[1]Emissions!K827</f>
        <v>3.1506444500000001E-2</v>
      </c>
      <c r="M77" s="5">
        <f>[1]Emissions!L827</f>
        <v>3.2091050199999999E-2</v>
      </c>
      <c r="N77" s="5">
        <f>[1]Emissions!M827</f>
        <v>3.2674880900000002E-2</v>
      </c>
      <c r="O77" s="5">
        <f>[1]Emissions!N827</f>
        <v>3.3247895499999999E-2</v>
      </c>
      <c r="P77" s="5">
        <f>[1]Emissions!O827</f>
        <v>3.3791045700000001E-2</v>
      </c>
      <c r="Q77" s="5">
        <f>[1]Emissions!P827</f>
        <v>3.4323328600000001E-2</v>
      </c>
      <c r="R77" s="5">
        <f>[1]Emissions!Q827</f>
        <v>3.4855724099999999E-2</v>
      </c>
      <c r="S77" s="5">
        <f>[1]Emissions!R827</f>
        <v>3.5400889099999999E-2</v>
      </c>
      <c r="T77" s="5">
        <f>[1]Emissions!S827</f>
        <v>3.5960884300000003E-2</v>
      </c>
      <c r="U77" s="5">
        <f>[1]Emissions!T827</f>
        <v>3.6546032300000003E-2</v>
      </c>
      <c r="V77" s="5">
        <f>[1]Emissions!U827</f>
        <v>3.7164840800000001E-2</v>
      </c>
      <c r="W77" s="5">
        <f>[1]Emissions!V827</f>
        <v>3.7817068600000003E-2</v>
      </c>
      <c r="X77" s="5">
        <f>[1]Emissions!W827</f>
        <v>3.8521383200000002E-2</v>
      </c>
      <c r="Y77" s="5">
        <f>[1]Emissions!X827</f>
        <v>3.9287235099999998E-2</v>
      </c>
      <c r="Z77" s="5">
        <f>[1]Emissions!Y827</f>
        <v>4.0121490599999997E-2</v>
      </c>
      <c r="AA77" s="5">
        <f>[1]Emissions!Z827</f>
        <v>4.1026845899999997E-2</v>
      </c>
      <c r="AB77" s="5">
        <f>[1]Emissions!AA827</f>
        <v>4.1980126299999997E-2</v>
      </c>
      <c r="AC77" s="5">
        <f>[1]Emissions!AB827</f>
        <v>4.2997305399999998E-2</v>
      </c>
      <c r="AD77" s="5">
        <f>[1]Emissions!AC827</f>
        <v>4.4094951100000002E-2</v>
      </c>
      <c r="AE77" s="5">
        <f>[1]Emissions!AD827</f>
        <v>4.5279679400000002E-2</v>
      </c>
      <c r="AF77" s="5">
        <f>[1]Emissions!AE827</f>
        <v>4.6548380200000003E-2</v>
      </c>
      <c r="AG77" s="5">
        <f>[1]Emissions!AF827</f>
        <v>4.7892315300000002E-2</v>
      </c>
      <c r="AH77" s="5">
        <f>[1]Emissions!AG827</f>
        <v>4.9302952099999998E-2</v>
      </c>
      <c r="AI77" s="5">
        <f>[1]Emissions!AH827</f>
        <v>5.07735359E-2</v>
      </c>
      <c r="AJ77" s="5">
        <f>[1]Emissions!AI827</f>
        <v>5.2298311799999997E-2</v>
      </c>
      <c r="AK77" s="5">
        <f>[1]Emissions!AJ827</f>
        <v>5.38726619E-2</v>
      </c>
      <c r="AL77" s="5">
        <f>[1]Emissions!AK827</f>
        <v>5.54936626E-2</v>
      </c>
    </row>
    <row r="78" spans="1:38" x14ac:dyDescent="0.35">
      <c r="B78" t="s">
        <v>52</v>
      </c>
      <c r="C78" s="5">
        <f>[1]Emissions!B828</f>
        <v>15.22687925</v>
      </c>
      <c r="D78" s="5">
        <f>[1]Emissions!C828</f>
        <v>15.432255290000001</v>
      </c>
      <c r="E78" s="5">
        <f>[1]Emissions!D828</f>
        <v>15.65779259</v>
      </c>
      <c r="F78" s="5">
        <f>[1]Emissions!E828</f>
        <v>15.895767940000001</v>
      </c>
      <c r="G78" s="5">
        <f>[1]Emissions!F828</f>
        <v>16.150066710000001</v>
      </c>
      <c r="H78" s="5">
        <f>[1]Emissions!G828</f>
        <v>16.42236999</v>
      </c>
      <c r="I78" s="5">
        <f>[1]Emissions!H828</f>
        <v>16.70630826</v>
      </c>
      <c r="J78" s="5">
        <f>[1]Emissions!I828</f>
        <v>16.933792740000001</v>
      </c>
      <c r="K78" s="5">
        <f>[1]Emissions!J828</f>
        <v>17.139605490000001</v>
      </c>
      <c r="L78" s="5">
        <f>[1]Emissions!K828</f>
        <v>17.380146539999998</v>
      </c>
      <c r="M78" s="5">
        <f>[1]Emissions!L828</f>
        <v>17.6407755</v>
      </c>
      <c r="N78" s="5">
        <f>[1]Emissions!M828</f>
        <v>17.907961050000001</v>
      </c>
      <c r="O78" s="5">
        <f>[1]Emissions!N828</f>
        <v>18.183001239999999</v>
      </c>
      <c r="P78" s="5">
        <f>[1]Emissions!O828</f>
        <v>18.460327929999998</v>
      </c>
      <c r="Q78" s="5">
        <f>[1]Emissions!P828</f>
        <v>18.745400320000002</v>
      </c>
      <c r="R78" s="5">
        <f>[1]Emissions!Q828</f>
        <v>19.042738320000002</v>
      </c>
      <c r="S78" s="5">
        <f>[1]Emissions!R828</f>
        <v>19.35472407</v>
      </c>
      <c r="T78" s="5">
        <f>[1]Emissions!S828</f>
        <v>19.678783979999999</v>
      </c>
      <c r="U78" s="5">
        <f>[1]Emissions!T828</f>
        <v>20.01906735</v>
      </c>
      <c r="V78" s="5">
        <f>[1]Emissions!U828</f>
        <v>20.379999909999999</v>
      </c>
      <c r="W78" s="5">
        <f>[1]Emissions!V828</f>
        <v>20.758744839999999</v>
      </c>
      <c r="X78" s="5">
        <f>[1]Emissions!W828</f>
        <v>21.17065925</v>
      </c>
      <c r="Y78" s="5">
        <f>[1]Emissions!X828</f>
        <v>21.617276530000002</v>
      </c>
      <c r="Z78" s="5">
        <f>[1]Emissions!Y828</f>
        <v>22.1015519</v>
      </c>
      <c r="AA78" s="5">
        <f>[1]Emissions!Z828</f>
        <v>22.625393970000001</v>
      </c>
      <c r="AB78" s="5">
        <f>[1]Emissions!AA828</f>
        <v>23.169379719999998</v>
      </c>
      <c r="AC78" s="5">
        <f>[1]Emissions!AB828</f>
        <v>23.756176150000002</v>
      </c>
      <c r="AD78" s="5">
        <f>[1]Emissions!AC828</f>
        <v>24.389923199999998</v>
      </c>
      <c r="AE78" s="5">
        <f>[1]Emissions!AD828</f>
        <v>25.074378100000001</v>
      </c>
      <c r="AF78" s="5">
        <f>[1]Emissions!AE828</f>
        <v>25.811018659999998</v>
      </c>
      <c r="AG78" s="5">
        <f>[1]Emissions!AF828</f>
        <v>26.600596769999999</v>
      </c>
      <c r="AH78" s="5">
        <f>[1]Emissions!AG828</f>
        <v>27.445839320000001</v>
      </c>
      <c r="AI78" s="5">
        <f>[1]Emissions!AH828</f>
        <v>28.352439189999998</v>
      </c>
      <c r="AJ78" s="5">
        <f>[1]Emissions!AI828</f>
        <v>29.32905543</v>
      </c>
      <c r="AK78" s="5">
        <f>[1]Emissions!AJ828</f>
        <v>30.38920594</v>
      </c>
      <c r="AL78" s="5">
        <f>[1]Emissions!AK828</f>
        <v>31.554238260000002</v>
      </c>
    </row>
    <row r="79" spans="1:38" x14ac:dyDescent="0.35">
      <c r="B79" t="s">
        <v>13</v>
      </c>
      <c r="C79" s="6">
        <f>[1]Results!F1551</f>
        <v>1966951.8470000001</v>
      </c>
      <c r="D79" s="6">
        <f>[1]Results!G1551</f>
        <v>1996288.838</v>
      </c>
      <c r="E79" s="6">
        <f>[1]Results!H1551</f>
        <v>2028298.825</v>
      </c>
      <c r="F79" s="6">
        <f>[1]Results!I1551</f>
        <v>2062626.98</v>
      </c>
      <c r="G79" s="6">
        <f>[1]Results!J1551</f>
        <v>2098583.0729999999</v>
      </c>
      <c r="H79" s="6">
        <f>[1]Results!K1551</f>
        <v>2136063.4909999999</v>
      </c>
      <c r="I79" s="6">
        <f>[1]Results!L1551</f>
        <v>2173472.8289999999</v>
      </c>
      <c r="J79" s="6">
        <f>[1]Results!M1551</f>
        <v>2211208.6880000001</v>
      </c>
      <c r="K79" s="6">
        <f>[1]Results!N1551</f>
        <v>2249361.0699999998</v>
      </c>
      <c r="L79" s="6">
        <f>[1]Results!O1551</f>
        <v>2288091.409</v>
      </c>
      <c r="M79" s="6">
        <f>[1]Results!P1551</f>
        <v>2329088.0070000002</v>
      </c>
      <c r="N79" s="6">
        <f>[1]Results!Q1551</f>
        <v>2369901.2110000001</v>
      </c>
      <c r="O79" s="6">
        <f>[1]Results!R1551</f>
        <v>2410873.2200000002</v>
      </c>
      <c r="P79" s="6">
        <f>[1]Results!S1551</f>
        <v>2450523.3689999999</v>
      </c>
      <c r="Q79" s="6">
        <f>[1]Results!T1551</f>
        <v>2489616.9019999998</v>
      </c>
      <c r="R79" s="6">
        <f>[1]Results!U1551</f>
        <v>2528819.5720000002</v>
      </c>
      <c r="S79" s="6">
        <f>[1]Results!V1551</f>
        <v>2569404.3089999999</v>
      </c>
      <c r="T79" s="6">
        <f>[1]Results!W1551</f>
        <v>2612166.9759999998</v>
      </c>
      <c r="U79" s="6">
        <f>[1]Results!X1551</f>
        <v>2657598.2629999998</v>
      </c>
      <c r="V79" s="6">
        <f>[1]Results!Y1551</f>
        <v>2705918.0279999999</v>
      </c>
      <c r="W79" s="6">
        <f>[1]Results!Z1551</f>
        <v>2756242.6090000002</v>
      </c>
      <c r="X79" s="6">
        <f>[1]Results!AA1551</f>
        <v>2810732.77</v>
      </c>
      <c r="Y79" s="6">
        <f>[1]Results!AB1551</f>
        <v>2869100.13</v>
      </c>
      <c r="Z79" s="6">
        <f>[1]Results!AC1551</f>
        <v>2931596.7769999998</v>
      </c>
      <c r="AA79" s="6">
        <f>[1]Results!AD1551</f>
        <v>2998244.2250000001</v>
      </c>
      <c r="AB79" s="6">
        <f>[1]Results!AE1551</f>
        <v>3065790.0290000001</v>
      </c>
      <c r="AC79" s="6">
        <f>[1]Results!AF1551</f>
        <v>3138370.0260000001</v>
      </c>
      <c r="AD79" s="6">
        <f>[1]Results!AG1551</f>
        <v>3215358.8689999999</v>
      </c>
      <c r="AE79" s="6">
        <f>[1]Results!AH1551</f>
        <v>3296940.932</v>
      </c>
      <c r="AF79" s="6">
        <f>[1]Results!AI1551</f>
        <v>3382736.9950000001</v>
      </c>
      <c r="AG79" s="6">
        <f>[1]Results!AJ1551</f>
        <v>3472106.5</v>
      </c>
      <c r="AH79" s="6">
        <f>[1]Results!AK1551</f>
        <v>3564476.838</v>
      </c>
      <c r="AI79" s="6">
        <f>[1]Results!AL1551</f>
        <v>3659365.17</v>
      </c>
      <c r="AJ79" s="6">
        <f>[1]Results!AM1551</f>
        <v>3756286.608</v>
      </c>
      <c r="AK79" s="6">
        <f>[1]Results!AN1551</f>
        <v>3854739.8509999998</v>
      </c>
      <c r="AL79" s="6">
        <f>[1]Results!AO1551</f>
        <v>3954201.148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78</v>
      </c>
      <c r="B81" t="s">
        <v>13</v>
      </c>
      <c r="C81" s="6">
        <f>[1]Results!F1551</f>
        <v>1966951.8470000001</v>
      </c>
      <c r="D81" s="6">
        <f>[1]Results!G1551</f>
        <v>1996288.838</v>
      </c>
      <c r="E81" s="6">
        <f>[1]Results!H1551</f>
        <v>2028298.825</v>
      </c>
      <c r="F81" s="6">
        <f>[1]Results!I1551</f>
        <v>2062626.98</v>
      </c>
      <c r="G81" s="6">
        <f>[1]Results!J1551</f>
        <v>2098583.0729999999</v>
      </c>
      <c r="H81" s="6">
        <f>[1]Results!K1551</f>
        <v>2136063.4909999999</v>
      </c>
      <c r="I81" s="6">
        <f>[1]Results!L1551</f>
        <v>2173472.8289999999</v>
      </c>
      <c r="J81" s="6">
        <f>[1]Results!M1551</f>
        <v>2211208.6880000001</v>
      </c>
      <c r="K81" s="6">
        <f>[1]Results!N1551</f>
        <v>2249361.0699999998</v>
      </c>
      <c r="L81" s="6">
        <f>[1]Results!O1551</f>
        <v>2288091.409</v>
      </c>
      <c r="M81" s="6">
        <f>[1]Results!P1551</f>
        <v>2329088.0070000002</v>
      </c>
      <c r="N81" s="6">
        <f>[1]Results!Q1551</f>
        <v>2369901.2110000001</v>
      </c>
      <c r="O81" s="6">
        <f>[1]Results!R1551</f>
        <v>2410873.2200000002</v>
      </c>
      <c r="P81" s="6">
        <f>[1]Results!S1551</f>
        <v>2450523.3689999999</v>
      </c>
      <c r="Q81" s="6">
        <f>[1]Results!T1551</f>
        <v>2489616.9019999998</v>
      </c>
      <c r="R81" s="6">
        <f>[1]Results!U1551</f>
        <v>2528819.5720000002</v>
      </c>
      <c r="S81" s="6">
        <f>[1]Results!V1551</f>
        <v>2569404.3089999999</v>
      </c>
      <c r="T81" s="6">
        <f>[1]Results!W1551</f>
        <v>2612166.9759999998</v>
      </c>
      <c r="U81" s="6">
        <f>[1]Results!X1551</f>
        <v>2657598.2629999998</v>
      </c>
      <c r="V81" s="6">
        <f>[1]Results!Y1551</f>
        <v>2705918.0279999999</v>
      </c>
      <c r="W81" s="6">
        <f>[1]Results!Z1551</f>
        <v>2756242.6090000002</v>
      </c>
      <c r="X81" s="6">
        <f>[1]Results!AA1551</f>
        <v>2810732.77</v>
      </c>
      <c r="Y81" s="6">
        <f>[1]Results!AB1551</f>
        <v>2869100.13</v>
      </c>
      <c r="Z81" s="6">
        <f>[1]Results!AC1551</f>
        <v>2931596.7769999998</v>
      </c>
      <c r="AA81" s="6">
        <f>[1]Results!AD1551</f>
        <v>2998244.2250000001</v>
      </c>
      <c r="AB81" s="6">
        <f>[1]Results!AE1551</f>
        <v>3065790.0290000001</v>
      </c>
      <c r="AC81" s="6">
        <f>[1]Results!AF1551</f>
        <v>3138370.0260000001</v>
      </c>
      <c r="AD81" s="6">
        <f>[1]Results!AG1551</f>
        <v>3215358.8689999999</v>
      </c>
      <c r="AE81" s="6">
        <f>[1]Results!AH1551</f>
        <v>3296940.932</v>
      </c>
      <c r="AF81" s="6">
        <f>[1]Results!AI1551</f>
        <v>3382736.9950000001</v>
      </c>
      <c r="AG81" s="6">
        <f>[1]Results!AJ1551</f>
        <v>3472106.5</v>
      </c>
      <c r="AH81" s="6">
        <f>[1]Results!AK1551</f>
        <v>3564476.838</v>
      </c>
      <c r="AI81" s="6">
        <f>[1]Results!AL1551</f>
        <v>3659365.17</v>
      </c>
      <c r="AJ81" s="6">
        <f>[1]Results!AM1551</f>
        <v>3756286.608</v>
      </c>
      <c r="AK81" s="6">
        <f>[1]Results!AN1551</f>
        <v>3854739.8509999998</v>
      </c>
      <c r="AL81" s="6">
        <f>[1]Results!AO1551</f>
        <v>3954201.148</v>
      </c>
    </row>
    <row r="82" spans="1:38" x14ac:dyDescent="0.35">
      <c r="A82" t="s">
        <v>38</v>
      </c>
      <c r="B82" t="s">
        <v>7</v>
      </c>
      <c r="C82" s="6">
        <f>[1]Results!F1552</f>
        <v>36098.159420000004</v>
      </c>
      <c r="D82" s="6">
        <f>[1]Results!G1552</f>
        <v>36421.500999999997</v>
      </c>
      <c r="E82" s="6">
        <f>[1]Results!H1552</f>
        <v>36813.128709999997</v>
      </c>
      <c r="F82" s="6">
        <f>[1]Results!I1552</f>
        <v>37266.283369999997</v>
      </c>
      <c r="G82" s="6">
        <f>[1]Results!J1552</f>
        <v>37780.95162</v>
      </c>
      <c r="H82" s="6">
        <f>[1]Results!K1552</f>
        <v>38345.70609</v>
      </c>
      <c r="I82" s="6">
        <f>[1]Results!L1552</f>
        <v>38928.936479999997</v>
      </c>
      <c r="J82" s="6">
        <f>[1]Results!M1552</f>
        <v>39525.457320000001</v>
      </c>
      <c r="K82" s="6">
        <f>[1]Results!N1552</f>
        <v>40132.654929999997</v>
      </c>
      <c r="L82" s="6">
        <f>[1]Results!O1552</f>
        <v>40750.661740000003</v>
      </c>
      <c r="M82" s="6">
        <f>[1]Results!P1552</f>
        <v>41398.492209999997</v>
      </c>
      <c r="N82" s="6">
        <f>[1]Results!Q1552</f>
        <v>42051.965689999997</v>
      </c>
      <c r="O82" s="6">
        <f>[1]Results!R1552</f>
        <v>42699.468999999997</v>
      </c>
      <c r="P82" s="6">
        <f>[1]Results!S1552</f>
        <v>43306.760929999997</v>
      </c>
      <c r="Q82" s="6">
        <f>[1]Results!T1552</f>
        <v>43894.304730000003</v>
      </c>
      <c r="R82" s="6">
        <f>[1]Results!U1552</f>
        <v>44477.243049999997</v>
      </c>
      <c r="S82" s="6">
        <f>[1]Results!V1552</f>
        <v>45082.691650000001</v>
      </c>
      <c r="T82" s="6">
        <f>[1]Results!W1552</f>
        <v>45728.341480000003</v>
      </c>
      <c r="U82" s="6">
        <f>[1]Results!X1552</f>
        <v>46425.401169999997</v>
      </c>
      <c r="V82" s="6">
        <f>[1]Results!Y1552</f>
        <v>47178.644760000003</v>
      </c>
      <c r="W82" s="6">
        <f>[1]Results!Z1552</f>
        <v>47980.554329999999</v>
      </c>
      <c r="X82" s="6">
        <f>[1]Results!AA1552</f>
        <v>48854.461730000003</v>
      </c>
      <c r="Y82" s="6">
        <f>[1]Results!AB1552</f>
        <v>49806.556060000003</v>
      </c>
      <c r="Z82" s="6">
        <f>[1]Results!AC1552</f>
        <v>50841.515399999997</v>
      </c>
      <c r="AA82" s="6">
        <f>[1]Results!AD1552</f>
        <v>51958.802790000002</v>
      </c>
      <c r="AB82" s="6">
        <f>[1]Results!AE1552</f>
        <v>53121.612820000002</v>
      </c>
      <c r="AC82" s="6">
        <f>[1]Results!AF1552</f>
        <v>54367.361729999997</v>
      </c>
      <c r="AD82" s="6">
        <f>[1]Results!AG1552</f>
        <v>55702.304150000004</v>
      </c>
      <c r="AE82" s="6">
        <f>[1]Results!AH1552</f>
        <v>57128.837240000001</v>
      </c>
      <c r="AF82" s="6">
        <f>[1]Results!AI1552</f>
        <v>58636.707249999999</v>
      </c>
      <c r="AG82" s="6">
        <f>[1]Results!AJ1552</f>
        <v>60210.28557</v>
      </c>
      <c r="AH82" s="6">
        <f>[1]Results!AK1552</f>
        <v>61836.093569999997</v>
      </c>
      <c r="AI82" s="6">
        <f>[1]Results!AL1552</f>
        <v>63502.835830000004</v>
      </c>
      <c r="AJ82" s="6">
        <f>[1]Results!AM1552</f>
        <v>65199.034679999997</v>
      </c>
      <c r="AK82" s="6">
        <f>[1]Results!AN1552</f>
        <v>66912.828269999998</v>
      </c>
      <c r="AL82" s="6">
        <f>[1]Results!AO1552</f>
        <v>68631.966809999998</v>
      </c>
    </row>
    <row r="83" spans="1:38" x14ac:dyDescent="0.35">
      <c r="B83" t="s">
        <v>30</v>
      </c>
      <c r="C83" s="6">
        <f>[1]Results!F1555</f>
        <v>331692.73849999998</v>
      </c>
      <c r="D83" s="6">
        <f>[1]Results!G1555</f>
        <v>337438.20209999999</v>
      </c>
      <c r="E83" s="6">
        <f>[1]Results!H1555</f>
        <v>343505.96090000001</v>
      </c>
      <c r="F83" s="6">
        <f>[1]Results!I1555</f>
        <v>349929.82290000003</v>
      </c>
      <c r="G83" s="6">
        <f>[1]Results!J1555</f>
        <v>356653.64179999998</v>
      </c>
      <c r="H83" s="6">
        <f>[1]Results!K1555</f>
        <v>363647.64490000001</v>
      </c>
      <c r="I83" s="6">
        <f>[1]Results!L1555</f>
        <v>370695.92560000002</v>
      </c>
      <c r="J83" s="6">
        <f>[1]Results!M1555</f>
        <v>377805.68219999998</v>
      </c>
      <c r="K83" s="6">
        <f>[1]Results!N1555</f>
        <v>385004.46289999998</v>
      </c>
      <c r="L83" s="6">
        <f>[1]Results!O1555</f>
        <v>392331.66489999997</v>
      </c>
      <c r="M83" s="6">
        <f>[1]Results!P1555</f>
        <v>399965.98499999999</v>
      </c>
      <c r="N83" s="6">
        <f>[1]Results!Q1555</f>
        <v>407734.29700000002</v>
      </c>
      <c r="O83" s="6">
        <f>[1]Results!R1555</f>
        <v>415505.32559999998</v>
      </c>
      <c r="P83" s="6">
        <f>[1]Results!S1555</f>
        <v>422892.32390000002</v>
      </c>
      <c r="Q83" s="6">
        <f>[1]Results!T1555</f>
        <v>430212.10509999999</v>
      </c>
      <c r="R83" s="6">
        <f>[1]Results!U1555</f>
        <v>437654.5601</v>
      </c>
      <c r="S83" s="6">
        <f>[1]Results!V1555</f>
        <v>445515.45270000002</v>
      </c>
      <c r="T83" s="6">
        <f>[1]Results!W1555</f>
        <v>453975.48229999997</v>
      </c>
      <c r="U83" s="6">
        <f>[1]Results!X1555</f>
        <v>463138.05109999998</v>
      </c>
      <c r="V83" s="6">
        <f>[1]Results!Y1555</f>
        <v>473032.40169999999</v>
      </c>
      <c r="W83" s="6">
        <f>[1]Results!Z1555</f>
        <v>483597.31359999999</v>
      </c>
      <c r="X83" s="6">
        <f>[1]Results!AA1555</f>
        <v>495014.8933</v>
      </c>
      <c r="Y83" s="6">
        <f>[1]Results!AB1555</f>
        <v>507337.28049999999</v>
      </c>
      <c r="Z83" s="6">
        <f>[1]Results!AC1555</f>
        <v>520596.43729999999</v>
      </c>
      <c r="AA83" s="6">
        <f>[1]Results!AD1555</f>
        <v>534767.74540000001</v>
      </c>
      <c r="AB83" s="6">
        <f>[1]Results!AE1555</f>
        <v>549544.89839999995</v>
      </c>
      <c r="AC83" s="6">
        <f>[1]Results!AF1555</f>
        <v>565235.49750000006</v>
      </c>
      <c r="AD83" s="6">
        <f>[1]Results!AG1555</f>
        <v>581892.20070000004</v>
      </c>
      <c r="AE83" s="6">
        <f>[1]Results!AH1555</f>
        <v>599528.17570000002</v>
      </c>
      <c r="AF83" s="6">
        <f>[1]Results!AI1555</f>
        <v>618008.92619999999</v>
      </c>
      <c r="AG83" s="6">
        <f>[1]Results!AJ1555</f>
        <v>637165.89040000003</v>
      </c>
      <c r="AH83" s="6">
        <f>[1]Results!AK1555</f>
        <v>656882.55969999998</v>
      </c>
      <c r="AI83" s="6">
        <f>[1]Results!AL1555</f>
        <v>677080.38930000004</v>
      </c>
      <c r="AJ83" s="6">
        <f>[1]Results!AM1555</f>
        <v>697682.04709999997</v>
      </c>
      <c r="AK83" s="6">
        <f>[1]Results!AN1555</f>
        <v>718606.19090000005</v>
      </c>
      <c r="AL83" s="6">
        <f>[1]Results!AO1555</f>
        <v>739764.99769999995</v>
      </c>
    </row>
    <row r="84" spans="1:38" x14ac:dyDescent="0.35">
      <c r="B84" t="s">
        <v>9</v>
      </c>
      <c r="C84" s="6">
        <f>[1]Results!F1567</f>
        <v>48475.55906</v>
      </c>
      <c r="D84" s="6">
        <f>[1]Results!G1567</f>
        <v>49187.047729999998</v>
      </c>
      <c r="E84" s="6">
        <f>[1]Results!H1567</f>
        <v>49908.15926</v>
      </c>
      <c r="F84" s="6">
        <f>[1]Results!I1567</f>
        <v>50652.223919999997</v>
      </c>
      <c r="G84" s="6">
        <f>[1]Results!J1567</f>
        <v>51440.978419999999</v>
      </c>
      <c r="H84" s="6">
        <f>[1]Results!K1567</f>
        <v>52277.17815</v>
      </c>
      <c r="I84" s="6">
        <f>[1]Results!L1567</f>
        <v>53121.512589999998</v>
      </c>
      <c r="J84" s="6">
        <f>[1]Results!M1567</f>
        <v>53972.571929999998</v>
      </c>
      <c r="K84" s="6">
        <f>[1]Results!N1567</f>
        <v>54829.832410000003</v>
      </c>
      <c r="L84" s="6">
        <f>[1]Results!O1567</f>
        <v>55696.01154</v>
      </c>
      <c r="M84" s="6">
        <f>[1]Results!P1567</f>
        <v>56599.48257</v>
      </c>
      <c r="N84" s="6">
        <f>[1]Results!Q1567</f>
        <v>57502.377710000001</v>
      </c>
      <c r="O84" s="6">
        <f>[1]Results!R1567</f>
        <v>58391.651660000003</v>
      </c>
      <c r="P84" s="6">
        <f>[1]Results!S1567</f>
        <v>59214.166940000003</v>
      </c>
      <c r="Q84" s="6">
        <f>[1]Results!T1567</f>
        <v>60009.338239999997</v>
      </c>
      <c r="R84" s="6">
        <f>[1]Results!U1567</f>
        <v>60802.097419999998</v>
      </c>
      <c r="S84" s="6">
        <f>[1]Results!V1567</f>
        <v>61634.916409999998</v>
      </c>
      <c r="T84" s="6">
        <f>[1]Results!W1567</f>
        <v>62533.342980000001</v>
      </c>
      <c r="U84" s="6">
        <f>[1]Results!X1567</f>
        <v>63511.766020000003</v>
      </c>
      <c r="V84" s="6">
        <f>[1]Results!Y1567</f>
        <v>64575.083579999999</v>
      </c>
      <c r="W84" s="6">
        <f>[1]Results!Z1567</f>
        <v>65712.018169999996</v>
      </c>
      <c r="X84" s="6">
        <f>[1]Results!AA1567</f>
        <v>66957.817689999996</v>
      </c>
      <c r="Y84" s="6">
        <f>[1]Results!AB1567</f>
        <v>68315.861669999998</v>
      </c>
      <c r="Z84" s="6">
        <f>[1]Results!AC1567</f>
        <v>69791.443780000001</v>
      </c>
      <c r="AA84" s="6">
        <f>[1]Results!AD1567</f>
        <v>71382.402130000002</v>
      </c>
      <c r="AB84" s="6">
        <f>[1]Results!AE1567</f>
        <v>73036.168059999996</v>
      </c>
      <c r="AC84" s="6">
        <f>[1]Results!AF1567</f>
        <v>74815.590020000003</v>
      </c>
      <c r="AD84" s="6">
        <f>[1]Results!AG1567</f>
        <v>76720.404280000002</v>
      </c>
      <c r="AE84" s="6">
        <f>[1]Results!AH1567</f>
        <v>78751.729460000002</v>
      </c>
      <c r="AF84" s="6">
        <f>[1]Results!AI1567</f>
        <v>80890.001990000004</v>
      </c>
      <c r="AG84" s="6">
        <f>[1]Results!AJ1567</f>
        <v>83109.707389999996</v>
      </c>
      <c r="AH84" s="6">
        <f>[1]Results!AK1567</f>
        <v>85391.074179999996</v>
      </c>
      <c r="AI84" s="6">
        <f>[1]Results!AL1567</f>
        <v>87718.86305</v>
      </c>
      <c r="AJ84" s="6">
        <f>[1]Results!AM1567</f>
        <v>90078.062909999993</v>
      </c>
      <c r="AK84" s="6">
        <f>[1]Results!AN1567</f>
        <v>92453.493719999999</v>
      </c>
      <c r="AL84" s="6">
        <f>[1]Results!AO1567</f>
        <v>94829.695749999999</v>
      </c>
    </row>
    <row r="85" spans="1:38" x14ac:dyDescent="0.35">
      <c r="B85" t="s">
        <v>10</v>
      </c>
      <c r="C85" s="6">
        <f>[1]Results!F1572</f>
        <v>1512067.868</v>
      </c>
      <c r="D85" s="6">
        <f>[1]Results!G1572</f>
        <v>1534188.473</v>
      </c>
      <c r="E85" s="6">
        <f>[1]Results!H1572</f>
        <v>1558634.7139999999</v>
      </c>
      <c r="F85" s="6">
        <f>[1]Results!I1572</f>
        <v>1584925.858</v>
      </c>
      <c r="G85" s="6">
        <f>[1]Results!J1572</f>
        <v>1612508.308</v>
      </c>
      <c r="H85" s="6">
        <f>[1]Results!K1572</f>
        <v>1641250.1129999999</v>
      </c>
      <c r="I85" s="6">
        <f>[1]Results!L1572</f>
        <v>1669825.601</v>
      </c>
      <c r="J85" s="6">
        <f>[1]Results!M1572</f>
        <v>1698626.4369999999</v>
      </c>
      <c r="K85" s="6">
        <f>[1]Results!N1572</f>
        <v>1727721.585</v>
      </c>
      <c r="L85" s="6">
        <f>[1]Results!O1572</f>
        <v>1757235.848</v>
      </c>
      <c r="M85" s="6">
        <f>[1]Results!P1572</f>
        <v>1788613.5530000001</v>
      </c>
      <c r="N85" s="6">
        <f>[1]Results!Q1572</f>
        <v>1819678.2620000001</v>
      </c>
      <c r="O85" s="6">
        <f>[1]Results!R1572</f>
        <v>1850935.8470000001</v>
      </c>
      <c r="P85" s="6">
        <f>[1]Results!S1572</f>
        <v>1881406.0930000001</v>
      </c>
      <c r="Q85" s="6">
        <f>[1]Results!T1572</f>
        <v>1911458.2250000001</v>
      </c>
      <c r="R85" s="6">
        <f>[1]Results!U1572</f>
        <v>1941510.1310000001</v>
      </c>
      <c r="S85" s="6">
        <f>[1]Results!V1572</f>
        <v>1972459.7109999999</v>
      </c>
      <c r="T85" s="6">
        <f>[1]Results!W1572</f>
        <v>2004856.4950000001</v>
      </c>
      <c r="U85" s="6">
        <f>[1]Results!X1572</f>
        <v>2039046.595</v>
      </c>
      <c r="V85" s="6">
        <f>[1]Results!Y1572</f>
        <v>2075201.0290000001</v>
      </c>
      <c r="W85" s="6">
        <f>[1]Results!Z1572</f>
        <v>2112521.3390000002</v>
      </c>
      <c r="X85" s="6">
        <f>[1]Results!AA1572</f>
        <v>2152897.2820000001</v>
      </c>
      <c r="Y85" s="6">
        <f>[1]Results!AB1572</f>
        <v>2195974.196</v>
      </c>
      <c r="Z85" s="6">
        <f>[1]Results!AC1572</f>
        <v>2241956.202</v>
      </c>
      <c r="AA85" s="6">
        <f>[1]Results!AD1572</f>
        <v>2290891.4130000002</v>
      </c>
      <c r="AB85" s="6">
        <f>[1]Results!AE1572</f>
        <v>2339964.3679999998</v>
      </c>
      <c r="AC85" s="6">
        <f>[1]Results!AF1572</f>
        <v>2392856.571</v>
      </c>
      <c r="AD85" s="6">
        <f>[1]Results!AG1572</f>
        <v>2448886.6839999999</v>
      </c>
      <c r="AE85" s="6">
        <f>[1]Results!AH1572</f>
        <v>2508225.1949999998</v>
      </c>
      <c r="AF85" s="6">
        <f>[1]Results!AI1572</f>
        <v>2570671.83</v>
      </c>
      <c r="AG85" s="6">
        <f>[1]Results!AJ1572</f>
        <v>2635814.3969999999</v>
      </c>
      <c r="AH85" s="6">
        <f>[1]Results!AK1572</f>
        <v>2703245.9410000001</v>
      </c>
      <c r="AI85" s="6">
        <f>[1]Results!AL1572</f>
        <v>2772601.4479999999</v>
      </c>
      <c r="AJ85" s="6">
        <f>[1]Results!AM1572</f>
        <v>2843511.449</v>
      </c>
      <c r="AK85" s="6">
        <f>[1]Results!AN1572</f>
        <v>2915593.9750000001</v>
      </c>
      <c r="AL85" s="6">
        <f>[1]Results!AO1572</f>
        <v>2988451.2510000002</v>
      </c>
    </row>
    <row r="86" spans="1:38" x14ac:dyDescent="0.35">
      <c r="B86" t="s">
        <v>29</v>
      </c>
      <c r="C86" s="6">
        <f>C91-C87</f>
        <v>-1916.1346972000001</v>
      </c>
      <c r="D86" s="6">
        <f t="shared" ref="D86:AL86" si="6">D91-D87</f>
        <v>-1936.5422303</v>
      </c>
      <c r="E86" s="6">
        <f t="shared" si="6"/>
        <v>-1942.8607700000002</v>
      </c>
      <c r="F86" s="6">
        <f t="shared" si="6"/>
        <v>-1947.0730586999998</v>
      </c>
      <c r="G86" s="6">
        <f t="shared" si="6"/>
        <v>-1947.2419609000001</v>
      </c>
      <c r="H86" s="6">
        <f t="shared" si="6"/>
        <v>-1953.7939189000001</v>
      </c>
      <c r="I86" s="6">
        <f t="shared" si="6"/>
        <v>-1971.0280819999998</v>
      </c>
      <c r="J86" s="6">
        <f t="shared" si="6"/>
        <v>-1993.6355408999998</v>
      </c>
      <c r="K86" s="6">
        <f t="shared" si="6"/>
        <v>-2018.1002457999998</v>
      </c>
      <c r="L86" s="6">
        <f t="shared" si="6"/>
        <v>-2042.7259708000001</v>
      </c>
      <c r="M86" s="6">
        <f t="shared" si="6"/>
        <v>-2066.5991099999997</v>
      </c>
      <c r="N86" s="6">
        <f t="shared" si="6"/>
        <v>-2091.2245898000001</v>
      </c>
      <c r="O86" s="6">
        <f t="shared" si="6"/>
        <v>-2116.1860019000001</v>
      </c>
      <c r="P86" s="6">
        <f t="shared" si="6"/>
        <v>-2141.6163855000004</v>
      </c>
      <c r="Q86" s="6">
        <f t="shared" si="6"/>
        <v>-2164.6078468999999</v>
      </c>
      <c r="R86" s="6">
        <f t="shared" si="6"/>
        <v>-2185.7856361000004</v>
      </c>
      <c r="S86" s="6">
        <f t="shared" si="6"/>
        <v>-2201.9766343000001</v>
      </c>
      <c r="T86" s="6">
        <f t="shared" si="6"/>
        <v>-2217.6479519000004</v>
      </c>
      <c r="U86" s="6">
        <f t="shared" si="6"/>
        <v>-2235.3482382000002</v>
      </c>
      <c r="V86" s="6">
        <f t="shared" si="6"/>
        <v>-2256.0649218999997</v>
      </c>
      <c r="W86" s="6">
        <f t="shared" si="6"/>
        <v>-2280.0218423000001</v>
      </c>
      <c r="X86" s="6">
        <f t="shared" si="6"/>
        <v>-2306.0460153999998</v>
      </c>
      <c r="Y86" s="6">
        <f t="shared" si="6"/>
        <v>-2334.4902937999996</v>
      </c>
      <c r="Z86" s="6">
        <f t="shared" si="6"/>
        <v>-2365.4487716000003</v>
      </c>
      <c r="AA86" s="6">
        <f t="shared" si="6"/>
        <v>-2399.0717752</v>
      </c>
      <c r="AB86" s="6">
        <f t="shared" si="6"/>
        <v>-2436.0252971</v>
      </c>
      <c r="AC86" s="6">
        <f t="shared" si="6"/>
        <v>-2473.8937781</v>
      </c>
      <c r="AD86" s="6">
        <f t="shared" si="6"/>
        <v>-2513.8011657000002</v>
      </c>
      <c r="AE86" s="6">
        <f t="shared" si="6"/>
        <v>-2556.3277743999997</v>
      </c>
      <c r="AF86" s="6">
        <f t="shared" si="6"/>
        <v>-2601.9858368000005</v>
      </c>
      <c r="AG86" s="6">
        <f t="shared" si="6"/>
        <v>-2650.4612063</v>
      </c>
      <c r="AH86" s="6">
        <f t="shared" si="6"/>
        <v>-2700.8938333999999</v>
      </c>
      <c r="AI86" s="6">
        <f t="shared" si="6"/>
        <v>-2752.5114952000004</v>
      </c>
      <c r="AJ86" s="6">
        <f t="shared" si="6"/>
        <v>-2804.8228867000003</v>
      </c>
      <c r="AK86" s="6">
        <f t="shared" si="6"/>
        <v>-2857.4551528000002</v>
      </c>
      <c r="AL86" s="6">
        <f t="shared" si="6"/>
        <v>-2910.0572786999996</v>
      </c>
    </row>
    <row r="87" spans="1:38" x14ac:dyDescent="0.35">
      <c r="B87" t="s">
        <v>36</v>
      </c>
      <c r="C87" s="6">
        <f>C89+C90</f>
        <v>-119.34647280000002</v>
      </c>
      <c r="D87" s="6">
        <f t="shared" ref="D87:AL87" si="7">D89+D90</f>
        <v>-123.25761369999998</v>
      </c>
      <c r="E87" s="6">
        <f t="shared" si="7"/>
        <v>-123.83284900000001</v>
      </c>
      <c r="F87" s="6">
        <f t="shared" si="7"/>
        <v>-124.03393029999995</v>
      </c>
      <c r="G87" s="6">
        <f t="shared" si="7"/>
        <v>-125.39174509999998</v>
      </c>
      <c r="H87" s="6">
        <f t="shared" si="7"/>
        <v>-128.79257910000001</v>
      </c>
      <c r="I87" s="6">
        <f t="shared" si="7"/>
        <v>-133.83460500000001</v>
      </c>
      <c r="J87" s="6">
        <f t="shared" si="7"/>
        <v>-139.77133609999998</v>
      </c>
      <c r="K87" s="6">
        <f t="shared" si="7"/>
        <v>-146.02690819999998</v>
      </c>
      <c r="L87" s="6">
        <f t="shared" si="7"/>
        <v>-152.31929420000006</v>
      </c>
      <c r="M87" s="6">
        <f t="shared" si="7"/>
        <v>-158.60427100000004</v>
      </c>
      <c r="N87" s="6">
        <f t="shared" si="7"/>
        <v>-164.90982819999999</v>
      </c>
      <c r="O87" s="6">
        <f t="shared" si="7"/>
        <v>-171.15203910000002</v>
      </c>
      <c r="P87" s="6">
        <f t="shared" si="7"/>
        <v>-177.2060285</v>
      </c>
      <c r="Q87" s="6">
        <f t="shared" si="7"/>
        <v>-182.96046409999997</v>
      </c>
      <c r="R87" s="6">
        <f t="shared" si="7"/>
        <v>-188.50123589999998</v>
      </c>
      <c r="S87" s="6">
        <f t="shared" si="7"/>
        <v>-194.02976969999997</v>
      </c>
      <c r="T87" s="6">
        <f t="shared" si="7"/>
        <v>-199.87180409999996</v>
      </c>
      <c r="U87" s="6">
        <f t="shared" si="7"/>
        <v>-206.26831679999998</v>
      </c>
      <c r="V87" s="6">
        <f t="shared" si="7"/>
        <v>-213.30066410000006</v>
      </c>
      <c r="W87" s="6">
        <f t="shared" si="7"/>
        <v>-220.93224069999997</v>
      </c>
      <c r="X87" s="6">
        <f t="shared" si="7"/>
        <v>-229.11974859999998</v>
      </c>
      <c r="Y87" s="6">
        <f t="shared" si="7"/>
        <v>-237.9075292</v>
      </c>
      <c r="Z87" s="6">
        <f t="shared" si="7"/>
        <v>-247.31627739999999</v>
      </c>
      <c r="AA87" s="6">
        <f t="shared" si="7"/>
        <v>-257.35975980000001</v>
      </c>
      <c r="AB87" s="6">
        <f t="shared" si="7"/>
        <v>-267.96534389999999</v>
      </c>
      <c r="AC87" s="6">
        <f t="shared" si="7"/>
        <v>-279.06751889999998</v>
      </c>
      <c r="AD87" s="6">
        <f t="shared" si="7"/>
        <v>-290.80198629999995</v>
      </c>
      <c r="AE87" s="6">
        <f t="shared" si="7"/>
        <v>-303.23798260000001</v>
      </c>
      <c r="AF87" s="6">
        <f t="shared" si="7"/>
        <v>-316.38178119999998</v>
      </c>
      <c r="AG87" s="6">
        <f t="shared" si="7"/>
        <v>-330.15528670000003</v>
      </c>
      <c r="AH87" s="6">
        <f t="shared" si="7"/>
        <v>-344.43767160000004</v>
      </c>
      <c r="AI87" s="6">
        <f t="shared" si="7"/>
        <v>-359.10655780000002</v>
      </c>
      <c r="AJ87" s="6">
        <f t="shared" si="7"/>
        <v>-374.04491930000006</v>
      </c>
      <c r="AK87" s="6">
        <f t="shared" si="7"/>
        <v>-389.13282019999997</v>
      </c>
      <c r="AL87" s="6">
        <f t="shared" si="7"/>
        <v>-404.24399630000005</v>
      </c>
    </row>
    <row r="88" spans="1:38" x14ac:dyDescent="0.35">
      <c r="B88" t="s">
        <v>33</v>
      </c>
      <c r="C88" s="6">
        <f>[1]Results!F1580</f>
        <v>40653.00333</v>
      </c>
      <c r="D88" s="6">
        <f>[1]Results!G1580</f>
        <v>41113.414019999997</v>
      </c>
      <c r="E88" s="6">
        <f>[1]Results!H1580</f>
        <v>41503.555789999999</v>
      </c>
      <c r="F88" s="6">
        <f>[1]Results!I1580</f>
        <v>41923.898789999999</v>
      </c>
      <c r="G88" s="6">
        <f>[1]Results!J1580</f>
        <v>42271.826029999997</v>
      </c>
      <c r="H88" s="6">
        <f>[1]Results!K1580</f>
        <v>42625.435969999999</v>
      </c>
      <c r="I88" s="6">
        <f>[1]Results!L1580</f>
        <v>43005.716970000001</v>
      </c>
      <c r="J88" s="6">
        <f>[1]Results!M1580</f>
        <v>43411.947160000003</v>
      </c>
      <c r="K88" s="6">
        <f>[1]Results!N1580</f>
        <v>43836.661849999997</v>
      </c>
      <c r="L88" s="6">
        <f>[1]Results!O1580</f>
        <v>44272.267659999998</v>
      </c>
      <c r="M88" s="6">
        <f>[1]Results!P1580</f>
        <v>44735.697719999996</v>
      </c>
      <c r="N88" s="6">
        <f>[1]Results!Q1580</f>
        <v>45190.442479999998</v>
      </c>
      <c r="O88" s="6">
        <f>[1]Results!R1580</f>
        <v>45628.265429999999</v>
      </c>
      <c r="P88" s="6">
        <f>[1]Results!S1580</f>
        <v>46022.847130000002</v>
      </c>
      <c r="Q88" s="6">
        <f>[1]Results!T1580</f>
        <v>46390.497360000001</v>
      </c>
      <c r="R88" s="6">
        <f>[1]Results!U1580</f>
        <v>46749.827649999999</v>
      </c>
      <c r="S88" s="6">
        <f>[1]Results!V1580</f>
        <v>47107.54348</v>
      </c>
      <c r="T88" s="6">
        <f>[1]Results!W1580</f>
        <v>47490.833489999997</v>
      </c>
      <c r="U88" s="6">
        <f>[1]Results!X1580</f>
        <v>47918.066059999997</v>
      </c>
      <c r="V88" s="6">
        <f>[1]Results!Y1580</f>
        <v>48400.234320000003</v>
      </c>
      <c r="W88" s="6">
        <f>[1]Results!Z1580</f>
        <v>48932.337820000001</v>
      </c>
      <c r="X88" s="6">
        <f>[1]Results!AA1580</f>
        <v>49543.481099999997</v>
      </c>
      <c r="Y88" s="6">
        <f>[1]Results!AB1580</f>
        <v>50238.63351</v>
      </c>
      <c r="Z88" s="6">
        <f>[1]Results!AC1580</f>
        <v>51023.943879999999</v>
      </c>
      <c r="AA88" s="6">
        <f>[1]Results!AD1580</f>
        <v>51900.293530000003</v>
      </c>
      <c r="AB88" s="6">
        <f>[1]Results!AE1580</f>
        <v>52826.972349999996</v>
      </c>
      <c r="AC88" s="6">
        <f>[1]Results!AF1580</f>
        <v>53847.967259999998</v>
      </c>
      <c r="AD88" s="6">
        <f>[1]Results!AG1580</f>
        <v>54961.87846</v>
      </c>
      <c r="AE88" s="6">
        <f>[1]Results!AH1580</f>
        <v>56166.560259999998</v>
      </c>
      <c r="AF88" s="6">
        <f>[1]Results!AI1580</f>
        <v>57447.897149999997</v>
      </c>
      <c r="AG88" s="6">
        <f>[1]Results!AJ1580</f>
        <v>58786.836459999999</v>
      </c>
      <c r="AH88" s="6">
        <f>[1]Results!AK1580</f>
        <v>60166.501420000001</v>
      </c>
      <c r="AI88" s="6">
        <f>[1]Results!AL1580</f>
        <v>61573.251559999997</v>
      </c>
      <c r="AJ88" s="6">
        <f>[1]Results!AM1580</f>
        <v>62994.882299999997</v>
      </c>
      <c r="AK88" s="6">
        <f>[1]Results!AN1580</f>
        <v>64419.950499999999</v>
      </c>
      <c r="AL88" s="6">
        <f>[1]Results!AO1580</f>
        <v>65837.537750000003</v>
      </c>
    </row>
    <row r="89" spans="1:38" x14ac:dyDescent="0.35">
      <c r="B89" t="s">
        <v>35</v>
      </c>
      <c r="C89" s="6">
        <f>[1]Results!F1577</f>
        <v>-612.37312850000001</v>
      </c>
      <c r="D89" s="6">
        <f>[1]Results!G1577</f>
        <v>-616.28426939999997</v>
      </c>
      <c r="E89" s="6">
        <f>[1]Results!H1577</f>
        <v>-616.8595047</v>
      </c>
      <c r="F89" s="6">
        <f>[1]Results!I1577</f>
        <v>-617.06058599999994</v>
      </c>
      <c r="G89" s="6">
        <f>[1]Results!J1577</f>
        <v>-618.41840079999997</v>
      </c>
      <c r="H89" s="6">
        <f>[1]Results!K1577</f>
        <v>-621.8192348</v>
      </c>
      <c r="I89" s="6">
        <f>[1]Results!L1577</f>
        <v>-626.8612607</v>
      </c>
      <c r="J89" s="6">
        <f>[1]Results!M1577</f>
        <v>-632.79799179999998</v>
      </c>
      <c r="K89" s="6">
        <f>[1]Results!N1577</f>
        <v>-639.05356389999997</v>
      </c>
      <c r="L89" s="6">
        <f>[1]Results!O1577</f>
        <v>-645.34594990000005</v>
      </c>
      <c r="M89" s="6">
        <f>[1]Results!P1577</f>
        <v>-651.63092670000003</v>
      </c>
      <c r="N89" s="6">
        <f>[1]Results!Q1577</f>
        <v>-657.93648389999998</v>
      </c>
      <c r="O89" s="6">
        <f>[1]Results!R1577</f>
        <v>-664.17869480000002</v>
      </c>
      <c r="P89" s="6">
        <f>[1]Results!S1577</f>
        <v>-670.23268419999999</v>
      </c>
      <c r="Q89" s="6">
        <f>[1]Results!T1577</f>
        <v>-675.98711979999996</v>
      </c>
      <c r="R89" s="6">
        <f>[1]Results!U1577</f>
        <v>-681.52789159999998</v>
      </c>
      <c r="S89" s="6">
        <f>[1]Results!V1577</f>
        <v>-687.05642539999997</v>
      </c>
      <c r="T89" s="6">
        <f>[1]Results!W1577</f>
        <v>-692.89845979999996</v>
      </c>
      <c r="U89" s="6">
        <f>[1]Results!X1577</f>
        <v>-699.29497249999997</v>
      </c>
      <c r="V89" s="6">
        <f>[1]Results!Y1577</f>
        <v>-706.32731980000005</v>
      </c>
      <c r="W89" s="6">
        <f>[1]Results!Z1577</f>
        <v>-713.95889639999996</v>
      </c>
      <c r="X89" s="6">
        <f>[1]Results!AA1577</f>
        <v>-722.14640429999997</v>
      </c>
      <c r="Y89" s="6">
        <f>[1]Results!AB1577</f>
        <v>-730.93418489999999</v>
      </c>
      <c r="Z89" s="6">
        <f>[1]Results!AC1577</f>
        <v>-740.34293309999998</v>
      </c>
      <c r="AA89" s="6">
        <f>[1]Results!AD1577</f>
        <v>-750.3864155</v>
      </c>
      <c r="AB89" s="6">
        <f>[1]Results!AE1577</f>
        <v>-760.99199959999999</v>
      </c>
      <c r="AC89" s="6">
        <f>[1]Results!AF1577</f>
        <v>-772.09417459999997</v>
      </c>
      <c r="AD89" s="6">
        <f>[1]Results!AG1577</f>
        <v>-783.82864199999995</v>
      </c>
      <c r="AE89" s="6">
        <f>[1]Results!AH1577</f>
        <v>-796.2646383</v>
      </c>
      <c r="AF89" s="6">
        <f>[1]Results!AI1577</f>
        <v>-809.40843689999997</v>
      </c>
      <c r="AG89" s="6">
        <f>[1]Results!AJ1577</f>
        <v>-823.18194240000003</v>
      </c>
      <c r="AH89" s="6">
        <f>[1]Results!AK1577</f>
        <v>-837.46432730000004</v>
      </c>
      <c r="AI89" s="6">
        <f>[1]Results!AL1577</f>
        <v>-852.13321350000001</v>
      </c>
      <c r="AJ89" s="6">
        <f>[1]Results!AM1577</f>
        <v>-867.07157500000005</v>
      </c>
      <c r="AK89" s="6">
        <f>[1]Results!AN1577</f>
        <v>-882.15947589999996</v>
      </c>
      <c r="AL89" s="6">
        <f>[1]Results!AO1577</f>
        <v>-897.27065200000004</v>
      </c>
    </row>
    <row r="90" spans="1:38" x14ac:dyDescent="0.35">
      <c r="B90" t="s">
        <v>34</v>
      </c>
      <c r="C90" s="6">
        <f>[1]Results!$F1579</f>
        <v>493.02665569999999</v>
      </c>
      <c r="D90" s="6">
        <f>[1]Results!$F1579</f>
        <v>493.02665569999999</v>
      </c>
      <c r="E90" s="6">
        <f>[1]Results!$F1579</f>
        <v>493.02665569999999</v>
      </c>
      <c r="F90" s="6">
        <f>[1]Results!$F1579</f>
        <v>493.02665569999999</v>
      </c>
      <c r="G90" s="6">
        <f>[1]Results!$F1579</f>
        <v>493.02665569999999</v>
      </c>
      <c r="H90" s="6">
        <f>[1]Results!$F1579</f>
        <v>493.02665569999999</v>
      </c>
      <c r="I90" s="6">
        <f>[1]Results!$F1579</f>
        <v>493.02665569999999</v>
      </c>
      <c r="J90" s="6">
        <f>[1]Results!$F1579</f>
        <v>493.02665569999999</v>
      </c>
      <c r="K90" s="6">
        <f>[1]Results!$F1579</f>
        <v>493.02665569999999</v>
      </c>
      <c r="L90" s="6">
        <f>[1]Results!$F1579</f>
        <v>493.02665569999999</v>
      </c>
      <c r="M90" s="6">
        <f>[1]Results!$F1579</f>
        <v>493.02665569999999</v>
      </c>
      <c r="N90" s="6">
        <f>[1]Results!$F1579</f>
        <v>493.02665569999999</v>
      </c>
      <c r="O90" s="6">
        <f>[1]Results!$F1579</f>
        <v>493.02665569999999</v>
      </c>
      <c r="P90" s="6">
        <f>[1]Results!$F1579</f>
        <v>493.02665569999999</v>
      </c>
      <c r="Q90" s="6">
        <f>[1]Results!$F1579</f>
        <v>493.02665569999999</v>
      </c>
      <c r="R90" s="6">
        <f>[1]Results!$F1579</f>
        <v>493.02665569999999</v>
      </c>
      <c r="S90" s="6">
        <f>[1]Results!$F1579</f>
        <v>493.02665569999999</v>
      </c>
      <c r="T90" s="6">
        <f>[1]Results!$F1579</f>
        <v>493.02665569999999</v>
      </c>
      <c r="U90" s="6">
        <f>[1]Results!$F1579</f>
        <v>493.02665569999999</v>
      </c>
      <c r="V90" s="6">
        <f>[1]Results!$F1579</f>
        <v>493.02665569999999</v>
      </c>
      <c r="W90" s="6">
        <f>[1]Results!$F1579</f>
        <v>493.02665569999999</v>
      </c>
      <c r="X90" s="6">
        <f>[1]Results!$F1579</f>
        <v>493.02665569999999</v>
      </c>
      <c r="Y90" s="6">
        <f>[1]Results!$F1579</f>
        <v>493.02665569999999</v>
      </c>
      <c r="Z90" s="6">
        <f>[1]Results!$F1579</f>
        <v>493.02665569999999</v>
      </c>
      <c r="AA90" s="6">
        <f>[1]Results!$F1579</f>
        <v>493.02665569999999</v>
      </c>
      <c r="AB90" s="6">
        <f>[1]Results!$F1579</f>
        <v>493.02665569999999</v>
      </c>
      <c r="AC90" s="6">
        <f>[1]Results!$F1579</f>
        <v>493.02665569999999</v>
      </c>
      <c r="AD90" s="6">
        <f>[1]Results!$F1579</f>
        <v>493.02665569999999</v>
      </c>
      <c r="AE90" s="6">
        <f>[1]Results!$F1579</f>
        <v>493.02665569999999</v>
      </c>
      <c r="AF90" s="6">
        <f>[1]Results!$F1579</f>
        <v>493.02665569999999</v>
      </c>
      <c r="AG90" s="6">
        <f>[1]Results!$F1579</f>
        <v>493.02665569999999</v>
      </c>
      <c r="AH90" s="6">
        <f>[1]Results!$F1579</f>
        <v>493.02665569999999</v>
      </c>
      <c r="AI90" s="6">
        <f>[1]Results!$F1579</f>
        <v>493.02665569999999</v>
      </c>
      <c r="AJ90" s="6">
        <f>[1]Results!$F1579</f>
        <v>493.02665569999999</v>
      </c>
      <c r="AK90" s="6">
        <f>[1]Results!$F1579</f>
        <v>493.02665569999999</v>
      </c>
      <c r="AL90" s="6">
        <f>[1]Results!$F1579</f>
        <v>493.02665569999999</v>
      </c>
    </row>
    <row r="91" spans="1:38" x14ac:dyDescent="0.35">
      <c r="B91" t="s">
        <v>37</v>
      </c>
      <c r="C91" s="6">
        <f>[1]Results!F1575</f>
        <v>-2035.48117</v>
      </c>
      <c r="D91" s="6">
        <f>[1]Results!G1575</f>
        <v>-2059.7998440000001</v>
      </c>
      <c r="E91" s="6">
        <f>[1]Results!H1575</f>
        <v>-2066.6936190000001</v>
      </c>
      <c r="F91" s="6">
        <f>[1]Results!I1575</f>
        <v>-2071.1069889999999</v>
      </c>
      <c r="G91" s="6">
        <f>[1]Results!J1575</f>
        <v>-2072.6337060000001</v>
      </c>
      <c r="H91" s="6">
        <f>[1]Results!K1575</f>
        <v>-2082.5864980000001</v>
      </c>
      <c r="I91" s="6">
        <f>[1]Results!L1575</f>
        <v>-2104.8626869999998</v>
      </c>
      <c r="J91" s="6">
        <f>[1]Results!M1575</f>
        <v>-2133.4068769999999</v>
      </c>
      <c r="K91" s="6">
        <f>[1]Results!N1575</f>
        <v>-2164.1271539999998</v>
      </c>
      <c r="L91" s="6">
        <f>[1]Results!O1575</f>
        <v>-2195.0452650000002</v>
      </c>
      <c r="M91" s="6">
        <f>[1]Results!P1575</f>
        <v>-2225.2033809999998</v>
      </c>
      <c r="N91" s="6">
        <f>[1]Results!Q1575</f>
        <v>-2256.1344180000001</v>
      </c>
      <c r="O91" s="6">
        <f>[1]Results!R1575</f>
        <v>-2287.338041</v>
      </c>
      <c r="P91" s="6">
        <f>[1]Results!S1575</f>
        <v>-2318.8224140000002</v>
      </c>
      <c r="Q91" s="6">
        <f>[1]Results!T1575</f>
        <v>-2347.568311</v>
      </c>
      <c r="R91" s="6">
        <f>[1]Results!U1575</f>
        <v>-2374.2868720000001</v>
      </c>
      <c r="S91" s="6">
        <f>[1]Results!V1575</f>
        <v>-2396.0064040000002</v>
      </c>
      <c r="T91" s="6">
        <f>[1]Results!W1575</f>
        <v>-2417.5197560000001</v>
      </c>
      <c r="U91" s="6">
        <f>[1]Results!X1575</f>
        <v>-2441.6165550000001</v>
      </c>
      <c r="V91" s="6">
        <f>[1]Results!Y1575</f>
        <v>-2469.3655859999999</v>
      </c>
      <c r="W91" s="6">
        <f>[1]Results!Z1575</f>
        <v>-2500.9540830000001</v>
      </c>
      <c r="X91" s="6">
        <f>[1]Results!AA1575</f>
        <v>-2535.1657639999999</v>
      </c>
      <c r="Y91" s="6">
        <f>[1]Results!AB1575</f>
        <v>-2572.3978229999998</v>
      </c>
      <c r="Z91" s="6">
        <f>[1]Results!AC1575</f>
        <v>-2612.7650490000001</v>
      </c>
      <c r="AA91" s="6">
        <f>[1]Results!AD1575</f>
        <v>-2656.4315350000002</v>
      </c>
      <c r="AB91" s="6">
        <f>[1]Results!AE1575</f>
        <v>-2703.9906409999999</v>
      </c>
      <c r="AC91" s="6">
        <f>[1]Results!AF1575</f>
        <v>-2752.9612969999998</v>
      </c>
      <c r="AD91" s="6">
        <f>[1]Results!AG1575</f>
        <v>-2804.6031520000001</v>
      </c>
      <c r="AE91" s="6">
        <f>[1]Results!AH1575</f>
        <v>-2859.5657569999998</v>
      </c>
      <c r="AF91" s="6">
        <f>[1]Results!AI1575</f>
        <v>-2918.3676180000002</v>
      </c>
      <c r="AG91" s="6">
        <f>[1]Results!AJ1575</f>
        <v>-2980.616493</v>
      </c>
      <c r="AH91" s="6">
        <f>[1]Results!AK1575</f>
        <v>-3045.3315050000001</v>
      </c>
      <c r="AI91" s="6">
        <f>[1]Results!AL1575</f>
        <v>-3111.6180530000001</v>
      </c>
      <c r="AJ91" s="6">
        <f>[1]Results!AM1575</f>
        <v>-3178.8678060000002</v>
      </c>
      <c r="AK91" s="6">
        <f>[1]Results!AN1575</f>
        <v>-3246.5879730000001</v>
      </c>
      <c r="AL91" s="6">
        <f>[1]Results!AO1575</f>
        <v>-3314.3012749999998</v>
      </c>
    </row>
    <row r="93" spans="1:38" x14ac:dyDescent="0.35">
      <c r="A93" t="s">
        <v>39</v>
      </c>
      <c r="B93" t="s">
        <v>13</v>
      </c>
      <c r="C93" s="6">
        <f>[1]Results!F1512</f>
        <v>1966951.8470000001</v>
      </c>
      <c r="D93" s="6">
        <f>[1]Results!G1512</f>
        <v>1996288.838</v>
      </c>
      <c r="E93" s="6">
        <f>[1]Results!H1512</f>
        <v>2028298.825</v>
      </c>
      <c r="F93" s="6">
        <f>[1]Results!I1512</f>
        <v>2062626.98</v>
      </c>
      <c r="G93" s="6">
        <f>[1]Results!J1512</f>
        <v>2098583.0729999999</v>
      </c>
      <c r="H93" s="6">
        <f>[1]Results!K1512</f>
        <v>2136063.4909999999</v>
      </c>
      <c r="I93" s="6">
        <f>[1]Results!L1512</f>
        <v>2173984.7949999999</v>
      </c>
      <c r="J93" s="6">
        <f>[1]Results!M1512</f>
        <v>2207328.7039999999</v>
      </c>
      <c r="K93" s="6">
        <f>[1]Results!N1512</f>
        <v>2241359.7969999998</v>
      </c>
      <c r="L93" s="6">
        <f>[1]Results!O1512</f>
        <v>2284494.4640000002</v>
      </c>
      <c r="M93" s="6">
        <f>[1]Results!P1512</f>
        <v>2330351.7429999998</v>
      </c>
      <c r="N93" s="6">
        <f>[1]Results!Q1512</f>
        <v>2375516.2850000001</v>
      </c>
      <c r="O93" s="6">
        <f>[1]Results!R1512</f>
        <v>2420098.5290000001</v>
      </c>
      <c r="P93" s="6">
        <f>[1]Results!S1512</f>
        <v>2462936.426</v>
      </c>
      <c r="Q93" s="6">
        <f>[1]Results!T1512</f>
        <v>2505368.358</v>
      </c>
      <c r="R93" s="6">
        <f>[1]Results!U1512</f>
        <v>2548071.8220000002</v>
      </c>
      <c r="S93" s="6">
        <f>[1]Results!V1512</f>
        <v>2591056.1009999998</v>
      </c>
      <c r="T93" s="6">
        <f>[1]Results!W1512</f>
        <v>2635339.5449999999</v>
      </c>
      <c r="U93" s="6">
        <f>[1]Results!X1512</f>
        <v>2681550.6269999999</v>
      </c>
      <c r="V93" s="6">
        <f>[1]Results!Y1512</f>
        <v>2730135.142</v>
      </c>
      <c r="W93" s="6">
        <f>[1]Results!Z1512</f>
        <v>2780397.5580000002</v>
      </c>
      <c r="X93" s="6">
        <f>[1]Results!AA1512</f>
        <v>2834638.693</v>
      </c>
      <c r="Y93" s="6">
        <f>[1]Results!AB1512</f>
        <v>2892676.8509999998</v>
      </c>
      <c r="Z93" s="6">
        <f>[1]Results!AC1512</f>
        <v>2954862.7009999999</v>
      </c>
      <c r="AA93" s="6">
        <f>[1]Results!AD1512</f>
        <v>3021315.9569999999</v>
      </c>
      <c r="AB93" s="6">
        <f>[1]Results!AE1512</f>
        <v>3088839.8420000002</v>
      </c>
      <c r="AC93" s="6">
        <f>[1]Results!AF1512</f>
        <v>3161720.611</v>
      </c>
      <c r="AD93" s="6">
        <f>[1]Results!AG1512</f>
        <v>3239332.4139999999</v>
      </c>
      <c r="AE93" s="6">
        <f>[1]Results!AH1512</f>
        <v>3321981</v>
      </c>
      <c r="AF93" s="6">
        <f>[1]Results!AI1512</f>
        <v>3409455.4929999998</v>
      </c>
      <c r="AG93" s="6">
        <f>[1]Results!AJ1512</f>
        <v>3501285.8530000001</v>
      </c>
      <c r="AH93" s="6">
        <f>[1]Results!AK1512</f>
        <v>3597060.1830000002</v>
      </c>
      <c r="AI93" s="6">
        <f>[1]Results!AL1512</f>
        <v>3696478.6209999998</v>
      </c>
      <c r="AJ93" s="6">
        <f>[1]Results!AM1512</f>
        <v>3799302.3730000001</v>
      </c>
      <c r="AK93" s="6">
        <f>[1]Results!AN1512</f>
        <v>3905370.736</v>
      </c>
      <c r="AL93" s="6">
        <f>[1]Results!AO1512</f>
        <v>4014629.4759999998</v>
      </c>
    </row>
    <row r="94" spans="1:38" x14ac:dyDescent="0.35">
      <c r="B94" t="s">
        <v>7</v>
      </c>
      <c r="C94" s="6">
        <f>[1]Results!F1513</f>
        <v>36098.159420000004</v>
      </c>
      <c r="D94" s="6">
        <f>[1]Results!G1513</f>
        <v>36421.500999999997</v>
      </c>
      <c r="E94" s="6">
        <f>[1]Results!H1513</f>
        <v>36813.128709999997</v>
      </c>
      <c r="F94" s="6">
        <f>[1]Results!I1513</f>
        <v>37266.283369999997</v>
      </c>
      <c r="G94" s="6">
        <f>[1]Results!J1513</f>
        <v>37780.95162</v>
      </c>
      <c r="H94" s="6">
        <f>[1]Results!K1513</f>
        <v>38345.706100000003</v>
      </c>
      <c r="I94" s="6">
        <f>[1]Results!L1513</f>
        <v>38939.770570000001</v>
      </c>
      <c r="J94" s="6">
        <f>[1]Results!M1513</f>
        <v>39361.551090000001</v>
      </c>
      <c r="K94" s="6">
        <f>[1]Results!N1513</f>
        <v>39788.648569999998</v>
      </c>
      <c r="L94" s="6">
        <f>[1]Results!O1513</f>
        <v>40394.106610000003</v>
      </c>
      <c r="M94" s="6">
        <f>[1]Results!P1513</f>
        <v>41004.38708</v>
      </c>
      <c r="N94" s="6">
        <f>[1]Results!Q1513</f>
        <v>41605.791239999999</v>
      </c>
      <c r="O94" s="6">
        <f>[1]Results!R1513</f>
        <v>42193.898659999999</v>
      </c>
      <c r="P94" s="6">
        <f>[1]Results!S1513</f>
        <v>42750.474069999997</v>
      </c>
      <c r="Q94" s="6">
        <f>[1]Results!T1513</f>
        <v>43309.341009999996</v>
      </c>
      <c r="R94" s="6">
        <f>[1]Results!U1513</f>
        <v>43883.231829999997</v>
      </c>
      <c r="S94" s="6">
        <f>[1]Results!V1513</f>
        <v>44470.941209999997</v>
      </c>
      <c r="T94" s="6">
        <f>[1]Results!W1513</f>
        <v>45084.245069999997</v>
      </c>
      <c r="U94" s="6">
        <f>[1]Results!X1513</f>
        <v>45736.01154</v>
      </c>
      <c r="V94" s="6">
        <f>[1]Results!Y1513</f>
        <v>46435.165370000002</v>
      </c>
      <c r="W94" s="6">
        <f>[1]Results!Z1513</f>
        <v>47178.280769999998</v>
      </c>
      <c r="X94" s="6">
        <f>[1]Results!AA1513</f>
        <v>47991.71531</v>
      </c>
      <c r="Y94" s="6">
        <f>[1]Results!AB1513</f>
        <v>48884.161639999998</v>
      </c>
      <c r="Z94" s="6">
        <f>[1]Results!AC1513</f>
        <v>49862.531139999999</v>
      </c>
      <c r="AA94" s="6">
        <f>[1]Results!AD1513</f>
        <v>50928.746099999997</v>
      </c>
      <c r="AB94" s="6">
        <f>[1]Results!AE1513</f>
        <v>52048.168729999998</v>
      </c>
      <c r="AC94" s="6">
        <f>[1]Results!AF1513</f>
        <v>53252.637179999998</v>
      </c>
      <c r="AD94" s="6">
        <f>[1]Results!AG1513</f>
        <v>54558.226240000004</v>
      </c>
      <c r="AE94" s="6">
        <f>[1]Results!AH1513</f>
        <v>55970.414790000003</v>
      </c>
      <c r="AF94" s="6">
        <f>[1]Results!AI1513</f>
        <v>57483.641969999997</v>
      </c>
      <c r="AG94" s="6">
        <f>[1]Results!AJ1513</f>
        <v>59087.029869999998</v>
      </c>
      <c r="AH94" s="6">
        <f>[1]Results!AK1513</f>
        <v>60771.58092</v>
      </c>
      <c r="AI94" s="6">
        <f>[1]Results!AL1513</f>
        <v>62531.296840000003</v>
      </c>
      <c r="AJ94" s="6">
        <f>[1]Results!AM1513</f>
        <v>64362.086620000002</v>
      </c>
      <c r="AK94" s="6">
        <f>[1]Results!AN1513</f>
        <v>66262.498099999997</v>
      </c>
      <c r="AL94" s="6">
        <f>[1]Results!AO1513</f>
        <v>68235.330549999999</v>
      </c>
    </row>
    <row r="95" spans="1:38" x14ac:dyDescent="0.35">
      <c r="B95" t="s">
        <v>30</v>
      </c>
      <c r="C95" s="6">
        <f>[1]Results!F1516</f>
        <v>331692.73849999998</v>
      </c>
      <c r="D95" s="6">
        <f>[1]Results!G1516</f>
        <v>337438.20209999999</v>
      </c>
      <c r="E95" s="6">
        <f>[1]Results!H1516</f>
        <v>343505.96100000001</v>
      </c>
      <c r="F95" s="6">
        <f>[1]Results!I1516</f>
        <v>349929.82299999997</v>
      </c>
      <c r="G95" s="6">
        <f>[1]Results!J1516</f>
        <v>356653.64179999998</v>
      </c>
      <c r="H95" s="6">
        <f>[1]Results!K1516</f>
        <v>363647.64490000001</v>
      </c>
      <c r="I95" s="6">
        <f>[1]Results!L1516</f>
        <v>370795.68229999999</v>
      </c>
      <c r="J95" s="6">
        <f>[1]Results!M1516</f>
        <v>376243.18150000001</v>
      </c>
      <c r="K95" s="6">
        <f>[1]Results!N1516</f>
        <v>382210.61009999999</v>
      </c>
      <c r="L95" s="6">
        <f>[1]Results!O1516</f>
        <v>390773.34080000001</v>
      </c>
      <c r="M95" s="6">
        <f>[1]Results!P1516</f>
        <v>399368.29129999998</v>
      </c>
      <c r="N95" s="6">
        <f>[1]Results!Q1516</f>
        <v>407941.15610000002</v>
      </c>
      <c r="O95" s="6">
        <f>[1]Results!R1516</f>
        <v>416295.15539999999</v>
      </c>
      <c r="P95" s="6">
        <f>[1]Results!S1516</f>
        <v>424209.81630000001</v>
      </c>
      <c r="Q95" s="6">
        <f>[1]Results!T1516</f>
        <v>432197.65639999998</v>
      </c>
      <c r="R95" s="6">
        <f>[1]Results!U1516</f>
        <v>440449.83260000002</v>
      </c>
      <c r="S95" s="6">
        <f>[1]Results!V1516</f>
        <v>448903.82419999997</v>
      </c>
      <c r="T95" s="6">
        <f>[1]Results!W1516</f>
        <v>457862.98379999999</v>
      </c>
      <c r="U95" s="6">
        <f>[1]Results!X1516</f>
        <v>467466.62359999999</v>
      </c>
      <c r="V95" s="6">
        <f>[1]Results!Y1516</f>
        <v>477796.60350000003</v>
      </c>
      <c r="W95" s="6">
        <f>[1]Results!Z1516</f>
        <v>488841.429</v>
      </c>
      <c r="X95" s="6">
        <f>[1]Results!AA1516</f>
        <v>500831.55829999998</v>
      </c>
      <c r="Y95" s="6">
        <f>[1]Results!AB1516</f>
        <v>513859.73920000001</v>
      </c>
      <c r="Z95" s="6">
        <f>[1]Results!AC1516</f>
        <v>527994.73250000004</v>
      </c>
      <c r="AA95" s="6">
        <f>[1]Results!AD1516</f>
        <v>543254.56460000004</v>
      </c>
      <c r="AB95" s="6">
        <f>[1]Results!AE1516</f>
        <v>559369.66520000005</v>
      </c>
      <c r="AC95" s="6">
        <f>[1]Results!AF1516</f>
        <v>576718.85519999999</v>
      </c>
      <c r="AD95" s="6">
        <f>[1]Results!AG1516</f>
        <v>595402.74910000002</v>
      </c>
      <c r="AE95" s="6">
        <f>[1]Results!AH1516</f>
        <v>615492.07819999999</v>
      </c>
      <c r="AF95" s="6">
        <f>[1]Results!AI1516</f>
        <v>636938.20799999998</v>
      </c>
      <c r="AG95" s="6">
        <f>[1]Results!AJ1516</f>
        <v>659679.04059999995</v>
      </c>
      <c r="AH95" s="6">
        <f>[1]Results!AK1516</f>
        <v>683733.39199999999</v>
      </c>
      <c r="AI95" s="6">
        <f>[1]Results!AL1516</f>
        <v>709196.09739999997</v>
      </c>
      <c r="AJ95" s="6">
        <f>[1]Results!AM1516</f>
        <v>736216.446</v>
      </c>
      <c r="AK95" s="6">
        <f>[1]Results!AN1516</f>
        <v>765040.36670000001</v>
      </c>
      <c r="AL95" s="6">
        <f>[1]Results!AO1516</f>
        <v>796063.70739999996</v>
      </c>
    </row>
    <row r="96" spans="1:38" x14ac:dyDescent="0.35">
      <c r="B96" t="s">
        <v>9</v>
      </c>
      <c r="C96" s="6">
        <f>[1]Results!F1528</f>
        <v>48475.55906</v>
      </c>
      <c r="D96" s="6">
        <f>[1]Results!G1528</f>
        <v>49187.047729999998</v>
      </c>
      <c r="E96" s="6">
        <f>[1]Results!H1528</f>
        <v>49908.15926</v>
      </c>
      <c r="F96" s="6">
        <f>[1]Results!I1528</f>
        <v>50652.223919999997</v>
      </c>
      <c r="G96" s="6">
        <f>[1]Results!J1528</f>
        <v>51440.978430000003</v>
      </c>
      <c r="H96" s="6">
        <f>[1]Results!K1528</f>
        <v>52277.17815</v>
      </c>
      <c r="I96" s="6">
        <f>[1]Results!L1528</f>
        <v>53138.036090000001</v>
      </c>
      <c r="J96" s="6">
        <f>[1]Results!M1528</f>
        <v>53731.881609999997</v>
      </c>
      <c r="K96" s="6">
        <f>[1]Results!N1528</f>
        <v>54350.725780000001</v>
      </c>
      <c r="L96" s="6">
        <f>[1]Results!O1528</f>
        <v>55295.551720000003</v>
      </c>
      <c r="M96" s="6">
        <f>[1]Results!P1528</f>
        <v>56259.983659999998</v>
      </c>
      <c r="N96" s="6">
        <f>[1]Results!Q1528</f>
        <v>57232.420879999998</v>
      </c>
      <c r="O96" s="6">
        <f>[1]Results!R1528</f>
        <v>58178.770839999997</v>
      </c>
      <c r="P96" s="6">
        <f>[1]Results!S1528</f>
        <v>59057.010860000002</v>
      </c>
      <c r="Q96" s="6">
        <f>[1]Results!T1528</f>
        <v>59922.111839999998</v>
      </c>
      <c r="R96" s="6">
        <f>[1]Results!U1528</f>
        <v>60791.656849999999</v>
      </c>
      <c r="S96" s="6">
        <f>[1]Results!V1528</f>
        <v>61661.270429999997</v>
      </c>
      <c r="T96" s="6">
        <f>[1]Results!W1528</f>
        <v>62558.855349999998</v>
      </c>
      <c r="U96" s="6">
        <f>[1]Results!X1528</f>
        <v>63509.386200000001</v>
      </c>
      <c r="V96" s="6">
        <f>[1]Results!Y1528</f>
        <v>64528.079769999997</v>
      </c>
      <c r="W96" s="6">
        <f>[1]Results!Z1528</f>
        <v>65612.91287</v>
      </c>
      <c r="X96" s="6">
        <f>[1]Results!AA1528</f>
        <v>66808.01917</v>
      </c>
      <c r="Y96" s="6">
        <f>[1]Results!AB1528</f>
        <v>68123.93058</v>
      </c>
      <c r="Z96" s="6">
        <f>[1]Results!AC1528</f>
        <v>69568.317230000001</v>
      </c>
      <c r="AA96" s="6">
        <f>[1]Results!AD1528</f>
        <v>71141.20882</v>
      </c>
      <c r="AB96" s="6">
        <f>[1]Results!AE1528</f>
        <v>72792.973010000002</v>
      </c>
      <c r="AC96" s="6">
        <f>[1]Results!AF1528</f>
        <v>74600.84564</v>
      </c>
      <c r="AD96" s="6">
        <f>[1]Results!AG1528</f>
        <v>76577.793309999994</v>
      </c>
      <c r="AE96" s="6">
        <f>[1]Results!AH1528</f>
        <v>78727.941770000005</v>
      </c>
      <c r="AF96" s="6">
        <f>[1]Results!AI1528</f>
        <v>81036.304860000004</v>
      </c>
      <c r="AG96" s="6">
        <f>[1]Results!AJ1528</f>
        <v>83483.052590000007</v>
      </c>
      <c r="AH96" s="6">
        <f>[1]Results!AK1528</f>
        <v>86060.197560000001</v>
      </c>
      <c r="AI96" s="6">
        <f>[1]Results!AL1528</f>
        <v>88767.208899999998</v>
      </c>
      <c r="AJ96" s="6">
        <f>[1]Results!AM1528</f>
        <v>91599.412830000001</v>
      </c>
      <c r="AK96" s="6">
        <f>[1]Results!AN1528</f>
        <v>94554.527650000004</v>
      </c>
      <c r="AL96" s="6">
        <f>[1]Results!AO1528</f>
        <v>97634.452250000002</v>
      </c>
    </row>
    <row r="97" spans="1:38" x14ac:dyDescent="0.35">
      <c r="B97" t="s">
        <v>10</v>
      </c>
      <c r="C97" s="6">
        <f>[1]Results!F1533</f>
        <v>1512067.868</v>
      </c>
      <c r="D97" s="6">
        <f>[1]Results!G1533</f>
        <v>1534188.473</v>
      </c>
      <c r="E97" s="6">
        <f>[1]Results!H1533</f>
        <v>1558634.7139999999</v>
      </c>
      <c r="F97" s="6">
        <f>[1]Results!I1533</f>
        <v>1584925.858</v>
      </c>
      <c r="G97" s="6">
        <f>[1]Results!J1533</f>
        <v>1612508.3089999999</v>
      </c>
      <c r="H97" s="6">
        <f>[1]Results!K1533</f>
        <v>1641250.1129999999</v>
      </c>
      <c r="I97" s="6">
        <f>[1]Results!L1533</f>
        <v>1670215.3089999999</v>
      </c>
      <c r="J97" s="6">
        <f>[1]Results!M1533</f>
        <v>1696718.216</v>
      </c>
      <c r="K97" s="6">
        <f>[1]Results!N1533</f>
        <v>1723583.5989999999</v>
      </c>
      <c r="L97" s="6">
        <f>[1]Results!O1533</f>
        <v>1756425.2949999999</v>
      </c>
      <c r="M97" s="6">
        <f>[1]Results!P1533</f>
        <v>1792039.8370000001</v>
      </c>
      <c r="N97" s="6">
        <f>[1]Results!Q1533</f>
        <v>1827220.7779999999</v>
      </c>
      <c r="O97" s="6">
        <f>[1]Results!R1533</f>
        <v>1862220.7290000001</v>
      </c>
      <c r="P97" s="6">
        <f>[1]Results!S1533</f>
        <v>1896127.5179999999</v>
      </c>
      <c r="Q97" s="6">
        <f>[1]Results!T1533</f>
        <v>1929624.693</v>
      </c>
      <c r="R97" s="6">
        <f>[1]Results!U1533</f>
        <v>1963150.7990000001</v>
      </c>
      <c r="S97" s="6">
        <f>[1]Results!V1533</f>
        <v>1996791.845</v>
      </c>
      <c r="T97" s="6">
        <f>[1]Results!W1533</f>
        <v>2031207.77</v>
      </c>
      <c r="U97" s="6">
        <f>[1]Results!X1533</f>
        <v>2066871.33</v>
      </c>
      <c r="V97" s="6">
        <f>[1]Results!Y1533</f>
        <v>2104131.9109999998</v>
      </c>
      <c r="W97" s="6">
        <f>[1]Results!Z1533</f>
        <v>2142330.0669999998</v>
      </c>
      <c r="X97" s="6">
        <f>[1]Results!AA1533</f>
        <v>2183450.966</v>
      </c>
      <c r="Y97" s="6">
        <f>[1]Results!AB1533</f>
        <v>2227219.12</v>
      </c>
      <c r="Z97" s="6">
        <f>[1]Results!AC1533</f>
        <v>2273927.304</v>
      </c>
      <c r="AA97" s="6">
        <f>[1]Results!AD1533</f>
        <v>2323710.6069999998</v>
      </c>
      <c r="AB97" s="6">
        <f>[1]Results!AE1533</f>
        <v>2373803.6409999998</v>
      </c>
      <c r="AC97" s="6">
        <f>[1]Results!AF1533</f>
        <v>2427998.8339999998</v>
      </c>
      <c r="AD97" s="6">
        <f>[1]Results!AG1533</f>
        <v>2485624.2409999999</v>
      </c>
      <c r="AE97" s="6">
        <f>[1]Results!AH1533</f>
        <v>2547003.1869999999</v>
      </c>
      <c r="AF97" s="6">
        <f>[1]Results!AI1533</f>
        <v>2612129.2829999998</v>
      </c>
      <c r="AG97" s="6">
        <f>[1]Results!AJ1533</f>
        <v>2680797.1170000001</v>
      </c>
      <c r="AH97" s="6">
        <f>[1]Results!AK1533</f>
        <v>2752809.781</v>
      </c>
      <c r="AI97" s="6">
        <f>[1]Results!AL1533</f>
        <v>2828071.2680000002</v>
      </c>
      <c r="AJ97" s="6">
        <f>[1]Results!AM1533</f>
        <v>2906616.7719999999</v>
      </c>
      <c r="AK97" s="6">
        <f>[1]Results!AN1533</f>
        <v>2988643.6809999999</v>
      </c>
      <c r="AL97" s="6">
        <f>[1]Results!AO1533</f>
        <v>3074600.483</v>
      </c>
    </row>
    <row r="98" spans="1:38" x14ac:dyDescent="0.35">
      <c r="B98" t="s">
        <v>29</v>
      </c>
      <c r="C98" s="6">
        <f>C103-C99</f>
        <v>-2005.8049440999998</v>
      </c>
      <c r="D98" s="6">
        <f t="shared" ref="D98:AL98" si="8">D103-D99</f>
        <v>-2024.920748</v>
      </c>
      <c r="E98" s="6">
        <f t="shared" si="8"/>
        <v>-2033.3796038</v>
      </c>
      <c r="F98" s="6">
        <f t="shared" si="8"/>
        <v>-2038.5752063</v>
      </c>
      <c r="G98" s="6">
        <f t="shared" si="8"/>
        <v>-2043.6271118000002</v>
      </c>
      <c r="H98" s="6">
        <f t="shared" si="8"/>
        <v>-2056.2814815000002</v>
      </c>
      <c r="I98" s="6">
        <f t="shared" si="8"/>
        <v>-2076.3597202000001</v>
      </c>
      <c r="J98" s="6">
        <f t="shared" si="8"/>
        <v>-2143.4404267</v>
      </c>
      <c r="K98" s="6">
        <f t="shared" si="8"/>
        <v>-2011.2658867999999</v>
      </c>
      <c r="L98" s="6">
        <f t="shared" si="8"/>
        <v>-1859.3863679000001</v>
      </c>
      <c r="M98" s="6">
        <f t="shared" si="8"/>
        <v>-1722.6664800999997</v>
      </c>
      <c r="N98" s="6">
        <f t="shared" si="8"/>
        <v>-1590.5739123000003</v>
      </c>
      <c r="O98" s="6">
        <f t="shared" si="8"/>
        <v>-1460.6951709</v>
      </c>
      <c r="P98" s="6">
        <f t="shared" si="8"/>
        <v>-1328.7244739999999</v>
      </c>
      <c r="Q98" s="6">
        <f t="shared" si="8"/>
        <v>-1190.966353</v>
      </c>
      <c r="R98" s="6">
        <f t="shared" si="8"/>
        <v>-1048.2500179999997</v>
      </c>
      <c r="S98" s="6">
        <f t="shared" si="8"/>
        <v>-900.5138629999999</v>
      </c>
      <c r="T98" s="6">
        <f t="shared" si="8"/>
        <v>-742.14334899999994</v>
      </c>
      <c r="U98" s="6">
        <f t="shared" si="8"/>
        <v>-576.99463399999991</v>
      </c>
      <c r="V98" s="6">
        <f t="shared" si="8"/>
        <v>-405.54672800000003</v>
      </c>
      <c r="W98" s="6">
        <f t="shared" si="8"/>
        <v>-227.40165500000012</v>
      </c>
      <c r="X98" s="6">
        <f t="shared" si="8"/>
        <v>-42.272523999999976</v>
      </c>
      <c r="Y98" s="6">
        <f t="shared" si="8"/>
        <v>150.17524600000002</v>
      </c>
      <c r="Z98" s="6">
        <f t="shared" si="8"/>
        <v>350.60001700000021</v>
      </c>
      <c r="AA98" s="6">
        <f t="shared" si="8"/>
        <v>559.86359200000061</v>
      </c>
      <c r="AB98" s="6">
        <f t="shared" si="8"/>
        <v>779.58562200000028</v>
      </c>
      <c r="AC98" s="6">
        <f t="shared" si="8"/>
        <v>1010.6465629999998</v>
      </c>
      <c r="AD98" s="6">
        <f t="shared" si="8"/>
        <v>1252.2956720000002</v>
      </c>
      <c r="AE98" s="6">
        <f t="shared" si="8"/>
        <v>1506.7276449999999</v>
      </c>
      <c r="AF98" s="6">
        <f t="shared" si="8"/>
        <v>1775.7916030000001</v>
      </c>
      <c r="AG98" s="6">
        <f t="shared" si="8"/>
        <v>2061.758049</v>
      </c>
      <c r="AH98" s="6">
        <f t="shared" si="8"/>
        <v>2366.9025190000002</v>
      </c>
      <c r="AI98" s="6">
        <f t="shared" si="8"/>
        <v>2693.2740819999999</v>
      </c>
      <c r="AJ98" s="6">
        <f t="shared" si="8"/>
        <v>3042.8074499999993</v>
      </c>
      <c r="AK98" s="6">
        <f t="shared" si="8"/>
        <v>3417.4311760000001</v>
      </c>
      <c r="AL98" s="6">
        <f t="shared" si="8"/>
        <v>3819.3341840000003</v>
      </c>
    </row>
    <row r="99" spans="1:38" x14ac:dyDescent="0.35">
      <c r="B99" t="s">
        <v>36</v>
      </c>
      <c r="C99" s="6">
        <f>C101+C102</f>
        <v>-119.34658389999998</v>
      </c>
      <c r="D99" s="6">
        <f t="shared" ref="D99:AL99" si="9">D101+D102</f>
        <v>-122.15340000000003</v>
      </c>
      <c r="E99" s="6">
        <f t="shared" si="9"/>
        <v>-121.61821219999996</v>
      </c>
      <c r="F99" s="6">
        <f t="shared" si="9"/>
        <v>-121.33422570000005</v>
      </c>
      <c r="G99" s="6">
        <f t="shared" si="9"/>
        <v>-120.14815320000002</v>
      </c>
      <c r="H99" s="6">
        <f t="shared" si="9"/>
        <v>-119.64599250000003</v>
      </c>
      <c r="I99" s="6">
        <f t="shared" si="9"/>
        <v>-119.65894580000003</v>
      </c>
      <c r="J99" s="6">
        <f t="shared" si="9"/>
        <v>-99.720024299999977</v>
      </c>
      <c r="K99" s="6">
        <f t="shared" si="9"/>
        <v>-191.68352219999997</v>
      </c>
      <c r="L99" s="6">
        <f t="shared" si="9"/>
        <v>-295.25426909999999</v>
      </c>
      <c r="M99" s="6">
        <f t="shared" si="9"/>
        <v>-399.78141490000007</v>
      </c>
      <c r="N99" s="6">
        <f t="shared" si="9"/>
        <v>-503.41081369999995</v>
      </c>
      <c r="O99" s="6">
        <f t="shared" si="9"/>
        <v>-609.15902310000001</v>
      </c>
      <c r="P99" s="6">
        <f t="shared" si="9"/>
        <v>-718.73473800000011</v>
      </c>
      <c r="Q99" s="6">
        <f t="shared" si="9"/>
        <v>-832.330692</v>
      </c>
      <c r="R99" s="6">
        <f t="shared" si="9"/>
        <v>-950.45959000000016</v>
      </c>
      <c r="S99" s="6">
        <f t="shared" si="9"/>
        <v>-1075.142286</v>
      </c>
      <c r="T99" s="6">
        <f t="shared" si="9"/>
        <v>-1205.5247850000001</v>
      </c>
      <c r="U99" s="6">
        <f t="shared" si="9"/>
        <v>-1341.849563</v>
      </c>
      <c r="V99" s="6">
        <f t="shared" si="9"/>
        <v>-1484.6770489999999</v>
      </c>
      <c r="W99" s="6">
        <f t="shared" si="9"/>
        <v>-1634.767024</v>
      </c>
      <c r="X99" s="6">
        <f t="shared" si="9"/>
        <v>-1792.066096</v>
      </c>
      <c r="Y99" s="6">
        <f t="shared" si="9"/>
        <v>-1957.485535</v>
      </c>
      <c r="Z99" s="6">
        <f t="shared" si="9"/>
        <v>-2131.8820580000001</v>
      </c>
      <c r="AA99" s="6">
        <f t="shared" si="9"/>
        <v>-2316.1035790000005</v>
      </c>
      <c r="AB99" s="6">
        <f t="shared" si="9"/>
        <v>-2511.6788570000003</v>
      </c>
      <c r="AC99" s="6">
        <f t="shared" si="9"/>
        <v>-2717.7182859999998</v>
      </c>
      <c r="AD99" s="6">
        <f t="shared" si="9"/>
        <v>-2935.5744370000002</v>
      </c>
      <c r="AE99" s="6">
        <f t="shared" si="9"/>
        <v>-3166.8508449999999</v>
      </c>
      <c r="AF99" s="6">
        <f t="shared" si="9"/>
        <v>-3413.2941970000002</v>
      </c>
      <c r="AG99" s="6">
        <f t="shared" si="9"/>
        <v>-3676.4303770000001</v>
      </c>
      <c r="AH99" s="6">
        <f t="shared" si="9"/>
        <v>-3957.4661220000003</v>
      </c>
      <c r="AI99" s="6">
        <f t="shared" si="9"/>
        <v>-4257.6480869999996</v>
      </c>
      <c r="AJ99" s="6">
        <f t="shared" si="9"/>
        <v>-4578.4566509999995</v>
      </c>
      <c r="AK99" s="6">
        <f t="shared" si="9"/>
        <v>-4921.434655</v>
      </c>
      <c r="AL99" s="6">
        <f t="shared" si="9"/>
        <v>-5288.4479300000003</v>
      </c>
    </row>
    <row r="100" spans="1:38" x14ac:dyDescent="0.35">
      <c r="B100" t="s">
        <v>33</v>
      </c>
      <c r="C100" s="6">
        <f>[1]Results!F1541</f>
        <v>40653.00333</v>
      </c>
      <c r="D100" s="6">
        <f>[1]Results!G1541</f>
        <v>41113.414019999997</v>
      </c>
      <c r="E100" s="6">
        <f>[1]Results!H1541</f>
        <v>41503.555789999999</v>
      </c>
      <c r="F100" s="6">
        <f>[1]Results!I1541</f>
        <v>41923.898789999999</v>
      </c>
      <c r="G100" s="6">
        <f>[1]Results!J1541</f>
        <v>42271.826029999997</v>
      </c>
      <c r="H100" s="6">
        <f>[1]Results!K1541</f>
        <v>42625.435969999999</v>
      </c>
      <c r="I100" s="6">
        <f>[1]Results!L1541</f>
        <v>42996.510390000003</v>
      </c>
      <c r="J100" s="6">
        <f>[1]Results!M1541</f>
        <v>43412.482940000002</v>
      </c>
      <c r="K100" s="6">
        <f>[1]Results!N1541</f>
        <v>43626.112099999998</v>
      </c>
      <c r="L100" s="6">
        <f>[1]Results!O1541</f>
        <v>43869.584730000002</v>
      </c>
      <c r="M100" s="6">
        <f>[1]Results!P1541</f>
        <v>44022.770230000002</v>
      </c>
      <c r="N100" s="6">
        <f>[1]Results!Q1541</f>
        <v>43941.926149999999</v>
      </c>
      <c r="O100" s="6">
        <f>[1]Results!R1541</f>
        <v>43724.203679999999</v>
      </c>
      <c r="P100" s="6">
        <f>[1]Results!S1541</f>
        <v>43399.766790000001</v>
      </c>
      <c r="Q100" s="6">
        <f>[1]Results!T1541</f>
        <v>43018.77147</v>
      </c>
      <c r="R100" s="6">
        <f>[1]Results!U1541</f>
        <v>42600.535779999998</v>
      </c>
      <c r="S100" s="6">
        <f>[1]Results!V1541</f>
        <v>42140.64703</v>
      </c>
      <c r="T100" s="6">
        <f>[1]Results!W1541</f>
        <v>41647.022559999998</v>
      </c>
      <c r="U100" s="6">
        <f>[1]Results!X1541</f>
        <v>41102.509480000001</v>
      </c>
      <c r="V100" s="6">
        <f>[1]Results!Y1541</f>
        <v>40499.096339999996</v>
      </c>
      <c r="W100" s="6">
        <f>[1]Results!Z1541</f>
        <v>39818.784440000003</v>
      </c>
      <c r="X100" s="6">
        <f>[1]Results!AA1541</f>
        <v>39075.84143</v>
      </c>
      <c r="Y100" s="6">
        <f>[1]Results!AB1541</f>
        <v>38253.597430000002</v>
      </c>
      <c r="Z100" s="6">
        <f>[1]Results!AC1541</f>
        <v>37327.690369999997</v>
      </c>
      <c r="AA100" s="6">
        <f>[1]Results!AD1541</f>
        <v>36263.63609</v>
      </c>
      <c r="AB100" s="6">
        <f>[1]Results!AE1541</f>
        <v>34985.411899999999</v>
      </c>
      <c r="AC100" s="6">
        <f>[1]Results!AF1541</f>
        <v>33496.255210000003</v>
      </c>
      <c r="AD100" s="6">
        <f>[1]Results!AG1541</f>
        <v>31716.095990000002</v>
      </c>
      <c r="AE100" s="6">
        <f>[1]Results!AH1541</f>
        <v>29548.07805</v>
      </c>
      <c r="AF100" s="6">
        <f>[1]Results!AI1541</f>
        <v>26858.606189999999</v>
      </c>
      <c r="AG100" s="6">
        <f>[1]Results!AJ1541</f>
        <v>23476.711019999999</v>
      </c>
      <c r="AH100" s="6">
        <f>[1]Results!AK1541</f>
        <v>19185.766899999999</v>
      </c>
      <c r="AI100" s="6">
        <f>[1]Results!AL1541</f>
        <v>13694.12147</v>
      </c>
      <c r="AJ100" s="6">
        <f>[1]Results!AM1541</f>
        <v>6588.3580430000002</v>
      </c>
      <c r="AK100" s="6">
        <f>[1]Results!AN1541</f>
        <v>-2730.5675860000001</v>
      </c>
      <c r="AL100" s="6">
        <f>[1]Results!AO1541</f>
        <v>-15164.26497</v>
      </c>
    </row>
    <row r="101" spans="1:38" x14ac:dyDescent="0.35">
      <c r="B101" t="s">
        <v>35</v>
      </c>
      <c r="C101" s="6">
        <f>[1]Results!F1538</f>
        <v>-612.37312850000001</v>
      </c>
      <c r="D101" s="6">
        <f>[1]Results!G1538</f>
        <v>-616.28426950000005</v>
      </c>
      <c r="E101" s="6">
        <f>[1]Results!H1538</f>
        <v>-616.85950479999997</v>
      </c>
      <c r="F101" s="6">
        <f>[1]Results!I1538</f>
        <v>-617.06058610000002</v>
      </c>
      <c r="G101" s="6">
        <f>[1]Results!J1538</f>
        <v>-618.41840100000002</v>
      </c>
      <c r="H101" s="6">
        <f>[1]Results!K1538</f>
        <v>-621.81923500000005</v>
      </c>
      <c r="I101" s="6">
        <f>[1]Results!L1538</f>
        <v>-626.91283750000002</v>
      </c>
      <c r="J101" s="6">
        <f>[1]Results!M1538</f>
        <v>-679.80239019999999</v>
      </c>
      <c r="K101" s="6">
        <f>[1]Results!N1538</f>
        <v>-841.62364500000001</v>
      </c>
      <c r="L101" s="6">
        <f>[1]Results!O1538</f>
        <v>-1016.623077</v>
      </c>
      <c r="M101" s="6">
        <f>[1]Results!P1538</f>
        <v>-1193.2024080000001</v>
      </c>
      <c r="N101" s="6">
        <f>[1]Results!Q1538</f>
        <v>-1371.0939249999999</v>
      </c>
      <c r="O101" s="6">
        <f>[1]Results!R1538</f>
        <v>-1552.295462</v>
      </c>
      <c r="P101" s="6">
        <f>[1]Results!S1538</f>
        <v>-1737.6986770000001</v>
      </c>
      <c r="Q101" s="6">
        <f>[1]Results!T1538</f>
        <v>-1927.9025119999999</v>
      </c>
      <c r="R101" s="6">
        <f>[1]Results!U1538</f>
        <v>-2123.8449820000001</v>
      </c>
      <c r="S101" s="6">
        <f>[1]Results!V1538</f>
        <v>-2325.9872949999999</v>
      </c>
      <c r="T101" s="6">
        <f>[1]Results!W1538</f>
        <v>-2534.4609380000002</v>
      </c>
      <c r="U101" s="6">
        <f>[1]Results!X1538</f>
        <v>-2750.3607790000001</v>
      </c>
      <c r="V101" s="6">
        <f>[1]Results!Y1538</f>
        <v>-2974.9667629999999</v>
      </c>
      <c r="W101" s="6">
        <f>[1]Results!Z1538</f>
        <v>-3209.4366199999999</v>
      </c>
      <c r="X101" s="6">
        <f>[1]Results!AA1538</f>
        <v>-3455.001413</v>
      </c>
      <c r="Y101" s="6">
        <f>[1]Results!AB1538</f>
        <v>-3713.3268840000001</v>
      </c>
      <c r="Z101" s="6">
        <f>[1]Results!AC1538</f>
        <v>-3986.0215950000002</v>
      </c>
      <c r="AA101" s="6">
        <f>[1]Results!AD1538</f>
        <v>-4274.6527910000004</v>
      </c>
      <c r="AB101" s="6">
        <f>[1]Results!AE1538</f>
        <v>-4580.3788990000003</v>
      </c>
      <c r="AC101" s="6">
        <f>[1]Results!AF1538</f>
        <v>-4904.5305589999998</v>
      </c>
      <c r="AD101" s="6">
        <f>[1]Results!AG1538</f>
        <v>-5250.0135840000003</v>
      </c>
      <c r="AE101" s="6">
        <f>[1]Results!AH1538</f>
        <v>-5619.8213599999999</v>
      </c>
      <c r="AF101" s="6">
        <f>[1]Results!AI1538</f>
        <v>-6016.7643410000001</v>
      </c>
      <c r="AG101" s="6">
        <f>[1]Results!AJ1538</f>
        <v>-6443.451239</v>
      </c>
      <c r="AH101" s="6">
        <f>[1]Results!AK1538</f>
        <v>-6902.7432220000001</v>
      </c>
      <c r="AI101" s="6">
        <f>[1]Results!AL1538</f>
        <v>-7398.3834509999997</v>
      </c>
      <c r="AJ101" s="6">
        <f>[1]Results!AM1538</f>
        <v>-7935.3352139999997</v>
      </c>
      <c r="AK101" s="6">
        <f>[1]Results!AN1538</f>
        <v>-8520.201282</v>
      </c>
      <c r="AL101" s="6">
        <f>[1]Results!AO1538</f>
        <v>-9162.4359679999998</v>
      </c>
    </row>
    <row r="102" spans="1:38" x14ac:dyDescent="0.35">
      <c r="B102" t="s">
        <v>34</v>
      </c>
      <c r="C102" s="6">
        <f>[1]Results!F1540</f>
        <v>493.02654460000002</v>
      </c>
      <c r="D102" s="6">
        <f>[1]Results!G1540</f>
        <v>494.13086950000002</v>
      </c>
      <c r="E102" s="6">
        <f>[1]Results!H1540</f>
        <v>495.24129260000001</v>
      </c>
      <c r="F102" s="6">
        <f>[1]Results!I1540</f>
        <v>495.72636039999998</v>
      </c>
      <c r="G102" s="6">
        <f>[1]Results!J1540</f>
        <v>498.27024779999999</v>
      </c>
      <c r="H102" s="6">
        <f>[1]Results!K1540</f>
        <v>502.17324250000001</v>
      </c>
      <c r="I102" s="6">
        <f>[1]Results!L1540</f>
        <v>507.2538917</v>
      </c>
      <c r="J102" s="6">
        <f>[1]Results!M1540</f>
        <v>580.08236590000001</v>
      </c>
      <c r="K102" s="6">
        <f>[1]Results!N1540</f>
        <v>649.94012280000004</v>
      </c>
      <c r="L102" s="6">
        <f>[1]Results!O1540</f>
        <v>721.36880789999998</v>
      </c>
      <c r="M102" s="6">
        <f>[1]Results!P1540</f>
        <v>793.42099310000003</v>
      </c>
      <c r="N102" s="6">
        <f>[1]Results!Q1540</f>
        <v>867.68311129999995</v>
      </c>
      <c r="O102" s="6">
        <f>[1]Results!R1540</f>
        <v>943.13643890000003</v>
      </c>
      <c r="P102" s="6">
        <f>[1]Results!S1540</f>
        <v>1018.963939</v>
      </c>
      <c r="Q102" s="6">
        <f>[1]Results!T1540</f>
        <v>1095.5718199999999</v>
      </c>
      <c r="R102" s="6">
        <f>[1]Results!U1540</f>
        <v>1173.3853919999999</v>
      </c>
      <c r="S102" s="6">
        <f>[1]Results!V1540</f>
        <v>1250.8450089999999</v>
      </c>
      <c r="T102" s="6">
        <f>[1]Results!W1540</f>
        <v>1328.9361530000001</v>
      </c>
      <c r="U102" s="6">
        <f>[1]Results!X1540</f>
        <v>1408.5112160000001</v>
      </c>
      <c r="V102" s="6">
        <f>[1]Results!Y1540</f>
        <v>1490.289714</v>
      </c>
      <c r="W102" s="6">
        <f>[1]Results!Z1540</f>
        <v>1574.669596</v>
      </c>
      <c r="X102" s="6">
        <f>[1]Results!AA1540</f>
        <v>1662.9353169999999</v>
      </c>
      <c r="Y102" s="6">
        <f>[1]Results!AB1540</f>
        <v>1755.841349</v>
      </c>
      <c r="Z102" s="6">
        <f>[1]Results!AC1540</f>
        <v>1854.139537</v>
      </c>
      <c r="AA102" s="6">
        <f>[1]Results!AD1540</f>
        <v>1958.5492119999999</v>
      </c>
      <c r="AB102" s="6">
        <f>[1]Results!AE1540</f>
        <v>2068.7000419999999</v>
      </c>
      <c r="AC102" s="6">
        <f>[1]Results!AF1540</f>
        <v>2186.812273</v>
      </c>
      <c r="AD102" s="6">
        <f>[1]Results!AG1540</f>
        <v>2314.439147</v>
      </c>
      <c r="AE102" s="6">
        <f>[1]Results!AH1540</f>
        <v>2452.970515</v>
      </c>
      <c r="AF102" s="6">
        <f>[1]Results!AI1540</f>
        <v>2603.4701439999999</v>
      </c>
      <c r="AG102" s="6">
        <f>[1]Results!AJ1540</f>
        <v>2767.0208619999999</v>
      </c>
      <c r="AH102" s="6">
        <f>[1]Results!AK1540</f>
        <v>2945.2770999999998</v>
      </c>
      <c r="AI102" s="6">
        <f>[1]Results!AL1540</f>
        <v>3140.7353640000001</v>
      </c>
      <c r="AJ102" s="6">
        <f>[1]Results!AM1540</f>
        <v>3356.8785630000002</v>
      </c>
      <c r="AK102" s="6">
        <f>[1]Results!AN1540</f>
        <v>3598.766627</v>
      </c>
      <c r="AL102" s="6">
        <f>[1]Results!AO1540</f>
        <v>3873.988038</v>
      </c>
    </row>
    <row r="103" spans="1:38" x14ac:dyDescent="0.35">
      <c r="B103" t="s">
        <v>37</v>
      </c>
      <c r="C103" s="6">
        <f>[1]Results!F1537</f>
        <v>-2125.1515279999999</v>
      </c>
      <c r="D103" s="6">
        <f>[1]Results!G1537</f>
        <v>-2147.0741480000002</v>
      </c>
      <c r="E103" s="6">
        <f>[1]Results!H1537</f>
        <v>-2154.9978160000001</v>
      </c>
      <c r="F103" s="6">
        <f>[1]Results!I1537</f>
        <v>-2159.9094319999999</v>
      </c>
      <c r="G103" s="6">
        <f>[1]Results!J1537</f>
        <v>-2163.7752650000002</v>
      </c>
      <c r="H103" s="6">
        <f>[1]Results!K1537</f>
        <v>-2175.9274740000001</v>
      </c>
      <c r="I103" s="6">
        <f>[1]Results!L1537</f>
        <v>-2196.0186659999999</v>
      </c>
      <c r="J103" s="6">
        <f>[1]Results!M1537</f>
        <v>-2243.1604510000002</v>
      </c>
      <c r="K103" s="6">
        <f>[1]Results!N1537</f>
        <v>-2202.9494089999998</v>
      </c>
      <c r="L103" s="6">
        <f>[1]Results!O1537</f>
        <v>-2154.640637</v>
      </c>
      <c r="M103" s="6">
        <f>[1]Results!P1537</f>
        <v>-2122.4478949999998</v>
      </c>
      <c r="N103" s="6">
        <f>[1]Results!Q1537</f>
        <v>-2093.9847260000001</v>
      </c>
      <c r="O103" s="6">
        <f>[1]Results!R1537</f>
        <v>-2069.854194</v>
      </c>
      <c r="P103" s="6">
        <f>[1]Results!S1537</f>
        <v>-2047.459212</v>
      </c>
      <c r="Q103" s="6">
        <f>[1]Results!T1537</f>
        <v>-2023.297045</v>
      </c>
      <c r="R103" s="6">
        <f>[1]Results!U1537</f>
        <v>-1998.7096079999999</v>
      </c>
      <c r="S103" s="6">
        <f>[1]Results!V1537</f>
        <v>-1975.6561489999999</v>
      </c>
      <c r="T103" s="6">
        <f>[1]Results!W1537</f>
        <v>-1947.668134</v>
      </c>
      <c r="U103" s="6">
        <f>[1]Results!X1537</f>
        <v>-1918.8441969999999</v>
      </c>
      <c r="V103" s="6">
        <f>[1]Results!Y1537</f>
        <v>-1890.2237769999999</v>
      </c>
      <c r="W103" s="6">
        <f>[1]Results!Z1537</f>
        <v>-1862.1686790000001</v>
      </c>
      <c r="X103" s="6">
        <f>[1]Results!AA1537</f>
        <v>-1834.33862</v>
      </c>
      <c r="Y103" s="6">
        <f>[1]Results!AB1537</f>
        <v>-1807.310289</v>
      </c>
      <c r="Z103" s="6">
        <f>[1]Results!AC1537</f>
        <v>-1781.2820409999999</v>
      </c>
      <c r="AA103" s="6">
        <f>[1]Results!AD1537</f>
        <v>-1756.2399869999999</v>
      </c>
      <c r="AB103" s="6">
        <f>[1]Results!AE1537</f>
        <v>-1732.093235</v>
      </c>
      <c r="AC103" s="6">
        <f>[1]Results!AF1537</f>
        <v>-1707.071723</v>
      </c>
      <c r="AD103" s="6">
        <f>[1]Results!AG1537</f>
        <v>-1683.278765</v>
      </c>
      <c r="AE103" s="6">
        <f>[1]Results!AH1537</f>
        <v>-1660.1232</v>
      </c>
      <c r="AF103" s="6">
        <f>[1]Results!AI1537</f>
        <v>-1637.502594</v>
      </c>
      <c r="AG103" s="6">
        <f>[1]Results!AJ1537</f>
        <v>-1614.6723280000001</v>
      </c>
      <c r="AH103" s="6">
        <f>[1]Results!AK1537</f>
        <v>-1590.5636030000001</v>
      </c>
      <c r="AI103" s="6">
        <f>[1]Results!AL1537</f>
        <v>-1564.3740049999999</v>
      </c>
      <c r="AJ103" s="6">
        <f>[1]Results!AM1537</f>
        <v>-1535.6492009999999</v>
      </c>
      <c r="AK103" s="6">
        <f>[1]Results!AN1537</f>
        <v>-1504.003479</v>
      </c>
      <c r="AL103" s="6">
        <f>[1]Results!AO1537</f>
        <v>-1469.113746</v>
      </c>
    </row>
    <row r="104" spans="1:3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6" spans="1:3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38" x14ac:dyDescent="0.35">
      <c r="A107" t="s">
        <v>80</v>
      </c>
      <c r="B107" t="s">
        <v>27</v>
      </c>
      <c r="C107" s="4">
        <f>(R93-R79)/R79</f>
        <v>7.6131370593488902E-3</v>
      </c>
      <c r="D107" s="10">
        <f>(AB93-AB79)/AB79</f>
        <v>7.5183925780848322E-3</v>
      </c>
      <c r="E107" s="10">
        <f>(AL93-AL79)/AL79</f>
        <v>1.5282057168630346E-2</v>
      </c>
    </row>
    <row r="108" spans="1:38" x14ac:dyDescent="0.35">
      <c r="B108" t="s">
        <v>7</v>
      </c>
      <c r="C108" s="4">
        <f t="shared" ref="C108:C114" si="10">(R94-R82)/R82</f>
        <v>-1.3355396586344853E-2</v>
      </c>
      <c r="D108" s="4">
        <f t="shared" ref="D108:D114" si="11">(AB94-AB82)/AB82</f>
        <v>-2.0207294790489844E-2</v>
      </c>
      <c r="E108" s="4">
        <f t="shared" ref="E108:E114" si="12">(AL94-AL82)/AL82</f>
        <v>-5.7791766495347988E-3</v>
      </c>
      <c r="Q108" s="5"/>
      <c r="U108" s="5"/>
      <c r="V108" s="5"/>
      <c r="Y108" s="5"/>
      <c r="Z108" s="5"/>
      <c r="AA108" s="5"/>
    </row>
    <row r="109" spans="1:38" x14ac:dyDescent="0.35">
      <c r="B109" t="s">
        <v>30</v>
      </c>
      <c r="C109" s="4">
        <f t="shared" si="10"/>
        <v>6.3869379068307369E-3</v>
      </c>
      <c r="D109" s="4">
        <f t="shared" si="11"/>
        <v>1.7878005652686269E-2</v>
      </c>
      <c r="E109" s="4">
        <f t="shared" si="12"/>
        <v>7.6103505674150668E-2</v>
      </c>
      <c r="Q109" s="5"/>
      <c r="U109" s="5"/>
      <c r="V109" s="5"/>
      <c r="Y109" s="5"/>
      <c r="Z109" s="5"/>
      <c r="AA109" s="5"/>
    </row>
    <row r="110" spans="1:38" x14ac:dyDescent="0.35">
      <c r="B110" t="s">
        <v>9</v>
      </c>
      <c r="C110" s="4">
        <f t="shared" si="10"/>
        <v>-1.7171397769190382E-4</v>
      </c>
      <c r="D110" s="4">
        <f t="shared" si="11"/>
        <v>-3.3297892874145241E-3</v>
      </c>
      <c r="E110" s="4">
        <f t="shared" si="12"/>
        <v>2.9576774214210247E-2</v>
      </c>
      <c r="Q110" s="5"/>
      <c r="U110" s="5"/>
      <c r="V110" s="5"/>
      <c r="Y110" s="5"/>
      <c r="Z110" s="5"/>
      <c r="AA110" s="5"/>
    </row>
    <row r="111" spans="1:38" x14ac:dyDescent="0.35">
      <c r="B111" t="s">
        <v>10</v>
      </c>
      <c r="C111" s="4">
        <f t="shared" si="10"/>
        <v>1.1146307018678164E-2</v>
      </c>
      <c r="D111" s="4">
        <f t="shared" si="11"/>
        <v>1.4461447987313988E-2</v>
      </c>
      <c r="E111" s="4">
        <f t="shared" si="12"/>
        <v>2.8827384074333638E-2</v>
      </c>
      <c r="Q111" s="5"/>
      <c r="U111" s="5"/>
      <c r="V111" s="5"/>
      <c r="Y111" s="5"/>
      <c r="Z111" s="5"/>
      <c r="AA111" s="5"/>
    </row>
    <row r="112" spans="1:38" x14ac:dyDescent="0.35">
      <c r="B112" t="s">
        <v>29</v>
      </c>
      <c r="C112" s="4">
        <f t="shared" si="10"/>
        <v>-0.5204241437553111</v>
      </c>
      <c r="D112" s="4">
        <f t="shared" si="11"/>
        <v>-1.3200236150782461</v>
      </c>
      <c r="E112" s="4">
        <f t="shared" si="12"/>
        <v>-2.312460140202532</v>
      </c>
      <c r="Q112" s="5"/>
      <c r="U112" s="5"/>
      <c r="V112" s="5"/>
      <c r="Y112" s="5"/>
      <c r="Z112" s="5"/>
      <c r="AA112" s="5"/>
    </row>
    <row r="113" spans="1:38" x14ac:dyDescent="0.35">
      <c r="B113" t="s">
        <v>36</v>
      </c>
      <c r="C113" s="4">
        <f t="shared" si="10"/>
        <v>4.0421928825136169</v>
      </c>
      <c r="D113" s="4">
        <f t="shared" si="11"/>
        <v>8.3731481110382511</v>
      </c>
      <c r="E113" s="4">
        <f t="shared" si="12"/>
        <v>12.082316567233086</v>
      </c>
      <c r="Q113" s="5"/>
      <c r="U113" s="5"/>
      <c r="V113" s="5"/>
      <c r="Y113" s="5"/>
      <c r="Z113" s="5"/>
      <c r="AA113" s="5"/>
    </row>
    <row r="114" spans="1:38" x14ac:dyDescent="0.35">
      <c r="B114" t="s">
        <v>33</v>
      </c>
      <c r="C114" s="4">
        <f t="shared" si="10"/>
        <v>-8.8755233517957166E-2</v>
      </c>
      <c r="D114" s="4">
        <f t="shared" si="11"/>
        <v>-0.33773581290618859</v>
      </c>
      <c r="E114" s="4">
        <f t="shared" si="12"/>
        <v>-1.2303285555359336</v>
      </c>
      <c r="Q114" s="5"/>
      <c r="U114" s="5"/>
      <c r="V114" s="5"/>
      <c r="Y114" s="5"/>
      <c r="Z114" s="5"/>
      <c r="AA114" s="5"/>
    </row>
    <row r="115" spans="1:3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38" x14ac:dyDescent="0.35">
      <c r="A117" t="s">
        <v>81</v>
      </c>
      <c r="B117" t="s">
        <v>7</v>
      </c>
      <c r="C117" s="4">
        <f>R94/R82-1</f>
        <v>-1.3355396586344881E-2</v>
      </c>
      <c r="D117" s="4">
        <f>AB94/AB82-1</f>
        <v>-2.0207294790489883E-2</v>
      </c>
      <c r="E117" s="4">
        <f>AL94/AL82-1</f>
        <v>-5.7791766495347563E-3</v>
      </c>
    </row>
    <row r="118" spans="1:38" x14ac:dyDescent="0.35">
      <c r="B118" t="s">
        <v>30</v>
      </c>
      <c r="C118" s="4">
        <f>R95/R83-1</f>
        <v>6.3869379068306475E-3</v>
      </c>
      <c r="D118" s="4">
        <f>AB95/AB83-1</f>
        <v>1.7878005652686157E-2</v>
      </c>
      <c r="E118" s="4">
        <f>AL95/AL83-1</f>
        <v>7.6103505674150584E-2</v>
      </c>
    </row>
    <row r="119" spans="1:38" x14ac:dyDescent="0.35">
      <c r="B119" t="s">
        <v>9</v>
      </c>
      <c r="C119" s="4">
        <f>R96/R84-1</f>
        <v>-1.7171397769188967E-4</v>
      </c>
      <c r="D119" s="4">
        <f>AB96/AB84-1</f>
        <v>-3.329789287414564E-3</v>
      </c>
      <c r="E119" s="4">
        <f>AL96/AL84-1</f>
        <v>2.9576774214210344E-2</v>
      </c>
    </row>
    <row r="120" spans="1:38" x14ac:dyDescent="0.35">
      <c r="B120" t="s">
        <v>10</v>
      </c>
      <c r="C120" s="4">
        <f>R97/R85-1</f>
        <v>1.1146307018678137E-2</v>
      </c>
      <c r="D120" s="4">
        <f>AB97/AB85-1</f>
        <v>1.4461447987313969E-2</v>
      </c>
      <c r="E120" s="4">
        <f>AL97/AL85-1</f>
        <v>2.8827384074333606E-2</v>
      </c>
    </row>
    <row r="121" spans="1:38" x14ac:dyDescent="0.35">
      <c r="B121" t="s">
        <v>29</v>
      </c>
      <c r="C121" s="4">
        <f>R98/R86-1</f>
        <v>-0.5204241437553111</v>
      </c>
      <c r="D121" s="4">
        <f>AB98/AB86-1</f>
        <v>-1.3200236150782461</v>
      </c>
      <c r="E121" s="4">
        <f>AL98/AL86-1</f>
        <v>-2.312460140202532</v>
      </c>
    </row>
    <row r="122" spans="1:38" x14ac:dyDescent="0.35">
      <c r="B122" t="s">
        <v>33</v>
      </c>
      <c r="C122" s="4">
        <f>R100/R88-1</f>
        <v>-8.8755233517957222E-2</v>
      </c>
      <c r="D122" s="4">
        <f>AB100/AB88-1</f>
        <v>-0.33773581290618859</v>
      </c>
      <c r="E122" s="4">
        <f>AL100/AL88-1</f>
        <v>-1.2303285555359336</v>
      </c>
    </row>
    <row r="124" spans="1:3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</row>
    <row r="125" spans="1:38" x14ac:dyDescent="0.35">
      <c r="A125" t="s">
        <v>38</v>
      </c>
      <c r="B125" t="s">
        <v>27</v>
      </c>
      <c r="C125" s="6">
        <f>[1]Production!B3</f>
        <v>3854147.4219999998</v>
      </c>
      <c r="D125" s="6">
        <f>[1]Production!C3</f>
        <v>3910661.1310000001</v>
      </c>
      <c r="E125" s="6">
        <f>[1]Production!D3</f>
        <v>3972850.2969999998</v>
      </c>
      <c r="F125" s="6">
        <f>[1]Production!E3</f>
        <v>4039546.5070000002</v>
      </c>
      <c r="G125" s="6">
        <f>[1]Production!F3</f>
        <v>4109788.4959999998</v>
      </c>
      <c r="H125" s="6">
        <f>[1]Production!G3</f>
        <v>4183314.3220000002</v>
      </c>
      <c r="I125" s="6">
        <f>[1]Production!H3</f>
        <v>4257127.1780000003</v>
      </c>
      <c r="J125" s="6">
        <f>[1]Production!I3</f>
        <v>4331442.49</v>
      </c>
      <c r="K125" s="6">
        <f>[1]Production!J3</f>
        <v>4406390.1809999999</v>
      </c>
      <c r="L125" s="6">
        <f>[1]Production!K3</f>
        <v>4482303.5990000004</v>
      </c>
      <c r="M125" s="6">
        <f>[1]Production!L3</f>
        <v>4562042.4009999996</v>
      </c>
      <c r="N125" s="6">
        <f>[1]Production!M3</f>
        <v>4641957.7829999998</v>
      </c>
      <c r="O125" s="6">
        <f>[1]Production!N3</f>
        <v>4722013.1179999998</v>
      </c>
      <c r="P125" s="6">
        <f>[1]Production!O3</f>
        <v>4799163.2</v>
      </c>
      <c r="Q125" s="6">
        <f>[1]Production!P3</f>
        <v>4874734.534</v>
      </c>
      <c r="R125" s="6">
        <f>[1]Production!Q3</f>
        <v>4950257.4620000003</v>
      </c>
      <c r="S125" s="6">
        <f>[1]Production!R3</f>
        <v>5028493.1720000003</v>
      </c>
      <c r="T125" s="6">
        <f>[1]Production!S3</f>
        <v>5111335.2050000001</v>
      </c>
      <c r="U125" s="6">
        <f>[1]Production!T3</f>
        <v>5199947.3499999996</v>
      </c>
      <c r="V125" s="6">
        <f>[1]Production!U3</f>
        <v>5294844.2460000003</v>
      </c>
      <c r="W125" s="6">
        <f>[1]Production!V3</f>
        <v>5394671.1780000003</v>
      </c>
      <c r="X125" s="6">
        <f>[1]Production!W3</f>
        <v>5502812.7609999999</v>
      </c>
      <c r="Y125" s="6">
        <f>[1]Production!X3</f>
        <v>5619212.1660000002</v>
      </c>
      <c r="Z125" s="6">
        <f>[1]Production!Y3</f>
        <v>5744351.3499999996</v>
      </c>
      <c r="AA125" s="6">
        <f>[1]Production!Z3</f>
        <v>5878260.0539999995</v>
      </c>
      <c r="AB125" s="6">
        <f>[1]Production!AA3</f>
        <v>6015615.9110000003</v>
      </c>
      <c r="AC125" s="6">
        <f>[1]Production!AB3</f>
        <v>6162575.3540000003</v>
      </c>
      <c r="AD125" s="6">
        <f>[1]Production!AC3</f>
        <v>6318779.233</v>
      </c>
      <c r="AE125" s="6">
        <f>[1]Production!AD3</f>
        <v>6484586.3600000003</v>
      </c>
      <c r="AF125" s="6">
        <f>[1]Production!AE3</f>
        <v>6659190.2819999997</v>
      </c>
      <c r="AG125" s="6">
        <f>[1]Production!AF3</f>
        <v>6841165.0539999995</v>
      </c>
      <c r="AH125" s="6">
        <f>[1]Production!AG3</f>
        <v>7029194.0029999996</v>
      </c>
      <c r="AI125" s="6">
        <f>[1]Production!AH3</f>
        <v>7222187.2130000005</v>
      </c>
      <c r="AJ125" s="6">
        <f>[1]Production!AI3</f>
        <v>7419099.5250000004</v>
      </c>
      <c r="AK125" s="6">
        <f>[1]Production!AJ3</f>
        <v>7618872.4349999996</v>
      </c>
      <c r="AL125" s="6">
        <f>[1]Production!AK3</f>
        <v>7820409.0329999998</v>
      </c>
    </row>
    <row r="126" spans="1:38" x14ac:dyDescent="0.35">
      <c r="B126" t="s">
        <v>7</v>
      </c>
      <c r="C126" s="6">
        <f>[1]Production!B5+[1]Production!B7</f>
        <v>88284.497585000005</v>
      </c>
      <c r="D126" s="6">
        <f>[1]Production!C5+[1]Production!C7</f>
        <v>89167.92908799999</v>
      </c>
      <c r="E126" s="6">
        <f>[1]Production!D5+[1]Production!D7</f>
        <v>90192.646228999991</v>
      </c>
      <c r="F126" s="6">
        <f>[1]Production!E5+[1]Production!E7</f>
        <v>91369.003282000005</v>
      </c>
      <c r="G126" s="6">
        <f>[1]Production!F5+[1]Production!F7</f>
        <v>92695.894568000003</v>
      </c>
      <c r="H126" s="6">
        <f>[1]Production!G5+[1]Production!G7</f>
        <v>94154.836031999992</v>
      </c>
      <c r="I126" s="6">
        <f>[1]Production!H5+[1]Production!H7</f>
        <v>95668.888913999996</v>
      </c>
      <c r="J126" s="6">
        <f>[1]Production!I5+[1]Production!I7</f>
        <v>97213.303172999993</v>
      </c>
      <c r="K126" s="6">
        <f>[1]Production!J5+[1]Production!J7</f>
        <v>98777.886473000006</v>
      </c>
      <c r="L126" s="6">
        <f>[1]Production!K5+[1]Production!K7</f>
        <v>100362.255609</v>
      </c>
      <c r="M126" s="6">
        <f>[1]Production!L5+[1]Production!L7</f>
        <v>102009.25878</v>
      </c>
      <c r="N126" s="6">
        <f>[1]Production!M5+[1]Production!M7</f>
        <v>103673.80024300001</v>
      </c>
      <c r="O126" s="6">
        <f>[1]Production!N5+[1]Production!N7</f>
        <v>105324.36901900001</v>
      </c>
      <c r="P126" s="6">
        <f>[1]Production!O5+[1]Production!O7</f>
        <v>106878.16327200001</v>
      </c>
      <c r="Q126" s="6">
        <f>[1]Production!P5+[1]Production!P7</f>
        <v>108369.929793</v>
      </c>
      <c r="R126" s="6">
        <f>[1]Production!Q5+[1]Production!Q7</f>
        <v>109838.559908</v>
      </c>
      <c r="S126" s="6">
        <f>[1]Production!R5+[1]Production!R7</f>
        <v>111356.018446</v>
      </c>
      <c r="T126" s="6">
        <f>[1]Production!S5+[1]Production!S7</f>
        <v>112975.240836</v>
      </c>
      <c r="U126" s="6">
        <f>[1]Production!T5+[1]Production!T7</f>
        <v>114730.46193200001</v>
      </c>
      <c r="V126" s="6">
        <f>[1]Production!U5+[1]Production!U7</f>
        <v>116637.58893100001</v>
      </c>
      <c r="W126" s="6">
        <f>[1]Production!V5+[1]Production!V7</f>
        <v>118682.578483</v>
      </c>
      <c r="X126" s="6">
        <f>[1]Production!W5+[1]Production!W7</f>
        <v>120913.87392699999</v>
      </c>
      <c r="Y126" s="6">
        <f>[1]Production!X5+[1]Production!X7</f>
        <v>123350.90658900001</v>
      </c>
      <c r="Z126" s="6">
        <f>[1]Production!Y5+[1]Production!Y7</f>
        <v>126006.43358700001</v>
      </c>
      <c r="AA126" s="6">
        <f>[1]Production!Z5+[1]Production!Z7</f>
        <v>128880.796713</v>
      </c>
      <c r="AB126" s="6">
        <f>[1]Production!AA5+[1]Production!AA7</f>
        <v>131894.01016400001</v>
      </c>
      <c r="AC126" s="6">
        <f>[1]Production!AB5+[1]Production!AB7</f>
        <v>135116.78420200001</v>
      </c>
      <c r="AD126" s="6">
        <f>[1]Production!AC5+[1]Production!AC7</f>
        <v>138572.10394299999</v>
      </c>
      <c r="AE126" s="6">
        <f>[1]Production!AD5+[1]Production!AD7</f>
        <v>142269.45455999998</v>
      </c>
      <c r="AF126" s="6">
        <f>[1]Production!AE5+[1]Production!AE7</f>
        <v>146186.56362199999</v>
      </c>
      <c r="AG126" s="6">
        <f>[1]Production!AF5+[1]Production!AF7</f>
        <v>150283.965681</v>
      </c>
      <c r="AH126" s="6">
        <f>[1]Production!AG5+[1]Production!AG7</f>
        <v>154524.113025</v>
      </c>
      <c r="AI126" s="6">
        <f>[1]Production!AH5+[1]Production!AH7</f>
        <v>158874.46803300001</v>
      </c>
      <c r="AJ126" s="6">
        <f>[1]Production!AI5+[1]Production!AI7</f>
        <v>163302.94613199998</v>
      </c>
      <c r="AK126" s="6">
        <f>[1]Production!AJ5+[1]Production!AJ7</f>
        <v>167776.88297199999</v>
      </c>
      <c r="AL126" s="6">
        <f>[1]Production!AK5+[1]Production!AK7</f>
        <v>172262.81964200002</v>
      </c>
    </row>
    <row r="127" spans="1:3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978962.87437699991</v>
      </c>
      <c r="D127" s="6">
        <f>[1]Production!C9+[1]Production!C11+[1]Production!C13+[1]Production!C15+[1]Production!C17+[1]Production!C19+[1]Production!C21+[1]Production!C23+[1]Production!C25+[1]Production!C27+[1]Production!C41</f>
        <v>994910.1266529999</v>
      </c>
      <c r="E127" s="6">
        <f>[1]Production!D9+[1]Production!D11+[1]Production!D13+[1]Production!D15+[1]Production!D17+[1]Production!D19+[1]Production!D21+[1]Production!D23+[1]Production!D25+[1]Production!D27+[1]Production!D41</f>
        <v>1012347.3919089999</v>
      </c>
      <c r="F127" s="6">
        <f>[1]Production!E9+[1]Production!E11+[1]Production!E13+[1]Production!E15+[1]Production!E17+[1]Production!E19+[1]Production!E21+[1]Production!E23+[1]Production!E25+[1]Production!E27+[1]Production!E41</f>
        <v>1030765.734357</v>
      </c>
      <c r="G127" s="6">
        <f>[1]Production!F9+[1]Production!F11+[1]Production!F13+[1]Production!F15+[1]Production!F17+[1]Production!F19+[1]Production!F21+[1]Production!F23+[1]Production!F25+[1]Production!F27+[1]Production!F41</f>
        <v>1050117.0681139999</v>
      </c>
      <c r="H127" s="6">
        <f>[1]Production!G9+[1]Production!G11+[1]Production!G13+[1]Production!G15+[1]Production!G17+[1]Production!G19+[1]Production!G21+[1]Production!G23+[1]Production!G25+[1]Production!G27+[1]Production!G41</f>
        <v>1070321.7021740002</v>
      </c>
      <c r="I127" s="6">
        <f>[1]Production!H9+[1]Production!H11+[1]Production!H13+[1]Production!H15+[1]Production!H17+[1]Production!H19+[1]Production!H21+[1]Production!H23+[1]Production!H25+[1]Production!H27+[1]Production!H41</f>
        <v>1090717.857783</v>
      </c>
      <c r="J127" s="6">
        <f>[1]Production!I9+[1]Production!I11+[1]Production!I13+[1]Production!I15+[1]Production!I17+[1]Production!I19+[1]Production!I21+[1]Production!I23+[1]Production!I25+[1]Production!I27+[1]Production!I41</f>
        <v>1111200.661453</v>
      </c>
      <c r="K127" s="6">
        <f>[1]Production!J9+[1]Production!J11+[1]Production!J13+[1]Production!J15+[1]Production!J17+[1]Production!J19+[1]Production!J21+[1]Production!J23+[1]Production!J25+[1]Production!J27+[1]Production!J41</f>
        <v>1131823.6920639998</v>
      </c>
      <c r="L127" s="6">
        <f>[1]Production!K9+[1]Production!K11+[1]Production!K13+[1]Production!K15+[1]Production!K17+[1]Production!K19+[1]Production!K21+[1]Production!K23+[1]Production!K25+[1]Production!K27+[1]Production!K41</f>
        <v>1152710.924937</v>
      </c>
      <c r="M127" s="6">
        <f>[1]Production!L9+[1]Production!L11+[1]Production!L13+[1]Production!L15+[1]Production!L17+[1]Production!L19+[1]Production!L21+[1]Production!L23+[1]Production!L25+[1]Production!L27+[1]Production!L41</f>
        <v>1174346.3989899999</v>
      </c>
      <c r="N127" s="6">
        <f>[1]Production!M9+[1]Production!M11+[1]Production!M13+[1]Production!M15+[1]Production!M17+[1]Production!M19+[1]Production!M21+[1]Production!M23+[1]Production!M25+[1]Production!M27+[1]Production!M41</f>
        <v>1196373.4461650001</v>
      </c>
      <c r="O127" s="6">
        <f>[1]Production!N9+[1]Production!N11+[1]Production!N13+[1]Production!N15+[1]Production!N17+[1]Production!N19+[1]Production!N21+[1]Production!N23+[1]Production!N25+[1]Production!N27+[1]Production!N41</f>
        <v>1218377.7694949999</v>
      </c>
      <c r="P127" s="6">
        <f>[1]Production!O9+[1]Production!O11+[1]Production!O13+[1]Production!O15+[1]Production!O17+[1]Production!O19+[1]Production!O21+[1]Production!O23+[1]Production!O25+[1]Production!O27+[1]Production!O41</f>
        <v>1239244.3242409998</v>
      </c>
      <c r="Q127" s="6">
        <f>[1]Production!P9+[1]Production!P11+[1]Production!P13+[1]Production!P15+[1]Production!P17+[1]Production!P19+[1]Production!P21+[1]Production!P23+[1]Production!P25+[1]Production!P27+[1]Production!P41</f>
        <v>1259639.8769950001</v>
      </c>
      <c r="R127" s="6">
        <f>[1]Production!Q9+[1]Production!Q11+[1]Production!Q13+[1]Production!Q15+[1]Production!Q17+[1]Production!Q19+[1]Production!Q21+[1]Production!Q23+[1]Production!Q25+[1]Production!Q27+[1]Production!Q41</f>
        <v>1280197.744315</v>
      </c>
      <c r="S127" s="6">
        <f>[1]Production!R9+[1]Production!R11+[1]Production!R13+[1]Production!R15+[1]Production!R17+[1]Production!R19+[1]Production!R21+[1]Production!R23+[1]Production!R25+[1]Production!R27+[1]Production!R41</f>
        <v>1301873.5195079998</v>
      </c>
      <c r="T127" s="6">
        <f>[1]Production!S9+[1]Production!S11+[1]Production!S13+[1]Production!S15+[1]Production!S17+[1]Production!S19+[1]Production!S21+[1]Production!S23+[1]Production!S25+[1]Production!S27+[1]Production!S41</f>
        <v>1325320.4034049998</v>
      </c>
      <c r="U127" s="6">
        <f>[1]Production!T9+[1]Production!T11+[1]Production!T13+[1]Production!T15+[1]Production!T17+[1]Production!T19+[1]Production!T21+[1]Production!T23+[1]Production!T25+[1]Production!T27+[1]Production!T41</f>
        <v>1350918.4385549999</v>
      </c>
      <c r="V127" s="6">
        <f>[1]Production!U9+[1]Production!U11+[1]Production!U13+[1]Production!U15+[1]Production!U17+[1]Production!U19+[1]Production!U21+[1]Production!U23+[1]Production!U25+[1]Production!U27+[1]Production!U41</f>
        <v>1378795.4932319997</v>
      </c>
      <c r="W127" s="6">
        <f>[1]Production!V9+[1]Production!V11+[1]Production!V13+[1]Production!V15+[1]Production!V17+[1]Production!V19+[1]Production!V21+[1]Production!V23+[1]Production!V25+[1]Production!V27+[1]Production!V41</f>
        <v>1408811.975053</v>
      </c>
      <c r="X127" s="6">
        <f>[1]Production!W9+[1]Production!W11+[1]Production!W13+[1]Production!W15+[1]Production!W17+[1]Production!W19+[1]Production!W21+[1]Production!W23+[1]Production!W25+[1]Production!W27+[1]Production!W41</f>
        <v>1441391.69227</v>
      </c>
      <c r="Y127" s="6">
        <f>[1]Production!X9+[1]Production!X11+[1]Production!X13+[1]Production!X15+[1]Production!X17+[1]Production!X19+[1]Production!X21+[1]Production!X23+[1]Production!X25+[1]Production!X27+[1]Production!X41</f>
        <v>1476725.8715210003</v>
      </c>
      <c r="Z127" s="6">
        <f>[1]Production!Y9+[1]Production!Y11+[1]Production!Y13+[1]Production!Y15+[1]Production!Y17+[1]Production!Y19+[1]Production!Y21+[1]Production!Y23+[1]Production!Y25+[1]Production!Y27+[1]Production!Y41</f>
        <v>1514921.3753170001</v>
      </c>
      <c r="AA127" s="6">
        <f>[1]Production!Z9+[1]Production!Z11+[1]Production!Z13+[1]Production!Z15+[1]Production!Z17+[1]Production!Z19+[1]Production!Z21+[1]Production!Z23+[1]Production!Z25+[1]Production!Z27+[1]Production!Z41</f>
        <v>1555920.0979919999</v>
      </c>
      <c r="AB127" s="6">
        <f>[1]Production!AA9+[1]Production!AA11+[1]Production!AA13+[1]Production!AA15+[1]Production!AA17+[1]Production!AA19+[1]Production!AA21+[1]Production!AA23+[1]Production!AA25+[1]Production!AA27+[1]Production!AA41</f>
        <v>1598944.072555</v>
      </c>
      <c r="AC127" s="6">
        <f>[1]Production!AB9+[1]Production!AB11+[1]Production!AB13+[1]Production!AB15+[1]Production!AB17+[1]Production!AB19+[1]Production!AB21+[1]Production!AB23+[1]Production!AB25+[1]Production!AB27+[1]Production!AB41</f>
        <v>1644641.2979599999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1693243.5171149999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1744819.300669</v>
      </c>
      <c r="AF127" s="6">
        <f>[1]Production!AE9+[1]Production!AE11+[1]Production!AE13+[1]Production!AE15+[1]Production!AE17+[1]Production!AE19+[1]Production!AE21+[1]Production!AE23+[1]Production!AE25+[1]Production!AE27+[1]Production!AE41</f>
        <v>1798998.840022</v>
      </c>
      <c r="AG127" s="6">
        <f>[1]Production!AF9+[1]Production!AF11+[1]Production!AF13+[1]Production!AF15+[1]Production!AF17+[1]Production!AF19+[1]Production!AF21+[1]Production!AF23+[1]Production!AF25+[1]Production!AF27+[1]Production!AF41</f>
        <v>1855241.8982280002</v>
      </c>
      <c r="AH127" s="6">
        <f>[1]Production!AG9+[1]Production!AG11+[1]Production!AG13+[1]Production!AG15+[1]Production!AG17+[1]Production!AG19+[1]Production!AG21+[1]Production!AG23+[1]Production!AG25+[1]Production!AG27+[1]Production!AG41</f>
        <v>1913118.6440169998</v>
      </c>
      <c r="AI127" s="6">
        <f>[1]Production!AH9+[1]Production!AH11+[1]Production!AH13+[1]Production!AH15+[1]Production!AH17+[1]Production!AH19+[1]Production!AH21+[1]Production!AH23+[1]Production!AH25+[1]Production!AH27+[1]Production!AH41</f>
        <v>1972327.1537279999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2032600.2649410001</v>
      </c>
      <c r="AK127" s="6">
        <f>[1]Production!AJ9+[1]Production!AJ11+[1]Production!AJ13+[1]Production!AJ15+[1]Production!AJ17+[1]Production!AJ19+[1]Production!AJ21+[1]Production!AJ23+[1]Production!AJ25+[1]Production!AJ27+[1]Production!AJ41</f>
        <v>2093672.734218</v>
      </c>
      <c r="AL127" s="6">
        <f>[1]Production!AK9+[1]Production!AK11+[1]Production!AK13+[1]Production!AK15+[1]Production!AK17+[1]Production!AK19+[1]Production!AK21+[1]Production!AK23+[1]Production!AK25+[1]Production!AK27+[1]Production!AK41</f>
        <v>2155266.0972200003</v>
      </c>
    </row>
    <row r="128" spans="1:38" x14ac:dyDescent="0.35">
      <c r="B128" t="s">
        <v>9</v>
      </c>
      <c r="C128" s="6">
        <f>[1]Production!B29+[1]Production!B31+[1]Production!B33+[1]Production!B35</f>
        <v>120923.387844</v>
      </c>
      <c r="D128" s="6">
        <f>[1]Production!C29+[1]Production!C31+[1]Production!C33+[1]Production!C35</f>
        <v>122696.60545</v>
      </c>
      <c r="E128" s="6">
        <f>[1]Production!D29+[1]Production!D31+[1]Production!D33+[1]Production!D35</f>
        <v>124533.014251</v>
      </c>
      <c r="F128" s="6">
        <f>[1]Production!E29+[1]Production!E31+[1]Production!E33+[1]Production!E35</f>
        <v>126413.146385</v>
      </c>
      <c r="G128" s="6">
        <f>[1]Production!F29+[1]Production!F31+[1]Production!F33+[1]Production!F35</f>
        <v>128393.54846700002</v>
      </c>
      <c r="H128" s="6">
        <f>[1]Production!G29+[1]Production!G31+[1]Production!G33+[1]Production!G35</f>
        <v>130490.70813900001</v>
      </c>
      <c r="I128" s="6">
        <f>[1]Production!H29+[1]Production!H31+[1]Production!H33+[1]Production!H35</f>
        <v>132620.46758300002</v>
      </c>
      <c r="J128" s="6">
        <f>[1]Production!I29+[1]Production!I31+[1]Production!I33+[1]Production!I35</f>
        <v>134764.10624200001</v>
      </c>
      <c r="K128" s="6">
        <f>[1]Production!J29+[1]Production!J31+[1]Production!J33+[1]Production!J35</f>
        <v>136914.52113100002</v>
      </c>
      <c r="L128" s="6">
        <f>[1]Production!K29+[1]Production!K31+[1]Production!K33+[1]Production!K35</f>
        <v>139076.45197299999</v>
      </c>
      <c r="M128" s="6">
        <f>[1]Production!L29+[1]Production!L31+[1]Production!L33+[1]Production!L35</f>
        <v>141310.70637999999</v>
      </c>
      <c r="N128" s="6">
        <f>[1]Production!M29+[1]Production!M31+[1]Production!M33+[1]Production!M35</f>
        <v>143547.31319799999</v>
      </c>
      <c r="O128" s="6">
        <f>[1]Production!N29+[1]Production!N31+[1]Production!N33+[1]Production!N35</f>
        <v>145742.60861900001</v>
      </c>
      <c r="P128" s="6">
        <f>[1]Production!O29+[1]Production!O31+[1]Production!O33+[1]Production!O35</f>
        <v>147760.217366</v>
      </c>
      <c r="Q128" s="6">
        <f>[1]Production!P29+[1]Production!P31+[1]Production!P33+[1]Production!P35</f>
        <v>149682.530276</v>
      </c>
      <c r="R128" s="6">
        <f>[1]Production!Q29+[1]Production!Q31+[1]Production!Q33+[1]Production!Q35</f>
        <v>151586.09790200001</v>
      </c>
      <c r="S128" s="6">
        <f>[1]Production!R29+[1]Production!R31+[1]Production!R33+[1]Production!R35</f>
        <v>153585.130603</v>
      </c>
      <c r="T128" s="6">
        <f>[1]Production!S29+[1]Production!S31+[1]Production!S33+[1]Production!S35</f>
        <v>155759.95985099999</v>
      </c>
      <c r="U128" s="6">
        <f>[1]Production!T29+[1]Production!T31+[1]Production!T33+[1]Production!T35</f>
        <v>158158.07077000002</v>
      </c>
      <c r="V128" s="6">
        <f>[1]Production!U29+[1]Production!U31+[1]Production!U33+[1]Production!U35</f>
        <v>160796.85311899998</v>
      </c>
      <c r="W128" s="6">
        <f>[1]Production!V29+[1]Production!V31+[1]Production!V33+[1]Production!V35</f>
        <v>163655.58123499999</v>
      </c>
      <c r="X128" s="6">
        <f>[1]Production!W29+[1]Production!W31+[1]Production!W33+[1]Production!W35</f>
        <v>166803.18525099999</v>
      </c>
      <c r="Y128" s="6">
        <f>[1]Production!X29+[1]Production!X31+[1]Production!X33+[1]Production!X35</f>
        <v>170255.17921600002</v>
      </c>
      <c r="Z128" s="6">
        <f>[1]Production!Y29+[1]Production!Y31+[1]Production!Y33+[1]Production!Y35</f>
        <v>174023.88566500001</v>
      </c>
      <c r="AA128" s="6">
        <f>[1]Production!Z29+[1]Production!Z31+[1]Production!Z33+[1]Production!Z35</f>
        <v>178102.679328</v>
      </c>
      <c r="AB128" s="6">
        <f>[1]Production!AA29+[1]Production!AA31+[1]Production!AA33+[1]Production!AA35</f>
        <v>182380.86479699999</v>
      </c>
      <c r="AC128" s="6">
        <f>[1]Production!AB29+[1]Production!AB31+[1]Production!AB33+[1]Production!AB35</f>
        <v>186974.42788</v>
      </c>
      <c r="AD128" s="6">
        <f>[1]Production!AC29+[1]Production!AC31+[1]Production!AC33+[1]Production!AC35</f>
        <v>191897.68211000002</v>
      </c>
      <c r="AE128" s="6">
        <f>[1]Production!AD29+[1]Production!AD31+[1]Production!AD33+[1]Production!AD35</f>
        <v>197154.19736000002</v>
      </c>
      <c r="AF128" s="6">
        <f>[1]Production!AE29+[1]Production!AE31+[1]Production!AE33+[1]Production!AE35</f>
        <v>202693.25706999999</v>
      </c>
      <c r="AG128" s="6">
        <f>[1]Production!AF29+[1]Production!AF31+[1]Production!AF33+[1]Production!AF35</f>
        <v>208442.88759999999</v>
      </c>
      <c r="AH128" s="6">
        <f>[1]Production!AG29+[1]Production!AG31+[1]Production!AG33+[1]Production!AG35</f>
        <v>214343.97357999999</v>
      </c>
      <c r="AI128" s="6">
        <f>[1]Production!AH29+[1]Production!AH31+[1]Production!AH33+[1]Production!AH35</f>
        <v>220352.37547999999</v>
      </c>
      <c r="AJ128" s="6">
        <f>[1]Production!AI29+[1]Production!AI31+[1]Production!AI33+[1]Production!AI35</f>
        <v>226428.21995</v>
      </c>
      <c r="AK128" s="6">
        <f>[1]Production!AJ29+[1]Production!AJ31+[1]Production!AJ33+[1]Production!AJ35</f>
        <v>232532.65978999998</v>
      </c>
      <c r="AL128" s="6">
        <f>[1]Production!AK29+[1]Production!AK31+[1]Production!AK33+[1]Production!AK35</f>
        <v>238626.59415999998</v>
      </c>
    </row>
    <row r="129" spans="1:38" x14ac:dyDescent="0.35">
      <c r="B129" t="s">
        <v>10</v>
      </c>
      <c r="C129" s="6">
        <f>[1]Production!B37+[1]Production!B39</f>
        <v>2557835.5054000001</v>
      </c>
      <c r="D129" s="6">
        <f>[1]Production!C37+[1]Production!C39</f>
        <v>2594769.5973999999</v>
      </c>
      <c r="E129" s="6">
        <f>[1]Production!D37+[1]Production!D39</f>
        <v>2635832.3284999998</v>
      </c>
      <c r="F129" s="6">
        <f>[1]Production!E37+[1]Production!E39</f>
        <v>2680179.4778999998</v>
      </c>
      <c r="G129" s="6">
        <f>[1]Production!F37+[1]Production!F39</f>
        <v>2726896.3618999999</v>
      </c>
      <c r="H129" s="6">
        <f>[1]Production!G37+[1]Production!G39</f>
        <v>2775700.2039999999</v>
      </c>
      <c r="I129" s="6">
        <f>[1]Production!H37+[1]Production!H39</f>
        <v>2824431.2025000001</v>
      </c>
      <c r="J129" s="6">
        <f>[1]Production!I37+[1]Production!I39</f>
        <v>2873479.0181</v>
      </c>
      <c r="K129" s="6">
        <f>[1]Production!J37+[1]Production!J39</f>
        <v>2922960.6477999999</v>
      </c>
      <c r="L129" s="6">
        <f>[1]Production!K37+[1]Production!K39</f>
        <v>2973095.7429999998</v>
      </c>
      <c r="M129" s="6">
        <f>[1]Production!L37+[1]Production!L39</f>
        <v>3026119.6434999998</v>
      </c>
      <c r="N129" s="6">
        <f>[1]Production!M37+[1]Production!M39</f>
        <v>3078920.4885</v>
      </c>
      <c r="O129" s="6">
        <f>[1]Production!N37+[1]Production!N39</f>
        <v>3131975.9966000002</v>
      </c>
      <c r="P129" s="6">
        <f>[1]Production!O37+[1]Production!O39</f>
        <v>3183642.6682000002</v>
      </c>
      <c r="Q129" s="6">
        <f>[1]Production!P37+[1]Production!P39</f>
        <v>3234426.5035999999</v>
      </c>
      <c r="R129" s="6">
        <f>[1]Production!Q37+[1]Production!Q39</f>
        <v>3285063.4728999999</v>
      </c>
      <c r="S129" s="6">
        <f>[1]Production!R37+[1]Production!R39</f>
        <v>3337123.7960000001</v>
      </c>
      <c r="T129" s="6">
        <f>[1]Production!S37+[1]Production!S39</f>
        <v>3391649.8624</v>
      </c>
      <c r="U129" s="6">
        <f>[1]Production!T37+[1]Production!T39</f>
        <v>3449303.7415</v>
      </c>
      <c r="V129" s="6">
        <f>[1]Production!U37+[1]Production!U39</f>
        <v>3510419.3323000004</v>
      </c>
      <c r="W129" s="6">
        <f>[1]Production!V37+[1]Production!V39</f>
        <v>3573829.3829000001</v>
      </c>
      <c r="X129" s="6">
        <f>[1]Production!W37+[1]Production!W39</f>
        <v>3642324.6353000002</v>
      </c>
      <c r="Y129" s="6">
        <f>[1]Production!X37+[1]Production!X39</f>
        <v>3715609.0005999999</v>
      </c>
      <c r="Z129" s="6">
        <f>[1]Production!Y37+[1]Production!Y39</f>
        <v>3794020.2086</v>
      </c>
      <c r="AA129" s="6">
        <f>[1]Production!Z37+[1]Production!Z39</f>
        <v>3877651.6675000004</v>
      </c>
      <c r="AB129" s="6">
        <f>[1]Production!AA37+[1]Production!AA39</f>
        <v>3962230.8073</v>
      </c>
      <c r="AC129" s="6">
        <f>[1]Production!AB37+[1]Production!AB39</f>
        <v>4052998.2252000002</v>
      </c>
      <c r="AD129" s="6">
        <f>[1]Production!AC37+[1]Production!AC39</f>
        <v>4149318.5650999998</v>
      </c>
      <c r="AE129" s="6">
        <f>[1]Production!AD37+[1]Production!AD39</f>
        <v>4251470.2621999998</v>
      </c>
      <c r="AF129" s="6">
        <f>[1]Production!AE37+[1]Production!AE39</f>
        <v>4359120.8119000001</v>
      </c>
      <c r="AG129" s="6">
        <f>[1]Production!AF37+[1]Production!AF39</f>
        <v>4471541.0004000003</v>
      </c>
      <c r="AH129" s="6">
        <f>[1]Production!AG37+[1]Production!AG39</f>
        <v>4587981.3668</v>
      </c>
      <c r="AI129" s="6">
        <f>[1]Production!AH37+[1]Production!AH39</f>
        <v>4707763.5922999997</v>
      </c>
      <c r="AJ129" s="6">
        <f>[1]Production!AI37+[1]Production!AI39</f>
        <v>4830211.3531999998</v>
      </c>
      <c r="AK129" s="6">
        <f>[1]Production!AJ37+[1]Production!AJ39</f>
        <v>4954631.3662999999</v>
      </c>
      <c r="AL129" s="6">
        <f>[1]Production!AK37+[1]Production!AK39</f>
        <v>5080305.7275999999</v>
      </c>
    </row>
    <row r="130" spans="1:38" x14ac:dyDescent="0.35">
      <c r="B130" t="s">
        <v>29</v>
      </c>
      <c r="C130" s="6">
        <f>[1]Production!B43+[1]Production!B47</f>
        <v>35749.017027300004</v>
      </c>
      <c r="D130" s="6">
        <f>[1]Production!C43+[1]Production!C47</f>
        <v>35933.323236799995</v>
      </c>
      <c r="E130" s="6">
        <f>[1]Production!D43+[1]Production!D47</f>
        <v>36090.300232299996</v>
      </c>
      <c r="F130" s="6">
        <f>[1]Production!E43+[1]Production!E47</f>
        <v>36249.743354799997</v>
      </c>
      <c r="G130" s="6">
        <f>[1]Production!F43+[1]Production!F47</f>
        <v>36502.6101518</v>
      </c>
      <c r="H130" s="6">
        <f>[1]Production!G43+[1]Production!G47</f>
        <v>36837.732595300004</v>
      </c>
      <c r="I130" s="6">
        <f>[1]Production!H43+[1]Production!H47</f>
        <v>37206.544505399994</v>
      </c>
      <c r="J130" s="6">
        <f>[1]Production!I43+[1]Production!I47</f>
        <v>37583.861186500006</v>
      </c>
      <c r="K130" s="6">
        <f>[1]Production!J43+[1]Production!J47</f>
        <v>37959.394696000003</v>
      </c>
      <c r="L130" s="6">
        <f>[1]Production!K43+[1]Production!K47</f>
        <v>38331.937590200003</v>
      </c>
      <c r="M130" s="6">
        <f>[1]Production!L43+[1]Production!L47</f>
        <v>38711.346701900002</v>
      </c>
      <c r="N130" s="6">
        <f>[1]Production!M43+[1]Production!M47</f>
        <v>39089.949295300001</v>
      </c>
      <c r="O130" s="6">
        <f>[1]Production!N43+[1]Production!N47</f>
        <v>39459.916820999999</v>
      </c>
      <c r="P130" s="6">
        <f>[1]Production!O43+[1]Production!O47</f>
        <v>39798.385073099998</v>
      </c>
      <c r="Q130" s="6">
        <f>[1]Production!P43+[1]Production!P47</f>
        <v>40118.078301200003</v>
      </c>
      <c r="R130" s="6">
        <f>[1]Production!Q43+[1]Production!Q47</f>
        <v>40432.789299999997</v>
      </c>
      <c r="S130" s="6">
        <f>[1]Production!R43+[1]Production!R47</f>
        <v>40776.524150199999</v>
      </c>
      <c r="T130" s="6">
        <f>[1]Production!S43+[1]Production!S47</f>
        <v>41168.304855599999</v>
      </c>
      <c r="U130" s="6">
        <f>[1]Production!T43+[1]Production!T47</f>
        <v>41615.463464399996</v>
      </c>
      <c r="V130" s="6">
        <f>[1]Production!U43+[1]Production!U47</f>
        <v>42118.000689399996</v>
      </c>
      <c r="W130" s="6">
        <f>[1]Production!V43+[1]Production!V47</f>
        <v>42670.269282100002</v>
      </c>
      <c r="X130" s="6">
        <f>[1]Production!W43+[1]Production!W47</f>
        <v>43278.572038999999</v>
      </c>
      <c r="Y130" s="6">
        <f>[1]Production!X43+[1]Production!X47</f>
        <v>43945.356982400001</v>
      </c>
      <c r="Z130" s="6">
        <f>[1]Production!Y43+[1]Production!Y47</f>
        <v>44672.356351400005</v>
      </c>
      <c r="AA130" s="6">
        <f>[1]Production!Z43+[1]Production!Z47</f>
        <v>45458.442205499996</v>
      </c>
      <c r="AB130" s="6">
        <f>[1]Production!AA43+[1]Production!AA47</f>
        <v>46288.853991099997</v>
      </c>
      <c r="AC130" s="6">
        <f>[1]Production!AB43+[1]Production!AB47</f>
        <v>47177.5316141</v>
      </c>
      <c r="AD130" s="6">
        <f>[1]Production!AC43+[1]Production!AC47</f>
        <v>48129.654015299995</v>
      </c>
      <c r="AE130" s="6">
        <f>[1]Production!AD43+[1]Production!AD47</f>
        <v>49146.816734100001</v>
      </c>
      <c r="AF130" s="6">
        <f>[1]Production!AE43+[1]Production!AE47</f>
        <v>50221.0194481</v>
      </c>
      <c r="AG130" s="6">
        <f>[1]Production!AF43+[1]Production!AF47</f>
        <v>51339.827608899999</v>
      </c>
      <c r="AH130" s="6">
        <f>[1]Production!AG43+[1]Production!AG47</f>
        <v>52492.2922999</v>
      </c>
      <c r="AI130" s="6">
        <f>[1]Production!AH43+[1]Production!AH47</f>
        <v>53669.737338799998</v>
      </c>
      <c r="AJ130" s="6">
        <f>[1]Production!AI43+[1]Production!AI47</f>
        <v>54864.046123500004</v>
      </c>
      <c r="AK130" s="6">
        <f>[1]Production!AJ43+[1]Production!AJ47</f>
        <v>56066.922864499997</v>
      </c>
      <c r="AL130" s="6">
        <f>[1]Production!AK43+[1]Production!AK47</f>
        <v>57269.630400299997</v>
      </c>
    </row>
    <row r="131" spans="1:38" x14ac:dyDescent="0.35">
      <c r="B131" t="s">
        <v>36</v>
      </c>
      <c r="C131" s="6">
        <f>[1]Production!B45+[1]Production!B49</f>
        <v>4478.0093015000002</v>
      </c>
      <c r="D131" s="6">
        <f>[1]Production!C45+[1]Production!C49</f>
        <v>4488.8514513999999</v>
      </c>
      <c r="E131" s="6">
        <f>[1]Production!D45+[1]Production!D49</f>
        <v>4495.4464480000006</v>
      </c>
      <c r="F131" s="6">
        <f>[1]Production!E45+[1]Production!E49</f>
        <v>4503.8721212</v>
      </c>
      <c r="G131" s="6">
        <f>[1]Production!F45+[1]Production!F49</f>
        <v>4525.6876390999996</v>
      </c>
      <c r="H131" s="6">
        <f>[1]Production!G45+[1]Production!G49</f>
        <v>4558.9564664999998</v>
      </c>
      <c r="I131" s="6">
        <f>[1]Production!H45+[1]Production!H49</f>
        <v>4596.6103437000002</v>
      </c>
      <c r="J131" s="6">
        <f>[1]Production!I45+[1]Production!I49</f>
        <v>4635.9391009999999</v>
      </c>
      <c r="K131" s="6">
        <f>[1]Production!J45+[1]Production!J49</f>
        <v>4675.5922106000007</v>
      </c>
      <c r="L131" s="6">
        <f>[1]Production!K45+[1]Production!K49</f>
        <v>4715.2216927999998</v>
      </c>
      <c r="M131" s="6">
        <f>[1]Production!L45+[1]Production!L49</f>
        <v>4755.7489782000002</v>
      </c>
      <c r="N131" s="6">
        <f>[1]Production!M45+[1]Production!M49</f>
        <v>4796.3010710999997</v>
      </c>
      <c r="O131" s="6">
        <f>[1]Production!N45+[1]Production!N49</f>
        <v>4836.3808625000001</v>
      </c>
      <c r="P131" s="6">
        <f>[1]Production!O45+[1]Production!O49</f>
        <v>4874.3673228999996</v>
      </c>
      <c r="Q131" s="6">
        <f>[1]Production!P45+[1]Production!P49</f>
        <v>4910.8615386000001</v>
      </c>
      <c r="R131" s="6">
        <f>[1]Production!Q45+[1]Production!Q49</f>
        <v>4946.6966658000001</v>
      </c>
      <c r="S131" s="6">
        <f>[1]Production!R45+[1]Production!R49</f>
        <v>4985.5687289999996</v>
      </c>
      <c r="T131" s="6">
        <f>[1]Production!S45+[1]Production!S49</f>
        <v>5028.7436973999993</v>
      </c>
      <c r="U131" s="6">
        <f>[1]Production!T45+[1]Production!T49</f>
        <v>5076.7106797999995</v>
      </c>
      <c r="V131" s="6">
        <f>[1]Production!U45+[1]Production!U49</f>
        <v>5129.4005945999997</v>
      </c>
      <c r="W131" s="6">
        <f>[1]Production!V45+[1]Production!V49</f>
        <v>5186.1103776</v>
      </c>
      <c r="X131" s="6">
        <f>[1]Production!W45+[1]Production!W49</f>
        <v>5247.4590969999999</v>
      </c>
      <c r="Y131" s="6">
        <f>[1]Production!X45+[1]Production!X49</f>
        <v>5313.5985400999998</v>
      </c>
      <c r="Z131" s="6">
        <f>[1]Production!Y45+[1]Production!Y49</f>
        <v>5384.7019531000005</v>
      </c>
      <c r="AA131" s="6">
        <f>[1]Production!Z45+[1]Production!Z49</f>
        <v>5460.7864704000003</v>
      </c>
      <c r="AB131" s="6">
        <f>[1]Production!AA45+[1]Production!AA49</f>
        <v>5540.3113067999993</v>
      </c>
      <c r="AC131" s="6">
        <f>[1]Production!AB45+[1]Production!AB49</f>
        <v>5624.7174153999995</v>
      </c>
      <c r="AD131" s="6">
        <f>[1]Production!AC45+[1]Production!AC49</f>
        <v>5714.4671988999999</v>
      </c>
      <c r="AE131" s="6">
        <f>[1]Production!AD45+[1]Production!AD49</f>
        <v>5809.7977043000001</v>
      </c>
      <c r="AF131" s="6">
        <f>[1]Production!AE45+[1]Production!AE49</f>
        <v>5910.2694219999994</v>
      </c>
      <c r="AG131" s="6">
        <f>[1]Production!AF45+[1]Production!AF49</f>
        <v>6015.0378694999999</v>
      </c>
      <c r="AH131" s="6">
        <f>[1]Production!AG45+[1]Production!AG49</f>
        <v>6123.2325521000002</v>
      </c>
      <c r="AI131" s="6">
        <f>[1]Production!AH45+[1]Production!AH49</f>
        <v>6234.0505251000004</v>
      </c>
      <c r="AJ131" s="6">
        <f>[1]Production!AI45+[1]Production!AI49</f>
        <v>6346.6728233000003</v>
      </c>
      <c r="AK131" s="6">
        <f>[1]Production!AJ45+[1]Production!AJ49</f>
        <v>6460.2325368000002</v>
      </c>
      <c r="AL131" s="6">
        <f>[1]Production!AK45+[1]Production!AK49</f>
        <v>6573.8113007000002</v>
      </c>
    </row>
    <row r="132" spans="1:3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67914.131361499996</v>
      </c>
      <c r="D132" s="6">
        <f>[1]Production!C51+[1]Production!C53+[1]Production!C55+[1]Production!C57+[1]Production!C59+[1]Production!C61+[1]Production!C63+[1]Production!C65+[1]Production!C67</f>
        <v>68694.698308200008</v>
      </c>
      <c r="E132" s="6">
        <f>[1]Production!D51+[1]Production!D53+[1]Production!D55+[1]Production!D57+[1]Production!D59+[1]Production!D61+[1]Production!D63+[1]Production!D65+[1]Production!D67</f>
        <v>69359.169272200001</v>
      </c>
      <c r="F132" s="6">
        <f>[1]Production!E51+[1]Production!E53+[1]Production!E55+[1]Production!E57+[1]Production!E59+[1]Production!E61+[1]Production!E63+[1]Production!E65+[1]Production!E67</f>
        <v>70065.529789799999</v>
      </c>
      <c r="G132" s="6">
        <f>[1]Production!F51+[1]Production!F53+[1]Production!F55+[1]Production!F57+[1]Production!F59+[1]Production!F61+[1]Production!F63+[1]Production!F65+[1]Production!F67</f>
        <v>70657.32527619999</v>
      </c>
      <c r="H132" s="6">
        <f>[1]Production!G51+[1]Production!G53+[1]Production!G55+[1]Production!G57+[1]Production!G59+[1]Production!G61+[1]Production!G63+[1]Production!G65+[1]Production!G67</f>
        <v>71250.183103700023</v>
      </c>
      <c r="I132" s="6">
        <f>[1]Production!H51+[1]Production!H53+[1]Production!H55+[1]Production!H57+[1]Production!H59+[1]Production!H61+[1]Production!H63+[1]Production!H65+[1]Production!H67</f>
        <v>71885.605809200002</v>
      </c>
      <c r="J132" s="6">
        <f>[1]Production!I51+[1]Production!I53+[1]Production!I55+[1]Production!I57+[1]Production!I59+[1]Production!I61+[1]Production!I63+[1]Production!I65+[1]Production!I67</f>
        <v>72565.600164399992</v>
      </c>
      <c r="K132" s="6">
        <f>[1]Production!J51+[1]Production!J53+[1]Production!J55+[1]Production!J57+[1]Production!J59+[1]Production!J61+[1]Production!J63+[1]Production!J65+[1]Production!J67</f>
        <v>73278.446274799993</v>
      </c>
      <c r="L132" s="6">
        <f>[1]Production!K51+[1]Production!K53+[1]Production!K55+[1]Production!K57+[1]Production!K59+[1]Production!K61+[1]Production!K63+[1]Production!K65+[1]Production!K67</f>
        <v>74011.063832200001</v>
      </c>
      <c r="M132" s="6">
        <f>[1]Production!L51+[1]Production!L53+[1]Production!L55+[1]Production!L57+[1]Production!L59+[1]Production!L61+[1]Production!L63+[1]Production!L65+[1]Production!L67</f>
        <v>74789.297843099994</v>
      </c>
      <c r="N132" s="6">
        <f>[1]Production!M51+[1]Production!M53+[1]Production!M55+[1]Production!M57+[1]Production!M59+[1]Production!M61+[1]Production!M63+[1]Production!M65+[1]Production!M67</f>
        <v>75556.484869200009</v>
      </c>
      <c r="O132" s="6">
        <f>[1]Production!N51+[1]Production!N53+[1]Production!N55+[1]Production!N57+[1]Production!N59+[1]Production!N61+[1]Production!N63+[1]Production!N65+[1]Production!N67</f>
        <v>76296.076931500007</v>
      </c>
      <c r="P132" s="6">
        <f>[1]Production!O51+[1]Production!O53+[1]Production!O55+[1]Production!O57+[1]Production!O59+[1]Production!O61+[1]Production!O63+[1]Production!O65+[1]Production!O67</f>
        <v>76965.075127499993</v>
      </c>
      <c r="Q132" s="6">
        <f>[1]Production!P51+[1]Production!P53+[1]Production!P55+[1]Production!P57+[1]Production!P59+[1]Production!P61+[1]Production!P63+[1]Production!P65+[1]Production!P67</f>
        <v>77586.752892200006</v>
      </c>
      <c r="R132" s="6">
        <f>[1]Production!Q51+[1]Production!Q53+[1]Production!Q55+[1]Production!Q57+[1]Production!Q59+[1]Production!Q61+[1]Production!Q63+[1]Production!Q65+[1]Production!Q67</f>
        <v>78192.101264600002</v>
      </c>
      <c r="S132" s="6">
        <f>[1]Production!R51+[1]Production!R53+[1]Production!R55+[1]Production!R57+[1]Production!R59+[1]Production!R61+[1]Production!R63+[1]Production!R65+[1]Production!R67</f>
        <v>78792.614848199999</v>
      </c>
      <c r="T132" s="6">
        <f>[1]Production!S51+[1]Production!S53+[1]Production!S55+[1]Production!S57+[1]Production!S59+[1]Production!S61+[1]Production!S63+[1]Production!S65+[1]Production!S67</f>
        <v>79432.690240199998</v>
      </c>
      <c r="U132" s="6">
        <f>[1]Production!T51+[1]Production!T53+[1]Production!T55+[1]Production!T57+[1]Production!T59+[1]Production!T61+[1]Production!T63+[1]Production!T65+[1]Production!T67</f>
        <v>80144.463158700004</v>
      </c>
      <c r="V132" s="6">
        <f>[1]Production!U51+[1]Production!U53+[1]Production!U55+[1]Production!U57+[1]Production!U59+[1]Production!U61+[1]Production!U63+[1]Production!U65+[1]Production!U67</f>
        <v>80947.577451400008</v>
      </c>
      <c r="W132" s="6">
        <f>[1]Production!V51+[1]Production!V53+[1]Production!V55+[1]Production!V57+[1]Production!V59+[1]Production!V61+[1]Production!V63+[1]Production!V65+[1]Production!V67</f>
        <v>81835.280914100003</v>
      </c>
      <c r="X132" s="6">
        <f>[1]Production!W51+[1]Production!W53+[1]Production!W55+[1]Production!W57+[1]Production!W59+[1]Production!W61+[1]Production!W63+[1]Production!W65+[1]Production!W67</f>
        <v>82853.343277199994</v>
      </c>
      <c r="Y132" s="6">
        <f>[1]Production!X51+[1]Production!X53+[1]Production!X55+[1]Production!X57+[1]Production!X59+[1]Production!X61+[1]Production!X63+[1]Production!X65+[1]Production!X67</f>
        <v>84012.253103499999</v>
      </c>
      <c r="Z132" s="6">
        <f>[1]Production!Y51+[1]Production!Y53+[1]Production!Y55+[1]Production!Y57+[1]Production!Y59+[1]Production!Y61+[1]Production!Y63+[1]Production!Y65+[1]Production!Y67</f>
        <v>85322.388785900024</v>
      </c>
      <c r="AA132" s="6">
        <f>[1]Production!Z51+[1]Production!Z53+[1]Production!Z55+[1]Production!Z57+[1]Production!Z59+[1]Production!Z61+[1]Production!Z63+[1]Production!Z65+[1]Production!Z67</f>
        <v>86785.583698899994</v>
      </c>
      <c r="AB132" s="6">
        <f>[1]Production!AA51+[1]Production!AA53+[1]Production!AA55+[1]Production!AA57+[1]Production!AA59+[1]Production!AA61+[1]Production!AA63+[1]Production!AA65+[1]Production!AA67</f>
        <v>88336.990618700002</v>
      </c>
      <c r="AC132" s="6">
        <f>[1]Production!AB51+[1]Production!AB53+[1]Production!AB55+[1]Production!AB57+[1]Production!AB59+[1]Production!AB61+[1]Production!AB63+[1]Production!AB65+[1]Production!AB67</f>
        <v>90042.369716900008</v>
      </c>
      <c r="AD132" s="6">
        <f>[1]Production!AC51+[1]Production!AC53+[1]Production!AC55+[1]Production!AC57+[1]Production!AC59+[1]Production!AC61+[1]Production!AC63+[1]Production!AC65+[1]Production!AC67</f>
        <v>91903.243995899989</v>
      </c>
      <c r="AE132" s="6">
        <f>[1]Production!AD51+[1]Production!AD53+[1]Production!AD55+[1]Production!AD57+[1]Production!AD59+[1]Production!AD61+[1]Production!AD63+[1]Production!AD65+[1]Production!AD67</f>
        <v>93916.530478699977</v>
      </c>
      <c r="AF132" s="6">
        <f>[1]Production!AE51+[1]Production!AE53+[1]Production!AE55+[1]Production!AE57+[1]Production!AE59+[1]Production!AE61+[1]Production!AE63+[1]Production!AE65+[1]Production!AE67</f>
        <v>96059.520065700024</v>
      </c>
      <c r="AG132" s="6">
        <f>[1]Production!AF51+[1]Production!AF53+[1]Production!AF55+[1]Production!AF57+[1]Production!AF59+[1]Production!AF61+[1]Production!AF63+[1]Production!AF65+[1]Production!AF67</f>
        <v>98300.436891100035</v>
      </c>
      <c r="AH132" s="6">
        <f>[1]Production!AG51+[1]Production!AG53+[1]Production!AG55+[1]Production!AG57+[1]Production!AG59+[1]Production!AG61+[1]Production!AG63+[1]Production!AG65+[1]Production!AG67</f>
        <v>100610.3801546</v>
      </c>
      <c r="AI132" s="6">
        <f>[1]Production!AH51+[1]Production!AH53+[1]Production!AH55+[1]Production!AH57+[1]Production!AH59+[1]Production!AH61+[1]Production!AH63+[1]Production!AH65+[1]Production!AH67</f>
        <v>102965.83489680002</v>
      </c>
      <c r="AJ132" s="6">
        <f>[1]Production!AI51+[1]Production!AI53+[1]Production!AI55+[1]Production!AI57+[1]Production!AI59+[1]Production!AI61+[1]Production!AI63+[1]Production!AI65+[1]Production!AI67</f>
        <v>105346.0213319</v>
      </c>
      <c r="AK132" s="6">
        <f>[1]Production!AJ51+[1]Production!AJ53+[1]Production!AJ55+[1]Production!AJ57+[1]Production!AJ59+[1]Production!AJ61+[1]Production!AJ63+[1]Production!AJ65+[1]Production!AJ67</f>
        <v>107731.63606350002</v>
      </c>
      <c r="AL132" s="6">
        <f>[1]Production!AK51+[1]Production!AK53+[1]Production!AK55+[1]Production!AK57+[1]Production!AK59+[1]Production!AK61+[1]Production!AK63+[1]Production!AK65+[1]Production!AK67</f>
        <v>110104.35345369999</v>
      </c>
    </row>
    <row r="133" spans="1:3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5">
      <c r="C134" s="2"/>
    </row>
    <row r="135" spans="1:3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</row>
    <row r="136" spans="1:38" x14ac:dyDescent="0.35">
      <c r="A136" t="s">
        <v>39</v>
      </c>
      <c r="B136" t="s">
        <v>27</v>
      </c>
      <c r="C136" s="6">
        <f>[1]Production!B2</f>
        <v>3854147.423</v>
      </c>
      <c r="D136" s="6">
        <f>[1]Production!C2</f>
        <v>3910661.1310000001</v>
      </c>
      <c r="E136" s="6">
        <f>[1]Production!D2</f>
        <v>3972850.2969999998</v>
      </c>
      <c r="F136" s="6">
        <f>[1]Production!E2</f>
        <v>4039546.5079999999</v>
      </c>
      <c r="G136" s="6">
        <f>[1]Production!F2</f>
        <v>4109788.497</v>
      </c>
      <c r="H136" s="6">
        <f>[1]Production!G2</f>
        <v>4183314.3229999999</v>
      </c>
      <c r="I136" s="6">
        <f>[1]Production!H2</f>
        <v>4258224.2740000002</v>
      </c>
      <c r="J136" s="6">
        <f>[1]Production!I2</f>
        <v>4324847.7419999996</v>
      </c>
      <c r="K136" s="6">
        <f>[1]Production!J2</f>
        <v>4392159.5089999996</v>
      </c>
      <c r="L136" s="6">
        <f>[1]Production!K2</f>
        <v>4477969.6129999999</v>
      </c>
      <c r="M136" s="6">
        <f>[1]Production!L2</f>
        <v>4570433.1090000002</v>
      </c>
      <c r="N136" s="6">
        <f>[1]Production!M2</f>
        <v>4662836.0860000001</v>
      </c>
      <c r="O136" s="6">
        <f>[1]Production!N2</f>
        <v>4754180.33</v>
      </c>
      <c r="P136" s="6">
        <f>[1]Production!O2</f>
        <v>4842001.8569999998</v>
      </c>
      <c r="Q136" s="6">
        <f>[1]Production!P2</f>
        <v>4928936.4790000003</v>
      </c>
      <c r="R136" s="6">
        <f>[1]Production!Q2</f>
        <v>5016742.2570000002</v>
      </c>
      <c r="S136" s="6">
        <f>[1]Production!R2</f>
        <v>5105587.9890000001</v>
      </c>
      <c r="T136" s="6">
        <f>[1]Production!S2</f>
        <v>5197630.1809999999</v>
      </c>
      <c r="U136" s="6">
        <f>[1]Production!T2</f>
        <v>5294395.0290000001</v>
      </c>
      <c r="V136" s="6">
        <f>[1]Production!U2</f>
        <v>5396978.3449999997</v>
      </c>
      <c r="W136" s="6">
        <f>[1]Production!V2</f>
        <v>5504575.733</v>
      </c>
      <c r="X136" s="6">
        <f>[1]Production!W2</f>
        <v>5621095.5700000003</v>
      </c>
      <c r="Y136" s="6">
        <f>[1]Production!X2</f>
        <v>5746954.9340000004</v>
      </c>
      <c r="Z136" s="6">
        <f>[1]Production!Y2</f>
        <v>5883100.8229999999</v>
      </c>
      <c r="AA136" s="6">
        <f>[1]Production!Z2</f>
        <v>6030063.449</v>
      </c>
      <c r="AB136" s="6">
        <f>[1]Production!AA2</f>
        <v>6182946.8629999999</v>
      </c>
      <c r="AC136" s="6">
        <f>[1]Production!AB2</f>
        <v>6348779.0240000002</v>
      </c>
      <c r="AD136" s="6">
        <f>[1]Production!AC2</f>
        <v>6527873.9740000004</v>
      </c>
      <c r="AE136" s="6">
        <f>[1]Production!AD2</f>
        <v>6721564.9270000001</v>
      </c>
      <c r="AF136" s="6">
        <f>[1]Production!AE2</f>
        <v>6930291.358</v>
      </c>
      <c r="AG136" s="6">
        <f>[1]Production!AF2</f>
        <v>7154149.9050000003</v>
      </c>
      <c r="AH136" s="6">
        <f>[1]Production!AG2</f>
        <v>7393763.7910000002</v>
      </c>
      <c r="AI136" s="6">
        <f>[1]Production!AH2</f>
        <v>7650652.8530000001</v>
      </c>
      <c r="AJ136" s="6">
        <f>[1]Production!AI2</f>
        <v>7927386.7869999995</v>
      </c>
      <c r="AK136" s="6">
        <f>[1]Production!AJ2</f>
        <v>8228132.8899999997</v>
      </c>
      <c r="AL136" s="6">
        <f>[1]Production!AK2</f>
        <v>8559645.5409999993</v>
      </c>
    </row>
    <row r="137" spans="1:38" x14ac:dyDescent="0.35">
      <c r="B137" t="s">
        <v>7</v>
      </c>
      <c r="C137" s="6">
        <f>[1]Production!B4+[1]Production!B6</f>
        <v>88284.497585000005</v>
      </c>
      <c r="D137" s="6">
        <f>[1]Production!C4+[1]Production!C6</f>
        <v>89167.929088999997</v>
      </c>
      <c r="E137" s="6">
        <f>[1]Production!D4+[1]Production!D6</f>
        <v>90192.646228999991</v>
      </c>
      <c r="F137" s="6">
        <f>[1]Production!E4+[1]Production!E6</f>
        <v>91369.003282000005</v>
      </c>
      <c r="G137" s="6">
        <f>[1]Production!F4+[1]Production!F6</f>
        <v>92695.894568000003</v>
      </c>
      <c r="H137" s="6">
        <f>[1]Production!G4+[1]Production!G6</f>
        <v>94154.836033</v>
      </c>
      <c r="I137" s="6">
        <f>[1]Production!H4+[1]Production!H6</f>
        <v>95699.12423500001</v>
      </c>
      <c r="J137" s="6">
        <f>[1]Production!I4+[1]Production!I6</f>
        <v>96866.560817000005</v>
      </c>
      <c r="K137" s="6">
        <f>[1]Production!J4+[1]Production!J6</f>
        <v>97987.068585000001</v>
      </c>
      <c r="L137" s="6">
        <f>[1]Production!K4+[1]Production!K6</f>
        <v>99507.648073999997</v>
      </c>
      <c r="M137" s="6">
        <f>[1]Production!L4+[1]Production!L6</f>
        <v>101111.60072700001</v>
      </c>
      <c r="N137" s="6">
        <f>[1]Production!M4+[1]Production!M6</f>
        <v>102720.057025</v>
      </c>
      <c r="O137" s="6">
        <f>[1]Production!N4+[1]Production!N6</f>
        <v>104303.67594099999</v>
      </c>
      <c r="P137" s="6">
        <f>[1]Production!O4+[1]Production!O6</f>
        <v>105809.04925299999</v>
      </c>
      <c r="Q137" s="6">
        <f>[1]Production!P4+[1]Production!P6</f>
        <v>107298.996052</v>
      </c>
      <c r="R137" s="6">
        <f>[1]Production!Q4+[1]Production!Q6</f>
        <v>108808.03657299999</v>
      </c>
      <c r="S137" s="6">
        <f>[1]Production!R4+[1]Production!R6</f>
        <v>110352.33001799999</v>
      </c>
      <c r="T137" s="6">
        <f>[1]Production!S4+[1]Production!S6</f>
        <v>111951.19383100001</v>
      </c>
      <c r="U137" s="6">
        <f>[1]Production!T4+[1]Production!T6</f>
        <v>113636.121457</v>
      </c>
      <c r="V137" s="6">
        <f>[1]Production!U4+[1]Production!U6</f>
        <v>115432.89860100001</v>
      </c>
      <c r="W137" s="6">
        <f>[1]Production!V4+[1]Production!V6</f>
        <v>117339.863564</v>
      </c>
      <c r="X137" s="6">
        <f>[1]Production!W4+[1]Production!W6</f>
        <v>119416.124207</v>
      </c>
      <c r="Y137" s="6">
        <f>[1]Production!X4+[1]Production!X6</f>
        <v>121690.385373</v>
      </c>
      <c r="Z137" s="6">
        <f>[1]Production!Y4+[1]Production!Y6</f>
        <v>124183.59424599999</v>
      </c>
      <c r="AA137" s="6">
        <f>[1]Production!Z4+[1]Production!Z6</f>
        <v>126904.113394</v>
      </c>
      <c r="AB137" s="6">
        <f>[1]Production!AA4+[1]Production!AA6</f>
        <v>129778.857023</v>
      </c>
      <c r="AC137" s="6">
        <f>[1]Production!AB4+[1]Production!AB6</f>
        <v>132864.99717399999</v>
      </c>
      <c r="AD137" s="6">
        <f>[1]Production!AC4+[1]Production!AC6</f>
        <v>136210.17720599999</v>
      </c>
      <c r="AE137" s="6">
        <f>[1]Production!AD4+[1]Production!AD6</f>
        <v>139835.27312200001</v>
      </c>
      <c r="AF137" s="6">
        <f>[1]Production!AE4+[1]Production!AE6</f>
        <v>143731.72998999999</v>
      </c>
      <c r="AG137" s="6">
        <f>[1]Production!AF4+[1]Production!AF6</f>
        <v>147874.57473200001</v>
      </c>
      <c r="AH137" s="6">
        <f>[1]Production!AG4+[1]Production!AG6</f>
        <v>152240.81807400001</v>
      </c>
      <c r="AI137" s="6">
        <f>[1]Production!AH4+[1]Production!AH6</f>
        <v>156814.57268500002</v>
      </c>
      <c r="AJ137" s="6">
        <f>[1]Production!AI4+[1]Production!AI6</f>
        <v>161585.09486099999</v>
      </c>
      <c r="AK137" s="6">
        <f>[1]Production!AJ4+[1]Production!AJ6</f>
        <v>166548.40418499999</v>
      </c>
      <c r="AL137" s="6">
        <f>[1]Production!AK4+[1]Production!AK6</f>
        <v>171710.98408999998</v>
      </c>
    </row>
    <row r="138" spans="1:3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978962.87437899993</v>
      </c>
      <c r="D138" s="6">
        <f>[1]Production!C8+[1]Production!C10+[1]Production!C12+[1]Production!C14+[1]Production!C16+[1]Production!C18+[1]Production!C20+[1]Production!C22+[1]Production!C24+[1]Production!C26+[1]Production!C40</f>
        <v>994910.12663499988</v>
      </c>
      <c r="E138" s="6">
        <f>[1]Production!D8+[1]Production!D10+[1]Production!D12+[1]Production!D14+[1]Production!D16+[1]Production!D18+[1]Production!D20+[1]Production!D22+[1]Production!D24+[1]Production!D26+[1]Production!D40</f>
        <v>1012347.3918700001</v>
      </c>
      <c r="F138" s="6">
        <f>[1]Production!E8+[1]Production!E10+[1]Production!E12+[1]Production!E14+[1]Production!E16+[1]Production!E18+[1]Production!E20+[1]Production!E22+[1]Production!E24+[1]Production!E26+[1]Production!E40</f>
        <v>1030765.734418</v>
      </c>
      <c r="G138" s="6">
        <f>[1]Production!F8+[1]Production!F10+[1]Production!F12+[1]Production!F14+[1]Production!F16+[1]Production!F18+[1]Production!F20+[1]Production!F22+[1]Production!F24+[1]Production!F26+[1]Production!F40</f>
        <v>1050117.068034</v>
      </c>
      <c r="H138" s="6">
        <f>[1]Production!G8+[1]Production!G10+[1]Production!G12+[1]Production!G14+[1]Production!G16+[1]Production!G18+[1]Production!G20+[1]Production!G22+[1]Production!G24+[1]Production!G26+[1]Production!G40</f>
        <v>1070321.702054</v>
      </c>
      <c r="I138" s="6">
        <f>[1]Production!H8+[1]Production!H10+[1]Production!H12+[1]Production!H14+[1]Production!H16+[1]Production!H18+[1]Production!H20+[1]Production!H22+[1]Production!H24+[1]Production!H26+[1]Production!H40</f>
        <v>1091062.6421549998</v>
      </c>
      <c r="J138" s="6">
        <f>[1]Production!I8+[1]Production!I10+[1]Production!I12+[1]Production!I14+[1]Production!I16+[1]Production!I18+[1]Production!I20+[1]Production!I22+[1]Production!I24+[1]Production!I26+[1]Production!I40</f>
        <v>1106538.3602789999</v>
      </c>
      <c r="K138" s="6">
        <f>[1]Production!J8+[1]Production!J10+[1]Production!J12+[1]Production!J14+[1]Production!J16+[1]Production!J18+[1]Production!J20+[1]Production!J22+[1]Production!J24+[1]Production!J26+[1]Production!J40</f>
        <v>1122213.6775729998</v>
      </c>
      <c r="L138" s="6">
        <f>[1]Production!K8+[1]Production!K10+[1]Production!K12+[1]Production!K14+[1]Production!K16+[1]Production!K18+[1]Production!K20+[1]Production!K22+[1]Production!K24+[1]Production!K26+[1]Production!K40</f>
        <v>1144719.2962420001</v>
      </c>
      <c r="M138" s="6">
        <f>[1]Production!L8+[1]Production!L10+[1]Production!L12+[1]Production!L14+[1]Production!L16+[1]Production!L18+[1]Production!L20+[1]Production!L22+[1]Production!L24+[1]Production!L26+[1]Production!L40</f>
        <v>1168373.8390309999</v>
      </c>
      <c r="N138" s="6">
        <f>[1]Production!M8+[1]Production!M10+[1]Production!M12+[1]Production!M14+[1]Production!M16+[1]Production!M18+[1]Production!M20+[1]Production!M22+[1]Production!M24+[1]Production!M26+[1]Production!M40</f>
        <v>1192219.6828039999</v>
      </c>
      <c r="O138" s="6">
        <f>[1]Production!N8+[1]Production!N10+[1]Production!N12+[1]Production!N14+[1]Production!N16+[1]Production!N18+[1]Production!N20+[1]Production!N22+[1]Production!N24+[1]Production!N26+[1]Production!N40</f>
        <v>1215457.452823</v>
      </c>
      <c r="P138" s="6">
        <f>[1]Production!O8+[1]Production!O10+[1]Production!O12+[1]Production!O14+[1]Production!O16+[1]Production!O18+[1]Production!O20+[1]Production!O22+[1]Production!O24+[1]Production!O26+[1]Production!O40</f>
        <v>1237334.528928</v>
      </c>
      <c r="Q138" s="6">
        <f>[1]Production!P8+[1]Production!P10+[1]Production!P12+[1]Production!P14+[1]Production!P16+[1]Production!P18+[1]Production!P20+[1]Production!P22+[1]Production!P24+[1]Production!P26+[1]Production!P40</f>
        <v>1259100.027977</v>
      </c>
      <c r="R138" s="6">
        <f>[1]Production!Q8+[1]Production!Q10+[1]Production!Q12+[1]Production!Q14+[1]Production!Q16+[1]Production!Q18+[1]Production!Q20+[1]Production!Q22+[1]Production!Q24+[1]Production!Q26+[1]Production!Q40</f>
        <v>1281485.118156</v>
      </c>
      <c r="S138" s="6">
        <f>[1]Production!R8+[1]Production!R10+[1]Production!R12+[1]Production!R14+[1]Production!R16+[1]Production!R18+[1]Production!R20+[1]Production!R22+[1]Production!R24+[1]Production!R26+[1]Production!R40</f>
        <v>1304409.549593</v>
      </c>
      <c r="T138" s="6">
        <f>[1]Production!S8+[1]Production!S10+[1]Production!S12+[1]Production!S14+[1]Production!S16+[1]Production!S18+[1]Production!S20+[1]Production!S22+[1]Production!S24+[1]Production!S26+[1]Production!S40</f>
        <v>1328675.0569210001</v>
      </c>
      <c r="U138" s="6">
        <f>[1]Production!T8+[1]Production!T10+[1]Production!T12+[1]Production!T14+[1]Production!T16+[1]Production!T18+[1]Production!T20+[1]Production!T22+[1]Production!T24+[1]Production!T26+[1]Production!T40</f>
        <v>1354775.5427979999</v>
      </c>
      <c r="V138" s="6">
        <f>[1]Production!U8+[1]Production!U10+[1]Production!U12+[1]Production!U14+[1]Production!U16+[1]Production!U18+[1]Production!U20+[1]Production!U22+[1]Production!U24+[1]Production!U26+[1]Production!U40</f>
        <v>1383003.6028629998</v>
      </c>
      <c r="W138" s="6">
        <f>[1]Production!V8+[1]Production!V10+[1]Production!V12+[1]Production!V14+[1]Production!V16+[1]Production!V18+[1]Production!V20+[1]Production!V22+[1]Production!V24+[1]Production!V26+[1]Production!V40</f>
        <v>1413382.1986689998</v>
      </c>
      <c r="X138" s="6">
        <f>[1]Production!W8+[1]Production!W10+[1]Production!W12+[1]Production!W14+[1]Production!W16+[1]Production!W18+[1]Production!W20+[1]Production!W22+[1]Production!W24+[1]Production!W26+[1]Production!W40</f>
        <v>1446489.8690010002</v>
      </c>
      <c r="Y138" s="6">
        <f>[1]Production!X8+[1]Production!X10+[1]Production!X12+[1]Production!X14+[1]Production!X16+[1]Production!X18+[1]Production!X20+[1]Production!X22+[1]Production!X24+[1]Production!X26+[1]Production!X40</f>
        <v>1482647.4186110001</v>
      </c>
      <c r="Z138" s="6">
        <f>[1]Production!Y8+[1]Production!Y10+[1]Production!Y12+[1]Production!Y14+[1]Production!Y16+[1]Production!Y18+[1]Production!Y20+[1]Production!Y22+[1]Production!Y24+[1]Production!Y26+[1]Production!Y40</f>
        <v>1522072.7229589999</v>
      </c>
      <c r="AA138" s="6">
        <f>[1]Production!Z8+[1]Production!Z10+[1]Production!Z12+[1]Production!Z14+[1]Production!Z16+[1]Production!Z18+[1]Production!Z20+[1]Production!Z22+[1]Production!Z24+[1]Production!Z26+[1]Production!Z40</f>
        <v>1564828.4191530002</v>
      </c>
      <c r="AB138" s="6">
        <f>[1]Production!AA8+[1]Production!AA10+[1]Production!AA12+[1]Production!AA14+[1]Production!AA16+[1]Production!AA18+[1]Production!AA20+[1]Production!AA22+[1]Production!AA24+[1]Production!AA26+[1]Production!AA40</f>
        <v>1610246.6245239999</v>
      </c>
      <c r="AC138" s="6">
        <f>[1]Production!AB8+[1]Production!AB10+[1]Production!AB12+[1]Production!AB14+[1]Production!AB16+[1]Production!AB18+[1]Production!AB20+[1]Production!AB22+[1]Production!AB24+[1]Production!AB26+[1]Production!AB40</f>
        <v>1659188.858453</v>
      </c>
      <c r="AD138" s="6">
        <f>[1]Production!AC8+[1]Production!AC10+[1]Production!AC12+[1]Production!AC14+[1]Production!AC16+[1]Production!AC18+[1]Production!AC20+[1]Production!AC22+[1]Production!AC24+[1]Production!AC26+[1]Production!AC40</f>
        <v>1712022.6486660002</v>
      </c>
      <c r="AE138" s="6">
        <f>[1]Production!AD8+[1]Production!AD10+[1]Production!AD12+[1]Production!AD14+[1]Production!AD16+[1]Production!AD18+[1]Production!AD20+[1]Production!AD22+[1]Production!AD24+[1]Production!AD26+[1]Production!AD40</f>
        <v>1768973.318551</v>
      </c>
      <c r="AF138" s="6">
        <f>[1]Production!AE8+[1]Production!AE10+[1]Production!AE12+[1]Production!AE14+[1]Production!AE16+[1]Production!AE18+[1]Production!AE20+[1]Production!AE22+[1]Production!AE24+[1]Production!AE26+[1]Production!AE40</f>
        <v>1829904.8215269996</v>
      </c>
      <c r="AG138" s="6">
        <f>[1]Production!AF8+[1]Production!AF10+[1]Production!AF12+[1]Production!AF14+[1]Production!AF16+[1]Production!AF18+[1]Production!AF20+[1]Production!AF22+[1]Production!AF24+[1]Production!AF26+[1]Production!AF40</f>
        <v>1894576.6921560001</v>
      </c>
      <c r="AH138" s="6">
        <f>[1]Production!AG8+[1]Production!AG10+[1]Production!AG12+[1]Production!AG14+[1]Production!AG16+[1]Production!AG18+[1]Production!AG20+[1]Production!AG22+[1]Production!AG24+[1]Production!AG26+[1]Production!AG40</f>
        <v>1962944.2896489997</v>
      </c>
      <c r="AI138" s="6">
        <f>[1]Production!AH8+[1]Production!AH10+[1]Production!AH12+[1]Production!AH14+[1]Production!AH16+[1]Production!AH18+[1]Production!AH20+[1]Production!AH22+[1]Production!AH24+[1]Production!AH26+[1]Production!AH40</f>
        <v>2035199.5429550002</v>
      </c>
      <c r="AJ138" s="6">
        <f>[1]Production!AI8+[1]Production!AI10+[1]Production!AI12+[1]Production!AI14+[1]Production!AI16+[1]Production!AI18+[1]Production!AI20+[1]Production!AI22+[1]Production!AI24+[1]Production!AI26+[1]Production!AI40</f>
        <v>2111715.9179249997</v>
      </c>
      <c r="AK138" s="6">
        <f>[1]Production!AJ8+[1]Production!AJ10+[1]Production!AJ12+[1]Production!AJ14+[1]Production!AJ16+[1]Production!AJ18+[1]Production!AJ20+[1]Production!AJ22+[1]Production!AJ24+[1]Production!AJ26+[1]Production!AJ40</f>
        <v>2193146.0373300007</v>
      </c>
      <c r="AL138" s="6">
        <f>[1]Production!AK8+[1]Production!AK10+[1]Production!AK12+[1]Production!AK14+[1]Production!AK16+[1]Production!AK18+[1]Production!AK20+[1]Production!AK22+[1]Production!AK24+[1]Production!AK26+[1]Production!AK40</f>
        <v>2280578.5723079997</v>
      </c>
    </row>
    <row r="139" spans="1:38" x14ac:dyDescent="0.35">
      <c r="B139" t="s">
        <v>9</v>
      </c>
      <c r="C139" s="6">
        <f>[1]Production!B28+[1]Production!B30+[1]Production!B32+[1]Production!B34</f>
        <v>120923.387844</v>
      </c>
      <c r="D139" s="6">
        <f>[1]Production!C28+[1]Production!C30+[1]Production!C32+[1]Production!C34</f>
        <v>122696.60545</v>
      </c>
      <c r="E139" s="6">
        <f>[1]Production!D28+[1]Production!D30+[1]Production!D32+[1]Production!D34</f>
        <v>124533.01425199999</v>
      </c>
      <c r="F139" s="6">
        <f>[1]Production!E28+[1]Production!E30+[1]Production!E32+[1]Production!E34</f>
        <v>126413.14638600001</v>
      </c>
      <c r="G139" s="6">
        <f>[1]Production!F28+[1]Production!F30+[1]Production!F32+[1]Production!F34</f>
        <v>128393.54846700002</v>
      </c>
      <c r="H139" s="6">
        <f>[1]Production!G28+[1]Production!G30+[1]Production!G32+[1]Production!G34</f>
        <v>130490.70815000001</v>
      </c>
      <c r="I139" s="6">
        <f>[1]Production!H28+[1]Production!H30+[1]Production!H32+[1]Production!H34</f>
        <v>132658.77929800001</v>
      </c>
      <c r="J139" s="6">
        <f>[1]Production!I28+[1]Production!I30+[1]Production!I32+[1]Production!I34</f>
        <v>134213.25024199998</v>
      </c>
      <c r="K139" s="6">
        <f>[1]Production!J28+[1]Production!J30+[1]Production!J32+[1]Production!J34</f>
        <v>135795.33960400001</v>
      </c>
      <c r="L139" s="6">
        <f>[1]Production!K28+[1]Production!K30+[1]Production!K32+[1]Production!K34</f>
        <v>138216.58810399999</v>
      </c>
      <c r="M139" s="6">
        <f>[1]Production!L28+[1]Production!L30+[1]Production!L32+[1]Production!L34</f>
        <v>140819.858565</v>
      </c>
      <c r="N139" s="6">
        <f>[1]Production!M28+[1]Production!M30+[1]Production!M32+[1]Production!M34</f>
        <v>143467.29485199999</v>
      </c>
      <c r="O139" s="6">
        <f>[1]Production!N28+[1]Production!N30+[1]Production!N32+[1]Production!N34</f>
        <v>146013.47677800001</v>
      </c>
      <c r="P139" s="6">
        <f>[1]Production!O28+[1]Production!O30+[1]Production!O32+[1]Production!O34</f>
        <v>148329.04344699997</v>
      </c>
      <c r="Q139" s="6">
        <f>[1]Production!P28+[1]Production!P30+[1]Production!P32+[1]Production!P34</f>
        <v>150541.02650000001</v>
      </c>
      <c r="R139" s="6">
        <f>[1]Production!Q28+[1]Production!Q30+[1]Production!Q32+[1]Production!Q34</f>
        <v>152721.68447100002</v>
      </c>
      <c r="S139" s="6">
        <f>[1]Production!R28+[1]Production!R30+[1]Production!R32+[1]Production!R34</f>
        <v>154903.68565899998</v>
      </c>
      <c r="T139" s="6">
        <f>[1]Production!S28+[1]Production!S30+[1]Production!S32+[1]Production!S34</f>
        <v>157165.09432900001</v>
      </c>
      <c r="U139" s="6">
        <f>[1]Production!T28+[1]Production!T30+[1]Production!T32+[1]Production!T34</f>
        <v>159577.370463</v>
      </c>
      <c r="V139" s="6">
        <f>[1]Production!U28+[1]Production!U30+[1]Production!U32+[1]Production!U34</f>
        <v>162183.08397899999</v>
      </c>
      <c r="W139" s="6">
        <f>[1]Production!V28+[1]Production!V30+[1]Production!V32+[1]Production!V34</f>
        <v>164985.14237099999</v>
      </c>
      <c r="X139" s="6">
        <f>[1]Production!W28+[1]Production!W30+[1]Production!W32+[1]Production!W34</f>
        <v>168078.65878299999</v>
      </c>
      <c r="Y139" s="6">
        <f>[1]Production!X28+[1]Production!X30+[1]Production!X32+[1]Production!X34</f>
        <v>171501.90341700002</v>
      </c>
      <c r="Z139" s="6">
        <f>[1]Production!Y28+[1]Production!Y30+[1]Production!Y32+[1]Production!Y34</f>
        <v>175273.72454699999</v>
      </c>
      <c r="AA139" s="6">
        <f>[1]Production!Z28+[1]Production!Z30+[1]Production!Z32+[1]Production!Z34</f>
        <v>179389.775413</v>
      </c>
      <c r="AB139" s="6">
        <f>[1]Production!AA28+[1]Production!AA30+[1]Production!AA32+[1]Production!AA34</f>
        <v>183743.36900399998</v>
      </c>
      <c r="AC139" s="6">
        <f>[1]Production!AB28+[1]Production!AB30+[1]Production!AB32+[1]Production!AB34</f>
        <v>188493.16437100002</v>
      </c>
      <c r="AD139" s="6">
        <f>[1]Production!AC28+[1]Production!AC30+[1]Production!AC32+[1]Production!AC34</f>
        <v>193706.0865</v>
      </c>
      <c r="AE139" s="6">
        <f>[1]Production!AD28+[1]Production!AD30+[1]Production!AD32+[1]Production!AD34</f>
        <v>199401.26074</v>
      </c>
      <c r="AF139" s="6">
        <f>[1]Production!AE28+[1]Production!AE30+[1]Production!AE32+[1]Production!AE34</f>
        <v>205537.11463</v>
      </c>
      <c r="AG139" s="6">
        <f>[1]Production!AF28+[1]Production!AF30+[1]Production!AF32+[1]Production!AF34</f>
        <v>212052.22055999999</v>
      </c>
      <c r="AH139" s="6">
        <f>[1]Production!AG28+[1]Production!AG30+[1]Production!AG32+[1]Production!AG34</f>
        <v>218920.22501999998</v>
      </c>
      <c r="AI139" s="6">
        <f>[1]Production!AH28+[1]Production!AH30+[1]Production!AH32+[1]Production!AH34</f>
        <v>226145.07743999999</v>
      </c>
      <c r="AJ139" s="6">
        <f>[1]Production!AI28+[1]Production!AI30+[1]Production!AI32+[1]Production!AI34</f>
        <v>233722.21840999997</v>
      </c>
      <c r="AK139" s="6">
        <f>[1]Production!AJ28+[1]Production!AJ30+[1]Production!AJ32+[1]Production!AJ34</f>
        <v>241651.53204999998</v>
      </c>
      <c r="AL139" s="6">
        <f>[1]Production!AK28+[1]Production!AK30+[1]Production!AK32+[1]Production!AK34</f>
        <v>249945.69446</v>
      </c>
    </row>
    <row r="140" spans="1:38" x14ac:dyDescent="0.35">
      <c r="B140" t="s">
        <v>10</v>
      </c>
      <c r="C140" s="6">
        <f>[1]Production!B36+[1]Production!B38</f>
        <v>2557835.5054000001</v>
      </c>
      <c r="D140" s="6">
        <f>[1]Production!C36+[1]Production!C38</f>
        <v>2594769.5973999999</v>
      </c>
      <c r="E140" s="6">
        <f>[1]Production!D36+[1]Production!D38</f>
        <v>2635832.3284999998</v>
      </c>
      <c r="F140" s="6">
        <f>[1]Production!E36+[1]Production!E38</f>
        <v>2680179.4778999998</v>
      </c>
      <c r="G140" s="6">
        <f>[1]Production!F36+[1]Production!F38</f>
        <v>2726896.3629000001</v>
      </c>
      <c r="H140" s="6">
        <f>[1]Production!G36+[1]Production!G38</f>
        <v>2775700.2039999999</v>
      </c>
      <c r="I140" s="6">
        <f>[1]Production!H36+[1]Production!H38</f>
        <v>2825104.4845000003</v>
      </c>
      <c r="J140" s="6">
        <f>[1]Production!I36+[1]Production!I38</f>
        <v>2870150.3591999998</v>
      </c>
      <c r="K140" s="6">
        <f>[1]Production!J36+[1]Production!J38</f>
        <v>2915342.0205999999</v>
      </c>
      <c r="L140" s="6">
        <f>[1]Production!K36+[1]Production!K38</f>
        <v>2970424.4192000004</v>
      </c>
      <c r="M140" s="6">
        <f>[1]Production!L36+[1]Production!L38</f>
        <v>3030573.7508999999</v>
      </c>
      <c r="N140" s="6">
        <f>[1]Production!M36+[1]Production!M38</f>
        <v>3090507.1557999998</v>
      </c>
      <c r="O140" s="6">
        <f>[1]Production!N36+[1]Production!N38</f>
        <v>3150082.6584000001</v>
      </c>
      <c r="P140" s="6">
        <f>[1]Production!O36+[1]Production!O38</f>
        <v>3207719.8922999999</v>
      </c>
      <c r="Q140" s="6">
        <f>[1]Production!P36+[1]Production!P38</f>
        <v>3264460.2193</v>
      </c>
      <c r="R140" s="6">
        <f>[1]Production!Q36+[1]Production!Q38</f>
        <v>3321116.6595000001</v>
      </c>
      <c r="S140" s="6">
        <f>[1]Production!R36+[1]Production!R38</f>
        <v>3377892.5012999997</v>
      </c>
      <c r="T140" s="6">
        <f>[1]Production!S36+[1]Production!S38</f>
        <v>3435904.7302000001</v>
      </c>
      <c r="U140" s="6">
        <f>[1]Production!T36+[1]Production!T38</f>
        <v>3496021.2397999996</v>
      </c>
      <c r="V140" s="6">
        <f>[1]Production!U36+[1]Production!U38</f>
        <v>3558891.4089000002</v>
      </c>
      <c r="W140" s="6">
        <f>[1]Production!V36+[1]Production!V38</f>
        <v>3623610.1977999997</v>
      </c>
      <c r="X140" s="6">
        <f>[1]Production!W36+[1]Production!W38</f>
        <v>3693154.0127999997</v>
      </c>
      <c r="Y140" s="6">
        <f>[1]Production!X36+[1]Production!X38</f>
        <v>3767379.26</v>
      </c>
      <c r="Z140" s="6">
        <f>[1]Production!Y36+[1]Production!Y38</f>
        <v>3846785.7352</v>
      </c>
      <c r="AA140" s="6">
        <f>[1]Production!Z36+[1]Production!Z38</f>
        <v>3931625.8441000003</v>
      </c>
      <c r="AB140" s="6">
        <f>[1]Production!AA36+[1]Production!AA38</f>
        <v>4017728.1963</v>
      </c>
      <c r="AC140" s="6">
        <f>[1]Production!AB36+[1]Production!AB38</f>
        <v>4110531.5655999999</v>
      </c>
      <c r="AD140" s="6">
        <f>[1]Production!AC36+[1]Production!AC38</f>
        <v>4209439.6461999994</v>
      </c>
      <c r="AE140" s="6">
        <f>[1]Production!AD36+[1]Production!AD38</f>
        <v>4314992.4276000001</v>
      </c>
      <c r="AF140" s="6">
        <f>[1]Production!AE36+[1]Production!AE38</f>
        <v>4427203.5825000005</v>
      </c>
      <c r="AG140" s="6">
        <f>[1]Production!AF36+[1]Production!AF38</f>
        <v>4545722.0007999996</v>
      </c>
      <c r="AH140" s="6">
        <f>[1]Production!AG36+[1]Production!AG38</f>
        <v>4670189.9328000005</v>
      </c>
      <c r="AI140" s="6">
        <f>[1]Production!AH36+[1]Production!AH38</f>
        <v>4800424.3418000005</v>
      </c>
      <c r="AJ140" s="6">
        <f>[1]Production!AI36+[1]Production!AI38</f>
        <v>4936479.7640000004</v>
      </c>
      <c r="AK140" s="6">
        <f>[1]Production!AJ36+[1]Production!AJ38</f>
        <v>5078710.3574999999</v>
      </c>
      <c r="AL140" s="6">
        <f>[1]Production!AK36+[1]Production!AK38</f>
        <v>5227930.7507000007</v>
      </c>
    </row>
    <row r="141" spans="1:38" x14ac:dyDescent="0.35">
      <c r="B141" t="s">
        <v>29</v>
      </c>
      <c r="C141" s="6">
        <f>[1]Production!B42+[1]Production!B46</f>
        <v>35749.017159999996</v>
      </c>
      <c r="D141" s="6">
        <f>[1]Production!C42+[1]Production!C46</f>
        <v>35933.323368500001</v>
      </c>
      <c r="E141" s="6">
        <f>[1]Production!D42+[1]Production!D46</f>
        <v>36090.300353099999</v>
      </c>
      <c r="F141" s="6">
        <f>[1]Production!E42+[1]Production!E46</f>
        <v>36249.743474499999</v>
      </c>
      <c r="G141" s="6">
        <f>[1]Production!F42+[1]Production!F46</f>
        <v>36502.610261100002</v>
      </c>
      <c r="H141" s="6">
        <f>[1]Production!G42+[1]Production!G46</f>
        <v>36837.7327143</v>
      </c>
      <c r="I141" s="6">
        <f>[1]Production!H42+[1]Production!H46</f>
        <v>37229.2750514</v>
      </c>
      <c r="J141" s="6">
        <f>[1]Production!I42+[1]Production!I46</f>
        <v>36727.739007999997</v>
      </c>
      <c r="K141" s="6">
        <f>[1]Production!J42+[1]Production!J46</f>
        <v>36210.376272500005</v>
      </c>
      <c r="L141" s="6">
        <f>[1]Production!K42+[1]Production!K46</f>
        <v>35818.523173699999</v>
      </c>
      <c r="M141" s="6">
        <f>[1]Production!L42+[1]Production!L46</f>
        <v>35431.239357399994</v>
      </c>
      <c r="N141" s="6">
        <f>[1]Production!M42+[1]Production!M46</f>
        <v>35068.865476999999</v>
      </c>
      <c r="O141" s="6">
        <f>[1]Production!N42+[1]Production!N46</f>
        <v>34704.779225799997</v>
      </c>
      <c r="P141" s="6">
        <f>[1]Production!O42+[1]Production!O46</f>
        <v>34313.891153199998</v>
      </c>
      <c r="Q141" s="6">
        <f>[1]Production!P42+[1]Production!P46</f>
        <v>33914.762151700001</v>
      </c>
      <c r="R141" s="6">
        <f>[1]Production!Q42+[1]Production!Q46</f>
        <v>33515.600945000006</v>
      </c>
      <c r="S141" s="6">
        <f>[1]Production!R42+[1]Production!R46</f>
        <v>33061.326459699994</v>
      </c>
      <c r="T141" s="6">
        <f>[1]Production!S42+[1]Production!S46</f>
        <v>32597.593649400002</v>
      </c>
      <c r="U141" s="6">
        <f>[1]Production!T42+[1]Production!T46</f>
        <v>32132.121497</v>
      </c>
      <c r="V141" s="6">
        <f>[1]Production!U42+[1]Production!U46</f>
        <v>31668.5766148</v>
      </c>
      <c r="W141" s="6">
        <f>[1]Production!V42+[1]Production!V46</f>
        <v>31206.248043899999</v>
      </c>
      <c r="X141" s="6">
        <f>[1]Production!W42+[1]Production!W46</f>
        <v>30752.613525000001</v>
      </c>
      <c r="Y141" s="6">
        <f>[1]Production!X42+[1]Production!X46</f>
        <v>30309.987207000002</v>
      </c>
      <c r="Z141" s="6">
        <f>[1]Production!Y42+[1]Production!Y46</f>
        <v>29878.072559200002</v>
      </c>
      <c r="AA141" s="6">
        <f>[1]Production!Z42+[1]Production!Z46</f>
        <v>29453.507249300001</v>
      </c>
      <c r="AB141" s="6">
        <f>[1]Production!AA42+[1]Production!AA46</f>
        <v>29023.788439100001</v>
      </c>
      <c r="AC141" s="6">
        <f>[1]Production!AB42+[1]Production!AB46</f>
        <v>28608.591804700001</v>
      </c>
      <c r="AD141" s="6">
        <f>[1]Production!AC42+[1]Production!AC46</f>
        <v>28199.737700000001</v>
      </c>
      <c r="AE141" s="6">
        <f>[1]Production!AD42+[1]Production!AD46</f>
        <v>27793.966851999998</v>
      </c>
      <c r="AF141" s="6">
        <f>[1]Production!AE42+[1]Production!AE46</f>
        <v>27380.270024500001</v>
      </c>
      <c r="AG141" s="6">
        <f>[1]Production!AF42+[1]Production!AF46</f>
        <v>26945.064047300002</v>
      </c>
      <c r="AH141" s="6">
        <f>[1]Production!AG42+[1]Production!AG46</f>
        <v>26477.629686689997</v>
      </c>
      <c r="AI141" s="6">
        <f>[1]Production!AH42+[1]Production!AH46</f>
        <v>25970.087634849999</v>
      </c>
      <c r="AJ141" s="6">
        <f>[1]Production!AI42+[1]Production!AI46</f>
        <v>25414.948263209997</v>
      </c>
      <c r="AK141" s="6">
        <f>[1]Production!AJ42+[1]Production!AJ46</f>
        <v>24805.540485780002</v>
      </c>
      <c r="AL141" s="6">
        <f>[1]Production!AK42+[1]Production!AK46</f>
        <v>24136.776925539998</v>
      </c>
    </row>
    <row r="142" spans="1:38" x14ac:dyDescent="0.35">
      <c r="B142" t="s">
        <v>36</v>
      </c>
      <c r="C142" s="6">
        <f>+[1]Production!B44+[1]Production!B48</f>
        <v>4478.0091768000002</v>
      </c>
      <c r="D142" s="6">
        <f>+[1]Production!C44+[1]Production!C48</f>
        <v>4488.851326</v>
      </c>
      <c r="E142" s="6">
        <f>+[1]Production!D44+[1]Production!D48</f>
        <v>4495.4463210000004</v>
      </c>
      <c r="F142" s="6">
        <f>+[1]Production!E44+[1]Production!E48</f>
        <v>4503.8719926000003</v>
      </c>
      <c r="G142" s="6">
        <f>+[1]Production!F44+[1]Production!F48</f>
        <v>4525.6875099999997</v>
      </c>
      <c r="H142" s="6">
        <f>+[1]Production!G44+[1]Production!G48</f>
        <v>4558.9563349</v>
      </c>
      <c r="I142" s="6">
        <f>+[1]Production!H44+[1]Production!H48</f>
        <v>4600.3951238</v>
      </c>
      <c r="J142" s="6">
        <f>+[1]Production!I44+[1]Production!I48</f>
        <v>5571.3052412999996</v>
      </c>
      <c r="K142" s="6">
        <f>+[1]Production!J44+[1]Production!J48</f>
        <v>6569.2650111000003</v>
      </c>
      <c r="L142" s="6">
        <f>+[1]Production!K44+[1]Production!K48</f>
        <v>7607.5656964999998</v>
      </c>
      <c r="M142" s="6">
        <f>+[1]Production!L44+[1]Production!L48</f>
        <v>8684.0638792000009</v>
      </c>
      <c r="N142" s="6">
        <f>+[1]Production!M44+[1]Production!M48</f>
        <v>9809.768780800001</v>
      </c>
      <c r="O142" s="6">
        <f>+[1]Production!N44+[1]Production!N48</f>
        <v>10984.209218</v>
      </c>
      <c r="P142" s="6">
        <f>+[1]Production!O44+[1]Production!O48</f>
        <v>12204.552973</v>
      </c>
      <c r="Q142" s="6">
        <f>+[1]Production!P44+[1]Production!P48</f>
        <v>13473.238621999999</v>
      </c>
      <c r="R142" s="6">
        <f>+[1]Production!Q44+[1]Production!Q48</f>
        <v>14792.863384</v>
      </c>
      <c r="S142" s="6">
        <f>+[1]Production!R44+[1]Production!R48</f>
        <v>16157.547350000001</v>
      </c>
      <c r="T142" s="6">
        <f>+[1]Production!S44+[1]Production!S48</f>
        <v>17572.507221</v>
      </c>
      <c r="U142" s="6">
        <f>+[1]Production!T44+[1]Production!T48</f>
        <v>19044.286341999999</v>
      </c>
      <c r="V142" s="6">
        <f>+[1]Production!U44+[1]Production!U48</f>
        <v>20579.557491</v>
      </c>
      <c r="W142" s="6">
        <f>+[1]Production!V44+[1]Production!V48</f>
        <v>22183.523733999999</v>
      </c>
      <c r="X142" s="6">
        <f>+[1]Production!W44+[1]Production!W48</f>
        <v>23866.882735000003</v>
      </c>
      <c r="Y142" s="6">
        <f>+[1]Production!X44+[1]Production!X48</f>
        <v>25639.391818</v>
      </c>
      <c r="Z142" s="6">
        <f>+[1]Production!Y44+[1]Production!Y48</f>
        <v>27510.982857000003</v>
      </c>
      <c r="AA142" s="6">
        <f>+[1]Production!Z44+[1]Production!Z48</f>
        <v>29491.578415</v>
      </c>
      <c r="AB142" s="6">
        <f>+[1]Production!AA44+[1]Production!AA48</f>
        <v>31584.187645999998</v>
      </c>
      <c r="AC142" s="6">
        <f>+[1]Production!AB44+[1]Production!AB48</f>
        <v>33808.406295000001</v>
      </c>
      <c r="AD142" s="6">
        <f>+[1]Production!AC44+[1]Production!AC48</f>
        <v>36183.321021999996</v>
      </c>
      <c r="AE142" s="6">
        <f>+[1]Production!AD44+[1]Production!AD48</f>
        <v>38727.579243</v>
      </c>
      <c r="AF142" s="6">
        <f>+[1]Production!AE44+[1]Production!AE48</f>
        <v>41458.156954999999</v>
      </c>
      <c r="AG142" s="6">
        <f>+[1]Production!AF44+[1]Production!AF48</f>
        <v>44392.382763999994</v>
      </c>
      <c r="AH142" s="6">
        <f>+[1]Production!AG44+[1]Production!AG48</f>
        <v>47552.45607</v>
      </c>
      <c r="AI142" s="6">
        <f>+[1]Production!AH44+[1]Production!AH48</f>
        <v>50967.981070000002</v>
      </c>
      <c r="AJ142" s="6">
        <f>+[1]Production!AI44+[1]Production!AI48</f>
        <v>54676.942305999997</v>
      </c>
      <c r="AK142" s="6">
        <f>+[1]Production!AJ44+[1]Production!AJ48</f>
        <v>58731.662399000001</v>
      </c>
      <c r="AL142" s="6">
        <f>+[1]Production!AK44+[1]Production!AK48</f>
        <v>63209.645344000004</v>
      </c>
    </row>
    <row r="143" spans="1:3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67914.131372699994</v>
      </c>
      <c r="D143" s="6">
        <f>[1]Production!C50+[1]Production!C52+[1]Production!C54+[1]Production!C56+[1]Production!C58+[1]Production!C60+[1]Production!C62+[1]Production!C64+[1]Production!C66</f>
        <v>68694.698317400005</v>
      </c>
      <c r="E143" s="6">
        <f>[1]Production!D50+[1]Production!D52+[1]Production!D54+[1]Production!D56+[1]Production!D58+[1]Production!D60+[1]Production!D62+[1]Production!D64+[1]Production!D66</f>
        <v>69359.169276600005</v>
      </c>
      <c r="F143" s="6">
        <f>[1]Production!E50+[1]Production!E52+[1]Production!E54+[1]Production!E56+[1]Production!E58+[1]Production!E60+[1]Production!E62+[1]Production!E64+[1]Production!E66</f>
        <v>70065.529801300014</v>
      </c>
      <c r="G143" s="6">
        <f>[1]Production!F50+[1]Production!F52+[1]Production!F54+[1]Production!F56+[1]Production!F58+[1]Production!F60+[1]Production!F62+[1]Production!F64+[1]Production!F66</f>
        <v>70657.325281599988</v>
      </c>
      <c r="H143" s="6">
        <f>[1]Production!G50+[1]Production!G52+[1]Production!G54+[1]Production!G56+[1]Production!G58+[1]Production!G60+[1]Production!G62+[1]Production!G64+[1]Production!G66</f>
        <v>71250.183105100019</v>
      </c>
      <c r="I143" s="6">
        <f>[1]Production!H50+[1]Production!H52+[1]Production!H54+[1]Production!H56+[1]Production!H58+[1]Production!H60+[1]Production!H62+[1]Production!H64+[1]Production!H66</f>
        <v>71869.573302499994</v>
      </c>
      <c r="J143" s="6">
        <f>[1]Production!I50+[1]Production!I52+[1]Production!I54+[1]Production!I56+[1]Production!I58+[1]Production!I60+[1]Production!I62+[1]Production!I64+[1]Production!I66</f>
        <v>74780.167010299992</v>
      </c>
      <c r="K143" s="6">
        <f>[1]Production!J50+[1]Production!J52+[1]Production!J54+[1]Production!J56+[1]Production!J58+[1]Production!J60+[1]Production!J62+[1]Production!J64+[1]Production!J66</f>
        <v>78041.761071800007</v>
      </c>
      <c r="L143" s="6">
        <f>[1]Production!K50+[1]Production!K52+[1]Production!K54+[1]Production!K56+[1]Production!K58+[1]Production!K60+[1]Production!K62+[1]Production!K64+[1]Production!K66</f>
        <v>81675.572232799997</v>
      </c>
      <c r="M143" s="6">
        <f>[1]Production!L50+[1]Production!L52+[1]Production!L54+[1]Production!L56+[1]Production!L58+[1]Production!L60+[1]Production!L62+[1]Production!L64+[1]Production!L66</f>
        <v>85438.75639309999</v>
      </c>
      <c r="N143" s="6">
        <f>[1]Production!M50+[1]Production!M52+[1]Production!M54+[1]Production!M56+[1]Production!M58+[1]Production!M60+[1]Production!M62+[1]Production!M64+[1]Production!M66</f>
        <v>89043.26158760002</v>
      </c>
      <c r="O143" s="6">
        <f>[1]Production!N50+[1]Production!N52+[1]Production!N54+[1]Production!N56+[1]Production!N58+[1]Production!N60+[1]Production!N62+[1]Production!N64+[1]Production!N66</f>
        <v>92634.077646499994</v>
      </c>
      <c r="P143" s="6">
        <f>[1]Production!O50+[1]Production!O52+[1]Production!O54+[1]Production!O56+[1]Production!O58+[1]Production!O60+[1]Production!O62+[1]Production!O64+[1]Production!O66</f>
        <v>96290.899098199996</v>
      </c>
      <c r="Q143" s="6">
        <f>[1]Production!P50+[1]Production!P52+[1]Production!P54+[1]Production!P56+[1]Production!P58+[1]Production!P60+[1]Production!P62+[1]Production!P64+[1]Production!P66</f>
        <v>100148.20811149999</v>
      </c>
      <c r="R143" s="6">
        <f>[1]Production!Q50+[1]Production!Q52+[1]Production!Q54+[1]Production!Q56+[1]Production!Q58+[1]Production!Q60+[1]Production!Q62+[1]Production!Q64+[1]Production!Q66</f>
        <v>104302.29327370001</v>
      </c>
      <c r="S143" s="6">
        <f>[1]Production!R50+[1]Production!R52+[1]Production!R54+[1]Production!R56+[1]Production!R58+[1]Production!R60+[1]Production!R62+[1]Production!R64+[1]Production!R66</f>
        <v>108811.04805490001</v>
      </c>
      <c r="T143" s="6">
        <f>[1]Production!S50+[1]Production!S52+[1]Production!S54+[1]Production!S56+[1]Production!S58+[1]Production!S60+[1]Production!S62+[1]Production!S64+[1]Production!S66</f>
        <v>113764.0046882</v>
      </c>
      <c r="U143" s="6">
        <f>[1]Production!T50+[1]Production!T52+[1]Production!T54+[1]Production!T56+[1]Production!T58+[1]Production!T60+[1]Production!T62+[1]Production!T64+[1]Production!T66</f>
        <v>119208.34737449999</v>
      </c>
      <c r="V143" s="6">
        <f>[1]Production!U50+[1]Production!U52+[1]Production!U54+[1]Production!U56+[1]Production!U58+[1]Production!U60+[1]Production!U62+[1]Production!U64+[1]Production!U66</f>
        <v>125219.21590060003</v>
      </c>
      <c r="W143" s="6">
        <f>[1]Production!V50+[1]Production!V52+[1]Production!V54+[1]Production!V56+[1]Production!V58+[1]Production!V60+[1]Production!V62+[1]Production!V64+[1]Production!V66</f>
        <v>131868.5592823</v>
      </c>
      <c r="X143" s="6">
        <f>[1]Production!W50+[1]Production!W52+[1]Production!W54+[1]Production!W56+[1]Production!W58+[1]Production!W60+[1]Production!W62+[1]Production!W64+[1]Production!W66</f>
        <v>139337.40922530001</v>
      </c>
      <c r="Y143" s="6">
        <f>[1]Production!X50+[1]Production!X52+[1]Production!X54+[1]Production!X56+[1]Production!X58+[1]Production!X60+[1]Production!X62+[1]Production!X64+[1]Production!X66</f>
        <v>147786.587894</v>
      </c>
      <c r="Z143" s="6">
        <f>[1]Production!Y50+[1]Production!Y52+[1]Production!Y54+[1]Production!Y56+[1]Production!Y58+[1]Production!Y60+[1]Production!Y62+[1]Production!Y64+[1]Production!Y66</f>
        <v>157395.99125220001</v>
      </c>
      <c r="AA143" s="6">
        <f>[1]Production!Z50+[1]Production!Z52+[1]Production!Z54+[1]Production!Z56+[1]Production!Z58+[1]Production!Z60+[1]Production!Z62+[1]Production!Z64+[1]Production!Z66</f>
        <v>168370.2110602</v>
      </c>
      <c r="AB143" s="6">
        <f>[1]Production!AA50+[1]Production!AA52+[1]Production!AA54+[1]Production!AA56+[1]Production!AA58+[1]Production!AA60+[1]Production!AA62+[1]Production!AA64+[1]Production!AA66</f>
        <v>180841.84007009998</v>
      </c>
      <c r="AC143" s="6">
        <f>[1]Production!AB50+[1]Production!AB52+[1]Production!AB54+[1]Production!AB56+[1]Production!AB58+[1]Production!AB60+[1]Production!AB62+[1]Production!AB64+[1]Production!AB66</f>
        <v>195283.44094210002</v>
      </c>
      <c r="AD143" s="6">
        <f>[1]Production!AC50+[1]Production!AC52+[1]Production!AC54+[1]Production!AC56+[1]Production!AC58+[1]Production!AC60+[1]Production!AC62+[1]Production!AC64+[1]Production!AC66</f>
        <v>212112.35663049997</v>
      </c>
      <c r="AE143" s="6">
        <f>[1]Production!AD50+[1]Production!AD52+[1]Production!AD54+[1]Production!AD56+[1]Production!AD58+[1]Production!AD60+[1]Production!AD62+[1]Production!AD64+[1]Production!AD66</f>
        <v>231841.10107810001</v>
      </c>
      <c r="AF143" s="6">
        <f>[1]Production!AE50+[1]Production!AE52+[1]Production!AE54+[1]Production!AE56+[1]Production!AE58+[1]Production!AE60+[1]Production!AE62+[1]Production!AE64+[1]Production!AE66</f>
        <v>255075.68229129998</v>
      </c>
      <c r="AG143" s="6">
        <f>[1]Production!AF50+[1]Production!AF52+[1]Production!AF54+[1]Production!AF56+[1]Production!AF58+[1]Production!AF60+[1]Production!AF62+[1]Production!AF64+[1]Production!AF66</f>
        <v>282586.96969870001</v>
      </c>
      <c r="AH143" s="6">
        <f>[1]Production!AG50+[1]Production!AG52+[1]Production!AG54+[1]Production!AG56+[1]Production!AG58+[1]Production!AG60+[1]Production!AG62+[1]Production!AG64+[1]Production!AG66</f>
        <v>315438.43924099999</v>
      </c>
      <c r="AI143" s="6">
        <f>[1]Production!AH50+[1]Production!AH52+[1]Production!AH54+[1]Production!AH56+[1]Production!AH58+[1]Production!AH60+[1]Production!AH62+[1]Production!AH64+[1]Production!AH66</f>
        <v>355131.24910429999</v>
      </c>
      <c r="AJ143" s="6">
        <f>[1]Production!AI50+[1]Production!AI52+[1]Production!AI54+[1]Production!AI56+[1]Production!AI58+[1]Production!AI60+[1]Production!AI62+[1]Production!AI64+[1]Production!AI66</f>
        <v>403791.90126470005</v>
      </c>
      <c r="AK143" s="6">
        <f>[1]Production!AJ50+[1]Production!AJ52+[1]Production!AJ54+[1]Production!AJ56+[1]Production!AJ58+[1]Production!AJ60+[1]Production!AJ62+[1]Production!AJ64+[1]Production!AJ66</f>
        <v>464539.35605629999</v>
      </c>
      <c r="AL143" s="6">
        <f>[1]Production!AK50+[1]Production!AK52+[1]Production!AK54+[1]Production!AK56+[1]Production!AK58+[1]Production!AK60+[1]Production!AK62+[1]Production!AK64+[1]Production!AK66</f>
        <v>542133.11687249993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13">(R136-R125)/R125</f>
        <v>1.3430573159146105E-2</v>
      </c>
      <c r="D146" s="4">
        <f t="shared" ref="D146:D153" si="14">(S135-S124)/S124</f>
        <v>0</v>
      </c>
      <c r="E146" s="4">
        <f t="shared" ref="E146:E153" si="15">(AL136-AL125)/AL125</f>
        <v>9.4526578453968627E-2</v>
      </c>
    </row>
    <row r="147" spans="1:5" x14ac:dyDescent="0.35">
      <c r="B147" t="s">
        <v>7</v>
      </c>
      <c r="C147" s="4">
        <f t="shared" si="13"/>
        <v>-9.3821635668126426E-3</v>
      </c>
      <c r="D147" s="4">
        <f t="shared" si="14"/>
        <v>1.5331594249602334E-2</v>
      </c>
      <c r="E147" s="4">
        <f t="shared" si="15"/>
        <v>-3.20345129115423E-3</v>
      </c>
    </row>
    <row r="148" spans="1:5" x14ac:dyDescent="0.35">
      <c r="B148" t="s">
        <v>30</v>
      </c>
      <c r="C148" s="4">
        <f t="shared" si="13"/>
        <v>1.0056054595603604E-3</v>
      </c>
      <c r="D148" s="4">
        <f t="shared" si="14"/>
        <v>-9.0133289785924615E-3</v>
      </c>
      <c r="E148" s="4">
        <f t="shared" si="15"/>
        <v>5.8142461039792433E-2</v>
      </c>
    </row>
    <row r="149" spans="1:5" x14ac:dyDescent="0.35">
      <c r="B149" t="s">
        <v>9</v>
      </c>
      <c r="C149" s="4">
        <f t="shared" si="13"/>
        <v>7.4913635532340176E-3</v>
      </c>
      <c r="D149" s="4">
        <f t="shared" si="14"/>
        <v>1.9479849977735307E-3</v>
      </c>
      <c r="E149" s="4">
        <f t="shared" si="15"/>
        <v>4.7434362208641855E-2</v>
      </c>
    </row>
    <row r="150" spans="1:5" x14ac:dyDescent="0.35">
      <c r="B150" t="s">
        <v>10</v>
      </c>
      <c r="C150" s="4">
        <f t="shared" si="13"/>
        <v>1.0974882798283642E-2</v>
      </c>
      <c r="D150" s="4">
        <f t="shared" si="14"/>
        <v>8.5851739085881749E-3</v>
      </c>
      <c r="E150" s="4">
        <f t="shared" si="15"/>
        <v>2.9058295113617249E-2</v>
      </c>
    </row>
    <row r="151" spans="1:5" x14ac:dyDescent="0.35">
      <c r="B151" t="s">
        <v>29</v>
      </c>
      <c r="C151" s="4">
        <f t="shared" si="13"/>
        <v>-0.17107868328539955</v>
      </c>
      <c r="D151" s="4">
        <f t="shared" si="14"/>
        <v>1.2216719484265596E-2</v>
      </c>
      <c r="E151" s="4">
        <f t="shared" si="15"/>
        <v>-0.57854142314469059</v>
      </c>
    </row>
    <row r="152" spans="1:5" x14ac:dyDescent="0.35">
      <c r="B152" t="s">
        <v>36</v>
      </c>
      <c r="C152" s="4">
        <f t="shared" si="13"/>
        <v>1.9904528988554098</v>
      </c>
      <c r="D152" s="4">
        <f t="shared" si="14"/>
        <v>-0.18920685005129756</v>
      </c>
      <c r="E152" s="4">
        <f t="shared" si="15"/>
        <v>8.6153726434571141</v>
      </c>
    </row>
    <row r="153" spans="1:5" x14ac:dyDescent="0.35">
      <c r="B153" t="s">
        <v>33</v>
      </c>
      <c r="C153" s="4">
        <f t="shared" si="13"/>
        <v>0.33392365196509821</v>
      </c>
      <c r="D153" s="4">
        <f t="shared" si="14"/>
        <v>2.2408634256739783</v>
      </c>
      <c r="E153" s="4">
        <f t="shared" si="15"/>
        <v>3.9238118191255031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-9.3821635668126513E-3</v>
      </c>
      <c r="D156" s="4">
        <f>AB137/AB126-1</f>
        <v>-1.6036764204606202E-2</v>
      </c>
      <c r="E156" s="4">
        <f>AL137/AL126-1</f>
        <v>-3.2034512911541801E-3</v>
      </c>
    </row>
    <row r="157" spans="1:5" x14ac:dyDescent="0.35">
      <c r="B157" t="s">
        <v>8</v>
      </c>
      <c r="C157" s="4">
        <f>R138/R127-1</f>
        <v>1.0056054595604103E-3</v>
      </c>
      <c r="D157" s="4">
        <f>AB138/AB127-1</f>
        <v>7.0687600417063123E-3</v>
      </c>
      <c r="E157" s="4">
        <f>AL138/AL127-1</f>
        <v>5.8142461039792481E-2</v>
      </c>
    </row>
    <row r="158" spans="1:5" x14ac:dyDescent="0.35">
      <c r="B158" t="s">
        <v>9</v>
      </c>
      <c r="C158" s="4">
        <f>R139/R128-1</f>
        <v>7.4913635532340983E-3</v>
      </c>
      <c r="D158" s="4">
        <f>AB139/AB128-1</f>
        <v>7.4706532865524977E-3</v>
      </c>
      <c r="E158" s="4">
        <f>AL139/AL128-1</f>
        <v>4.7434362208641945E-2</v>
      </c>
    </row>
    <row r="159" spans="1:5" x14ac:dyDescent="0.35">
      <c r="B159" t="s">
        <v>10</v>
      </c>
      <c r="C159" s="4">
        <f>R140/R129-1</f>
        <v>1.0974882798283625E-2</v>
      </c>
      <c r="D159" s="4">
        <f>AB140/AB129-1</f>
        <v>1.4006601760238713E-2</v>
      </c>
      <c r="E159" s="4">
        <f>AL140/AL129-1</f>
        <v>2.905829511361735E-2</v>
      </c>
    </row>
    <row r="160" spans="1:5" x14ac:dyDescent="0.35">
      <c r="B160" t="s">
        <v>12</v>
      </c>
      <c r="C160" s="4">
        <f>R141/R130-1</f>
        <v>-0.17107868328539955</v>
      </c>
      <c r="D160" s="4">
        <f>AB141/AB130-1</f>
        <v>-0.37298537473663895</v>
      </c>
      <c r="E160" s="4">
        <f>AL141/AL130-1</f>
        <v>-0.57854142314469059</v>
      </c>
    </row>
    <row r="161" spans="1:38" x14ac:dyDescent="0.35">
      <c r="B161" t="s">
        <v>11</v>
      </c>
      <c r="C161" s="4">
        <f>R143/R132-1</f>
        <v>0.3339236519650981</v>
      </c>
      <c r="D161" s="4">
        <f>AB143/AB132-1</f>
        <v>1.0471813540795183</v>
      </c>
      <c r="E161" s="4">
        <f>AL143/AL132-1</f>
        <v>3.9238118191255031</v>
      </c>
    </row>
    <row r="162" spans="1:38" x14ac:dyDescent="0.35">
      <c r="C162" s="4"/>
      <c r="D162" s="4"/>
      <c r="E162" s="4"/>
    </row>
    <row r="163" spans="1:38" x14ac:dyDescent="0.35">
      <c r="A163" s="12" t="s">
        <v>41</v>
      </c>
      <c r="C163" s="4"/>
      <c r="D163" s="4"/>
      <c r="E163" s="4"/>
    </row>
    <row r="164" spans="1:38" x14ac:dyDescent="0.35">
      <c r="A164" t="s">
        <v>38</v>
      </c>
      <c r="B164" t="s">
        <v>40</v>
      </c>
      <c r="C164" s="6">
        <f>[1]Capital!B3</f>
        <v>5223867.193</v>
      </c>
      <c r="D164" s="6">
        <f>[1]Capital!C3</f>
        <v>5285598.2690000003</v>
      </c>
      <c r="E164" s="6">
        <f>[1]Capital!D3</f>
        <v>5350450.9989999998</v>
      </c>
      <c r="F164" s="6">
        <f>[1]Capital!E3</f>
        <v>5419051.7149999999</v>
      </c>
      <c r="G164" s="6">
        <f>[1]Capital!F3</f>
        <v>5491886.2659999998</v>
      </c>
      <c r="H164" s="6">
        <f>[1]Capital!G3</f>
        <v>5569266.659</v>
      </c>
      <c r="I164" s="6">
        <f>[1]Capital!H3</f>
        <v>5651139.7980000004</v>
      </c>
      <c r="J164" s="6">
        <f>[1]Capital!I3</f>
        <v>5737350.858</v>
      </c>
      <c r="K164" s="6">
        <f>[1]Capital!J3</f>
        <v>5827759.4819999998</v>
      </c>
      <c r="L164" s="6">
        <f>[1]Capital!K3</f>
        <v>5922290.9649999999</v>
      </c>
      <c r="M164" s="6">
        <f>[1]Capital!L3</f>
        <v>6021130.6449999996</v>
      </c>
      <c r="N164" s="6">
        <f>[1]Capital!M3</f>
        <v>6124323.3509999998</v>
      </c>
      <c r="O164" s="6">
        <f>[1]Capital!N3</f>
        <v>6231860.1799999997</v>
      </c>
      <c r="P164" s="6">
        <f>[1]Capital!O3</f>
        <v>6343481.8700000001</v>
      </c>
      <c r="Q164" s="6">
        <f>[1]Capital!P3</f>
        <v>6458960.9859999996</v>
      </c>
      <c r="R164" s="6">
        <f>[1]Capital!Q3</f>
        <v>6578201.6600000001</v>
      </c>
      <c r="S164" s="6">
        <f>[1]Capital!R3</f>
        <v>6701431.1200000001</v>
      </c>
      <c r="T164" s="6">
        <f>[1]Capital!S3</f>
        <v>6829111.1129999999</v>
      </c>
      <c r="U164" s="6">
        <f>[1]Capital!T3</f>
        <v>6961821.568</v>
      </c>
      <c r="V164" s="6">
        <f>[1]Capital!U3</f>
        <v>7100162.0209999997</v>
      </c>
      <c r="W164" s="6">
        <f>[1]Capital!V3</f>
        <v>7244577.6610000003</v>
      </c>
      <c r="X164" s="6">
        <f>[1]Capital!W3</f>
        <v>7395670.0549999997</v>
      </c>
      <c r="Y164" s="6">
        <f>[1]Capital!X3</f>
        <v>7554070.0999999996</v>
      </c>
      <c r="Z164" s="6">
        <f>[1]Capital!Y3</f>
        <v>7720421.9620000003</v>
      </c>
      <c r="AA164" s="6">
        <f>[1]Capital!Z3</f>
        <v>7895336.9460000005</v>
      </c>
      <c r="AB164" s="6">
        <f>[1]Capital!AA3</f>
        <v>8078960.0810000002</v>
      </c>
      <c r="AC164" s="6">
        <f>[1]Capital!AB3</f>
        <v>8271711.6189999999</v>
      </c>
      <c r="AD164" s="6">
        <f>[1]Capital!AC3</f>
        <v>8474102.0030000005</v>
      </c>
      <c r="AE164" s="6">
        <f>[1]Capital!AD3</f>
        <v>8686702.5960000008</v>
      </c>
      <c r="AF164" s="6">
        <f>[1]Capital!AE3</f>
        <v>8910056.8450000007</v>
      </c>
      <c r="AG164" s="6">
        <f>[1]Capital!AF3</f>
        <v>9144600.4619999994</v>
      </c>
      <c r="AH164" s="6">
        <f>[1]Capital!AG3</f>
        <v>9390647.9690000005</v>
      </c>
      <c r="AI164" s="6">
        <f>[1]Capital!AH3</f>
        <v>9648408.8230000008</v>
      </c>
      <c r="AJ164" s="6">
        <f>[1]Capital!AI3</f>
        <v>9917994.682</v>
      </c>
      <c r="AK164" s="6">
        <f>[1]Capital!AJ3</f>
        <v>10199417.390000001</v>
      </c>
      <c r="AL164" s="6">
        <f>[1]Capital!AK3</f>
        <v>10492580.890000001</v>
      </c>
    </row>
    <row r="165" spans="1:38" x14ac:dyDescent="0.35">
      <c r="B165" t="s">
        <v>7</v>
      </c>
      <c r="C165" s="5">
        <f>[1]Capital!B5+[1]Capital!B7</f>
        <v>49062.307435000002</v>
      </c>
      <c r="D165" s="5">
        <f>[1]Capital!C5+[1]Capital!C7</f>
        <v>49640.712753</v>
      </c>
      <c r="E165" s="5">
        <f>[1]Capital!D5+[1]Capital!D7</f>
        <v>50240.327423999996</v>
      </c>
      <c r="F165" s="5">
        <f>[1]Capital!E5+[1]Capital!E7</f>
        <v>50870.927396999999</v>
      </c>
      <c r="G165" s="5">
        <f>[1]Capital!F5+[1]Capital!F7</f>
        <v>51536.894795</v>
      </c>
      <c r="H165" s="5">
        <f>[1]Capital!G5+[1]Capital!G7</f>
        <v>52241.512684999994</v>
      </c>
      <c r="I165" s="5">
        <f>[1]Capital!H5+[1]Capital!H7</f>
        <v>52985.973205000002</v>
      </c>
      <c r="J165" s="5">
        <f>[1]Capital!I5+[1]Capital!I7</f>
        <v>53770.474216000002</v>
      </c>
      <c r="K165" s="5">
        <f>[1]Capital!J5+[1]Capital!J7</f>
        <v>54595.008325999996</v>
      </c>
      <c r="L165" s="5">
        <f>[1]Capital!K5+[1]Capital!K7</f>
        <v>55459.696738999999</v>
      </c>
      <c r="M165" s="5">
        <f>[1]Capital!L5+[1]Capital!L7</f>
        <v>56366.356994000002</v>
      </c>
      <c r="N165" s="5">
        <f>[1]Capital!M5+[1]Capital!M7</f>
        <v>57315.870824999998</v>
      </c>
      <c r="O165" s="5">
        <f>[1]Capital!N5+[1]Capital!N7</f>
        <v>58307.753983000002</v>
      </c>
      <c r="P165" s="5">
        <f>[1]Capital!O5+[1]Capital!O7</f>
        <v>59338.144216000001</v>
      </c>
      <c r="Q165" s="5">
        <f>[1]Capital!P5+[1]Capital!P7</f>
        <v>60403.436072999997</v>
      </c>
      <c r="R165" s="5">
        <f>[1]Capital!Q5+[1]Capital!Q7</f>
        <v>61501.501025000005</v>
      </c>
      <c r="S165" s="5">
        <f>[1]Capital!R5+[1]Capital!R7</f>
        <v>62632.435753999998</v>
      </c>
      <c r="T165" s="5">
        <f>[1]Capital!S5+[1]Capital!S7</f>
        <v>63798.699097999997</v>
      </c>
      <c r="U165" s="5">
        <f>[1]Capital!T5+[1]Capital!T7</f>
        <v>65004.238899999997</v>
      </c>
      <c r="V165" s="5">
        <f>[1]Capital!U5+[1]Capital!U7</f>
        <v>66253.558709000004</v>
      </c>
      <c r="W165" s="5">
        <f>[1]Capital!V5+[1]Capital!V7</f>
        <v>67550.332219000004</v>
      </c>
      <c r="X165" s="5">
        <f>[1]Capital!W5+[1]Capital!W7</f>
        <v>68899.542703999992</v>
      </c>
      <c r="Y165" s="5">
        <f>[1]Capital!X5+[1]Capital!X7</f>
        <v>70307.053767999998</v>
      </c>
      <c r="Z165" s="5">
        <f>[1]Capital!Y5+[1]Capital!Y7</f>
        <v>71779.146917999999</v>
      </c>
      <c r="AA165" s="5">
        <f>[1]Capital!Z5+[1]Capital!Z7</f>
        <v>73321.816284</v>
      </c>
      <c r="AB165" s="5">
        <f>[1]Capital!AA5+[1]Capital!AA7</f>
        <v>74937.391107000003</v>
      </c>
      <c r="AC165" s="5">
        <f>[1]Capital!AB5+[1]Capital!AB7</f>
        <v>76629.635393999997</v>
      </c>
      <c r="AD165" s="5">
        <f>[1]Capital!AC5+[1]Capital!AC7</f>
        <v>78403.639938000008</v>
      </c>
      <c r="AE165" s="5">
        <f>[1]Capital!AD5+[1]Capital!AD7</f>
        <v>80265.231167999998</v>
      </c>
      <c r="AF165" s="5">
        <f>[1]Capital!AE5+[1]Capital!AE7</f>
        <v>82219.733552000005</v>
      </c>
      <c r="AG165" s="5">
        <f>[1]Capital!AF5+[1]Capital!AF7</f>
        <v>84270.91459</v>
      </c>
      <c r="AH165" s="5">
        <f>[1]Capital!AG5+[1]Capital!AG7</f>
        <v>86420.790022000001</v>
      </c>
      <c r="AI165" s="5">
        <f>[1]Capital!AH5+[1]Capital!AH7</f>
        <v>88669.801005000001</v>
      </c>
      <c r="AJ165" s="5">
        <f>[1]Capital!AI5+[1]Capital!AI7</f>
        <v>91016.904738999991</v>
      </c>
      <c r="AK165" s="5">
        <f>[1]Capital!AJ5+[1]Capital!AJ7</f>
        <v>93459.594714999999</v>
      </c>
      <c r="AL165" s="5">
        <f>[1]Capital!AK5+[1]Capital!AK7</f>
        <v>95993.890734000001</v>
      </c>
    </row>
    <row r="166" spans="1:3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2595513.2715759999</v>
      </c>
      <c r="D166" s="5">
        <f>[1]Capital!C9+[1]Capital!C11+[1]Capital!C13+[1]Capital!C15+[1]Capital!C17+[1]Capital!C19+[1]Capital!C21+[1]Capital!C23+[1]Capital!C25+[1]Capital!C27+[1]Capital!C41</f>
        <v>2626311.4382620002</v>
      </c>
      <c r="E166" s="5">
        <f>[1]Capital!D9+[1]Capital!D11+[1]Capital!D13+[1]Capital!D15+[1]Capital!D17+[1]Capital!D19+[1]Capital!D21+[1]Capital!D23+[1]Capital!D25+[1]Capital!D27+[1]Capital!D41</f>
        <v>2658867.9361300003</v>
      </c>
      <c r="F166" s="5">
        <f>[1]Capital!E9+[1]Capital!E11+[1]Capital!E13+[1]Capital!E15+[1]Capital!E17+[1]Capital!E19+[1]Capital!E21+[1]Capital!E23+[1]Capital!E25+[1]Capital!E27+[1]Capital!E41</f>
        <v>2693521.502787</v>
      </c>
      <c r="G166" s="5">
        <f>[1]Capital!F9+[1]Capital!F11+[1]Capital!F13+[1]Capital!F15+[1]Capital!F17+[1]Capital!F19+[1]Capital!F21+[1]Capital!F23+[1]Capital!F25+[1]Capital!F27+[1]Capital!F41</f>
        <v>2730522.1377110002</v>
      </c>
      <c r="H166" s="5">
        <f>[1]Capital!G9+[1]Capital!G11+[1]Capital!G13+[1]Capital!G15+[1]Capital!G17+[1]Capital!G19+[1]Capital!G21+[1]Capital!G23+[1]Capital!G25+[1]Capital!G27+[1]Capital!G41</f>
        <v>2770038.0364309996</v>
      </c>
      <c r="I166" s="5">
        <f>[1]Capital!H9+[1]Capital!H11+[1]Capital!H13+[1]Capital!H15+[1]Capital!H17+[1]Capital!H19+[1]Capital!H21+[1]Capital!H23+[1]Capital!H25+[1]Capital!H27+[1]Capital!H41</f>
        <v>2812081.867997</v>
      </c>
      <c r="J166" s="5">
        <f>[1]Capital!I9+[1]Capital!I11+[1]Capital!I13+[1]Capital!I15+[1]Capital!I17+[1]Capital!I19+[1]Capital!I21+[1]Capital!I23+[1]Capital!I25+[1]Capital!I27+[1]Capital!I41</f>
        <v>2856600.6649079998</v>
      </c>
      <c r="K166" s="5">
        <f>[1]Capital!J9+[1]Capital!J11+[1]Capital!J13+[1]Capital!J15+[1]Capital!J17+[1]Capital!J19+[1]Capital!J21+[1]Capital!J23+[1]Capital!J25+[1]Capital!J27+[1]Capital!J41</f>
        <v>2903542.1145030004</v>
      </c>
      <c r="L166" s="5">
        <f>[1]Capital!K9+[1]Capital!K11+[1]Capital!K13+[1]Capital!K15+[1]Capital!K17+[1]Capital!K19+[1]Capital!K21+[1]Capital!K23+[1]Capital!K25+[1]Capital!K27+[1]Capital!K41</f>
        <v>2952886.0810230002</v>
      </c>
      <c r="M166" s="5">
        <f>[1]Capital!L9+[1]Capital!L11+[1]Capital!L13+[1]Capital!L15+[1]Capital!L17+[1]Capital!L19+[1]Capital!L21+[1]Capital!L23+[1]Capital!L25+[1]Capital!L27+[1]Capital!L41</f>
        <v>3004716.254706</v>
      </c>
      <c r="N166" s="5">
        <f>[1]Capital!M9+[1]Capital!M11+[1]Capital!M13+[1]Capital!M15+[1]Capital!M17+[1]Capital!M19+[1]Capital!M21+[1]Capital!M23+[1]Capital!M25+[1]Capital!M27+[1]Capital!M41</f>
        <v>3059099.5881980001</v>
      </c>
      <c r="O166" s="5">
        <f>[1]Capital!N9+[1]Capital!N11+[1]Capital!N13+[1]Capital!N15+[1]Capital!N17+[1]Capital!N19+[1]Capital!N21+[1]Capital!N23+[1]Capital!N25+[1]Capital!N27+[1]Capital!N41</f>
        <v>3116061.3694839999</v>
      </c>
      <c r="P166" s="5">
        <f>[1]Capital!O9+[1]Capital!O11+[1]Capital!O13+[1]Capital!O15+[1]Capital!O17+[1]Capital!O19+[1]Capital!O21+[1]Capital!O23+[1]Capital!O25+[1]Capital!O27+[1]Capital!O41</f>
        <v>3175485.5675989999</v>
      </c>
      <c r="Q166" s="5">
        <f>[1]Capital!P9+[1]Capital!P11+[1]Capital!P13+[1]Capital!P15+[1]Capital!P17+[1]Capital!P19+[1]Capital!P21+[1]Capital!P23+[1]Capital!P25+[1]Capital!P27+[1]Capital!P41</f>
        <v>3237279.6015639999</v>
      </c>
      <c r="R166" s="5">
        <f>[1]Capital!Q9+[1]Capital!Q11+[1]Capital!Q13+[1]Capital!Q15+[1]Capital!Q17+[1]Capital!Q19+[1]Capital!Q21+[1]Capital!Q23+[1]Capital!Q25+[1]Capital!Q27+[1]Capital!Q41</f>
        <v>3301428.5172749995</v>
      </c>
      <c r="S166" s="5">
        <f>[1]Capital!R9+[1]Capital!R11+[1]Capital!R13+[1]Capital!R15+[1]Capital!R17+[1]Capital!R19+[1]Capital!R21+[1]Capital!R23+[1]Capital!R25+[1]Capital!R27+[1]Capital!R41</f>
        <v>3368083.7498539998</v>
      </c>
      <c r="T166" s="5">
        <f>[1]Capital!S9+[1]Capital!S11+[1]Capital!S13+[1]Capital!S15+[1]Capital!S17+[1]Capital!S19+[1]Capital!S21+[1]Capital!S23+[1]Capital!S25+[1]Capital!S27+[1]Capital!S41</f>
        <v>3437530.4410630004</v>
      </c>
      <c r="U166" s="5">
        <f>[1]Capital!T9+[1]Capital!T11+[1]Capital!T13+[1]Capital!T15+[1]Capital!T17+[1]Capital!T19+[1]Capital!T21+[1]Capital!T23+[1]Capital!T25+[1]Capital!T27+[1]Capital!T41</f>
        <v>3510126.1297559999</v>
      </c>
      <c r="V166" s="5">
        <f>[1]Capital!U9+[1]Capital!U11+[1]Capital!U13+[1]Capital!U15+[1]Capital!U17+[1]Capital!U19+[1]Capital!U21+[1]Capital!U23+[1]Capital!U25+[1]Capital!U27+[1]Capital!U41</f>
        <v>3586244.0240489999</v>
      </c>
      <c r="W166" s="5">
        <f>[1]Capital!V9+[1]Capital!V11+[1]Capital!V13+[1]Capital!V15+[1]Capital!V17+[1]Capital!V19+[1]Capital!V21+[1]Capital!V23+[1]Capital!V25+[1]Capital!V27+[1]Capital!V41</f>
        <v>3666202.0683359997</v>
      </c>
      <c r="X166" s="5">
        <f>[1]Capital!W9+[1]Capital!W11+[1]Capital!W13+[1]Capital!W15+[1]Capital!W17+[1]Capital!W19+[1]Capital!W21+[1]Capital!W23+[1]Capital!W25+[1]Capital!W27+[1]Capital!W41</f>
        <v>3750353.6744829998</v>
      </c>
      <c r="Y166" s="5">
        <f>[1]Capital!X9+[1]Capital!X11+[1]Capital!X13+[1]Capital!X15+[1]Capital!X17+[1]Capital!X19+[1]Capital!X21+[1]Capital!X23+[1]Capital!X25+[1]Capital!X27+[1]Capital!X41</f>
        <v>3839073.3044139999</v>
      </c>
      <c r="Z166" s="5">
        <f>[1]Capital!Y9+[1]Capital!Y11+[1]Capital!Y13+[1]Capital!Y15+[1]Capital!Y17+[1]Capital!Y19+[1]Capital!Y21+[1]Capital!Y23+[1]Capital!Y25+[1]Capital!Y27+[1]Capital!Y41</f>
        <v>3932742.5657539996</v>
      </c>
      <c r="AA166" s="5">
        <f>[1]Capital!Z9+[1]Capital!Z11+[1]Capital!Z13+[1]Capital!Z15+[1]Capital!Z17+[1]Capital!Z19+[1]Capital!Z21+[1]Capital!Z23+[1]Capital!Z25+[1]Capital!Z27+[1]Capital!Z41</f>
        <v>4031722.9067480001</v>
      </c>
      <c r="AB166" s="5">
        <f>[1]Capital!AA9+[1]Capital!AA11+[1]Capital!AA13+[1]Capital!AA15+[1]Capital!AA17+[1]Capital!AA19+[1]Capital!AA21+[1]Capital!AA23+[1]Capital!AA25+[1]Capital!AA27+[1]Capital!AA41</f>
        <v>4136199.6667330004</v>
      </c>
      <c r="AC166" s="5">
        <f>[1]Capital!AB9+[1]Capital!AB11+[1]Capital!AB13+[1]Capital!AB15+[1]Capital!AB17+[1]Capital!AB19+[1]Capital!AB21+[1]Capital!AB23+[1]Capital!AB25+[1]Capital!AB27+[1]Capital!AB41</f>
        <v>4246406.3885249998</v>
      </c>
      <c r="AD166" s="5">
        <f>[1]Capital!AC9+[1]Capital!AC11+[1]Capital!AC13+[1]Capital!AC15+[1]Capital!AC17+[1]Capital!AC19+[1]Capital!AC21+[1]Capital!AC23+[1]Capital!AC25+[1]Capital!AC27+[1]Capital!AC41</f>
        <v>4362625.3219580008</v>
      </c>
      <c r="AE166" s="5">
        <f>[1]Capital!AD9+[1]Capital!AD11+[1]Capital!AD13+[1]Capital!AD15+[1]Capital!AD17+[1]Capital!AD19+[1]Capital!AD21+[1]Capital!AD23+[1]Capital!AD25+[1]Capital!AD27+[1]Capital!AD41</f>
        <v>4485170.5130290007</v>
      </c>
      <c r="AF166" s="5">
        <f>[1]Capital!AE9+[1]Capital!AE11+[1]Capital!AE13+[1]Capital!AE15+[1]Capital!AE17+[1]Capital!AE19+[1]Capital!AE21+[1]Capital!AE23+[1]Capital!AE25+[1]Capital!AE27+[1]Capital!AE41</f>
        <v>4614337.1588899996</v>
      </c>
      <c r="AG166" s="5">
        <f>[1]Capital!AF9+[1]Capital!AF11+[1]Capital!AF13+[1]Capital!AF15+[1]Capital!AF17+[1]Capital!AF19+[1]Capital!AF21+[1]Capital!AF23+[1]Capital!AF25+[1]Capital!AF27+[1]Capital!AF41</f>
        <v>4750360.9169190004</v>
      </c>
      <c r="AH166" s="5">
        <f>[1]Capital!AG9+[1]Capital!AG11+[1]Capital!AG13+[1]Capital!AG15+[1]Capital!AG17+[1]Capital!AG19+[1]Capital!AG21+[1]Capital!AG23+[1]Capital!AG25+[1]Capital!AG27+[1]Capital!AG41</f>
        <v>4893415.0618890002</v>
      </c>
      <c r="AI166" s="5">
        <f>[1]Capital!AH9+[1]Capital!AH11+[1]Capital!AH13+[1]Capital!AH15+[1]Capital!AH17+[1]Capital!AH19+[1]Capital!AH21+[1]Capital!AH23+[1]Capital!AH25+[1]Capital!AH27+[1]Capital!AH41</f>
        <v>5043623.204868</v>
      </c>
      <c r="AJ166" s="5">
        <f>[1]Capital!AI9+[1]Capital!AI11+[1]Capital!AI13+[1]Capital!AI15+[1]Capital!AI17+[1]Capital!AI19+[1]Capital!AI21+[1]Capital!AI23+[1]Capital!AI25+[1]Capital!AI27+[1]Capital!AI41</f>
        <v>5201065.3660230003</v>
      </c>
      <c r="AK166" s="5">
        <f>[1]Capital!AJ9+[1]Capital!AJ11+[1]Capital!AJ13+[1]Capital!AJ15+[1]Capital!AJ17+[1]Capital!AJ19+[1]Capital!AJ21+[1]Capital!AJ23+[1]Capital!AJ25+[1]Capital!AJ27+[1]Capital!AJ41</f>
        <v>5365777.2388850003</v>
      </c>
      <c r="AL166" s="5">
        <f>[1]Capital!AK9+[1]Capital!AK11+[1]Capital!AK13+[1]Capital!AK15+[1]Capital!AK17+[1]Capital!AK19+[1]Capital!AK21+[1]Capital!AK23+[1]Capital!AK25+[1]Capital!AK27+[1]Capital!AK41</f>
        <v>5537744.7794299992</v>
      </c>
    </row>
    <row r="167" spans="1:38" x14ac:dyDescent="0.35">
      <c r="B167" t="s">
        <v>9</v>
      </c>
      <c r="C167" s="5">
        <f>[1]Capital!B29+[1]Capital!B31+[1]Capital!B33+[1]Capital!B35</f>
        <v>88549.631506999998</v>
      </c>
      <c r="D167" s="5">
        <f>[1]Capital!C29+[1]Capital!C31+[1]Capital!C33+[1]Capital!C35</f>
        <v>89603.730679</v>
      </c>
      <c r="E167" s="5">
        <f>[1]Capital!D29+[1]Capital!D31+[1]Capital!D33+[1]Capital!D35</f>
        <v>90715.318325999993</v>
      </c>
      <c r="F167" s="5">
        <f>[1]Capital!E29+[1]Capital!E31+[1]Capital!E33+[1]Capital!E35</f>
        <v>91888.691669000007</v>
      </c>
      <c r="G167" s="5">
        <f>[1]Capital!F29+[1]Capital!F31+[1]Capital!F33+[1]Capital!F35</f>
        <v>93126.472875000007</v>
      </c>
      <c r="H167" s="5">
        <f>[1]Capital!G29+[1]Capital!G31+[1]Capital!G33+[1]Capital!G35</f>
        <v>94431.499953000006</v>
      </c>
      <c r="I167" s="5">
        <f>[1]Capital!H29+[1]Capital!H31+[1]Capital!H33+[1]Capital!H35</f>
        <v>95802.893923000011</v>
      </c>
      <c r="J167" s="5">
        <f>[1]Capital!I29+[1]Capital!I31+[1]Capital!I33+[1]Capital!I35</f>
        <v>97238.428427000006</v>
      </c>
      <c r="K167" s="5">
        <f>[1]Capital!J29+[1]Capital!J31+[1]Capital!J33+[1]Capital!J35</f>
        <v>98735.613596999989</v>
      </c>
      <c r="L167" s="5">
        <f>[1]Capital!K29+[1]Capital!K31+[1]Capital!K33+[1]Capital!K35</f>
        <v>100292.437638</v>
      </c>
      <c r="M167" s="5">
        <f>[1]Capital!L29+[1]Capital!L31+[1]Capital!L33+[1]Capital!L35</f>
        <v>101909.68204</v>
      </c>
      <c r="N167" s="5">
        <f>[1]Capital!M29+[1]Capital!M31+[1]Capital!M33+[1]Capital!M35</f>
        <v>103586.669823</v>
      </c>
      <c r="O167" s="5">
        <f>[1]Capital!N29+[1]Capital!N31+[1]Capital!N33+[1]Capital!N35</f>
        <v>105319.503855</v>
      </c>
      <c r="P167" s="5">
        <f>[1]Capital!O29+[1]Capital!O31+[1]Capital!O33+[1]Capital!O35</f>
        <v>107095.594656</v>
      </c>
      <c r="Q167" s="5">
        <f>[1]Capital!P29+[1]Capital!P31+[1]Capital!P33+[1]Capital!P35</f>
        <v>108905.326638</v>
      </c>
      <c r="R167" s="5">
        <f>[1]Capital!Q29+[1]Capital!Q31+[1]Capital!Q33+[1]Capital!Q35</f>
        <v>110744.824836</v>
      </c>
      <c r="S167" s="5">
        <f>[1]Capital!R29+[1]Capital!R31+[1]Capital!R33+[1]Capital!R35</f>
        <v>112618.222089</v>
      </c>
      <c r="T167" s="5">
        <f>[1]Capital!S29+[1]Capital!S31+[1]Capital!S33+[1]Capital!S35</f>
        <v>114535.683917</v>
      </c>
      <c r="U167" s="5">
        <f>[1]Capital!T29+[1]Capital!T31+[1]Capital!T33+[1]Capital!T35</f>
        <v>116510.92158299999</v>
      </c>
      <c r="V167" s="5">
        <f>[1]Capital!U29+[1]Capital!U31+[1]Capital!U33+[1]Capital!U35</f>
        <v>118558.599162</v>
      </c>
      <c r="W167" s="5">
        <f>[1]Capital!V29+[1]Capital!V31+[1]Capital!V33+[1]Capital!V35</f>
        <v>120692.10058200001</v>
      </c>
      <c r="X167" s="5">
        <f>[1]Capital!W29+[1]Capital!W31+[1]Capital!W33+[1]Capital!W35</f>
        <v>122926.47528099999</v>
      </c>
      <c r="Y167" s="5">
        <f>[1]Capital!X29+[1]Capital!X31+[1]Capital!X33+[1]Capital!X35</f>
        <v>125277.62390300001</v>
      </c>
      <c r="Z167" s="5">
        <f>[1]Capital!Y29+[1]Capital!Y31+[1]Capital!Y33+[1]Capital!Y35</f>
        <v>127761.53277399999</v>
      </c>
      <c r="AA167" s="5">
        <f>[1]Capital!Z29+[1]Capital!Z31+[1]Capital!Z33+[1]Capital!Z35</f>
        <v>130392.809683</v>
      </c>
      <c r="AB167" s="5">
        <f>[1]Capital!AA29+[1]Capital!AA31+[1]Capital!AA33+[1]Capital!AA35</f>
        <v>133180.308456</v>
      </c>
      <c r="AC167" s="5">
        <f>[1]Capital!AB29+[1]Capital!AB31+[1]Capital!AB33+[1]Capital!AB35</f>
        <v>136135.34992099999</v>
      </c>
      <c r="AD167" s="5">
        <f>[1]Capital!AC29+[1]Capital!AC31+[1]Capital!AC33+[1]Capital!AC35</f>
        <v>139270.88269599999</v>
      </c>
      <c r="AE167" s="5">
        <f>[1]Capital!AD29+[1]Capital!AD31+[1]Capital!AD33+[1]Capital!AD35</f>
        <v>142600.15215500002</v>
      </c>
      <c r="AF167" s="5">
        <f>[1]Capital!AE29+[1]Capital!AE31+[1]Capital!AE33+[1]Capital!AE35</f>
        <v>146133.20677300001</v>
      </c>
      <c r="AG167" s="5">
        <f>[1]Capital!AF29+[1]Capital!AF31+[1]Capital!AF33+[1]Capital!AF35</f>
        <v>149874.75564399999</v>
      </c>
      <c r="AH167" s="5">
        <f>[1]Capital!AG29+[1]Capital!AG31+[1]Capital!AG33+[1]Capital!AG35</f>
        <v>153824.671997</v>
      </c>
      <c r="AI167" s="5">
        <f>[1]Capital!AH29+[1]Capital!AH31+[1]Capital!AH33+[1]Capital!AH35</f>
        <v>157979.32006699999</v>
      </c>
      <c r="AJ167" s="5">
        <f>[1]Capital!AI29+[1]Capital!AI31+[1]Capital!AI33+[1]Capital!AI35</f>
        <v>162332.32598200001</v>
      </c>
      <c r="AK167" s="5">
        <f>[1]Capital!AJ29+[1]Capital!AJ31+[1]Capital!AJ33+[1]Capital!AJ35</f>
        <v>166874.91562000001</v>
      </c>
      <c r="AL167" s="5">
        <f>[1]Capital!AK29+[1]Capital!AK31+[1]Capital!AK33+[1]Capital!AK35</f>
        <v>171596.01271800001</v>
      </c>
    </row>
    <row r="168" spans="1:38" x14ac:dyDescent="0.35">
      <c r="B168" t="s">
        <v>10</v>
      </c>
      <c r="C168" s="5">
        <f>[1]Capital!B37+[1]Capital!B39</f>
        <v>2425571.3405999998</v>
      </c>
      <c r="D168" s="5">
        <f>[1]Capital!C37+[1]Capital!C39</f>
        <v>2454131.0136000002</v>
      </c>
      <c r="E168" s="5">
        <f>[1]Capital!D37+[1]Capital!D39</f>
        <v>2483986.2442999999</v>
      </c>
      <c r="F168" s="5">
        <f>[1]Capital!E37+[1]Capital!E39</f>
        <v>2515411.6381000001</v>
      </c>
      <c r="G168" s="5">
        <f>[1]Capital!F37+[1]Capital!F39</f>
        <v>2548636.3121000002</v>
      </c>
      <c r="H168" s="5">
        <f>[1]Capital!G37+[1]Capital!G39</f>
        <v>2583794.2353999997</v>
      </c>
      <c r="I168" s="5">
        <f>[1]Capital!H37+[1]Capital!H39</f>
        <v>2620815.1449000002</v>
      </c>
      <c r="J168" s="5">
        <f>[1]Capital!I37+[1]Capital!I39</f>
        <v>2659595.9556</v>
      </c>
      <c r="K168" s="5">
        <f>[1]Capital!J37+[1]Capital!J39</f>
        <v>2700049.0950999996</v>
      </c>
      <c r="L168" s="5">
        <f>[1]Capital!K37+[1]Capital!K39</f>
        <v>2742120.8026999999</v>
      </c>
      <c r="M168" s="5">
        <f>[1]Capital!L37+[1]Capital!L39</f>
        <v>2785907.9582000002</v>
      </c>
      <c r="N168" s="5">
        <f>[1]Capital!M37+[1]Capital!M39</f>
        <v>2831388.2178999996</v>
      </c>
      <c r="O168" s="5">
        <f>[1]Capital!N37+[1]Capital!N39</f>
        <v>2878533.3949000002</v>
      </c>
      <c r="P168" s="5">
        <f>[1]Capital!O37+[1]Capital!O39</f>
        <v>2927221.3569999998</v>
      </c>
      <c r="Q168" s="5">
        <f>[1]Capital!P37+[1]Capital!P39</f>
        <v>2977334.5393000003</v>
      </c>
      <c r="R168" s="5">
        <f>[1]Capital!Q37+[1]Capital!Q39</f>
        <v>3028800.0434000003</v>
      </c>
      <c r="S168" s="5">
        <f>[1]Capital!R37+[1]Capital!R39</f>
        <v>3081688.7691000002</v>
      </c>
      <c r="T168" s="5">
        <f>[1]Capital!S37+[1]Capital!S39</f>
        <v>3136160.7931000004</v>
      </c>
      <c r="U168" s="5">
        <f>[1]Capital!T37+[1]Capital!T39</f>
        <v>3192414.5482999999</v>
      </c>
      <c r="V168" s="5">
        <f>[1]Capital!U37+[1]Capital!U39</f>
        <v>3250649.6088</v>
      </c>
      <c r="W168" s="5">
        <f>[1]Capital!V37+[1]Capital!V39</f>
        <v>3310968.8944999999</v>
      </c>
      <c r="X168" s="5">
        <f>[1]Capital!W37+[1]Capital!W39</f>
        <v>3373591.6022999999</v>
      </c>
      <c r="Y168" s="5">
        <f>[1]Capital!X37+[1]Capital!X39</f>
        <v>3438742.7123999996</v>
      </c>
      <c r="Z168" s="5">
        <f>[1]Capital!Y37+[1]Capital!Y39</f>
        <v>3506652.4158999999</v>
      </c>
      <c r="AA168" s="5">
        <f>[1]Capital!Z37+[1]Capital!Z39</f>
        <v>3577540.01</v>
      </c>
      <c r="AB168" s="5">
        <f>[1]Capital!AA37+[1]Capital!AA39</f>
        <v>3651347.4154000003</v>
      </c>
      <c r="AC168" s="5">
        <f>[1]Capital!AB37+[1]Capital!AB39</f>
        <v>3728237.9005</v>
      </c>
      <c r="AD168" s="5">
        <f>[1]Capital!AC37+[1]Capital!AC39</f>
        <v>3808412.6532000001</v>
      </c>
      <c r="AE168" s="5">
        <f>[1]Capital!AD37+[1]Capital!AD39</f>
        <v>3892101.0660999999</v>
      </c>
      <c r="AF168" s="5">
        <f>[1]Capital!AE37+[1]Capital!AE39</f>
        <v>3979528.6231</v>
      </c>
      <c r="AG168" s="5">
        <f>[1]Capital!AF37+[1]Capital!AF39</f>
        <v>4070881.9062000001</v>
      </c>
      <c r="AH168" s="5">
        <f>[1]Capital!AG37+[1]Capital!AG39</f>
        <v>4166297.7439000001</v>
      </c>
      <c r="AI168" s="5">
        <f>[1]Capital!AH37+[1]Capital!AH39</f>
        <v>4265864.8140000002</v>
      </c>
      <c r="AJ168" s="5">
        <f>[1]Capital!AI37+[1]Capital!AI39</f>
        <v>4369623.7104000002</v>
      </c>
      <c r="AK168" s="5">
        <f>[1]Capital!AJ37+[1]Capital!AJ39</f>
        <v>4477565.1572000002</v>
      </c>
      <c r="AL168" s="5">
        <f>[1]Capital!AK37+[1]Capital!AK39</f>
        <v>4589627.1502</v>
      </c>
    </row>
    <row r="169" spans="1:38" x14ac:dyDescent="0.35">
      <c r="B169" t="s">
        <v>29</v>
      </c>
      <c r="C169" s="5">
        <f>[1]Capital!B43+[1]Capital!B47</f>
        <v>22925.318520599998</v>
      </c>
      <c r="D169" s="5">
        <f>[1]Capital!C43+[1]Capital!C47</f>
        <v>23175.891534500002</v>
      </c>
      <c r="E169" s="5">
        <f>[1]Capital!D43+[1]Capital!D47</f>
        <v>23416.050506399999</v>
      </c>
      <c r="F169" s="5">
        <f>[1]Capital!E43+[1]Capital!E47</f>
        <v>23645.118774499999</v>
      </c>
      <c r="G169" s="5">
        <f>[1]Capital!F43+[1]Capital!F47</f>
        <v>23866.9832542</v>
      </c>
      <c r="H169" s="5">
        <f>[1]Capital!G43+[1]Capital!G47</f>
        <v>24086.359461599997</v>
      </c>
      <c r="I169" s="5">
        <f>[1]Capital!H43+[1]Capital!H47</f>
        <v>24306.0196569</v>
      </c>
      <c r="J169" s="5">
        <f>[1]Capital!I43+[1]Capital!I47</f>
        <v>24527.076682800001</v>
      </c>
      <c r="K169" s="5">
        <f>[1]Capital!J43+[1]Capital!J47</f>
        <v>24749.717149100001</v>
      </c>
      <c r="L169" s="5">
        <f>[1]Capital!K43+[1]Capital!K47</f>
        <v>24973.808048100003</v>
      </c>
      <c r="M169" s="5">
        <f>[1]Capital!L43+[1]Capital!L47</f>
        <v>25199.5309155</v>
      </c>
      <c r="N169" s="5">
        <f>[1]Capital!M43+[1]Capital!M47</f>
        <v>25426.855048199999</v>
      </c>
      <c r="O169" s="5">
        <f>[1]Capital!N43+[1]Capital!N47</f>
        <v>25655.3704765</v>
      </c>
      <c r="P169" s="5">
        <f>[1]Capital!O43+[1]Capital!O47</f>
        <v>25883.644444699999</v>
      </c>
      <c r="Q169" s="5">
        <f>[1]Capital!P43+[1]Capital!P47</f>
        <v>26110.473011399998</v>
      </c>
      <c r="R169" s="5">
        <f>[1]Capital!Q43+[1]Capital!Q47</f>
        <v>26335.316889899997</v>
      </c>
      <c r="S169" s="5">
        <f>[1]Capital!R43+[1]Capital!R47</f>
        <v>26559.2718628</v>
      </c>
      <c r="T169" s="5">
        <f>[1]Capital!S43+[1]Capital!S47</f>
        <v>26784.649695700002</v>
      </c>
      <c r="U169" s="5">
        <f>[1]Capital!T43+[1]Capital!T47</f>
        <v>27014.3491082</v>
      </c>
      <c r="V169" s="5">
        <f>[1]Capital!U43+[1]Capital!U47</f>
        <v>27251.356549</v>
      </c>
      <c r="W169" s="5">
        <f>[1]Capital!V43+[1]Capital!V47</f>
        <v>27498.366128100002</v>
      </c>
      <c r="X169" s="5">
        <f>[1]Capital!W43+[1]Capital!W47</f>
        <v>27758.151632100002</v>
      </c>
      <c r="Y169" s="5">
        <f>[1]Capital!X43+[1]Capital!X47</f>
        <v>28033.5274498</v>
      </c>
      <c r="Z169" s="5">
        <f>[1]Capital!Y43+[1]Capital!Y47</f>
        <v>28327.304572199999</v>
      </c>
      <c r="AA169" s="5">
        <f>[1]Capital!Z43+[1]Capital!Z47</f>
        <v>28642.162778200003</v>
      </c>
      <c r="AB169" s="5">
        <f>[1]Capital!AA43+[1]Capital!AA47</f>
        <v>28980.067478800003</v>
      </c>
      <c r="AC169" s="5">
        <f>[1]Capital!AB43+[1]Capital!AB47</f>
        <v>29343.253601299999</v>
      </c>
      <c r="AD169" s="5">
        <f>[1]Capital!AC43+[1]Capital!AC47</f>
        <v>29734.183885800001</v>
      </c>
      <c r="AE169" s="5">
        <f>[1]Capital!AD43+[1]Capital!AD47</f>
        <v>30155.3823911</v>
      </c>
      <c r="AF169" s="5">
        <f>[1]Capital!AE43+[1]Capital!AE47</f>
        <v>30608.9995308</v>
      </c>
      <c r="AG169" s="5">
        <f>[1]Capital!AF43+[1]Capital!AF47</f>
        <v>31096.502865999999</v>
      </c>
      <c r="AH169" s="5">
        <f>[1]Capital!AG43+[1]Capital!AG47</f>
        <v>31618.651056299997</v>
      </c>
      <c r="AI169" s="5">
        <f>[1]Capital!AH43+[1]Capital!AH47</f>
        <v>32175.5895127</v>
      </c>
      <c r="AJ169" s="5">
        <f>[1]Capital!AI43+[1]Capital!AI47</f>
        <v>32766.912322</v>
      </c>
      <c r="AK169" s="5">
        <f>[1]Capital!AJ43+[1]Capital!AJ47</f>
        <v>33391.681717899999</v>
      </c>
      <c r="AL169" s="5">
        <f>[1]Capital!AK43+[1]Capital!AK47</f>
        <v>34048.423329000005</v>
      </c>
    </row>
    <row r="170" spans="1:38" x14ac:dyDescent="0.35">
      <c r="B170" t="s">
        <v>36</v>
      </c>
      <c r="C170" s="5">
        <f>[1]Capital!B45+[1]Capital!B49</f>
        <v>1941.7266724000001</v>
      </c>
      <c r="D170" s="5">
        <f>[1]Capital!C45+[1]Capital!C49</f>
        <v>1962.5990103999998</v>
      </c>
      <c r="E170" s="5">
        <f>[1]Capital!D45+[1]Capital!D49</f>
        <v>1982.1531047000001</v>
      </c>
      <c r="F170" s="5">
        <f>[1]Capital!E45+[1]Capital!E49</f>
        <v>2000.3422717000001</v>
      </c>
      <c r="G170" s="5">
        <f>[1]Capital!F45+[1]Capital!F49</f>
        <v>2017.5747377</v>
      </c>
      <c r="H170" s="5">
        <f>[1]Capital!G45+[1]Capital!G49</f>
        <v>2034.3182201</v>
      </c>
      <c r="I170" s="5">
        <f>[1]Capital!H45+[1]Capital!H49</f>
        <v>2050.8160877999999</v>
      </c>
      <c r="J170" s="5">
        <f>[1]Capital!I45+[1]Capital!I49</f>
        <v>2067.1756743000001</v>
      </c>
      <c r="K170" s="5">
        <f>[1]Capital!J45+[1]Capital!J49</f>
        <v>2083.4336714999999</v>
      </c>
      <c r="L170" s="5">
        <f>[1]Capital!K45+[1]Capital!K49</f>
        <v>2099.6016961</v>
      </c>
      <c r="M170" s="5">
        <f>[1]Capital!L45+[1]Capital!L49</f>
        <v>2115.7133844</v>
      </c>
      <c r="N170" s="5">
        <f>[1]Capital!M45+[1]Capital!M49</f>
        <v>2131.7860074999999</v>
      </c>
      <c r="O170" s="5">
        <f>[1]Capital!N45+[1]Capital!N49</f>
        <v>2147.8193071999999</v>
      </c>
      <c r="P170" s="5">
        <f>[1]Capital!O45+[1]Capital!O49</f>
        <v>2163.7638299999999</v>
      </c>
      <c r="Q170" s="5">
        <f>[1]Capital!P45+[1]Capital!P49</f>
        <v>2179.5739742000001</v>
      </c>
      <c r="R170" s="5">
        <f>[1]Capital!Q45+[1]Capital!Q49</f>
        <v>2195.2301170999999</v>
      </c>
      <c r="S170" s="5">
        <f>[1]Capital!R45+[1]Capital!R49</f>
        <v>2210.8410948999999</v>
      </c>
      <c r="T170" s="5">
        <f>[1]Capital!S45+[1]Capital!S49</f>
        <v>2226.576982</v>
      </c>
      <c r="U170" s="5">
        <f>[1]Capital!T45+[1]Capital!T49</f>
        <v>2242.6280431</v>
      </c>
      <c r="V170" s="5">
        <f>[1]Capital!U45+[1]Capital!U49</f>
        <v>2259.1783756999998</v>
      </c>
      <c r="W170" s="5">
        <f>[1]Capital!V45+[1]Capital!V49</f>
        <v>2276.3818272999997</v>
      </c>
      <c r="X170" s="5">
        <f>[1]Capital!W45+[1]Capital!W49</f>
        <v>2294.3935513000001</v>
      </c>
      <c r="Y170" s="5">
        <f>[1]Capital!X45+[1]Capital!X49</f>
        <v>2313.3669580000001</v>
      </c>
      <c r="Z170" s="5">
        <f>[1]Capital!Y45+[1]Capital!Y49</f>
        <v>2333.4534798</v>
      </c>
      <c r="AA170" s="5">
        <f>[1]Capital!Z45+[1]Capital!Z49</f>
        <v>2354.7980413</v>
      </c>
      <c r="AB170" s="5">
        <f>[1]Capital!AA45+[1]Capital!AA49</f>
        <v>2377.4949719000001</v>
      </c>
      <c r="AC170" s="5">
        <f>[1]Capital!AB45+[1]Capital!AB49</f>
        <v>2401.65951</v>
      </c>
      <c r="AD170" s="5">
        <f>[1]Capital!AC45+[1]Capital!AC49</f>
        <v>2427.4225696000003</v>
      </c>
      <c r="AE170" s="5">
        <f>[1]Capital!AD45+[1]Capital!AD49</f>
        <v>2454.9224014000001</v>
      </c>
      <c r="AF170" s="5">
        <f>[1]Capital!AE45+[1]Capital!AE49</f>
        <v>2484.2841847</v>
      </c>
      <c r="AG170" s="5">
        <f>[1]Capital!AF45+[1]Capital!AF49</f>
        <v>2515.6028906000001</v>
      </c>
      <c r="AH170" s="5">
        <f>[1]Capital!AG45+[1]Capital!AG49</f>
        <v>2548.9380925</v>
      </c>
      <c r="AI170" s="5">
        <f>[1]Capital!AH45+[1]Capital!AH49</f>
        <v>2584.3151159999998</v>
      </c>
      <c r="AJ170" s="5">
        <f>[1]Capital!AI45+[1]Capital!AI49</f>
        <v>2621.7256292000002</v>
      </c>
      <c r="AK170" s="5">
        <f>[1]Capital!AJ45+[1]Capital!AJ49</f>
        <v>2661.1270426999999</v>
      </c>
      <c r="AL170" s="5">
        <f>[1]Capital!AK45+[1]Capital!AK49</f>
        <v>2702.4413914000002</v>
      </c>
    </row>
    <row r="171" spans="1:38" x14ac:dyDescent="0.35">
      <c r="B171" t="s">
        <v>33</v>
      </c>
      <c r="C171" s="5">
        <f>[1]Capital!B51+[1]Capital!B53+[1]Capital!B55+[1]Capital!B57+[1]Capital!B59+[1]Capital!B61+[1]Capital!B63+[1]Capital!B65+[1]Capital!B67</f>
        <v>40303.597149320005</v>
      </c>
      <c r="D171" s="5">
        <f>[1]Capital!C51+[1]Capital!C53+[1]Capital!C55+[1]Capital!C57+[1]Capital!C59+[1]Capital!C61+[1]Capital!C63+[1]Capital!C65+[1]Capital!C67</f>
        <v>40772.883838809998</v>
      </c>
      <c r="E171" s="5">
        <f>[1]Capital!D51+[1]Capital!D53+[1]Capital!D55+[1]Capital!D57+[1]Capital!D59+[1]Capital!D61+[1]Capital!D63+[1]Capital!D65+[1]Capital!D67</f>
        <v>41242.96973474</v>
      </c>
      <c r="F171" s="5">
        <f>[1]Capital!E51+[1]Capital!E53+[1]Capital!E55+[1]Capital!E57+[1]Capital!E59+[1]Capital!E61+[1]Capital!E63+[1]Capital!E65+[1]Capital!E67</f>
        <v>41713.495295240005</v>
      </c>
      <c r="G171" s="5">
        <f>[1]Capital!F51+[1]Capital!F53+[1]Capital!F55+[1]Capital!F57+[1]Capital!F59+[1]Capital!F61+[1]Capital!F63+[1]Capital!F65+[1]Capital!F67</f>
        <v>42179.890520479996</v>
      </c>
      <c r="H171" s="5">
        <f>[1]Capital!G51+[1]Capital!G53+[1]Capital!G55+[1]Capital!G57+[1]Capital!G59+[1]Capital!G61+[1]Capital!G63+[1]Capital!G65+[1]Capital!G67</f>
        <v>42640.696975569997</v>
      </c>
      <c r="I171" s="5">
        <f>[1]Capital!H51+[1]Capital!H53+[1]Capital!H55+[1]Capital!H57+[1]Capital!H59+[1]Capital!H61+[1]Capital!H63+[1]Capital!H65+[1]Capital!H67</f>
        <v>43097.083153510001</v>
      </c>
      <c r="J171" s="5">
        <f>[1]Capital!I51+[1]Capital!I53+[1]Capital!I55+[1]Capital!I57+[1]Capital!I59+[1]Capital!I61+[1]Capital!I63+[1]Capital!I65+[1]Capital!I67</f>
        <v>43551.0820179</v>
      </c>
      <c r="K171" s="5">
        <f>[1]Capital!J51+[1]Capital!J53+[1]Capital!J55+[1]Capital!J57+[1]Capital!J59+[1]Capital!J61+[1]Capital!J63+[1]Capital!J65+[1]Capital!J67</f>
        <v>44004.499815660005</v>
      </c>
      <c r="L171" s="5">
        <f>[1]Capital!K51+[1]Capital!K53+[1]Capital!K55+[1]Capital!K57+[1]Capital!K59+[1]Capital!K61+[1]Capital!K63+[1]Capital!K65+[1]Capital!K67</f>
        <v>44458.536699050004</v>
      </c>
      <c r="M171" s="5">
        <f>[1]Capital!L51+[1]Capital!L53+[1]Capital!L55+[1]Capital!L57+[1]Capital!L59+[1]Capital!L61+[1]Capital!L63+[1]Capital!L65+[1]Capital!L67</f>
        <v>44915.149666689998</v>
      </c>
      <c r="N171" s="5">
        <f>[1]Capital!M51+[1]Capital!M53+[1]Capital!M55+[1]Capital!M57+[1]Capital!M59+[1]Capital!M61+[1]Capital!M63+[1]Capital!M65+[1]Capital!M67</f>
        <v>45374.363675679997</v>
      </c>
      <c r="O171" s="5">
        <f>[1]Capital!N51+[1]Capital!N53+[1]Capital!N55+[1]Capital!N57+[1]Capital!N59+[1]Capital!N61+[1]Capital!N63+[1]Capital!N65+[1]Capital!N67</f>
        <v>45834.968894359998</v>
      </c>
      <c r="P171" s="5">
        <f>[1]Capital!O51+[1]Capital!O53+[1]Capital!O55+[1]Capital!O57+[1]Capital!O59+[1]Capital!O61+[1]Capital!O63+[1]Capital!O65+[1]Capital!O67</f>
        <v>46293.798424279994</v>
      </c>
      <c r="Q171" s="5">
        <f>[1]Capital!P51+[1]Capital!P53+[1]Capital!P55+[1]Capital!P57+[1]Capital!P59+[1]Capital!P61+[1]Capital!P63+[1]Capital!P65+[1]Capital!P67</f>
        <v>46748.03451487</v>
      </c>
      <c r="R171" s="5">
        <f>[1]Capital!Q51+[1]Capital!Q53+[1]Capital!Q55+[1]Capital!Q57+[1]Capital!Q59+[1]Capital!Q61+[1]Capital!Q63+[1]Capital!Q65+[1]Capital!Q67</f>
        <v>47196.22651665</v>
      </c>
      <c r="S171" s="5">
        <f>[1]Capital!R51+[1]Capital!R53+[1]Capital!R55+[1]Capital!R57+[1]Capital!R59+[1]Capital!R61+[1]Capital!R63+[1]Capital!R65+[1]Capital!R67</f>
        <v>47637.83086039999</v>
      </c>
      <c r="T171" s="5">
        <f>[1]Capital!S51+[1]Capital!S53+[1]Capital!S55+[1]Capital!S57+[1]Capital!S59+[1]Capital!S61+[1]Capital!S63+[1]Capital!S65+[1]Capital!S67</f>
        <v>48074.269361989995</v>
      </c>
      <c r="U171" s="5">
        <f>[1]Capital!T51+[1]Capital!T53+[1]Capital!T55+[1]Capital!T57+[1]Capital!T59+[1]Capital!T61+[1]Capital!T63+[1]Capital!T65+[1]Capital!T67</f>
        <v>48508.752072980002</v>
      </c>
      <c r="V171" s="5">
        <f>[1]Capital!U51+[1]Capital!U53+[1]Capital!U55+[1]Capital!U57+[1]Capital!U59+[1]Capital!U61+[1]Capital!U63+[1]Capital!U65+[1]Capital!U67</f>
        <v>48945.695006840004</v>
      </c>
      <c r="W171" s="5">
        <f>[1]Capital!V51+[1]Capital!V53+[1]Capital!V55+[1]Capital!V57+[1]Capital!V59+[1]Capital!V61+[1]Capital!V63+[1]Capital!V65+[1]Capital!V67</f>
        <v>49389.517017589998</v>
      </c>
      <c r="X171" s="5">
        <f>[1]Capital!W51+[1]Capital!W53+[1]Capital!W55+[1]Capital!W57+[1]Capital!W59+[1]Capital!W61+[1]Capital!W63+[1]Capital!W65+[1]Capital!W67</f>
        <v>49846.215728630006</v>
      </c>
      <c r="Y171" s="5">
        <f>[1]Capital!X51+[1]Capital!X53+[1]Capital!X55+[1]Capital!X57+[1]Capital!X59+[1]Capital!X61+[1]Capital!X63+[1]Capital!X65+[1]Capital!X67</f>
        <v>50322.511802369991</v>
      </c>
      <c r="Z171" s="5">
        <f>[1]Capital!Y51+[1]Capital!Y53+[1]Capital!Y55+[1]Capital!Y57+[1]Capital!Y59+[1]Capital!Y61+[1]Capital!Y63+[1]Capital!Y65+[1]Capital!Y67</f>
        <v>50825.542595350009</v>
      </c>
      <c r="AA171" s="5">
        <f>[1]Capital!Z51+[1]Capital!Z53+[1]Capital!Z55+[1]Capital!Z57+[1]Capital!Z59+[1]Capital!Z61+[1]Capital!Z63+[1]Capital!Z65+[1]Capital!Z67</f>
        <v>51362.442197809993</v>
      </c>
      <c r="AB171" s="5">
        <f>[1]Capital!AA51+[1]Capital!AA53+[1]Capital!AA55+[1]Capital!AA57+[1]Capital!AA59+[1]Capital!AA61+[1]Capital!AA63+[1]Capital!AA65+[1]Capital!AA67</f>
        <v>51937.737889990007</v>
      </c>
      <c r="AC171" s="5">
        <f>[1]Capital!AB51+[1]Capital!AB53+[1]Capital!AB55+[1]Capital!AB57+[1]Capital!AB59+[1]Capital!AB61+[1]Capital!AB63+[1]Capital!AB65+[1]Capital!AB67</f>
        <v>52557.431677179993</v>
      </c>
      <c r="AD171" s="5">
        <f>[1]Capital!AC51+[1]Capital!AC53+[1]Capital!AC55+[1]Capital!AC57+[1]Capital!AC59+[1]Capital!AC61+[1]Capital!AC63+[1]Capital!AC65+[1]Capital!AC67</f>
        <v>53227.898532389998</v>
      </c>
      <c r="AE171" s="5">
        <f>[1]Capital!AD51+[1]Capital!AD53+[1]Capital!AD55+[1]Capital!AD57+[1]Capital!AD59+[1]Capital!AD61+[1]Capital!AD63+[1]Capital!AD65+[1]Capital!AD67</f>
        <v>53955.329716190005</v>
      </c>
      <c r="AF171" s="5">
        <f>[1]Capital!AE51+[1]Capital!AE53+[1]Capital!AE55+[1]Capital!AE57+[1]Capital!AE59+[1]Capital!AE61+[1]Capital!AE63+[1]Capital!AE65+[1]Capital!AE67</f>
        <v>54744.839169580009</v>
      </c>
      <c r="AG171" s="5">
        <f>[1]Capital!AF51+[1]Capital!AF53+[1]Capital!AF55+[1]Capital!AF57+[1]Capital!AF59+[1]Capital!AF61+[1]Capital!AF63+[1]Capital!AF65+[1]Capital!AF67</f>
        <v>55599.86377476999</v>
      </c>
      <c r="AH171" s="5">
        <f>[1]Capital!AG51+[1]Capital!AG53+[1]Capital!AG55+[1]Capital!AG57+[1]Capital!AG59+[1]Capital!AG61+[1]Capital!AG63+[1]Capital!AG65+[1]Capital!AG67</f>
        <v>56522.11189765</v>
      </c>
      <c r="AI171" s="5">
        <f>[1]Capital!AH51+[1]Capital!AH53+[1]Capital!AH55+[1]Capital!AH57+[1]Capital!AH59+[1]Capital!AH61+[1]Capital!AH63+[1]Capital!AH65+[1]Capital!AH67</f>
        <v>57511.778340539997</v>
      </c>
      <c r="AJ171" s="5">
        <f>[1]Capital!AI51+[1]Capital!AI53+[1]Capital!AI55+[1]Capital!AI57+[1]Capital!AI59+[1]Capital!AI61+[1]Capital!AI63+[1]Capital!AI65+[1]Capital!AI67</f>
        <v>58567.737337820006</v>
      </c>
      <c r="AK171" s="5">
        <f>[1]Capital!AJ51+[1]Capital!AJ53+[1]Capital!AJ55+[1]Capital!AJ57+[1]Capital!AJ59+[1]Capital!AJ61+[1]Capital!AJ63+[1]Capital!AJ65+[1]Capital!AJ67</f>
        <v>59687.676476220004</v>
      </c>
      <c r="AL171" s="5">
        <f>[1]Capital!AK51+[1]Capital!AK53+[1]Capital!AK55+[1]Capital!AK57+[1]Capital!AK59+[1]Capital!AK61+[1]Capital!AK63+[1]Capital!AK65+[1]Capital!AK67</f>
        <v>60868.191801150002</v>
      </c>
    </row>
    <row r="172" spans="1:3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x14ac:dyDescent="0.35">
      <c r="A174" t="s">
        <v>39</v>
      </c>
      <c r="B174" t="s">
        <v>40</v>
      </c>
      <c r="C174" s="5">
        <f>[1]Capital!B2</f>
        <v>5223867.193</v>
      </c>
      <c r="D174" s="5">
        <f>[1]Capital!C2</f>
        <v>5285598.2690000003</v>
      </c>
      <c r="E174" s="5">
        <f>[1]Capital!D2</f>
        <v>5350450.9989999998</v>
      </c>
      <c r="F174" s="5">
        <f>[1]Capital!E2</f>
        <v>5419051.7149999999</v>
      </c>
      <c r="G174" s="5">
        <f>[1]Capital!F2</f>
        <v>5491886.2659999998</v>
      </c>
      <c r="H174" s="5">
        <f>[1]Capital!G2</f>
        <v>5569266.659</v>
      </c>
      <c r="I174" s="5">
        <f>[1]Capital!H2</f>
        <v>5651267.5829999996</v>
      </c>
      <c r="J174" s="5">
        <f>[1]Capital!I2</f>
        <v>5736471.6789999995</v>
      </c>
      <c r="K174" s="5">
        <f>[1]Capital!J2</f>
        <v>5824516.4790000003</v>
      </c>
      <c r="L174" s="5">
        <f>[1]Capital!K2</f>
        <v>5916826.6390000004</v>
      </c>
      <c r="M174" s="5">
        <f>[1]Capital!L2</f>
        <v>6014386.96</v>
      </c>
      <c r="N174" s="5">
        <f>[1]Capital!M2</f>
        <v>6117715.3899999997</v>
      </c>
      <c r="O174" s="5">
        <f>[1]Capital!N2</f>
        <v>6226995.6950000003</v>
      </c>
      <c r="P174" s="5">
        <f>[1]Capital!O2</f>
        <v>6342073.0269999998</v>
      </c>
      <c r="Q174" s="5">
        <f>[1]Capital!P2</f>
        <v>6462885.7259999998</v>
      </c>
      <c r="R174" s="5">
        <f>[1]Capital!Q2</f>
        <v>6589533.8300000001</v>
      </c>
      <c r="S174" s="5">
        <f>[1]Capital!R2</f>
        <v>6722069.2659999998</v>
      </c>
      <c r="T174" s="5">
        <f>[1]Capital!S2</f>
        <v>6860758.8650000002</v>
      </c>
      <c r="U174" s="5">
        <f>[1]Capital!T2</f>
        <v>7006064.5530000003</v>
      </c>
      <c r="V174" s="5">
        <f>[1]Capital!U2</f>
        <v>7158577.9349999996</v>
      </c>
      <c r="W174" s="5">
        <f>[1]Capital!V2</f>
        <v>7318839.6550000003</v>
      </c>
      <c r="X174" s="5">
        <f>[1]Capital!W2</f>
        <v>7487626.8360000001</v>
      </c>
      <c r="Y174" s="5">
        <f>[1]Capital!X2</f>
        <v>7665811.0839999998</v>
      </c>
      <c r="Z174" s="5">
        <f>[1]Capital!Y2</f>
        <v>7854345.8789999997</v>
      </c>
      <c r="AA174" s="5">
        <f>[1]Capital!Z2</f>
        <v>8054221.3169999998</v>
      </c>
      <c r="AB174" s="5">
        <f>[1]Capital!AA2</f>
        <v>8266013.324</v>
      </c>
      <c r="AC174" s="5">
        <f>[1]Capital!AB2</f>
        <v>8490644.5620000008</v>
      </c>
      <c r="AD174" s="5">
        <f>[1]Capital!AC2</f>
        <v>8729147.4920000006</v>
      </c>
      <c r="AE174" s="5">
        <f>[1]Capital!AD2</f>
        <v>8982710.5769999996</v>
      </c>
      <c r="AF174" s="5">
        <f>[1]Capital!AE2</f>
        <v>9252641.0749999993</v>
      </c>
      <c r="AG174" s="5">
        <f>[1]Capital!AF2</f>
        <v>9540328.9710000008</v>
      </c>
      <c r="AH174" s="5">
        <f>[1]Capital!AG2</f>
        <v>9847274.3550000004</v>
      </c>
      <c r="AI174" s="5">
        <f>[1]Capital!AH2</f>
        <v>10175185.619999999</v>
      </c>
      <c r="AJ174" s="5">
        <f>[1]Capital!AI2</f>
        <v>10526146.67</v>
      </c>
      <c r="AK174" s="5">
        <f>[1]Capital!AJ2</f>
        <v>10902847.67</v>
      </c>
      <c r="AL174" s="5">
        <f>[1]Capital!AK2</f>
        <v>11308942.85</v>
      </c>
    </row>
    <row r="175" spans="1:38" x14ac:dyDescent="0.35">
      <c r="B175" t="s">
        <v>7</v>
      </c>
      <c r="C175" s="5">
        <f>[1]Capital!B4+[1]Capital!B6</f>
        <v>49062.307435000002</v>
      </c>
      <c r="D175" s="5">
        <f>[1]Capital!C4+[1]Capital!C6</f>
        <v>49640.712753</v>
      </c>
      <c r="E175" s="5">
        <f>[1]Capital!D4+[1]Capital!D6</f>
        <v>50240.327423999996</v>
      </c>
      <c r="F175" s="5">
        <f>[1]Capital!E4+[1]Capital!E6</f>
        <v>50870.927396999999</v>
      </c>
      <c r="G175" s="5">
        <f>[1]Capital!F4+[1]Capital!F6</f>
        <v>51536.894795</v>
      </c>
      <c r="H175" s="5">
        <f>[1]Capital!G4+[1]Capital!G6</f>
        <v>52241.512694999998</v>
      </c>
      <c r="I175" s="5">
        <f>[1]Capital!H4+[1]Capital!H6</f>
        <v>52986.341866000002</v>
      </c>
      <c r="J175" s="5">
        <f>[1]Capital!I4+[1]Capital!I6</f>
        <v>53773.903062999998</v>
      </c>
      <c r="K175" s="5">
        <f>[1]Capital!J4+[1]Capital!J6</f>
        <v>54605.696227</v>
      </c>
      <c r="L175" s="5">
        <f>[1]Capital!K4+[1]Capital!K6</f>
        <v>55500.086206</v>
      </c>
      <c r="M175" s="5">
        <f>[1]Capital!L4+[1]Capital!L6</f>
        <v>56467.690195000003</v>
      </c>
      <c r="N175" s="5">
        <f>[1]Capital!M4+[1]Capital!M6</f>
        <v>57507.331226999995</v>
      </c>
      <c r="O175" s="5">
        <f>[1]Capital!N4+[1]Capital!N6</f>
        <v>58615.085529999997</v>
      </c>
      <c r="P175" s="5">
        <f>[1]Capital!O4+[1]Capital!O6</f>
        <v>59784.145054000001</v>
      </c>
      <c r="Q175" s="5">
        <f>[1]Capital!P4+[1]Capital!P6</f>
        <v>61009.217203</v>
      </c>
      <c r="R175" s="5">
        <f>[1]Capital!Q4+[1]Capital!Q6</f>
        <v>62286.855367999997</v>
      </c>
      <c r="S175" s="5">
        <f>[1]Capital!R4+[1]Capital!R6</f>
        <v>63617.860081000006</v>
      </c>
      <c r="T175" s="5">
        <f>[1]Capital!S4+[1]Capital!S6</f>
        <v>65003.328649000003</v>
      </c>
      <c r="U175" s="5">
        <f>[1]Capital!T4+[1]Capital!T6</f>
        <v>66445.212056000004</v>
      </c>
      <c r="V175" s="5">
        <f>[1]Capital!U4+[1]Capital!U6</f>
        <v>67946.052895999994</v>
      </c>
      <c r="W175" s="5">
        <f>[1]Capital!V4+[1]Capital!V6</f>
        <v>69507.631793000008</v>
      </c>
      <c r="X175" s="5">
        <f>[1]Capital!W4+[1]Capital!W6</f>
        <v>71133.015035999997</v>
      </c>
      <c r="Y175" s="5">
        <f>[1]Capital!X4+[1]Capital!X6</f>
        <v>72826.015802000009</v>
      </c>
      <c r="Z175" s="5">
        <f>[1]Capital!Y4+[1]Capital!Y6</f>
        <v>74590.794412000003</v>
      </c>
      <c r="AA175" s="5">
        <f>[1]Capital!Z4+[1]Capital!Z6</f>
        <v>76431.039752000012</v>
      </c>
      <c r="AB175" s="5">
        <f>[1]Capital!AA4+[1]Capital!AA6</f>
        <v>78346.133077999999</v>
      </c>
      <c r="AC175" s="5">
        <f>[1]Capital!AB4+[1]Capital!AB6</f>
        <v>80335.127634000004</v>
      </c>
      <c r="AD175" s="5">
        <f>[1]Capital!AC4+[1]Capital!AC6</f>
        <v>82398.131026999996</v>
      </c>
      <c r="AE175" s="5">
        <f>[1]Capital!AD4+[1]Capital!AD6</f>
        <v>84536.093669000009</v>
      </c>
      <c r="AF175" s="5">
        <f>[1]Capital!AE4+[1]Capital!AE6</f>
        <v>86749.532893999989</v>
      </c>
      <c r="AG175" s="5">
        <f>[1]Capital!AF4+[1]Capital!AF6</f>
        <v>89037.273712999988</v>
      </c>
      <c r="AH175" s="5">
        <f>[1]Capital!AG4+[1]Capital!AG6</f>
        <v>91395.867337000003</v>
      </c>
      <c r="AI175" s="5">
        <f>[1]Capital!AH4+[1]Capital!AH6</f>
        <v>93819.647370999999</v>
      </c>
      <c r="AJ175" s="5">
        <f>[1]Capital!AI4+[1]Capital!AI6</f>
        <v>96301.106168999991</v>
      </c>
      <c r="AK175" s="5">
        <f>[1]Capital!AJ4+[1]Capital!AJ6</f>
        <v>98831.056361999988</v>
      </c>
      <c r="AL175" s="5">
        <f>[1]Capital!AK4+[1]Capital!AK6</f>
        <v>101398.749721</v>
      </c>
    </row>
    <row r="176" spans="1:3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2595513.2715759999</v>
      </c>
      <c r="D176" s="5">
        <f>[1]Capital!C8+[1]Capital!C10+[1]Capital!C13+[1]Capital!C14+[1]Capital!C16+[1]Capital!C18+[1]Capital!C20+[1]Capital!C22+[1]Capital!C24+[1]Capital!C26+[1]Capital!C40</f>
        <v>2626311.4382620002</v>
      </c>
      <c r="E176" s="5">
        <f>[1]Capital!D8+[1]Capital!D10+[1]Capital!D13+[1]Capital!D14+[1]Capital!D16+[1]Capital!D18+[1]Capital!D20+[1]Capital!D22+[1]Capital!D24+[1]Capital!D26+[1]Capital!D40</f>
        <v>2658867.9362300001</v>
      </c>
      <c r="F176" s="5">
        <f>[1]Capital!E8+[1]Capital!E10+[1]Capital!E13+[1]Capital!E14+[1]Capital!E16+[1]Capital!E18+[1]Capital!E20+[1]Capital!E22+[1]Capital!E24+[1]Capital!E26+[1]Capital!E40</f>
        <v>2693521.5027970001</v>
      </c>
      <c r="G176" s="5">
        <f>[1]Capital!F8+[1]Capital!F10+[1]Capital!F13+[1]Capital!F14+[1]Capital!F16+[1]Capital!F18+[1]Capital!F20+[1]Capital!F22+[1]Capital!F24+[1]Capital!F26+[1]Capital!F40</f>
        <v>2730522.1377309998</v>
      </c>
      <c r="H176" s="5">
        <f>[1]Capital!G8+[1]Capital!G10+[1]Capital!G13+[1]Capital!G14+[1]Capital!G16+[1]Capital!G18+[1]Capital!G20+[1]Capital!G22+[1]Capital!G24+[1]Capital!G26+[1]Capital!G40</f>
        <v>2770038.0364620001</v>
      </c>
      <c r="I176" s="5">
        <f>[1]Capital!H8+[1]Capital!H10+[1]Capital!H13+[1]Capital!H14+[1]Capital!H16+[1]Capital!H18+[1]Capital!H20+[1]Capital!H22+[1]Capital!H24+[1]Capital!H26+[1]Capital!H40</f>
        <v>2812138.638601</v>
      </c>
      <c r="J176" s="5">
        <f>[1]Capital!I8+[1]Capital!I10+[1]Capital!I13+[1]Capital!I14+[1]Capital!I16+[1]Capital!I18+[1]Capital!I20+[1]Capital!I22+[1]Capital!I24+[1]Capital!I26+[1]Capital!I40</f>
        <v>2856029.543304</v>
      </c>
      <c r="K176" s="5">
        <f>[1]Capital!J8+[1]Capital!J10+[1]Capital!J13+[1]Capital!J14+[1]Capital!J16+[1]Capital!J18+[1]Capital!J20+[1]Capital!J22+[1]Capital!J24+[1]Capital!J26+[1]Capital!J40</f>
        <v>2901474.2754659997</v>
      </c>
      <c r="L176" s="5">
        <f>[1]Capital!K8+[1]Capital!K10+[1]Capital!K13+[1]Capital!K14+[1]Capital!K16+[1]Capital!K18+[1]Capital!K20+[1]Capital!K22+[1]Capital!K24+[1]Capital!K26+[1]Capital!K40</f>
        <v>2949246.7846649997</v>
      </c>
      <c r="M176" s="5">
        <f>[1]Capital!L8+[1]Capital!L10+[1]Capital!L13+[1]Capital!L14+[1]Capital!L16+[1]Capital!L18+[1]Capital!L20+[1]Capital!L22+[1]Capital!L24+[1]Capital!L26+[1]Capital!L40</f>
        <v>2999833.5806459999</v>
      </c>
      <c r="N176" s="5">
        <f>[1]Capital!M8+[1]Capital!M10+[1]Capital!M13+[1]Capital!M14+[1]Capital!M16+[1]Capital!M18+[1]Capital!M20+[1]Capital!M22+[1]Capital!M24+[1]Capital!M26+[1]Capital!M40</f>
        <v>3053548.3989900001</v>
      </c>
      <c r="O176" s="5">
        <f>[1]Capital!N8+[1]Capital!N10+[1]Capital!N13+[1]Capital!N14+[1]Capital!N16+[1]Capital!N18+[1]Capital!N20+[1]Capital!N22+[1]Capital!N24+[1]Capital!N26+[1]Capital!N40</f>
        <v>3110530.4462940004</v>
      </c>
      <c r="P176" s="5">
        <f>[1]Capital!O8+[1]Capital!O10+[1]Capital!O13+[1]Capital!O14+[1]Capital!O16+[1]Capital!O18+[1]Capital!O20+[1]Capital!O22+[1]Capital!O24+[1]Capital!O26+[1]Capital!O40</f>
        <v>3170746.7859530002</v>
      </c>
      <c r="Q176" s="5">
        <f>[1]Capital!P8+[1]Capital!P10+[1]Capital!P13+[1]Capital!P14+[1]Capital!P16+[1]Capital!P18+[1]Capital!P20+[1]Capital!P22+[1]Capital!P24+[1]Capital!P26+[1]Capital!P40</f>
        <v>3234237.8318969999</v>
      </c>
      <c r="R176" s="5">
        <f>[1]Capital!Q8+[1]Capital!Q10+[1]Capital!Q13+[1]Capital!Q14+[1]Capital!Q16+[1]Capital!Q18+[1]Capital!Q20+[1]Capital!Q22+[1]Capital!Q24+[1]Capital!Q26+[1]Capital!Q40</f>
        <v>3301148.706458</v>
      </c>
      <c r="S176" s="5">
        <f>[1]Capital!R8+[1]Capital!R10+[1]Capital!R13+[1]Capital!R14+[1]Capital!R16+[1]Capital!R18+[1]Capital!R20+[1]Capital!R22+[1]Capital!R24+[1]Capital!R26+[1]Capital!R40</f>
        <v>3371583.1462599998</v>
      </c>
      <c r="T176" s="5">
        <f>[1]Capital!S8+[1]Capital!S10+[1]Capital!S13+[1]Capital!S14+[1]Capital!S16+[1]Capital!S18+[1]Capital!S20+[1]Capital!S22+[1]Capital!S24+[1]Capital!S26+[1]Capital!S40</f>
        <v>3445767.7205770002</v>
      </c>
      <c r="U176" s="5">
        <f>[1]Capital!T8+[1]Capital!T10+[1]Capital!T13+[1]Capital!T14+[1]Capital!T16+[1]Capital!T18+[1]Capital!T20+[1]Capital!T22+[1]Capital!T24+[1]Capital!T26+[1]Capital!T40</f>
        <v>3524037.9395490005</v>
      </c>
      <c r="V176" s="5">
        <f>[1]Capital!U8+[1]Capital!U10+[1]Capital!U13+[1]Capital!U14+[1]Capital!U16+[1]Capital!U18+[1]Capital!U20+[1]Capital!U22+[1]Capital!U24+[1]Capital!U26+[1]Capital!U40</f>
        <v>3606800.9891380002</v>
      </c>
      <c r="W176" s="5">
        <f>[1]Capital!V8+[1]Capital!V10+[1]Capital!V13+[1]Capital!V14+[1]Capital!V16+[1]Capital!V18+[1]Capital!V20+[1]Capital!V22+[1]Capital!V24+[1]Capital!V26+[1]Capital!V40</f>
        <v>3694465.8154540001</v>
      </c>
      <c r="X176" s="5">
        <f>[1]Capital!W8+[1]Capital!W10+[1]Capital!W13+[1]Capital!W14+[1]Capital!W16+[1]Capital!W18+[1]Capital!W20+[1]Capital!W22+[1]Capital!W24+[1]Capital!W26+[1]Capital!W40</f>
        <v>3787524.6112009999</v>
      </c>
      <c r="Y176" s="5">
        <f>[1]Capital!X8+[1]Capital!X10+[1]Capital!X13+[1]Capital!X14+[1]Capital!X16+[1]Capital!X18+[1]Capital!X20+[1]Capital!X22+[1]Capital!X24+[1]Capital!X26+[1]Capital!X40</f>
        <v>3886530.9189459998</v>
      </c>
      <c r="Z176" s="5">
        <f>[1]Capital!Y8+[1]Capital!Y10+[1]Capital!Y13+[1]Capital!Y14+[1]Capital!Y16+[1]Capital!Y18+[1]Capital!Y20+[1]Capital!Y22+[1]Capital!Y24+[1]Capital!Y26+[1]Capital!Y40</f>
        <v>3992087.2898459998</v>
      </c>
      <c r="AA176" s="5">
        <f>[1]Capital!Z8+[1]Capital!Z10+[1]Capital!Z13+[1]Capital!Z14+[1]Capital!Z16+[1]Capital!Z18+[1]Capital!Z20+[1]Capital!Z22+[1]Capital!Z24+[1]Capital!Z26+[1]Capital!Z40</f>
        <v>4104820.3033650001</v>
      </c>
      <c r="AB176" s="5">
        <f>[1]Capital!AA8+[1]Capital!AA10+[1]Capital!AA13+[1]Capital!AA14+[1]Capital!AA16+[1]Capital!AA18+[1]Capital!AA20+[1]Capital!AA22+[1]Capital!AA24+[1]Capital!AA26+[1]Capital!AA40</f>
        <v>4225218.664481</v>
      </c>
      <c r="AC176" s="5">
        <f>[1]Capital!AB8+[1]Capital!AB10+[1]Capital!AB13+[1]Capital!AB14+[1]Capital!AB16+[1]Capital!AB18+[1]Capital!AB20+[1]Capital!AB22+[1]Capital!AB24+[1]Capital!AB26+[1]Capital!AB40</f>
        <v>4353874.5500920005</v>
      </c>
      <c r="AD176" s="5">
        <f>[1]Capital!AC8+[1]Capital!AC10+[1]Capital!AC13+[1]Capital!AC14+[1]Capital!AC16+[1]Capital!AC18+[1]Capital!AC20+[1]Capital!AC22+[1]Capital!AC24+[1]Capital!AC26+[1]Capital!AC40</f>
        <v>4491437.8809059998</v>
      </c>
      <c r="AE176" s="5">
        <f>[1]Capital!AD8+[1]Capital!AD10+[1]Capital!AD13+[1]Capital!AD14+[1]Capital!AD16+[1]Capital!AD18+[1]Capital!AD20+[1]Capital!AD22+[1]Capital!AD24+[1]Capital!AD26+[1]Capital!AD40</f>
        <v>4638637.6074399995</v>
      </c>
      <c r="AF176" s="5">
        <f>[1]Capital!AE8+[1]Capital!AE10+[1]Capital!AE13+[1]Capital!AE14+[1]Capital!AE16+[1]Capital!AE18+[1]Capital!AE20+[1]Capital!AE22+[1]Capital!AE24+[1]Capital!AE26+[1]Capital!AE40</f>
        <v>4796263.7908630008</v>
      </c>
      <c r="AG176" s="5">
        <f>[1]Capital!AF8+[1]Capital!AF10+[1]Capital!AF13+[1]Capital!AF14+[1]Capital!AF16+[1]Capital!AF18+[1]Capital!AF20+[1]Capital!AF22+[1]Capital!AF24+[1]Capital!AF26+[1]Capital!AF40</f>
        <v>4965156.1659609992</v>
      </c>
      <c r="AH176" s="5">
        <f>[1]Capital!AG8+[1]Capital!AG10+[1]Capital!AG13+[1]Capital!AG14+[1]Capital!AG16+[1]Capital!AG18+[1]Capital!AG20+[1]Capital!AG22+[1]Capital!AG24+[1]Capital!AG26+[1]Capital!AG40</f>
        <v>5146227.3052239995</v>
      </c>
      <c r="AI176" s="5">
        <f>[1]Capital!AH8+[1]Capital!AH10+[1]Capital!AH13+[1]Capital!AH14+[1]Capital!AH16+[1]Capital!AH18+[1]Capital!AH20+[1]Capital!AH22+[1]Capital!AH24+[1]Capital!AH26+[1]Capital!AH40</f>
        <v>5340519.1763689993</v>
      </c>
      <c r="AJ176" s="5">
        <f>[1]Capital!AI8+[1]Capital!AI10+[1]Capital!AI13+[1]Capital!AI14+[1]Capital!AI16+[1]Capital!AI18+[1]Capital!AI20+[1]Capital!AI22+[1]Capital!AI24+[1]Capital!AI26+[1]Capital!AI40</f>
        <v>5549293.8341470007</v>
      </c>
      <c r="AK176" s="5">
        <f>[1]Capital!AJ8+[1]Capital!AJ10+[1]Capital!AJ13+[1]Capital!AJ14+[1]Capital!AJ16+[1]Capital!AJ18+[1]Capital!AJ20+[1]Capital!AJ22+[1]Capital!AJ24+[1]Capital!AJ26+[1]Capital!AJ40</f>
        <v>5774159.8215180002</v>
      </c>
      <c r="AL176" s="5">
        <f>[1]Capital!AK8+[1]Capital!AK10+[1]Capital!AK13+[1]Capital!AK14+[1]Capital!AK16+[1]Capital!AK18+[1]Capital!AK20+[1]Capital!AK22+[1]Capital!AK24+[1]Capital!AK26+[1]Capital!AK40</f>
        <v>6017264.9925539996</v>
      </c>
    </row>
    <row r="177" spans="1:38" x14ac:dyDescent="0.35">
      <c r="B177" t="s">
        <v>9</v>
      </c>
      <c r="C177" s="5">
        <f>[1]Capital!B28+[1]Capital!B30+[1]Capital!B32+[1]Capital!B34</f>
        <v>88549.631506999998</v>
      </c>
      <c r="D177" s="5">
        <f>[1]Capital!C28+[1]Capital!C30+[1]Capital!C32+[1]Capital!C34</f>
        <v>89603.730679</v>
      </c>
      <c r="E177" s="5">
        <f>[1]Capital!D28+[1]Capital!D30+[1]Capital!D32+[1]Capital!D34</f>
        <v>90715.318325999993</v>
      </c>
      <c r="F177" s="5">
        <f>[1]Capital!E28+[1]Capital!E30+[1]Capital!E32+[1]Capital!E34</f>
        <v>91888.691669000007</v>
      </c>
      <c r="G177" s="5">
        <f>[1]Capital!F28+[1]Capital!F30+[1]Capital!F32+[1]Capital!F34</f>
        <v>93126.472875000007</v>
      </c>
      <c r="H177" s="5">
        <f>[1]Capital!G28+[1]Capital!G30+[1]Capital!G32+[1]Capital!G34</f>
        <v>94431.499953000006</v>
      </c>
      <c r="I177" s="5">
        <f>[1]Capital!H28+[1]Capital!H30+[1]Capital!H32+[1]Capital!H34</f>
        <v>95805.06581</v>
      </c>
      <c r="J177" s="5">
        <f>[1]Capital!I28+[1]Capital!I30+[1]Capital!I32+[1]Capital!I34</f>
        <v>97220.794125</v>
      </c>
      <c r="K177" s="5">
        <f>[1]Capital!J28+[1]Capital!J30+[1]Capital!J32+[1]Capital!J34</f>
        <v>98681.529196999996</v>
      </c>
      <c r="L177" s="5">
        <f>[1]Capital!K28+[1]Capital!K30+[1]Capital!K32+[1]Capital!K34</f>
        <v>100244.13237199999</v>
      </c>
      <c r="M177" s="5">
        <f>[1]Capital!L28+[1]Capital!L30+[1]Capital!L32+[1]Capital!L34</f>
        <v>101938.274003</v>
      </c>
      <c r="N177" s="5">
        <f>[1]Capital!M28+[1]Capital!M30+[1]Capital!M32+[1]Capital!M34</f>
        <v>103772.79485000001</v>
      </c>
      <c r="O177" s="5">
        <f>[1]Capital!N28+[1]Capital!N30+[1]Capital!N32+[1]Capital!N34</f>
        <v>105738.83760900001</v>
      </c>
      <c r="P177" s="5">
        <f>[1]Capital!O28+[1]Capital!O30+[1]Capital!O32+[1]Capital!O34</f>
        <v>107813.699859</v>
      </c>
      <c r="Q177" s="5">
        <f>[1]Capital!P28+[1]Capital!P30+[1]Capital!P32+[1]Capital!P34</f>
        <v>109978.905145</v>
      </c>
      <c r="R177" s="5">
        <f>[1]Capital!Q28+[1]Capital!Q30+[1]Capital!Q32+[1]Capital!Q34</f>
        <v>112222.228749</v>
      </c>
      <c r="S177" s="5">
        <f>[1]Capital!R28+[1]Capital!R30+[1]Capital!R32+[1]Capital!R34</f>
        <v>114539.275635</v>
      </c>
      <c r="T177" s="5">
        <f>[1]Capital!S28+[1]Capital!S30+[1]Capital!S32+[1]Capital!S34</f>
        <v>116932.24178600001</v>
      </c>
      <c r="U177" s="5">
        <f>[1]Capital!T28+[1]Capital!T30+[1]Capital!T32+[1]Capital!T34</f>
        <v>119409.29494600001</v>
      </c>
      <c r="V177" s="5">
        <f>[1]Capital!U28+[1]Capital!U30+[1]Capital!U32+[1]Capital!U34</f>
        <v>121981.804278</v>
      </c>
      <c r="W177" s="5">
        <f>[1]Capital!V28+[1]Capital!V30+[1]Capital!V32+[1]Capital!V34</f>
        <v>124661.602214</v>
      </c>
      <c r="X177" s="5">
        <f>[1]Capital!W28+[1]Capital!W30+[1]Capital!W32+[1]Capital!W34</f>
        <v>127464.105633</v>
      </c>
      <c r="Y177" s="5">
        <f>[1]Capital!X28+[1]Capital!X30+[1]Capital!X32+[1]Capital!X34</f>
        <v>130407.299979</v>
      </c>
      <c r="Z177" s="5">
        <f>[1]Capital!Y28+[1]Capital!Y30+[1]Capital!Y32+[1]Capital!Y34</f>
        <v>133509.44925199999</v>
      </c>
      <c r="AA177" s="5">
        <f>[1]Capital!Z28+[1]Capital!Z30+[1]Capital!Z32+[1]Capital!Z34</f>
        <v>136786.51676499998</v>
      </c>
      <c r="AB177" s="5">
        <f>[1]Capital!AA28+[1]Capital!AA30+[1]Capital!AA32+[1]Capital!AA34</f>
        <v>140247.28162199998</v>
      </c>
      <c r="AC177" s="5">
        <f>[1]Capital!AB28+[1]Capital!AB30+[1]Capital!AB32+[1]Capital!AB34</f>
        <v>143905.02941300001</v>
      </c>
      <c r="AD177" s="5">
        <f>[1]Capital!AC28+[1]Capital!AC30+[1]Capital!AC32+[1]Capital!AC34</f>
        <v>147779.073236</v>
      </c>
      <c r="AE177" s="5">
        <f>[1]Capital!AD28+[1]Capital!AD30+[1]Capital!AD32+[1]Capital!AD34</f>
        <v>151890.53328999999</v>
      </c>
      <c r="AF177" s="5">
        <f>[1]Capital!AE28+[1]Capital!AE30+[1]Capital!AE32+[1]Capital!AE34</f>
        <v>156256.527856</v>
      </c>
      <c r="AG177" s="5">
        <f>[1]Capital!AF28+[1]Capital!AF30+[1]Capital!AF32+[1]Capital!AF34</f>
        <v>160887.067969</v>
      </c>
      <c r="AH177" s="5">
        <f>[1]Capital!AG28+[1]Capital!AG30+[1]Capital!AG32+[1]Capital!AG34</f>
        <v>165787.18075900001</v>
      </c>
      <c r="AI177" s="5">
        <f>[1]Capital!AH28+[1]Capital!AH30+[1]Capital!AH32+[1]Capital!AH34</f>
        <v>170960.08200599998</v>
      </c>
      <c r="AJ177" s="5">
        <f>[1]Capital!AI28+[1]Capital!AI30+[1]Capital!AI32+[1]Capital!AI34</f>
        <v>176406.96333299999</v>
      </c>
      <c r="AK177" s="5">
        <f>[1]Capital!AJ28+[1]Capital!AJ30+[1]Capital!AJ32+[1]Capital!AJ34</f>
        <v>182126.459646</v>
      </c>
      <c r="AL177" s="5">
        <f>[1]Capital!AK28+[1]Capital!AK30+[1]Capital!AK32+[1]Capital!AK34</f>
        <v>188114.484275</v>
      </c>
    </row>
    <row r="178" spans="1:38" x14ac:dyDescent="0.35">
      <c r="B178" t="s">
        <v>10</v>
      </c>
      <c r="C178" s="5">
        <f>[1]Capital!B36+[1]Capital!B38</f>
        <v>2425571.3405999998</v>
      </c>
      <c r="D178" s="5">
        <f>[1]Capital!C36+[1]Capital!C38</f>
        <v>2454131.0136000002</v>
      </c>
      <c r="E178" s="5">
        <f>[1]Capital!D36+[1]Capital!D38</f>
        <v>2483986.2442999999</v>
      </c>
      <c r="F178" s="5">
        <f>[1]Capital!E36+[1]Capital!E38</f>
        <v>2515411.6381000001</v>
      </c>
      <c r="G178" s="5">
        <f>[1]Capital!F36+[1]Capital!F38</f>
        <v>2548636.3121000002</v>
      </c>
      <c r="H178" s="5">
        <f>[1]Capital!G36+[1]Capital!G38</f>
        <v>2583794.2353999997</v>
      </c>
      <c r="I178" s="5">
        <f>[1]Capital!H36+[1]Capital!H38</f>
        <v>2620883.5604999997</v>
      </c>
      <c r="J178" s="5">
        <f>[1]Capital!I36+[1]Capital!I38</f>
        <v>2659233.6157999998</v>
      </c>
      <c r="K178" s="5">
        <f>[1]Capital!J36+[1]Capital!J38</f>
        <v>2698677.3566000001</v>
      </c>
      <c r="L178" s="5">
        <f>[1]Capital!K36+[1]Capital!K38</f>
        <v>2739751.6738</v>
      </c>
      <c r="M178" s="5">
        <f>[1]Capital!L36+[1]Capital!L38</f>
        <v>2782893.3524000002</v>
      </c>
      <c r="N178" s="5">
        <f>[1]Capital!M36+[1]Capital!M38</f>
        <v>2828294.9674</v>
      </c>
      <c r="O178" s="5">
        <f>[1]Capital!N36+[1]Capital!N38</f>
        <v>2876009.8880000003</v>
      </c>
      <c r="P178" s="5">
        <f>[1]Capital!O36+[1]Capital!O38</f>
        <v>2925939.3374999999</v>
      </c>
      <c r="Q178" s="5">
        <f>[1]Capital!P36+[1]Capital!P38</f>
        <v>2977991.7377999998</v>
      </c>
      <c r="R178" s="5">
        <f>[1]Capital!Q36+[1]Capital!Q38</f>
        <v>3032118.3106</v>
      </c>
      <c r="S178" s="5">
        <f>[1]Capital!R36+[1]Capital!R38</f>
        <v>3088248.3783999998</v>
      </c>
      <c r="T178" s="5">
        <f>[1]Capital!S36+[1]Capital!S38</f>
        <v>3146392.3407000001</v>
      </c>
      <c r="U178" s="5">
        <f>[1]Capital!T36+[1]Capital!T38</f>
        <v>3206636.5150000001</v>
      </c>
      <c r="V178" s="5">
        <f>[1]Capital!U36+[1]Capital!U38</f>
        <v>3269117.0582999997</v>
      </c>
      <c r="W178" s="5">
        <f>[1]Capital!V36+[1]Capital!V38</f>
        <v>3333913.3014000002</v>
      </c>
      <c r="X178" s="5">
        <f>[1]Capital!W36+[1]Capital!W38</f>
        <v>3401243.213</v>
      </c>
      <c r="Y178" s="5">
        <f>[1]Capital!X36+[1]Capital!X38</f>
        <v>3471343.9604000002</v>
      </c>
      <c r="Z178" s="5">
        <f>[1]Capital!Y36+[1]Capital!Y38</f>
        <v>3544473.0567999999</v>
      </c>
      <c r="AA178" s="5">
        <f>[1]Capital!Z36+[1]Capital!Z38</f>
        <v>3620889.8168000001</v>
      </c>
      <c r="AB178" s="5">
        <f>[1]Capital!AA36+[1]Capital!AA38</f>
        <v>3700578.4036999997</v>
      </c>
      <c r="AC178" s="5">
        <f>[1]Capital!AB36+[1]Capital!AB38</f>
        <v>3783735.1232999996</v>
      </c>
      <c r="AD178" s="5">
        <f>[1]Capital!AC36+[1]Capital!AC38</f>
        <v>3870570.5480000004</v>
      </c>
      <c r="AE178" s="5">
        <f>[1]Capital!AD36+[1]Capital!AD38</f>
        <v>3961332.2381000002</v>
      </c>
      <c r="AF178" s="5">
        <f>[1]Capital!AE36+[1]Capital!AE38</f>
        <v>4056284.8598000002</v>
      </c>
      <c r="AG178" s="5">
        <f>[1]Capital!AF36+[1]Capital!AF38</f>
        <v>4155677.5882000001</v>
      </c>
      <c r="AH178" s="5">
        <f>[1]Capital!AG36+[1]Capital!AG38</f>
        <v>4259725.1688000001</v>
      </c>
      <c r="AI178" s="5">
        <f>[1]Capital!AH36+[1]Capital!AH38</f>
        <v>4368612.2396999998</v>
      </c>
      <c r="AJ178" s="5">
        <f>[1]Capital!AI36+[1]Capital!AI38</f>
        <v>4482518.9578999998</v>
      </c>
      <c r="AK178" s="5">
        <f>[1]Capital!AJ36+[1]Capital!AJ38</f>
        <v>4601645.3180999998</v>
      </c>
      <c r="AL178" s="5">
        <f>[1]Capital!AK36+[1]Capital!AK38</f>
        <v>4726242.7030999996</v>
      </c>
    </row>
    <row r="179" spans="1:38" x14ac:dyDescent="0.35">
      <c r="B179" t="s">
        <v>29</v>
      </c>
      <c r="C179" s="5">
        <f>[1]Capital!B42+[1]Capital!B46</f>
        <v>22925.318532499998</v>
      </c>
      <c r="D179" s="5">
        <f>[1]Capital!C42+[1]Capital!C46</f>
        <v>23175.891548800002</v>
      </c>
      <c r="E179" s="5">
        <f>[1]Capital!D42+[1]Capital!D46</f>
        <v>23416.050523000002</v>
      </c>
      <c r="F179" s="5">
        <f>[1]Capital!E42+[1]Capital!E46</f>
        <v>23645.118803400001</v>
      </c>
      <c r="G179" s="5">
        <f>[1]Capital!F42+[1]Capital!F46</f>
        <v>23866.9832852</v>
      </c>
      <c r="H179" s="5">
        <f>[1]Capital!G42+[1]Capital!G46</f>
        <v>24086.359504499997</v>
      </c>
      <c r="I179" s="5">
        <f>[1]Capital!H42+[1]Capital!H46</f>
        <v>24307.0336045</v>
      </c>
      <c r="J179" s="5">
        <f>[1]Capital!I42+[1]Capital!I46</f>
        <v>24493.2170415</v>
      </c>
      <c r="K179" s="5">
        <f>[1]Capital!J42+[1]Capital!J46</f>
        <v>24634.0573219</v>
      </c>
      <c r="L179" s="5">
        <f>[1]Capital!K42+[1]Capital!K46</f>
        <v>24732.965710799999</v>
      </c>
      <c r="M179" s="5">
        <f>[1]Capital!L42+[1]Capital!L46</f>
        <v>24792.679791099999</v>
      </c>
      <c r="N179" s="5">
        <f>[1]Capital!M42+[1]Capital!M46</f>
        <v>24816.506156799998</v>
      </c>
      <c r="O179" s="5">
        <f>[1]Capital!N42+[1]Capital!N46</f>
        <v>24806.803259299999</v>
      </c>
      <c r="P179" s="5">
        <f>[1]Capital!O42+[1]Capital!O46</f>
        <v>24764.6240167</v>
      </c>
      <c r="Q179" s="5">
        <f>[1]Capital!P42+[1]Capital!P46</f>
        <v>24691.386409299997</v>
      </c>
      <c r="R179" s="5">
        <f>[1]Capital!Q42+[1]Capital!Q46</f>
        <v>24588.953846100001</v>
      </c>
      <c r="S179" s="5">
        <f>[1]Capital!R42+[1]Capital!R46</f>
        <v>24457.155357200001</v>
      </c>
      <c r="T179" s="5">
        <f>[1]Capital!S42+[1]Capital!S46</f>
        <v>24297.0279649</v>
      </c>
      <c r="U179" s="5">
        <f>[1]Capital!T42+[1]Capital!T46</f>
        <v>24110.293765399998</v>
      </c>
      <c r="V179" s="5">
        <f>[1]Capital!U42+[1]Capital!U46</f>
        <v>23898.9872029</v>
      </c>
      <c r="W179" s="5">
        <f>[1]Capital!V42+[1]Capital!V46</f>
        <v>23665.1591214</v>
      </c>
      <c r="X179" s="5">
        <f>[1]Capital!W42+[1]Capital!W46</f>
        <v>23411.089741700001</v>
      </c>
      <c r="Y179" s="5">
        <f>[1]Capital!X42+[1]Capital!X46</f>
        <v>23139.141444599998</v>
      </c>
      <c r="Z179" s="5">
        <f>[1]Capital!Y42+[1]Capital!Y46</f>
        <v>22851.607247100001</v>
      </c>
      <c r="AA179" s="5">
        <f>[1]Capital!Z42+[1]Capital!Z46</f>
        <v>22550.551890900002</v>
      </c>
      <c r="AB179" s="5">
        <f>[1]Capital!AA42+[1]Capital!AA46</f>
        <v>22237.4414583</v>
      </c>
      <c r="AC179" s="5">
        <f>[1]Capital!AB42+[1]Capital!AB46</f>
        <v>21914.206383000001</v>
      </c>
      <c r="AD179" s="5">
        <f>[1]Capital!AC42+[1]Capital!AC46</f>
        <v>21582.548438400001</v>
      </c>
      <c r="AE179" s="5">
        <f>[1]Capital!AD42+[1]Capital!AD46</f>
        <v>21243.9096293</v>
      </c>
      <c r="AF179" s="5">
        <f>[1]Capital!AE42+[1]Capital!AE46</f>
        <v>20899.209367300002</v>
      </c>
      <c r="AG179" s="5">
        <f>[1]Capital!AF42+[1]Capital!AF46</f>
        <v>20548.702390999999</v>
      </c>
      <c r="AH179" s="5">
        <f>[1]Capital!AG42+[1]Capital!AG46</f>
        <v>20192.0676929</v>
      </c>
      <c r="AI179" s="5">
        <f>[1]Capital!AH42+[1]Capital!AH46</f>
        <v>19828.561210599997</v>
      </c>
      <c r="AJ179" s="5">
        <f>[1]Capital!AI42+[1]Capital!AI46</f>
        <v>19457.098241400003</v>
      </c>
      <c r="AK179" s="5">
        <f>[1]Capital!AJ42+[1]Capital!AJ46</f>
        <v>19076.326190399999</v>
      </c>
      <c r="AL179" s="5">
        <f>[1]Capital!AK42+[1]Capital!AK46</f>
        <v>18684.7179966</v>
      </c>
    </row>
    <row r="180" spans="1:38" x14ac:dyDescent="0.35">
      <c r="B180" t="s">
        <v>36</v>
      </c>
      <c r="C180" s="5">
        <f>[1]Capital!B44+[1]Capital!B48</f>
        <v>1941.7266677</v>
      </c>
      <c r="D180" s="5">
        <f>[1]Capital!C44+[1]Capital!C48</f>
        <v>1962.5989995999998</v>
      </c>
      <c r="E180" s="5">
        <f>[1]Capital!D44+[1]Capital!D48</f>
        <v>1982.1530875000001</v>
      </c>
      <c r="F180" s="5">
        <f>[1]Capital!E44+[1]Capital!E48</f>
        <v>2000.3422481</v>
      </c>
      <c r="G180" s="5">
        <f>[1]Capital!F44+[1]Capital!F48</f>
        <v>2017.5747079</v>
      </c>
      <c r="H180" s="5">
        <f>[1]Capital!G44+[1]Capital!G48</f>
        <v>2034.3181852</v>
      </c>
      <c r="I180" s="5">
        <f>[1]Capital!H44+[1]Capital!H48</f>
        <v>2050.9549050999999</v>
      </c>
      <c r="J180" s="5">
        <f>[1]Capital!I44+[1]Capital!I48</f>
        <v>2091.6918029999997</v>
      </c>
      <c r="K180" s="5">
        <f>[1]Capital!J44+[1]Capital!J48</f>
        <v>2164.8286616</v>
      </c>
      <c r="L180" s="5">
        <f>[1]Capital!K44+[1]Capital!K48</f>
        <v>2273.9907099000002</v>
      </c>
      <c r="M180" s="5">
        <f>[1]Capital!L44+[1]Capital!L48</f>
        <v>2421.2860473999999</v>
      </c>
      <c r="N180" s="5">
        <f>[1]Capital!M44+[1]Capital!M48</f>
        <v>2608.7081075000001</v>
      </c>
      <c r="O180" s="5">
        <f>[1]Capital!N44+[1]Capital!N48</f>
        <v>2838.2184824999999</v>
      </c>
      <c r="P180" s="5">
        <f>[1]Capital!O44+[1]Capital!O48</f>
        <v>3111.6630564000002</v>
      </c>
      <c r="Q180" s="5">
        <f>[1]Capital!P44+[1]Capital!P48</f>
        <v>3430.8545823999998</v>
      </c>
      <c r="R180" s="5">
        <f>[1]Capital!Q44+[1]Capital!Q48</f>
        <v>3797.5761817000002</v>
      </c>
      <c r="S180" s="5">
        <f>[1]Capital!R44+[1]Capital!R48</f>
        <v>4213.2533201999995</v>
      </c>
      <c r="T180" s="5">
        <f>[1]Capital!S44+[1]Capital!S48</f>
        <v>4679.2071552999996</v>
      </c>
      <c r="U180" s="5">
        <f>[1]Capital!T44+[1]Capital!T48</f>
        <v>5196.7748718000003</v>
      </c>
      <c r="V180" s="5">
        <f>[1]Capital!U44+[1]Capital!U48</f>
        <v>5767.3491715999999</v>
      </c>
      <c r="W180" s="5">
        <f>[1]Capital!V44+[1]Capital!V48</f>
        <v>6392.3371534999997</v>
      </c>
      <c r="X180" s="5">
        <f>[1]Capital!W44+[1]Capital!W48</f>
        <v>7073.3396563999995</v>
      </c>
      <c r="Y180" s="5">
        <f>[1]Capital!X44+[1]Capital!X48</f>
        <v>7812.1835091000003</v>
      </c>
      <c r="Z180" s="5">
        <f>[1]Capital!Y44+[1]Capital!Y48</f>
        <v>8610.9432183000008</v>
      </c>
      <c r="AA180" s="5">
        <f>[1]Capital!Z44+[1]Capital!Z48</f>
        <v>9471.946304000001</v>
      </c>
      <c r="AB180" s="5">
        <f>[1]Capital!AA44+[1]Capital!AA48</f>
        <v>10397.508865</v>
      </c>
      <c r="AC180" s="5">
        <f>[1]Capital!AB44+[1]Capital!AB48</f>
        <v>11390.467497000001</v>
      </c>
      <c r="AD180" s="5">
        <f>[1]Capital!AC44+[1]Capital!AC48</f>
        <v>12454.343422000002</v>
      </c>
      <c r="AE180" s="5">
        <f>[1]Capital!AD44+[1]Capital!AD48</f>
        <v>13593.386497000001</v>
      </c>
      <c r="AF180" s="5">
        <f>[1]Capital!AE44+[1]Capital!AE48</f>
        <v>14812.515503999999</v>
      </c>
      <c r="AG180" s="5">
        <f>[1]Capital!AF44+[1]Capital!AF48</f>
        <v>16117.295022</v>
      </c>
      <c r="AH180" s="5">
        <f>[1]Capital!AG44+[1]Capital!AG48</f>
        <v>17514.098030000001</v>
      </c>
      <c r="AI180" s="5">
        <f>[1]Capital!AH44+[1]Capital!AH48</f>
        <v>19010.436396999998</v>
      </c>
      <c r="AJ180" s="5">
        <f>[1]Capital!AI44+[1]Capital!AI48</f>
        <v>20615.393064</v>
      </c>
      <c r="AK180" s="5">
        <f>[1]Capital!AJ44+[1]Capital!AJ48</f>
        <v>22340.312130999999</v>
      </c>
      <c r="AL180" s="5">
        <f>[1]Capital!AK44+[1]Capital!AK48</f>
        <v>24200.003368000002</v>
      </c>
    </row>
    <row r="181" spans="1:38" x14ac:dyDescent="0.35">
      <c r="B181" t="s">
        <v>33</v>
      </c>
      <c r="C181" s="5">
        <f>[1]Capital!B50+[1]Capital!B52+[1]Capital!B54+[1]Capital!B56+[1]Capital!B58+[1]Capital!B60+[1]Capital!B62+[1]Capital!B64+[1]Capital!B66</f>
        <v>40303.597149320005</v>
      </c>
      <c r="D181" s="5">
        <f>[1]Capital!C50+[1]Capital!C52+[1]Capital!C54+[1]Capital!C56+[1]Capital!C58+[1]Capital!C60+[1]Capital!C62+[1]Capital!C64+[1]Capital!C66</f>
        <v>40772.883839809998</v>
      </c>
      <c r="E181" s="5">
        <f>[1]Capital!D50+[1]Capital!D52+[1]Capital!D54+[1]Capital!D56+[1]Capital!D58+[1]Capital!D60+[1]Capital!D62+[1]Capital!D64+[1]Capital!D66</f>
        <v>41242.969733739999</v>
      </c>
      <c r="F181" s="5">
        <f>[1]Capital!E50+[1]Capital!E52+[1]Capital!E54+[1]Capital!E56+[1]Capital!E58+[1]Capital!E60+[1]Capital!E62+[1]Capital!E64+[1]Capital!E66</f>
        <v>41713.495294340006</v>
      </c>
      <c r="G181" s="5">
        <f>[1]Capital!F50+[1]Capital!F52+[1]Capital!F54+[1]Capital!F56+[1]Capital!F58+[1]Capital!F60+[1]Capital!F62+[1]Capital!F64+[1]Capital!F66</f>
        <v>42179.890518680004</v>
      </c>
      <c r="H181" s="5">
        <f>[1]Capital!G50+[1]Capital!G52+[1]Capital!G54+[1]Capital!G56+[1]Capital!G58+[1]Capital!G60+[1]Capital!G62+[1]Capital!G64+[1]Capital!G66</f>
        <v>42640.696982879999</v>
      </c>
      <c r="I181" s="5">
        <f>[1]Capital!H50+[1]Capital!H52+[1]Capital!H54+[1]Capital!H56+[1]Capital!H58+[1]Capital!H60+[1]Capital!H62+[1]Capital!H64+[1]Capital!H66</f>
        <v>43096.479137399998</v>
      </c>
      <c r="J181" s="5">
        <f>[1]Capital!I50+[1]Capital!I52+[1]Capital!I54+[1]Capital!I56+[1]Capital!I58+[1]Capital!I60+[1]Capital!I62+[1]Capital!I64+[1]Capital!I66</f>
        <v>43630.695983460006</v>
      </c>
      <c r="K181" s="5">
        <f>[1]Capital!J50+[1]Capital!J52+[1]Capital!J54+[1]Capital!J56+[1]Capital!J58+[1]Capital!J60+[1]Capital!J62+[1]Capital!J64+[1]Capital!J66</f>
        <v>44283.756779759999</v>
      </c>
      <c r="L181" s="5">
        <f>[1]Capital!K50+[1]Capital!K52+[1]Capital!K54+[1]Capital!K56+[1]Capital!K58+[1]Capital!K60+[1]Capital!K62+[1]Capital!K64+[1]Capital!K66</f>
        <v>45083.124193460004</v>
      </c>
      <c r="M181" s="5">
        <f>[1]Capital!L50+[1]Capital!L52+[1]Capital!L54+[1]Capital!L56+[1]Capital!L58+[1]Capital!L60+[1]Capital!L62+[1]Capital!L64+[1]Capital!L66</f>
        <v>46042.92318795</v>
      </c>
      <c r="N181" s="5">
        <f>[1]Capital!M50+[1]Capital!M52+[1]Capital!M54+[1]Capital!M56+[1]Capital!M58+[1]Capital!M60+[1]Capital!M62+[1]Capital!M64+[1]Capital!M66</f>
        <v>47162.152122229993</v>
      </c>
      <c r="O181" s="5">
        <f>[1]Capital!N50+[1]Capital!N52+[1]Capital!N54+[1]Capital!N56+[1]Capital!N58+[1]Capital!N60+[1]Capital!N62+[1]Capital!N64+[1]Capital!N66</f>
        <v>48440.434616769999</v>
      </c>
      <c r="P181" s="5">
        <f>[1]Capital!O50+[1]Capital!O52+[1]Capital!O54+[1]Capital!O56+[1]Capital!O58+[1]Capital!O60+[1]Capital!O62+[1]Capital!O64+[1]Capital!O66</f>
        <v>49880.716826980002</v>
      </c>
      <c r="Q181" s="5">
        <f>[1]Capital!P50+[1]Capital!P52+[1]Capital!P54+[1]Capital!P56+[1]Capital!P58+[1]Capital!P60+[1]Capital!P62+[1]Capital!P64+[1]Capital!P66</f>
        <v>51492.108446160004</v>
      </c>
      <c r="R181" s="5">
        <f>[1]Capital!Q50+[1]Capital!Q52+[1]Capital!Q54+[1]Capital!Q56+[1]Capital!Q58+[1]Capital!Q60+[1]Capital!Q62+[1]Capital!Q64+[1]Capital!Q66</f>
        <v>53289.322744369994</v>
      </c>
      <c r="S181" s="5">
        <f>[1]Capital!R50+[1]Capital!R52+[1]Capital!R54+[1]Capital!R56+[1]Capital!R58+[1]Capital!R60+[1]Capital!R62+[1]Capital!R64+[1]Capital!R66</f>
        <v>55290.951768400002</v>
      </c>
      <c r="T181" s="5">
        <f>[1]Capital!S50+[1]Capital!S52+[1]Capital!S54+[1]Capital!S56+[1]Capital!S58+[1]Capital!S60+[1]Capital!S62+[1]Capital!S64+[1]Capital!S66</f>
        <v>57520.218134570001</v>
      </c>
      <c r="U181" s="5">
        <f>[1]Capital!T50+[1]Capital!T52+[1]Capital!T54+[1]Capital!T56+[1]Capital!T58+[1]Capital!T60+[1]Capital!T62+[1]Capital!T64+[1]Capital!T66</f>
        <v>60003.558251160008</v>
      </c>
      <c r="V181" s="5">
        <f>[1]Capital!U50+[1]Capital!U52+[1]Capital!U54+[1]Capital!U56+[1]Capital!U58+[1]Capital!U60+[1]Capital!U62+[1]Capital!U64+[1]Capital!U66</f>
        <v>62771.347498510004</v>
      </c>
      <c r="W181" s="5">
        <f>[1]Capital!V50+[1]Capital!V52+[1]Capital!V54+[1]Capital!V56+[1]Capital!V58+[1]Capital!V60+[1]Capital!V62+[1]Capital!V64+[1]Capital!V66</f>
        <v>65858.109081560018</v>
      </c>
      <c r="X181" s="5">
        <f>[1]Capital!W50+[1]Capital!W52+[1]Capital!W54+[1]Capital!W56+[1]Capital!W58+[1]Capital!W60+[1]Capital!W62+[1]Capital!W64+[1]Capital!W66</f>
        <v>69307.397166129987</v>
      </c>
      <c r="Y181" s="5">
        <f>[1]Capital!X50+[1]Capital!X52+[1]Capital!X54+[1]Capital!X56+[1]Capital!X58+[1]Capital!X60+[1]Capital!X62+[1]Capital!X64+[1]Capital!X66</f>
        <v>73172.842774379984</v>
      </c>
      <c r="Z181" s="5">
        <f>[1]Capital!Y50+[1]Capital!Y52+[1]Capital!Y54+[1]Capital!Y56+[1]Capital!Y58+[1]Capital!Y60+[1]Capital!Y62+[1]Capital!Y64+[1]Capital!Y66</f>
        <v>77519.554100340014</v>
      </c>
      <c r="AA181" s="5">
        <f>[1]Capital!Z50+[1]Capital!Z52+[1]Capital!Z54+[1]Capital!Z56+[1]Capital!Z58+[1]Capital!Z60+[1]Capital!Z62+[1]Capital!Z64+[1]Capital!Z66</f>
        <v>82425.972847190002</v>
      </c>
      <c r="AB181" s="5">
        <f>[1]Capital!AA50+[1]Capital!AA52+[1]Capital!AA54+[1]Capital!AA56+[1]Capital!AA58+[1]Capital!AA60+[1]Capital!AA62+[1]Capital!AA64+[1]Capital!AA66</f>
        <v>87981.451578820008</v>
      </c>
      <c r="AC181" s="5">
        <f>[1]Capital!AB50+[1]Capital!AB52+[1]Capital!AB54+[1]Capital!AB56+[1]Capital!AB58+[1]Capital!AB60+[1]Capital!AB62+[1]Capital!AB64+[1]Capital!AB66</f>
        <v>94301.680779720002</v>
      </c>
      <c r="AD181" s="5">
        <f>[1]Capital!AC50+[1]Capital!AC52+[1]Capital!AC54+[1]Capital!AC56+[1]Capital!AC58+[1]Capital!AC60+[1]Capital!AC62+[1]Capital!AC64+[1]Capital!AC66</f>
        <v>101532.25891884</v>
      </c>
      <c r="AE181" s="5">
        <f>[1]Capital!AD50+[1]Capital!AD52+[1]Capital!AD54+[1]Capital!AD56+[1]Capital!AD58+[1]Capital!AD60+[1]Capital!AD62+[1]Capital!AD64+[1]Capital!AD66</f>
        <v>109855.23595079999</v>
      </c>
      <c r="AF181" s="5">
        <f>[1]Capital!AE50+[1]Capital!AE52+[1]Capital!AE54+[1]Capital!AE56+[1]Capital!AE58+[1]Capital!AE60+[1]Capital!AE62+[1]Capital!AE64+[1]Capital!AE66</f>
        <v>119497.02292352999</v>
      </c>
      <c r="AG181" s="5">
        <f>[1]Capital!AF50+[1]Capital!AF52+[1]Capital!AF54+[1]Capital!AF56+[1]Capital!AF58+[1]Capital!AF60+[1]Capital!AF62+[1]Capital!AF64+[1]Capital!AF66</f>
        <v>130740.75998270001</v>
      </c>
      <c r="AH181" s="5">
        <f>[1]Capital!AG50+[1]Capital!AG52+[1]Capital!AG54+[1]Capital!AG56+[1]Capital!AG58+[1]Capital!AG60+[1]Capital!AG62+[1]Capital!AG64+[1]Capital!AG66</f>
        <v>143947.5725069</v>
      </c>
      <c r="AI181" s="5">
        <f>[1]Capital!AH50+[1]Capital!AH52+[1]Capital!AH54+[1]Capital!AH56+[1]Capital!AH58+[1]Capital!AH60+[1]Capital!AH62+[1]Capital!AH64+[1]Capital!AH66</f>
        <v>159589.88701630002</v>
      </c>
      <c r="AJ181" s="5">
        <f>[1]Capital!AI50+[1]Capital!AI52+[1]Capital!AI54+[1]Capital!AI56+[1]Capital!AI58+[1]Capital!AI60+[1]Capital!AI62+[1]Capital!AI64+[1]Capital!AI66</f>
        <v>178301.12079680001</v>
      </c>
      <c r="AK181" s="5">
        <f>[1]Capital!AJ50+[1]Capital!AJ52+[1]Capital!AJ54+[1]Capital!AJ56+[1]Capital!AJ58+[1]Capital!AJ60+[1]Capital!AJ62+[1]Capital!AJ64+[1]Capital!AJ66</f>
        <v>200954.56572379998</v>
      </c>
      <c r="AL181" s="5">
        <f>[1]Capital!AK50+[1]Capital!AK52+[1]Capital!AK54+[1]Capital!AK56+[1]Capital!AK58+[1]Capital!AK60+[1]Capital!AK62+[1]Capital!AK64+[1]Capital!AK66</f>
        <v>228794.43597430002</v>
      </c>
    </row>
    <row r="182" spans="1:3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</row>
    <row r="184" spans="1:38" x14ac:dyDescent="0.35">
      <c r="A184" s="12" t="s">
        <v>42</v>
      </c>
      <c r="B184" t="s">
        <v>40</v>
      </c>
      <c r="C184" s="9">
        <f t="shared" ref="C184:AL184" si="16">C174/C136/(C164/C125)-1</f>
        <v>-2.5946067516713356E-10</v>
      </c>
      <c r="D184" s="9">
        <f t="shared" si="16"/>
        <v>0</v>
      </c>
      <c r="E184" s="9">
        <f t="shared" si="16"/>
        <v>0</v>
      </c>
      <c r="F184" s="9">
        <f t="shared" si="16"/>
        <v>-2.4755253402730659E-10</v>
      </c>
      <c r="G184" s="9">
        <f t="shared" si="16"/>
        <v>-2.4332158510276258E-10</v>
      </c>
      <c r="H184" s="9">
        <f t="shared" si="16"/>
        <v>-2.3904478396730156E-10</v>
      </c>
      <c r="I184" s="9">
        <f t="shared" si="16"/>
        <v>-2.3503524026591283E-4</v>
      </c>
      <c r="J184" s="9">
        <f t="shared" si="16"/>
        <v>1.3713794458023454E-3</v>
      </c>
      <c r="K184" s="9">
        <f t="shared" si="16"/>
        <v>2.681739037458053E-3</v>
      </c>
      <c r="L184" s="9">
        <f t="shared" si="16"/>
        <v>4.4282246026927652E-5</v>
      </c>
      <c r="M184" s="9">
        <f t="shared" si="16"/>
        <v>-2.9538140737758178E-3</v>
      </c>
      <c r="N184" s="9">
        <f t="shared" si="16"/>
        <v>-5.5517362364518874E-3</v>
      </c>
      <c r="O184" s="9">
        <f t="shared" si="16"/>
        <v>-7.5413916485489452E-3</v>
      </c>
      <c r="P184" s="9">
        <f t="shared" si="16"/>
        <v>-9.0674309739102732E-3</v>
      </c>
      <c r="Q184" s="9">
        <f t="shared" si="16"/>
        <v>-1.0395721011248749E-2</v>
      </c>
      <c r="R184" s="9">
        <f t="shared" si="16"/>
        <v>-1.155272829424292E-2</v>
      </c>
      <c r="S184" s="9">
        <f t="shared" si="16"/>
        <v>-1.2066926545367895E-2</v>
      </c>
      <c r="T184" s="9">
        <f t="shared" si="16"/>
        <v>-1.2045453541558393E-2</v>
      </c>
      <c r="U184" s="9">
        <f t="shared" si="16"/>
        <v>-1.1597464568918969E-2</v>
      </c>
      <c r="V184" s="9">
        <f t="shared" si="16"/>
        <v>-1.0852603649631254E-2</v>
      </c>
      <c r="W184" s="9">
        <f t="shared" si="16"/>
        <v>-9.9200011928252119E-3</v>
      </c>
      <c r="X184" s="9">
        <f t="shared" si="16"/>
        <v>-8.8704353148746362E-3</v>
      </c>
      <c r="Y184" s="9">
        <f t="shared" si="16"/>
        <v>-7.7645474995807762E-3</v>
      </c>
      <c r="Z184" s="9">
        <f t="shared" si="16"/>
        <v>-6.6468143307969463E-3</v>
      </c>
      <c r="AA184" s="9">
        <f t="shared" si="16"/>
        <v>-5.5572092435386411E-3</v>
      </c>
      <c r="AB184" s="9">
        <f t="shared" si="16"/>
        <v>-4.5367675124897699E-3</v>
      </c>
      <c r="AC184" s="9">
        <f t="shared" si="16"/>
        <v>-3.637652529805524E-3</v>
      </c>
      <c r="AD184" s="9">
        <f t="shared" si="16"/>
        <v>-2.8980512879076548E-3</v>
      </c>
      <c r="AE184" s="9">
        <f t="shared" si="16"/>
        <v>-2.3818670990702895E-3</v>
      </c>
      <c r="AF184" s="9">
        <f t="shared" si="16"/>
        <v>-2.1731816320822439E-3</v>
      </c>
      <c r="AG184" s="9">
        <f t="shared" si="16"/>
        <v>-2.3673647887337834E-3</v>
      </c>
      <c r="AH184" s="9">
        <f t="shared" si="16"/>
        <v>-3.0797091803508314E-3</v>
      </c>
      <c r="AI184" s="9">
        <f t="shared" si="16"/>
        <v>-4.4641841493632262E-3</v>
      </c>
      <c r="AJ184" s="9">
        <f t="shared" si="16"/>
        <v>-6.7314270081545446E-3</v>
      </c>
      <c r="AK184" s="9">
        <f t="shared" si="16"/>
        <v>-1.0185105964420238E-2</v>
      </c>
      <c r="AL184" s="9">
        <f t="shared" si="16"/>
        <v>-1.5278610842533347E-2</v>
      </c>
    </row>
    <row r="185" spans="1:38" x14ac:dyDescent="0.35">
      <c r="A185" t="s">
        <v>85</v>
      </c>
      <c r="B185" t="s">
        <v>7</v>
      </c>
      <c r="C185" s="9">
        <f t="shared" ref="C185:AL185" si="17">C175/C137/(C165/C126)-1</f>
        <v>0</v>
      </c>
      <c r="D185" s="9">
        <f t="shared" si="17"/>
        <v>-1.1214917883251019E-11</v>
      </c>
      <c r="E185" s="9">
        <f t="shared" si="17"/>
        <v>0</v>
      </c>
      <c r="F185" s="9">
        <f t="shared" si="17"/>
        <v>0</v>
      </c>
      <c r="G185" s="9">
        <f t="shared" si="17"/>
        <v>0</v>
      </c>
      <c r="H185" s="9">
        <f t="shared" si="17"/>
        <v>1.8079782115876242E-10</v>
      </c>
      <c r="I185" s="9">
        <f t="shared" si="17"/>
        <v>-3.0898594857187156E-4</v>
      </c>
      <c r="J185" s="9">
        <f t="shared" si="17"/>
        <v>3.6435842415656339E-3</v>
      </c>
      <c r="K185" s="9">
        <f t="shared" si="17"/>
        <v>8.2679821961153532E-3</v>
      </c>
      <c r="L185" s="9">
        <f t="shared" si="17"/>
        <v>9.3228819274173702E-3</v>
      </c>
      <c r="M185" s="9">
        <f t="shared" si="17"/>
        <v>1.0691614461329824E-2</v>
      </c>
      <c r="N185" s="9">
        <f t="shared" si="17"/>
        <v>1.2656336848952288E-2</v>
      </c>
      <c r="O185" s="9">
        <f t="shared" si="17"/>
        <v>1.5108213919165836E-2</v>
      </c>
      <c r="P185" s="9">
        <f t="shared" si="17"/>
        <v>1.7696387485543585E-2</v>
      </c>
      <c r="Q185" s="9">
        <f t="shared" si="17"/>
        <v>2.0109851915578902E-2</v>
      </c>
      <c r="R185" s="9">
        <f t="shared" si="17"/>
        <v>2.2361641796462273E-2</v>
      </c>
      <c r="S185" s="9">
        <f t="shared" si="17"/>
        <v>2.4971859049353062E-2</v>
      </c>
      <c r="T185" s="9">
        <f t="shared" si="17"/>
        <v>2.820170496799479E-2</v>
      </c>
      <c r="U185" s="9">
        <f t="shared" si="17"/>
        <v>3.2011065466428512E-2</v>
      </c>
      <c r="V185" s="9">
        <f t="shared" si="17"/>
        <v>3.624859450469331E-2</v>
      </c>
      <c r="W185" s="9">
        <f t="shared" si="17"/>
        <v>4.0749945552966738E-2</v>
      </c>
      <c r="X185" s="9">
        <f t="shared" si="17"/>
        <v>4.5365207904084714E-2</v>
      </c>
      <c r="Y185" s="9">
        <f t="shared" si="17"/>
        <v>4.9962362088019852E-2</v>
      </c>
      <c r="Z185" s="9">
        <f t="shared" si="17"/>
        <v>5.4424368580792581E-2</v>
      </c>
      <c r="AA185" s="9">
        <f t="shared" si="17"/>
        <v>5.8641868503262362E-2</v>
      </c>
      <c r="AB185" s="9">
        <f t="shared" si="17"/>
        <v>6.2527366381016636E-2</v>
      </c>
      <c r="AC185" s="9">
        <f t="shared" si="17"/>
        <v>6.6123328776776402E-2</v>
      </c>
      <c r="AD185" s="9">
        <f t="shared" si="17"/>
        <v>6.9171536581287718E-2</v>
      </c>
      <c r="AE185" s="9">
        <f t="shared" si="17"/>
        <v>7.1543105473682367E-2</v>
      </c>
      <c r="AF185" s="9">
        <f t="shared" si="17"/>
        <v>7.3114058436931861E-2</v>
      </c>
      <c r="AG185" s="9">
        <f t="shared" si="17"/>
        <v>7.3774989919054512E-2</v>
      </c>
      <c r="AH185" s="9">
        <f t="shared" si="17"/>
        <v>7.3429377633414061E-2</v>
      </c>
      <c r="AI185" s="9">
        <f t="shared" si="17"/>
        <v>7.1977704811357235E-2</v>
      </c>
      <c r="AJ185" s="9">
        <f t="shared" si="17"/>
        <v>6.9305833052490495E-2</v>
      </c>
      <c r="AK185" s="9">
        <f t="shared" si="17"/>
        <v>6.5273662644252051E-2</v>
      </c>
      <c r="AL185" s="9">
        <f t="shared" si="17"/>
        <v>5.969889132665207E-2</v>
      </c>
    </row>
    <row r="186" spans="1:38" x14ac:dyDescent="0.35">
      <c r="B186" t="s">
        <v>30</v>
      </c>
      <c r="C186" s="9">
        <f t="shared" ref="C186:AL186" si="18">C176/C138/(C166/C127)-1</f>
        <v>-2.0430324099152131E-12</v>
      </c>
      <c r="D186" s="9">
        <f t="shared" si="18"/>
        <v>1.8091972364686626E-11</v>
      </c>
      <c r="E186" s="9">
        <f t="shared" si="18"/>
        <v>7.613398800287996E-11</v>
      </c>
      <c r="F186" s="9">
        <f t="shared" si="18"/>
        <v>-5.5466631287970358E-11</v>
      </c>
      <c r="G186" s="9">
        <f t="shared" si="18"/>
        <v>8.3506312975600849E-11</v>
      </c>
      <c r="H186" s="9">
        <f t="shared" si="18"/>
        <v>1.2330736431920286E-10</v>
      </c>
      <c r="I186" s="9">
        <f t="shared" si="18"/>
        <v>-2.9582613582268547E-4</v>
      </c>
      <c r="J186" s="9">
        <f t="shared" si="18"/>
        <v>4.0126383573206859E-3</v>
      </c>
      <c r="K186" s="9">
        <f t="shared" si="18"/>
        <v>7.8451676783466429E-3</v>
      </c>
      <c r="L186" s="9">
        <f t="shared" si="18"/>
        <v>5.7402417246337212E-3</v>
      </c>
      <c r="M186" s="9">
        <f t="shared" si="18"/>
        <v>3.47854681389137E-3</v>
      </c>
      <c r="N186" s="9">
        <f t="shared" si="18"/>
        <v>1.6630882774171241E-3</v>
      </c>
      <c r="O186" s="9">
        <f t="shared" si="18"/>
        <v>6.2341109019614649E-4</v>
      </c>
      <c r="P186" s="9">
        <f t="shared" si="18"/>
        <v>4.8870565977132685E-5</v>
      </c>
      <c r="Q186" s="9">
        <f t="shared" si="18"/>
        <v>-5.1125173572741378E-4</v>
      </c>
      <c r="R186" s="9">
        <f t="shared" si="18"/>
        <v>-1.0892645569865467E-3</v>
      </c>
      <c r="S186" s="9">
        <f t="shared" si="18"/>
        <v>-9.0723037774798065E-4</v>
      </c>
      <c r="T186" s="9">
        <f t="shared" si="18"/>
        <v>-1.3458296336699149E-4</v>
      </c>
      <c r="U186" s="9">
        <f t="shared" si="18"/>
        <v>1.1050093521074444E-3</v>
      </c>
      <c r="V186" s="9">
        <f t="shared" si="18"/>
        <v>2.6719976171720727E-3</v>
      </c>
      <c r="W186" s="9">
        <f t="shared" si="18"/>
        <v>4.4508062983983354E-3</v>
      </c>
      <c r="X186" s="9">
        <f t="shared" si="18"/>
        <v>6.3518664046655626E-3</v>
      </c>
      <c r="Y186" s="9">
        <f t="shared" si="18"/>
        <v>8.3184643950919845E-3</v>
      </c>
      <c r="Z186" s="9">
        <f t="shared" si="18"/>
        <v>1.0320582274399692E-2</v>
      </c>
      <c r="AA186" s="9">
        <f t="shared" si="18"/>
        <v>1.2334504077120334E-2</v>
      </c>
      <c r="AB186" s="9">
        <f t="shared" si="18"/>
        <v>1.4351720618706931E-2</v>
      </c>
      <c r="AC186" s="9">
        <f t="shared" si="18"/>
        <v>1.6318253001887051E-2</v>
      </c>
      <c r="AD186" s="9">
        <f t="shared" si="18"/>
        <v>1.8233537998109117E-2</v>
      </c>
      <c r="AE186" s="9">
        <f t="shared" si="18"/>
        <v>2.0095097839698095E-2</v>
      </c>
      <c r="AF186" s="9">
        <f t="shared" si="18"/>
        <v>2.1871104097912486E-2</v>
      </c>
      <c r="AG186" s="9">
        <f t="shared" si="18"/>
        <v>2.351605409367763E-2</v>
      </c>
      <c r="AH186" s="9">
        <f t="shared" si="18"/>
        <v>2.4969259546715472E-2</v>
      </c>
      <c r="AI186" s="9">
        <f t="shared" si="18"/>
        <v>2.615461359644633E-2</v>
      </c>
      <c r="AJ186" s="9">
        <f t="shared" si="18"/>
        <v>2.6979781414410597E-2</v>
      </c>
      <c r="AK186" s="9">
        <f t="shared" si="18"/>
        <v>2.7300282067617143E-2</v>
      </c>
      <c r="AL186" s="9">
        <f t="shared" si="18"/>
        <v>2.6885589303128565E-2</v>
      </c>
    </row>
    <row r="187" spans="1:38" x14ac:dyDescent="0.35">
      <c r="B187" t="s">
        <v>9</v>
      </c>
      <c r="C187" s="9">
        <f t="shared" ref="C187:AL187" si="19">C177/C139/(C167/C128)-1</f>
        <v>0</v>
      </c>
      <c r="D187" s="9">
        <f t="shared" si="19"/>
        <v>0</v>
      </c>
      <c r="E187" s="9">
        <f t="shared" si="19"/>
        <v>-8.0299100702063697E-12</v>
      </c>
      <c r="F187" s="9">
        <f t="shared" si="19"/>
        <v>-7.9106721173616279E-12</v>
      </c>
      <c r="G187" s="9">
        <f t="shared" si="19"/>
        <v>0</v>
      </c>
      <c r="H187" s="9">
        <f t="shared" si="19"/>
        <v>-8.4297124836041348E-11</v>
      </c>
      <c r="I187" s="9">
        <f t="shared" si="19"/>
        <v>-2.6613511890849484E-4</v>
      </c>
      <c r="J187" s="9">
        <f t="shared" si="19"/>
        <v>3.9222384657919829E-3</v>
      </c>
      <c r="K187" s="9">
        <f t="shared" si="19"/>
        <v>7.6893939997872973E-3</v>
      </c>
      <c r="L187" s="9">
        <f t="shared" si="19"/>
        <v>5.7364931388559359E-3</v>
      </c>
      <c r="M187" s="9">
        <f t="shared" si="19"/>
        <v>3.7671831614904949E-3</v>
      </c>
      <c r="N187" s="9">
        <f t="shared" si="19"/>
        <v>2.3555532271917201E-3</v>
      </c>
      <c r="O187" s="9">
        <f t="shared" si="19"/>
        <v>2.1190631580316754E-3</v>
      </c>
      <c r="P187" s="9">
        <f t="shared" si="19"/>
        <v>2.8446655511618069E-3</v>
      </c>
      <c r="Q187" s="9">
        <f t="shared" si="19"/>
        <v>4.0989499707941857E-3</v>
      </c>
      <c r="R187" s="9">
        <f t="shared" si="19"/>
        <v>5.8057569803939835E-3</v>
      </c>
      <c r="S187" s="9">
        <f t="shared" si="19"/>
        <v>8.4008094687002544E-3</v>
      </c>
      <c r="T187" s="9">
        <f t="shared" si="19"/>
        <v>1.179654366835603E-2</v>
      </c>
      <c r="U187" s="9">
        <f t="shared" si="19"/>
        <v>1.5761039227578877E-2</v>
      </c>
      <c r="V187" s="9">
        <f t="shared" si="19"/>
        <v>2.0079416509630299E-2</v>
      </c>
      <c r="W187" s="9">
        <f t="shared" si="19"/>
        <v>2.4565772432159072E-2</v>
      </c>
      <c r="X187" s="9">
        <f t="shared" si="19"/>
        <v>2.9044698741500063E-2</v>
      </c>
      <c r="Y187" s="9">
        <f t="shared" si="19"/>
        <v>3.3379360457289176E-2</v>
      </c>
      <c r="Z187" s="9">
        <f t="shared" si="19"/>
        <v>3.7537821228117885E-2</v>
      </c>
      <c r="AA187" s="9">
        <f t="shared" si="19"/>
        <v>4.1507528844867414E-2</v>
      </c>
      <c r="AB187" s="9">
        <f t="shared" si="19"/>
        <v>4.5254464962048324E-2</v>
      </c>
      <c r="AC187" s="9">
        <f t="shared" si="19"/>
        <v>4.8556093193974359E-2</v>
      </c>
      <c r="AD187" s="9">
        <f t="shared" si="19"/>
        <v>5.1184800148094345E-2</v>
      </c>
      <c r="AE187" s="9">
        <f t="shared" si="19"/>
        <v>5.3146637975015176E-2</v>
      </c>
      <c r="AF187" s="9">
        <f t="shared" si="19"/>
        <v>5.4479888155898548E-2</v>
      </c>
      <c r="AG187" s="9">
        <f t="shared" si="19"/>
        <v>5.5205157725757514E-2</v>
      </c>
      <c r="AH187" s="9">
        <f t="shared" si="19"/>
        <v>5.5237801247159046E-2</v>
      </c>
      <c r="AI187" s="9">
        <f t="shared" si="19"/>
        <v>5.444777587867411E-2</v>
      </c>
      <c r="AJ187" s="9">
        <f t="shared" si="19"/>
        <v>5.2788821993379864E-2</v>
      </c>
      <c r="AK187" s="9">
        <f t="shared" si="19"/>
        <v>5.0210588626994124E-2</v>
      </c>
      <c r="AL187" s="9">
        <f t="shared" si="19"/>
        <v>4.6618065616530924E-2</v>
      </c>
    </row>
    <row r="188" spans="1:38" x14ac:dyDescent="0.35">
      <c r="B188" t="s">
        <v>10</v>
      </c>
      <c r="C188" s="9">
        <f t="shared" ref="C188:AL188" si="20">C178/C140/(C168/C129)-1</f>
        <v>0</v>
      </c>
      <c r="D188" s="9">
        <f t="shared" si="20"/>
        <v>0</v>
      </c>
      <c r="E188" s="9">
        <f t="shared" si="20"/>
        <v>0</v>
      </c>
      <c r="F188" s="9">
        <f t="shared" si="20"/>
        <v>0</v>
      </c>
      <c r="G188" s="9">
        <f t="shared" si="20"/>
        <v>-3.6671732317472561E-10</v>
      </c>
      <c r="H188" s="9">
        <f t="shared" si="20"/>
        <v>0</v>
      </c>
      <c r="I188" s="9">
        <f t="shared" si="20"/>
        <v>-2.1222261571440804E-4</v>
      </c>
      <c r="J188" s="9">
        <f t="shared" si="20"/>
        <v>1.0233540371429317E-3</v>
      </c>
      <c r="K188" s="9">
        <f t="shared" si="20"/>
        <v>2.1039178979993522E-3</v>
      </c>
      <c r="L188" s="9">
        <f t="shared" si="20"/>
        <v>3.4553277112214786E-5</v>
      </c>
      <c r="M188" s="9">
        <f t="shared" si="20"/>
        <v>-2.5502247187985105E-3</v>
      </c>
      <c r="N188" s="9">
        <f t="shared" si="20"/>
        <v>-4.8375048030478984E-3</v>
      </c>
      <c r="O188" s="9">
        <f t="shared" si="20"/>
        <v>-6.6196208140050228E-3</v>
      </c>
      <c r="P188" s="9">
        <f t="shared" si="20"/>
        <v>-7.9407017841433003E-3</v>
      </c>
      <c r="Q188" s="9">
        <f t="shared" si="20"/>
        <v>-8.9815057720478153E-3</v>
      </c>
      <c r="R188" s="9">
        <f t="shared" si="20"/>
        <v>-9.7720639776270879E-3</v>
      </c>
      <c r="S188" s="9">
        <f t="shared" si="20"/>
        <v>-9.9663867556223362E-3</v>
      </c>
      <c r="T188" s="9">
        <f t="shared" si="20"/>
        <v>-9.6596978484501106E-3</v>
      </c>
      <c r="U188" s="9">
        <f t="shared" si="20"/>
        <v>-8.9676542032743889E-3</v>
      </c>
      <c r="V188" s="9">
        <f t="shared" si="20"/>
        <v>-8.0162138546462369E-3</v>
      </c>
      <c r="W188" s="9">
        <f t="shared" si="20"/>
        <v>-6.9032902776287042E-3</v>
      </c>
      <c r="X188" s="9">
        <f t="shared" si="20"/>
        <v>-5.6794542119099622E-3</v>
      </c>
      <c r="Y188" s="9">
        <f t="shared" si="20"/>
        <v>-4.3914242417505411E-3</v>
      </c>
      <c r="Z188" s="9">
        <f t="shared" si="20"/>
        <v>-3.0793266339897984E-3</v>
      </c>
      <c r="AA188" s="9">
        <f t="shared" si="20"/>
        <v>-1.7773444956303841E-3</v>
      </c>
      <c r="AB188" s="9">
        <f t="shared" si="20"/>
        <v>-5.1640399763652756E-4</v>
      </c>
      <c r="AC188" s="9">
        <f t="shared" si="20"/>
        <v>6.8072680921038575E-4</v>
      </c>
      <c r="AD188" s="9">
        <f t="shared" si="20"/>
        <v>1.8056583801826509E-3</v>
      </c>
      <c r="AE188" s="9">
        <f t="shared" si="20"/>
        <v>2.8044835661529266E-3</v>
      </c>
      <c r="AF188" s="9">
        <f t="shared" si="20"/>
        <v>3.6128795539203118E-3</v>
      </c>
      <c r="AG188" s="9">
        <f t="shared" si="20"/>
        <v>4.1710278285567171E-3</v>
      </c>
      <c r="AH188" s="9">
        <f t="shared" si="20"/>
        <v>4.4270001979449525E-3</v>
      </c>
      <c r="AI188" s="9">
        <f t="shared" si="20"/>
        <v>4.31841616073525E-3</v>
      </c>
      <c r="AJ188" s="9">
        <f t="shared" si="20"/>
        <v>3.7530292383001207E-3</v>
      </c>
      <c r="AK188" s="9">
        <f t="shared" si="20"/>
        <v>2.6032991003532846E-3</v>
      </c>
      <c r="AL188" s="9">
        <f t="shared" si="20"/>
        <v>6.8787146107185393E-4</v>
      </c>
    </row>
    <row r="189" spans="1:38" x14ac:dyDescent="0.35">
      <c r="B189" t="s">
        <v>29</v>
      </c>
      <c r="C189" s="9">
        <f t="shared" ref="C189:AL189" si="21">(C179+C180)/(C141+C142)/((C169+C170)/(C130+C131))-1</f>
        <v>9.0668805796667584E-11</v>
      </c>
      <c r="D189" s="9">
        <f t="shared" si="21"/>
        <v>-1.6626811039088807E-11</v>
      </c>
      <c r="E189" s="9">
        <f t="shared" si="21"/>
        <v>1.2913936586755881E-10</v>
      </c>
      <c r="F189" s="9">
        <f t="shared" si="21"/>
        <v>4.2504999520076581E-10</v>
      </c>
      <c r="G189" s="9">
        <f t="shared" si="21"/>
        <v>5.2895332558478003E-10</v>
      </c>
      <c r="H189" s="9">
        <f t="shared" si="21"/>
        <v>6.106430916474892E-10</v>
      </c>
      <c r="I189" s="9">
        <f t="shared" si="21"/>
        <v>-5.9017888012891095E-4</v>
      </c>
      <c r="J189" s="9">
        <f t="shared" si="21"/>
        <v>-2.2240996282512082E-3</v>
      </c>
      <c r="K189" s="9">
        <f t="shared" si="21"/>
        <v>-4.654024837252857E-3</v>
      </c>
      <c r="L189" s="9">
        <f t="shared" si="21"/>
        <v>-1.1158993562483066E-2</v>
      </c>
      <c r="M189" s="9">
        <f t="shared" si="21"/>
        <v>-1.8346768602204189E-2</v>
      </c>
      <c r="N189" s="9">
        <f t="shared" si="21"/>
        <v>-2.6847113094195296E-2</v>
      </c>
      <c r="O189" s="9">
        <f t="shared" si="21"/>
        <v>-3.5997416345302735E-2</v>
      </c>
      <c r="P189" s="9">
        <f t="shared" si="21"/>
        <v>-4.5535626687437714E-2</v>
      </c>
      <c r="Q189" s="9">
        <f t="shared" si="21"/>
        <v>-5.5418159581611226E-2</v>
      </c>
      <c r="R189" s="9">
        <f t="shared" si="21"/>
        <v>-6.5372512792154835E-2</v>
      </c>
      <c r="S189" s="9">
        <f t="shared" si="21"/>
        <v>-7.3454987813315165E-2</v>
      </c>
      <c r="T189" s="9">
        <f t="shared" si="21"/>
        <v>-8.0302257449464731E-2</v>
      </c>
      <c r="U189" s="9">
        <f t="shared" si="21"/>
        <v>-8.6060964952742514E-2</v>
      </c>
      <c r="V189" s="9">
        <f t="shared" si="21"/>
        <v>-9.0937012744510493E-2</v>
      </c>
      <c r="W189" s="9">
        <f t="shared" si="21"/>
        <v>-9.5129385534204469E-2</v>
      </c>
      <c r="X189" s="9">
        <f t="shared" si="21"/>
        <v>-9.8794375138156032E-2</v>
      </c>
      <c r="Y189" s="9">
        <f t="shared" si="21"/>
        <v>-0.10204428358796558</v>
      </c>
      <c r="Z189" s="9">
        <f t="shared" si="21"/>
        <v>-0.10495002584783164</v>
      </c>
      <c r="AA189" s="9">
        <f t="shared" si="21"/>
        <v>-0.107577916436564</v>
      </c>
      <c r="AB189" s="9">
        <f t="shared" si="21"/>
        <v>-0.11001006927538204</v>
      </c>
      <c r="AC189" s="9">
        <f t="shared" si="21"/>
        <v>-0.11247501889478118</v>
      </c>
      <c r="AD189" s="9">
        <f t="shared" si="21"/>
        <v>-0.11492749531927393</v>
      </c>
      <c r="AE189" s="9">
        <f t="shared" si="21"/>
        <v>-0.11743394821352671</v>
      </c>
      <c r="AF189" s="9">
        <f t="shared" si="21"/>
        <v>-0.12007624740216727</v>
      </c>
      <c r="AG189" s="9">
        <f t="shared" si="21"/>
        <v>-0.12295780933953548</v>
      </c>
      <c r="AH189" s="9">
        <f t="shared" si="21"/>
        <v>-0.12621931303711464</v>
      </c>
      <c r="AI189" s="9">
        <f t="shared" si="21"/>
        <v>-0.13003367759108764</v>
      </c>
      <c r="AJ189" s="9">
        <f t="shared" si="21"/>
        <v>-0.13459095331795967</v>
      </c>
      <c r="AK189" s="9">
        <f t="shared" si="21"/>
        <v>-0.14014646214379478</v>
      </c>
      <c r="AL189" s="9">
        <f t="shared" si="21"/>
        <v>-0.14708411929208565</v>
      </c>
    </row>
    <row r="190" spans="1:38" x14ac:dyDescent="0.35">
      <c r="B190" t="s">
        <v>33</v>
      </c>
      <c r="C190" s="9">
        <f t="shared" ref="C190:AL190" si="22">C181/C143/(C171/C132)-1</f>
        <v>-1.6491408239005523E-10</v>
      </c>
      <c r="D190" s="9">
        <f t="shared" si="22"/>
        <v>-1.0939993355663091E-10</v>
      </c>
      <c r="E190" s="9">
        <f t="shared" si="22"/>
        <v>-8.7684526306475163E-11</v>
      </c>
      <c r="F190" s="9">
        <f t="shared" si="22"/>
        <v>-1.857080045297721E-10</v>
      </c>
      <c r="G190" s="9">
        <f t="shared" si="22"/>
        <v>-1.1909928598896613E-10</v>
      </c>
      <c r="H190" s="9">
        <f t="shared" si="22"/>
        <v>1.517834746778135E-10</v>
      </c>
      <c r="I190" s="9">
        <f t="shared" si="22"/>
        <v>2.0905943569160534E-4</v>
      </c>
      <c r="J190" s="9">
        <f t="shared" si="22"/>
        <v>-2.7840438186701122E-2</v>
      </c>
      <c r="K190" s="9">
        <f t="shared" si="22"/>
        <v>-5.5076697104759487E-2</v>
      </c>
      <c r="L190" s="9">
        <f t="shared" si="22"/>
        <v>-8.1110474561385537E-2</v>
      </c>
      <c r="M190" s="9">
        <f t="shared" si="22"/>
        <v>-0.10266506745645831</v>
      </c>
      <c r="N190" s="9">
        <f t="shared" si="22"/>
        <v>-0.11803012252939293</v>
      </c>
      <c r="O190" s="9">
        <f t="shared" si="22"/>
        <v>-0.12955263281718032</v>
      </c>
      <c r="P190" s="9">
        <f t="shared" si="22"/>
        <v>-0.13877163418102634</v>
      </c>
      <c r="Q190" s="9">
        <f t="shared" si="22"/>
        <v>-0.14666076821763041</v>
      </c>
      <c r="R190" s="9">
        <f t="shared" si="22"/>
        <v>-0.15354874970972077</v>
      </c>
      <c r="S190" s="9">
        <f t="shared" si="22"/>
        <v>-0.15954472410168785</v>
      </c>
      <c r="T190" s="9">
        <f t="shared" si="22"/>
        <v>-0.16458507112517606</v>
      </c>
      <c r="U190" s="9">
        <f t="shared" si="22"/>
        <v>-0.16838223179251199</v>
      </c>
      <c r="V190" s="9">
        <f t="shared" si="22"/>
        <v>-0.17095170976500851</v>
      </c>
      <c r="W190" s="9">
        <f t="shared" si="22"/>
        <v>-0.17248896463424546</v>
      </c>
      <c r="X190" s="9">
        <f t="shared" si="22"/>
        <v>-0.17322049386830618</v>
      </c>
      <c r="Y190" s="9">
        <f t="shared" si="22"/>
        <v>-0.17340033063073856</v>
      </c>
      <c r="Z190" s="9">
        <f t="shared" si="22"/>
        <v>-0.17320359201187363</v>
      </c>
      <c r="AA190" s="9">
        <f t="shared" si="22"/>
        <v>-0.17281862226533273</v>
      </c>
      <c r="AB190" s="9">
        <f t="shared" si="22"/>
        <v>-0.17253091833894774</v>
      </c>
      <c r="AC190" s="9">
        <f t="shared" si="22"/>
        <v>-0.17269281460161001</v>
      </c>
      <c r="AD190" s="9">
        <f t="shared" si="22"/>
        <v>-0.17352522958715422</v>
      </c>
      <c r="AE190" s="9">
        <f t="shared" si="22"/>
        <v>-0.17522019244593956</v>
      </c>
      <c r="AF190" s="9">
        <f t="shared" si="22"/>
        <v>-0.1779745625611906</v>
      </c>
      <c r="AG190" s="9">
        <f t="shared" si="22"/>
        <v>-0.18202393974411701</v>
      </c>
      <c r="AH190" s="9">
        <f t="shared" si="22"/>
        <v>-0.18770432719188634</v>
      </c>
      <c r="AI190" s="9">
        <f t="shared" si="22"/>
        <v>-0.19545039323659108</v>
      </c>
      <c r="AJ190" s="9">
        <f t="shared" si="22"/>
        <v>-0.20575194346692172</v>
      </c>
      <c r="AK190" s="9">
        <f t="shared" si="22"/>
        <v>-0.21921053186422612</v>
      </c>
      <c r="AL190" s="9">
        <f t="shared" si="22"/>
        <v>-0.23659744037925057</v>
      </c>
    </row>
    <row r="192" spans="1:38" x14ac:dyDescent="0.35">
      <c r="A192" s="12" t="s">
        <v>86</v>
      </c>
      <c r="B192" t="s">
        <v>27</v>
      </c>
      <c r="C192" s="5">
        <f>[1]Results!F1434</f>
        <v>27379.147679999998</v>
      </c>
      <c r="D192" s="5">
        <f>[1]Results!G1434</f>
        <v>27463.02838</v>
      </c>
      <c r="E192" s="5">
        <f>[1]Results!H1434</f>
        <v>27580.776099999999</v>
      </c>
      <c r="F192" s="5">
        <f>[1]Results!I1434</f>
        <v>27730.779399999999</v>
      </c>
      <c r="G192" s="5">
        <f>[1]Results!J1434</f>
        <v>27902.627700000001</v>
      </c>
      <c r="H192" s="5">
        <f>[1]Results!K1434</f>
        <v>28090.563300000002</v>
      </c>
      <c r="I192" s="5">
        <f>[1]Results!L1434</f>
        <v>28282.273509999999</v>
      </c>
      <c r="J192" s="5">
        <f>[1]Results!M1434</f>
        <v>28453.564160000002</v>
      </c>
      <c r="K192" s="5">
        <f>[1]Results!N1434</f>
        <v>28610.48905</v>
      </c>
      <c r="L192" s="5">
        <f>[1]Results!O1434</f>
        <v>28813.581269999999</v>
      </c>
      <c r="M192" s="5">
        <f>[1]Results!P1434</f>
        <v>29060.199939999999</v>
      </c>
      <c r="N192" s="5">
        <f>[1]Results!Q1434</f>
        <v>29313.248449999999</v>
      </c>
      <c r="O192" s="5">
        <f>[1]Results!R1434</f>
        <v>29553.04207</v>
      </c>
      <c r="P192" s="5">
        <f>[1]Results!S1434</f>
        <v>29762.346839999998</v>
      </c>
      <c r="Q192" s="5">
        <f>[1]Results!T1434</f>
        <v>29941.128840000001</v>
      </c>
      <c r="R192" s="5">
        <f>[1]Results!U1434</f>
        <v>30096.136020000002</v>
      </c>
      <c r="S192" s="5">
        <f>[1]Results!V1434</f>
        <v>30234.84649</v>
      </c>
      <c r="T192" s="5">
        <f>[1]Results!W1434</f>
        <v>30367.102169999998</v>
      </c>
      <c r="U192" s="5">
        <f>[1]Results!X1434</f>
        <v>30502.223239999999</v>
      </c>
      <c r="V192" s="5">
        <f>[1]Results!Y1434</f>
        <v>30647.841520000002</v>
      </c>
      <c r="W192" s="5">
        <f>[1]Results!Z1434</f>
        <v>30802.764599999999</v>
      </c>
      <c r="X192" s="5">
        <f>[1]Results!AA1434</f>
        <v>30980.913430000001</v>
      </c>
      <c r="Y192" s="5">
        <f>[1]Results!AB1434</f>
        <v>31187.757989999998</v>
      </c>
      <c r="Z192" s="5">
        <f>[1]Results!AC1434</f>
        <v>31427.317220000001</v>
      </c>
      <c r="AA192" s="5">
        <f>[1]Results!AD1434</f>
        <v>31701.56265</v>
      </c>
      <c r="AB192" s="5">
        <f>[1]Results!AE1434</f>
        <v>31990.86145</v>
      </c>
      <c r="AC192" s="5">
        <f>[1]Results!AF1434</f>
        <v>32310.59635</v>
      </c>
      <c r="AD192" s="5">
        <f>[1]Results!AG1434</f>
        <v>32665.529109999999</v>
      </c>
      <c r="AE192" s="5">
        <f>[1]Results!AH1434</f>
        <v>33059.265729999999</v>
      </c>
      <c r="AF192" s="5">
        <f>[1]Results!AI1434</f>
        <v>33492.017090000001</v>
      </c>
      <c r="AG192" s="5">
        <f>[1]Results!AJ1434</f>
        <v>33960.870300000002</v>
      </c>
      <c r="AH192" s="5">
        <f>[1]Results!AK1434</f>
        <v>34462.105239999997</v>
      </c>
      <c r="AI192" s="5">
        <f>[1]Results!AL1434</f>
        <v>34993.140639999998</v>
      </c>
      <c r="AJ192" s="5">
        <f>[1]Results!AM1434</f>
        <v>35553.437360000004</v>
      </c>
      <c r="AK192" s="5">
        <f>[1]Results!AN1434</f>
        <v>36145.580190000001</v>
      </c>
      <c r="AL192" s="5">
        <f>[1]Results!AO1434</f>
        <v>36776.975160000002</v>
      </c>
    </row>
    <row r="193" spans="1:38" x14ac:dyDescent="0.35">
      <c r="A193" t="s">
        <v>39</v>
      </c>
      <c r="B193" t="s">
        <v>7</v>
      </c>
      <c r="C193" s="5">
        <f>[1]Results!F1435</f>
        <v>760.78110530000004</v>
      </c>
      <c r="D193" s="5">
        <f>[1]Results!G1435</f>
        <v>761.56852460000005</v>
      </c>
      <c r="E193" s="5">
        <f>[1]Results!H1435</f>
        <v>762.69229210000003</v>
      </c>
      <c r="F193" s="5">
        <f>[1]Results!I1435</f>
        <v>764.78119530000004</v>
      </c>
      <c r="G193" s="5">
        <f>[1]Results!J1435</f>
        <v>767.82261470000003</v>
      </c>
      <c r="H193" s="5">
        <f>[1]Results!K1435</f>
        <v>771.75041009999995</v>
      </c>
      <c r="I193" s="5">
        <f>[1]Results!L1435</f>
        <v>776.28013750000002</v>
      </c>
      <c r="J193" s="5">
        <f>[1]Results!M1435</f>
        <v>779.91695560000005</v>
      </c>
      <c r="K193" s="5">
        <f>[1]Results!N1435</f>
        <v>782.86899679999999</v>
      </c>
      <c r="L193" s="5">
        <f>[1]Results!O1435</f>
        <v>787.36581009999998</v>
      </c>
      <c r="M193" s="5">
        <f>[1]Results!P1435</f>
        <v>792.94098889999998</v>
      </c>
      <c r="N193" s="5">
        <f>[1]Results!Q1435</f>
        <v>798.61189149999996</v>
      </c>
      <c r="O193" s="5">
        <f>[1]Results!R1435</f>
        <v>803.74376600000005</v>
      </c>
      <c r="P193" s="5">
        <f>[1]Results!S1435</f>
        <v>807.80109159999995</v>
      </c>
      <c r="Q193" s="5">
        <f>[1]Results!T1435</f>
        <v>810.85828040000001</v>
      </c>
      <c r="R193" s="5">
        <f>[1]Results!U1435</f>
        <v>813.17223320000005</v>
      </c>
      <c r="S193" s="5">
        <f>[1]Results!V1435</f>
        <v>815.1270002</v>
      </c>
      <c r="T193" s="5">
        <f>[1]Results!W1435</f>
        <v>816.96416190000002</v>
      </c>
      <c r="U193" s="5">
        <f>[1]Results!X1435</f>
        <v>818.92427599999996</v>
      </c>
      <c r="V193" s="5">
        <f>[1]Results!Y1435</f>
        <v>821.2184125</v>
      </c>
      <c r="W193" s="5">
        <f>[1]Results!Z1435</f>
        <v>823.9204029</v>
      </c>
      <c r="X193" s="5">
        <f>[1]Results!AA1435</f>
        <v>827.28733990000001</v>
      </c>
      <c r="Y193" s="5">
        <f>[1]Results!AB1435</f>
        <v>831.53492229999995</v>
      </c>
      <c r="Z193" s="5">
        <f>[1]Results!AC1435</f>
        <v>836.81348230000003</v>
      </c>
      <c r="AA193" s="5">
        <f>[1]Results!AD1435</f>
        <v>843.18299249999995</v>
      </c>
      <c r="AB193" s="5">
        <f>[1]Results!AE1435</f>
        <v>850.3371985</v>
      </c>
      <c r="AC193" s="5">
        <f>[1]Results!AF1435</f>
        <v>858.30053069999997</v>
      </c>
      <c r="AD193" s="5">
        <f>[1]Results!AG1435</f>
        <v>867.24553070000002</v>
      </c>
      <c r="AE193" s="5">
        <f>[1]Results!AH1435</f>
        <v>877.28969500000005</v>
      </c>
      <c r="AF193" s="5">
        <f>[1]Results!AI1435</f>
        <v>888.39763040000003</v>
      </c>
      <c r="AG193" s="5">
        <f>[1]Results!AJ1435</f>
        <v>900.39328769999997</v>
      </c>
      <c r="AH193" s="5">
        <f>[1]Results!AK1435</f>
        <v>913.04535669999996</v>
      </c>
      <c r="AI193" s="5">
        <f>[1]Results!AL1435</f>
        <v>926.12999920000004</v>
      </c>
      <c r="AJ193" s="5">
        <f>[1]Results!AM1435</f>
        <v>939.44769719999999</v>
      </c>
      <c r="AK193" s="5">
        <f>[1]Results!AN1435</f>
        <v>952.83554479999998</v>
      </c>
      <c r="AL193" s="5">
        <f>[1]Results!AO1435</f>
        <v>966.18289000000004</v>
      </c>
    </row>
    <row r="194" spans="1:38" x14ac:dyDescent="0.35">
      <c r="B194" t="s">
        <v>8</v>
      </c>
      <c r="C194" s="5">
        <f>[1]Results!F1438</f>
        <v>4368.3707029999996</v>
      </c>
      <c r="D194" s="5">
        <f>[1]Results!G1438</f>
        <v>4384.0349729999998</v>
      </c>
      <c r="E194" s="5">
        <f>[1]Results!H1438</f>
        <v>4406.4538739999998</v>
      </c>
      <c r="F194" s="5">
        <f>[1]Results!I1438</f>
        <v>4435.024386</v>
      </c>
      <c r="G194" s="5">
        <f>[1]Results!J1438</f>
        <v>4467.7091019999998</v>
      </c>
      <c r="H194" s="5">
        <f>[1]Results!K1438</f>
        <v>4503.5977890000004</v>
      </c>
      <c r="I194" s="5">
        <f>[1]Results!L1438</f>
        <v>4541.353736</v>
      </c>
      <c r="J194" s="5">
        <f>[1]Results!M1438</f>
        <v>4574.1507869999996</v>
      </c>
      <c r="K194" s="5">
        <f>[1]Results!N1438</f>
        <v>4604.4141060000002</v>
      </c>
      <c r="L194" s="5">
        <f>[1]Results!O1438</f>
        <v>4646.2775160000001</v>
      </c>
      <c r="M194" s="5">
        <f>[1]Results!P1438</f>
        <v>4696.4653639999997</v>
      </c>
      <c r="N194" s="5">
        <f>[1]Results!Q1438</f>
        <v>4748.7922959999996</v>
      </c>
      <c r="O194" s="5">
        <f>[1]Results!R1438</f>
        <v>4798.580046</v>
      </c>
      <c r="P194" s="5">
        <f>[1]Results!S1438</f>
        <v>4842.1661000000004</v>
      </c>
      <c r="Q194" s="5">
        <f>[1]Results!T1438</f>
        <v>4880.2397559999999</v>
      </c>
      <c r="R194" s="5">
        <f>[1]Results!U1438</f>
        <v>4914.8992260000005</v>
      </c>
      <c r="S194" s="5">
        <f>[1]Results!V1438</f>
        <v>4948.0787490000002</v>
      </c>
      <c r="T194" s="5">
        <f>[1]Results!W1438</f>
        <v>4982.0871189999998</v>
      </c>
      <c r="U194" s="5">
        <f>[1]Results!X1438</f>
        <v>5018.942325</v>
      </c>
      <c r="V194" s="5">
        <f>[1]Results!Y1438</f>
        <v>5060.1796960000001</v>
      </c>
      <c r="W194" s="5">
        <f>[1]Results!Z1438</f>
        <v>5106.4333610000003</v>
      </c>
      <c r="X194" s="5">
        <f>[1]Results!AA1438</f>
        <v>5159.1899960000001</v>
      </c>
      <c r="Y194" s="5">
        <f>[1]Results!AB1438</f>
        <v>5219.7060840000004</v>
      </c>
      <c r="Z194" s="5">
        <f>[1]Results!AC1438</f>
        <v>5288.8761619999996</v>
      </c>
      <c r="AA194" s="5">
        <f>[1]Results!AD1438</f>
        <v>5367.1292869999997</v>
      </c>
      <c r="AB194" s="5">
        <f>[1]Results!AE1438</f>
        <v>5453.0020320000003</v>
      </c>
      <c r="AC194" s="5">
        <f>[1]Results!AF1438</f>
        <v>5547.3082750000003</v>
      </c>
      <c r="AD194" s="5">
        <f>[1]Results!AG1438</f>
        <v>5651.1712379999999</v>
      </c>
      <c r="AE194" s="5">
        <f>[1]Results!AH1438</f>
        <v>5765.4123250000002</v>
      </c>
      <c r="AF194" s="5">
        <f>[1]Results!AI1438</f>
        <v>5890.067239</v>
      </c>
      <c r="AG194" s="5">
        <f>[1]Results!AJ1438</f>
        <v>6024.5974999999999</v>
      </c>
      <c r="AH194" s="5">
        <f>[1]Results!AK1438</f>
        <v>6168.5549970000002</v>
      </c>
      <c r="AI194" s="5">
        <f>[1]Results!AL1438</f>
        <v>6322.0196749999996</v>
      </c>
      <c r="AJ194" s="5">
        <f>[1]Results!AM1438</f>
        <v>6485.7135120000003</v>
      </c>
      <c r="AK194" s="5">
        <f>[1]Results!AN1438</f>
        <v>6661.3062419999997</v>
      </c>
      <c r="AL194" s="5">
        <f>[1]Results!AO1438</f>
        <v>6851.9435729999996</v>
      </c>
    </row>
    <row r="195" spans="1:38" x14ac:dyDescent="0.35">
      <c r="B195" t="s">
        <v>28</v>
      </c>
      <c r="C195" s="5">
        <f>[1]Results!F1450</f>
        <v>868.27520900000002</v>
      </c>
      <c r="D195" s="5">
        <f>[1]Results!G1450</f>
        <v>870.12886560000004</v>
      </c>
      <c r="E195" s="5">
        <f>[1]Results!H1450</f>
        <v>872.44483909999997</v>
      </c>
      <c r="F195" s="5">
        <f>[1]Results!I1450</f>
        <v>875.19916369999999</v>
      </c>
      <c r="G195" s="5">
        <f>[1]Results!J1450</f>
        <v>878.40633660000003</v>
      </c>
      <c r="H195" s="5">
        <f>[1]Results!K1450</f>
        <v>882.09922489999997</v>
      </c>
      <c r="I195" s="5">
        <f>[1]Results!L1450</f>
        <v>886.03977250000003</v>
      </c>
      <c r="J195" s="5">
        <f>[1]Results!M1450</f>
        <v>887.92524379999998</v>
      </c>
      <c r="K195" s="5">
        <f>[1]Results!N1450</f>
        <v>888.40773809999996</v>
      </c>
      <c r="L195" s="5">
        <f>[1]Results!O1450</f>
        <v>890.3757703</v>
      </c>
      <c r="M195" s="5">
        <f>[1]Results!P1450</f>
        <v>893.47457399999996</v>
      </c>
      <c r="N195" s="5">
        <f>[1]Results!Q1450</f>
        <v>896.92696290000004</v>
      </c>
      <c r="O195" s="5">
        <f>[1]Results!R1450</f>
        <v>900.07446170000003</v>
      </c>
      <c r="P195" s="5">
        <f>[1]Results!S1450</f>
        <v>902.26298039999995</v>
      </c>
      <c r="Q195" s="5">
        <f>[1]Results!T1450</f>
        <v>903.54127670000003</v>
      </c>
      <c r="R195" s="5">
        <f>[1]Results!U1450</f>
        <v>904.18345220000003</v>
      </c>
      <c r="S195" s="5">
        <f>[1]Results!V1450</f>
        <v>904.39794319999999</v>
      </c>
      <c r="T195" s="5">
        <f>[1]Results!W1450</f>
        <v>904.49143230000004</v>
      </c>
      <c r="U195" s="5">
        <f>[1]Results!X1450</f>
        <v>904.8028812</v>
      </c>
      <c r="V195" s="5">
        <f>[1]Results!Y1450</f>
        <v>905.61145599999998</v>
      </c>
      <c r="W195" s="5">
        <f>[1]Results!Z1450</f>
        <v>907.00320910000005</v>
      </c>
      <c r="X195" s="5">
        <f>[1]Results!AA1450</f>
        <v>909.30756840000004</v>
      </c>
      <c r="Y195" s="5">
        <f>[1]Results!AB1450</f>
        <v>912.7290524</v>
      </c>
      <c r="Z195" s="5">
        <f>[1]Results!AC1450</f>
        <v>917.39427690000002</v>
      </c>
      <c r="AA195" s="5">
        <f>[1]Results!AD1450</f>
        <v>923.33596850000004</v>
      </c>
      <c r="AB195" s="5">
        <f>[1]Results!AE1450</f>
        <v>930.16114879999998</v>
      </c>
      <c r="AC195" s="5">
        <f>[1]Results!AF1450</f>
        <v>938.1132662</v>
      </c>
      <c r="AD195" s="5">
        <f>[1]Results!AG1450</f>
        <v>947.35407720000001</v>
      </c>
      <c r="AE195" s="5">
        <f>[1]Results!AH1450</f>
        <v>957.97051980000003</v>
      </c>
      <c r="AF195" s="5">
        <f>[1]Results!AI1450</f>
        <v>969.88235940000004</v>
      </c>
      <c r="AG195" s="5">
        <f>[1]Results!AJ1450</f>
        <v>982.87477750000005</v>
      </c>
      <c r="AH195" s="5">
        <f>[1]Results!AK1450</f>
        <v>996.71511810000004</v>
      </c>
      <c r="AI195" s="5">
        <f>[1]Results!AL1450</f>
        <v>1011.2220569999999</v>
      </c>
      <c r="AJ195" s="5">
        <f>[1]Results!AM1450</f>
        <v>1026.260923</v>
      </c>
      <c r="AK195" s="5">
        <f>[1]Results!AN1450</f>
        <v>1041.752547</v>
      </c>
      <c r="AL195" s="5">
        <f>[1]Results!AO1450</f>
        <v>1057.6945020000001</v>
      </c>
    </row>
    <row r="196" spans="1:38" x14ac:dyDescent="0.35">
      <c r="B196" t="s">
        <v>10</v>
      </c>
      <c r="C196" s="5">
        <f>[1]Results!F1455</f>
        <v>21276.68795</v>
      </c>
      <c r="D196" s="5">
        <f>[1]Results!G1455</f>
        <v>21342.201700000001</v>
      </c>
      <c r="E196" s="5">
        <f>[1]Results!H1455</f>
        <v>21434.21284</v>
      </c>
      <c r="F196" s="5">
        <f>[1]Results!I1455</f>
        <v>21550.98647</v>
      </c>
      <c r="G196" s="5">
        <f>[1]Results!J1455</f>
        <v>21684.175159999999</v>
      </c>
      <c r="H196" s="5">
        <f>[1]Results!K1455</f>
        <v>21828.895649999999</v>
      </c>
      <c r="I196" s="5">
        <f>[1]Results!L1455</f>
        <v>21974.653340000001</v>
      </c>
      <c r="J196" s="5">
        <f>[1]Results!M1455</f>
        <v>22105.675009999999</v>
      </c>
      <c r="K196" s="5">
        <f>[1]Results!N1455</f>
        <v>22225.54738</v>
      </c>
      <c r="L196" s="5">
        <f>[1]Results!O1455</f>
        <v>22375.912469999999</v>
      </c>
      <c r="M196" s="5">
        <f>[1]Results!P1455</f>
        <v>22558.690999999999</v>
      </c>
      <c r="N196" s="5">
        <f>[1]Results!Q1455</f>
        <v>22745.229670000001</v>
      </c>
      <c r="O196" s="5">
        <f>[1]Results!R1455</f>
        <v>22922.011139999999</v>
      </c>
      <c r="P196" s="5">
        <f>[1]Results!S1455</f>
        <v>23076.702990000002</v>
      </c>
      <c r="Q196" s="5">
        <f>[1]Results!T1455</f>
        <v>23208.372230000001</v>
      </c>
      <c r="R196" s="5">
        <f>[1]Results!U1455</f>
        <v>23321.00979</v>
      </c>
      <c r="S196" s="5">
        <f>[1]Results!V1455</f>
        <v>23419.467629999999</v>
      </c>
      <c r="T196" s="5">
        <f>[1]Results!W1455</f>
        <v>23510.6116</v>
      </c>
      <c r="U196" s="5">
        <f>[1]Results!X1455</f>
        <v>23601.07416</v>
      </c>
      <c r="V196" s="5">
        <f>[1]Results!Y1455</f>
        <v>23696.375319999999</v>
      </c>
      <c r="W196" s="5">
        <f>[1]Results!Z1455</f>
        <v>23794.453590000001</v>
      </c>
      <c r="X196" s="5">
        <f>[1]Results!AA1455</f>
        <v>23907.020369999998</v>
      </c>
      <c r="Y196" s="5">
        <f>[1]Results!AB1455</f>
        <v>24037.721580000001</v>
      </c>
      <c r="Z196" s="5">
        <f>[1]Results!AC1455</f>
        <v>24189.248169999999</v>
      </c>
      <c r="AA196" s="5">
        <f>[1]Results!AD1455</f>
        <v>24362.882590000001</v>
      </c>
      <c r="AB196" s="5">
        <f>[1]Results!AE1455</f>
        <v>24541.03672</v>
      </c>
      <c r="AC196" s="5">
        <f>[1]Results!AF1455</f>
        <v>24737.718720000001</v>
      </c>
      <c r="AD196" s="5">
        <f>[1]Results!AG1455</f>
        <v>24955.897290000001</v>
      </c>
      <c r="AE196" s="5">
        <f>[1]Results!AH1455</f>
        <v>25197.759419999998</v>
      </c>
      <c r="AF196" s="5">
        <f>[1]Results!AI1455</f>
        <v>25463.143690000001</v>
      </c>
      <c r="AG196" s="5">
        <f>[1]Results!AJ1455</f>
        <v>25749.518769999999</v>
      </c>
      <c r="AH196" s="5">
        <f>[1]Results!AK1455</f>
        <v>26053.349849999999</v>
      </c>
      <c r="AI196" s="5">
        <f>[1]Results!AL1455</f>
        <v>26371.366160000001</v>
      </c>
      <c r="AJ196" s="5">
        <f>[1]Results!AM1455</f>
        <v>26701.203160000001</v>
      </c>
      <c r="AK196" s="5">
        <f>[1]Results!AN1455</f>
        <v>27041.925869999999</v>
      </c>
      <c r="AL196" s="5">
        <f>[1]Results!AO1455</f>
        <v>27394.760030000001</v>
      </c>
    </row>
    <row r="197" spans="1:38" x14ac:dyDescent="0.35">
      <c r="B197" t="s">
        <v>29</v>
      </c>
      <c r="C197" s="5">
        <f>C202-C198</f>
        <v>10.5730635677</v>
      </c>
      <c r="D197" s="5">
        <f t="shared" ref="D197:AL197" si="23">D202-D198</f>
        <v>10.534902041399999</v>
      </c>
      <c r="E197" s="5">
        <f t="shared" si="23"/>
        <v>10.473025822799999</v>
      </c>
      <c r="F197" s="5">
        <f t="shared" si="23"/>
        <v>10.400094086099998</v>
      </c>
      <c r="G197" s="5">
        <f t="shared" si="23"/>
        <v>10.339733753700001</v>
      </c>
      <c r="H197" s="5">
        <f t="shared" si="23"/>
        <v>10.300555961900001</v>
      </c>
      <c r="I197" s="5">
        <f t="shared" si="23"/>
        <v>10.281324380499999</v>
      </c>
      <c r="J197" s="5">
        <f t="shared" si="23"/>
        <v>10.099322671299998</v>
      </c>
      <c r="K197" s="5">
        <f t="shared" si="23"/>
        <v>9.8374436029000023</v>
      </c>
      <c r="L197" s="5">
        <f t="shared" si="23"/>
        <v>9.5651556232000026</v>
      </c>
      <c r="M197" s="5">
        <f t="shared" si="23"/>
        <v>9.2973278710000002</v>
      </c>
      <c r="N197" s="5">
        <f t="shared" si="23"/>
        <v>9.0428036179999989</v>
      </c>
      <c r="O197" s="5">
        <f t="shared" si="23"/>
        <v>8.7995833710000007</v>
      </c>
      <c r="P197" s="5">
        <f t="shared" si="23"/>
        <v>8.5616107660000011</v>
      </c>
      <c r="Q197" s="5">
        <f t="shared" si="23"/>
        <v>8.3279967849999998</v>
      </c>
      <c r="R197" s="5">
        <f t="shared" si="23"/>
        <v>8.0991661140000026</v>
      </c>
      <c r="S197" s="5">
        <f t="shared" si="23"/>
        <v>7.8674103950000003</v>
      </c>
      <c r="T197" s="5">
        <f t="shared" si="23"/>
        <v>7.6352442520000032</v>
      </c>
      <c r="U197" s="5">
        <f t="shared" si="23"/>
        <v>7.4051523569999951</v>
      </c>
      <c r="V197" s="5">
        <f t="shared" si="23"/>
        <v>7.1788641690000006</v>
      </c>
      <c r="W197" s="5">
        <f t="shared" si="23"/>
        <v>6.9569975419999999</v>
      </c>
      <c r="X197" s="5">
        <f t="shared" si="23"/>
        <v>6.7407835760000019</v>
      </c>
      <c r="Y197" s="5">
        <f t="shared" si="23"/>
        <v>6.5309164160000037</v>
      </c>
      <c r="Z197" s="5">
        <f t="shared" si="23"/>
        <v>6.3274727310000074</v>
      </c>
      <c r="AA197" s="5">
        <f t="shared" si="23"/>
        <v>6.1298610830000015</v>
      </c>
      <c r="AB197" s="5">
        <f t="shared" si="23"/>
        <v>5.9360325179999975</v>
      </c>
      <c r="AC197" s="5">
        <f t="shared" si="23"/>
        <v>5.7473058859999995</v>
      </c>
      <c r="AD197" s="5">
        <f t="shared" si="23"/>
        <v>5.5633032850000035</v>
      </c>
      <c r="AE197" s="5">
        <f t="shared" si="23"/>
        <v>5.3833065239999982</v>
      </c>
      <c r="AF197" s="5">
        <f t="shared" si="23"/>
        <v>5.2055800629999993</v>
      </c>
      <c r="AG197" s="5">
        <f t="shared" si="23"/>
        <v>5.0277079270000016</v>
      </c>
      <c r="AH197" s="5">
        <f t="shared" si="23"/>
        <v>4.8474018219999948</v>
      </c>
      <c r="AI197" s="5">
        <f t="shared" si="23"/>
        <v>4.6628599420000043</v>
      </c>
      <c r="AJ197" s="5">
        <f t="shared" si="23"/>
        <v>4.472614514</v>
      </c>
      <c r="AK197" s="5">
        <f t="shared" si="23"/>
        <v>4.2754548360000015</v>
      </c>
      <c r="AL197" s="5">
        <f t="shared" si="23"/>
        <v>4.070367883000003</v>
      </c>
    </row>
    <row r="198" spans="1:38" x14ac:dyDescent="0.35">
      <c r="B198" t="s">
        <v>36</v>
      </c>
      <c r="C198" s="5">
        <f>C200+C201</f>
        <v>7.3981974023000001</v>
      </c>
      <c r="D198" s="5">
        <f t="shared" ref="D198:AL198" si="24">D200+D201</f>
        <v>7.3617320886000002</v>
      </c>
      <c r="E198" s="5">
        <f t="shared" si="24"/>
        <v>7.3021064372000009</v>
      </c>
      <c r="F198" s="5">
        <f t="shared" si="24"/>
        <v>7.2344265138999999</v>
      </c>
      <c r="G198" s="5">
        <f t="shared" si="24"/>
        <v>7.1766448562999994</v>
      </c>
      <c r="H198" s="5">
        <f t="shared" si="24"/>
        <v>7.1354770681000002</v>
      </c>
      <c r="I198" s="5">
        <f t="shared" si="24"/>
        <v>7.1099682594999996</v>
      </c>
      <c r="J198" s="5">
        <f t="shared" si="24"/>
        <v>7.9213250786999998</v>
      </c>
      <c r="K198" s="5">
        <f t="shared" si="24"/>
        <v>9.1810954070999991</v>
      </c>
      <c r="L198" s="5">
        <f t="shared" si="24"/>
        <v>10.704417466799999</v>
      </c>
      <c r="M198" s="5">
        <f t="shared" si="24"/>
        <v>12.369168959</v>
      </c>
      <c r="N198" s="5">
        <f t="shared" si="24"/>
        <v>14.102042532</v>
      </c>
      <c r="O198" s="5">
        <f t="shared" si="24"/>
        <v>15.857155199000001</v>
      </c>
      <c r="P198" s="5">
        <f t="shared" si="24"/>
        <v>17.607750763999999</v>
      </c>
      <c r="Q198" s="5">
        <f t="shared" si="24"/>
        <v>19.344889585000001</v>
      </c>
      <c r="R198" s="5">
        <f t="shared" si="24"/>
        <v>21.070240265999999</v>
      </c>
      <c r="S198" s="5">
        <f t="shared" si="24"/>
        <v>22.783898014999998</v>
      </c>
      <c r="T198" s="5">
        <f t="shared" si="24"/>
        <v>24.492882368</v>
      </c>
      <c r="U198" s="5">
        <f t="shared" si="24"/>
        <v>26.207994633000002</v>
      </c>
      <c r="V198" s="5">
        <f t="shared" si="24"/>
        <v>27.940974181000001</v>
      </c>
      <c r="W198" s="5">
        <f t="shared" si="24"/>
        <v>29.701710758000001</v>
      </c>
      <c r="X198" s="5">
        <f t="shared" si="24"/>
        <v>31.502460154000001</v>
      </c>
      <c r="Y198" s="5">
        <f t="shared" si="24"/>
        <v>33.355145033999996</v>
      </c>
      <c r="Z198" s="5">
        <f t="shared" si="24"/>
        <v>35.270788878999994</v>
      </c>
      <c r="AA198" s="5">
        <f t="shared" si="24"/>
        <v>37.259192706999997</v>
      </c>
      <c r="AB198" s="5">
        <f t="shared" si="24"/>
        <v>39.323907552000001</v>
      </c>
      <c r="AC198" s="5">
        <f t="shared" si="24"/>
        <v>41.476955754000002</v>
      </c>
      <c r="AD198" s="5">
        <f t="shared" si="24"/>
        <v>43.733826274999998</v>
      </c>
      <c r="AE198" s="5">
        <f t="shared" si="24"/>
        <v>46.110550455999999</v>
      </c>
      <c r="AF198" s="5">
        <f t="shared" si="24"/>
        <v>48.621304727000002</v>
      </c>
      <c r="AG198" s="5">
        <f t="shared" si="24"/>
        <v>51.278661743000001</v>
      </c>
      <c r="AH198" s="5">
        <f t="shared" si="24"/>
        <v>54.096914048000002</v>
      </c>
      <c r="AI198" s="5">
        <f t="shared" si="24"/>
        <v>57.095357827999997</v>
      </c>
      <c r="AJ198" s="5">
        <f t="shared" si="24"/>
        <v>60.300136015999996</v>
      </c>
      <c r="AK198" s="5">
        <f t="shared" si="24"/>
        <v>63.748556573999998</v>
      </c>
      <c r="AL198" s="5">
        <f t="shared" si="24"/>
        <v>67.497570546999995</v>
      </c>
    </row>
    <row r="199" spans="1:38" x14ac:dyDescent="0.35">
      <c r="B199" t="s">
        <v>11</v>
      </c>
      <c r="C199" s="5">
        <f>[1]Results!F1463</f>
        <v>87.061451820000002</v>
      </c>
      <c r="D199" s="5">
        <f>[1]Results!G1463</f>
        <v>87.197682450000002</v>
      </c>
      <c r="E199" s="5">
        <f>[1]Results!H1463</f>
        <v>87.197127609999995</v>
      </c>
      <c r="F199" s="5">
        <f>[1]Results!I1463</f>
        <v>87.153659070000003</v>
      </c>
      <c r="G199" s="5">
        <f>[1]Results!J1463</f>
        <v>86.998113399999994</v>
      </c>
      <c r="H199" s="5">
        <f>[1]Results!K1463</f>
        <v>86.784198959999998</v>
      </c>
      <c r="I199" s="5">
        <f>[1]Results!L1463</f>
        <v>86.555232739999994</v>
      </c>
      <c r="J199" s="5">
        <f>[1]Results!M1463</f>
        <v>87.875514120000005</v>
      </c>
      <c r="K199" s="5">
        <f>[1]Results!N1463</f>
        <v>90.232286520000002</v>
      </c>
      <c r="L199" s="5">
        <f>[1]Results!O1463</f>
        <v>93.38012956</v>
      </c>
      <c r="M199" s="5">
        <f>[1]Results!P1463</f>
        <v>96.961515019999993</v>
      </c>
      <c r="N199" s="5">
        <f>[1]Results!Q1463</f>
        <v>100.5427864</v>
      </c>
      <c r="O199" s="5">
        <f>[1]Results!R1463</f>
        <v>103.9759133</v>
      </c>
      <c r="P199" s="5">
        <f>[1]Results!S1463</f>
        <v>107.2443143</v>
      </c>
      <c r="Q199" s="5">
        <f>[1]Results!T1463</f>
        <v>110.4444153</v>
      </c>
      <c r="R199" s="5">
        <f>[1]Results!U1463</f>
        <v>113.70191130000001</v>
      </c>
      <c r="S199" s="5">
        <f>[1]Results!V1463</f>
        <v>117.12385829999999</v>
      </c>
      <c r="T199" s="5">
        <f>[1]Results!W1463</f>
        <v>120.8197381</v>
      </c>
      <c r="U199" s="5">
        <f>[1]Results!X1463</f>
        <v>124.86645009999999</v>
      </c>
      <c r="V199" s="5">
        <f>[1]Results!Y1463</f>
        <v>129.33679050000001</v>
      </c>
      <c r="W199" s="5">
        <f>[1]Results!Z1463</f>
        <v>134.2953296</v>
      </c>
      <c r="X199" s="5">
        <f>[1]Results!AA1463</f>
        <v>139.8649135</v>
      </c>
      <c r="Y199" s="5">
        <f>[1]Results!AB1463</f>
        <v>146.1802854</v>
      </c>
      <c r="Z199" s="5">
        <f>[1]Results!AC1463</f>
        <v>153.38686949999999</v>
      </c>
      <c r="AA199" s="5">
        <f>[1]Results!AD1463</f>
        <v>161.64275190000001</v>
      </c>
      <c r="AB199" s="5">
        <f>[1]Results!AE1463</f>
        <v>171.0644126</v>
      </c>
      <c r="AC199" s="5">
        <f>[1]Results!AF1463</f>
        <v>181.93129930000001</v>
      </c>
      <c r="AD199" s="5">
        <f>[1]Results!AG1463</f>
        <v>194.5638415</v>
      </c>
      <c r="AE199" s="5">
        <f>[1]Results!AH1463</f>
        <v>209.339922</v>
      </c>
      <c r="AF199" s="5">
        <f>[1]Results!AI1463</f>
        <v>226.6992865</v>
      </c>
      <c r="AG199" s="5">
        <f>[1]Results!AJ1463</f>
        <v>247.17959239999999</v>
      </c>
      <c r="AH199" s="5">
        <f>[1]Results!AK1463</f>
        <v>271.49559950000003</v>
      </c>
      <c r="AI199" s="5">
        <f>[1]Results!AL1463</f>
        <v>300.64453150000003</v>
      </c>
      <c r="AJ199" s="5">
        <f>[1]Results!AM1463</f>
        <v>336.03931820000003</v>
      </c>
      <c r="AK199" s="5">
        <f>[1]Results!AN1463</f>
        <v>379.73597530000001</v>
      </c>
      <c r="AL199" s="5">
        <f>[1]Results!AO1463</f>
        <v>434.82622880000002</v>
      </c>
    </row>
    <row r="200" spans="1:38" x14ac:dyDescent="0.35">
      <c r="B200" t="s">
        <v>35</v>
      </c>
      <c r="C200" s="5">
        <f>[1]Results!F1460</f>
        <v>6.6796781279999999</v>
      </c>
      <c r="D200" s="5">
        <f>[1]Results!G1460</f>
        <v>6.6471851559999999</v>
      </c>
      <c r="E200" s="5">
        <f>[1]Results!H1460</f>
        <v>6.5932525560000004</v>
      </c>
      <c r="F200" s="5">
        <f>[1]Results!I1460</f>
        <v>6.5324955119999997</v>
      </c>
      <c r="G200" s="5">
        <f>[1]Results!J1460</f>
        <v>6.4804491039999998</v>
      </c>
      <c r="H200" s="5">
        <f>[1]Results!K1460</f>
        <v>6.4432032680000004</v>
      </c>
      <c r="I200" s="5">
        <f>[1]Results!L1460</f>
        <v>6.4197561009999999</v>
      </c>
      <c r="J200" s="5">
        <f>[1]Results!M1460</f>
        <v>7.1792906629999997</v>
      </c>
      <c r="K200" s="5">
        <f>[1]Results!N1460</f>
        <v>8.3619981909999996</v>
      </c>
      <c r="L200" s="5">
        <f>[1]Results!O1460</f>
        <v>9.7952427439999994</v>
      </c>
      <c r="M200" s="5">
        <f>[1]Results!P1460</f>
        <v>11.36494515</v>
      </c>
      <c r="N200" s="5">
        <f>[1]Results!Q1460</f>
        <v>13.00153721</v>
      </c>
      <c r="O200" s="5">
        <f>[1]Results!R1460</f>
        <v>14.66192193</v>
      </c>
      <c r="P200" s="5">
        <f>[1]Results!S1460</f>
        <v>16.321277429999999</v>
      </c>
      <c r="Q200" s="5">
        <f>[1]Results!T1460</f>
        <v>17.971097159999999</v>
      </c>
      <c r="R200" s="5">
        <f>[1]Results!U1460</f>
        <v>19.612621829999998</v>
      </c>
      <c r="S200" s="5">
        <f>[1]Results!V1460</f>
        <v>21.246502849999999</v>
      </c>
      <c r="T200" s="5">
        <f>[1]Results!W1460</f>
        <v>22.879130360000001</v>
      </c>
      <c r="U200" s="5">
        <f>[1]Results!X1460</f>
        <v>24.520183800000002</v>
      </c>
      <c r="V200" s="5">
        <f>[1]Results!Y1460</f>
        <v>26.180201950000001</v>
      </c>
      <c r="W200" s="5">
        <f>[1]Results!Z1460</f>
        <v>27.86814665</v>
      </c>
      <c r="X200" s="5">
        <f>[1]Results!AA1460</f>
        <v>29.594943480000001</v>
      </c>
      <c r="Y200" s="5">
        <f>[1]Results!AB1460</f>
        <v>31.371404089999999</v>
      </c>
      <c r="Z200" s="5">
        <f>[1]Results!AC1460</f>
        <v>33.207628229999997</v>
      </c>
      <c r="AA200" s="5">
        <f>[1]Results!AD1460</f>
        <v>35.112656729999998</v>
      </c>
      <c r="AB200" s="5">
        <f>[1]Results!AE1460</f>
        <v>37.090097540000002</v>
      </c>
      <c r="AC200" s="5">
        <f>[1]Results!AF1460</f>
        <v>39.150789580000001</v>
      </c>
      <c r="AD200" s="5">
        <f>[1]Results!AG1460</f>
        <v>41.308849590000001</v>
      </c>
      <c r="AE200" s="5">
        <f>[1]Results!AH1460</f>
        <v>43.579043409999997</v>
      </c>
      <c r="AF200" s="5">
        <f>[1]Results!AI1460</f>
        <v>45.974621089999999</v>
      </c>
      <c r="AG200" s="5">
        <f>[1]Results!AJ1460</f>
        <v>48.50745027</v>
      </c>
      <c r="AH200" s="5">
        <f>[1]Results!AK1460</f>
        <v>51.190925249999999</v>
      </c>
      <c r="AI200" s="5">
        <f>[1]Results!AL1460</f>
        <v>54.042893329999998</v>
      </c>
      <c r="AJ200" s="5">
        <f>[1]Results!AM1460</f>
        <v>57.087287369999999</v>
      </c>
      <c r="AK200" s="5">
        <f>[1]Results!AN1460</f>
        <v>60.358045879999999</v>
      </c>
      <c r="AL200" s="5">
        <f>[1]Results!AO1460</f>
        <v>63.906920339999999</v>
      </c>
    </row>
    <row r="201" spans="1:38" x14ac:dyDescent="0.35">
      <c r="B201" t="s">
        <v>34</v>
      </c>
      <c r="C201" s="5">
        <f>[1]Results!F1462</f>
        <v>0.71851927429999995</v>
      </c>
      <c r="D201" s="5">
        <f>[1]Results!G1462</f>
        <v>0.71454693260000002</v>
      </c>
      <c r="E201" s="5">
        <f>[1]Results!H1462</f>
        <v>0.70885388120000004</v>
      </c>
      <c r="F201" s="5">
        <f>[1]Results!I1462</f>
        <v>0.70193100190000002</v>
      </c>
      <c r="G201" s="5">
        <f>[1]Results!J1462</f>
        <v>0.69619575229999997</v>
      </c>
      <c r="H201" s="5">
        <f>[1]Results!K1462</f>
        <v>0.69227380009999995</v>
      </c>
      <c r="I201" s="5">
        <f>[1]Results!L1462</f>
        <v>0.69021215849999995</v>
      </c>
      <c r="J201" s="5">
        <f>[1]Results!M1462</f>
        <v>0.74203441569999995</v>
      </c>
      <c r="K201" s="5">
        <f>[1]Results!N1462</f>
        <v>0.81909721609999997</v>
      </c>
      <c r="L201" s="5">
        <f>[1]Results!O1462</f>
        <v>0.9091747228</v>
      </c>
      <c r="M201" s="5">
        <f>[1]Results!P1462</f>
        <v>1.004223809</v>
      </c>
      <c r="N201" s="5">
        <f>[1]Results!Q1462</f>
        <v>1.1005053220000001</v>
      </c>
      <c r="O201" s="5">
        <f>[1]Results!R1462</f>
        <v>1.195233269</v>
      </c>
      <c r="P201" s="5">
        <f>[1]Results!S1462</f>
        <v>1.2864733340000001</v>
      </c>
      <c r="Q201" s="5">
        <f>[1]Results!T1462</f>
        <v>1.373792425</v>
      </c>
      <c r="R201" s="5">
        <f>[1]Results!U1462</f>
        <v>1.457618436</v>
      </c>
      <c r="S201" s="5">
        <f>[1]Results!V1462</f>
        <v>1.537395165</v>
      </c>
      <c r="T201" s="5">
        <f>[1]Results!W1462</f>
        <v>1.6137520080000001</v>
      </c>
      <c r="U201" s="5">
        <f>[1]Results!X1462</f>
        <v>1.6878108329999999</v>
      </c>
      <c r="V201" s="5">
        <f>[1]Results!Y1462</f>
        <v>1.760772231</v>
      </c>
      <c r="W201" s="5">
        <f>[1]Results!Z1462</f>
        <v>1.833564108</v>
      </c>
      <c r="X201" s="5">
        <f>[1]Results!AA1462</f>
        <v>1.907516674</v>
      </c>
      <c r="Y201" s="5">
        <f>[1]Results!AB1462</f>
        <v>1.983740944</v>
      </c>
      <c r="Z201" s="5">
        <f>[1]Results!AC1462</f>
        <v>2.0631606489999998</v>
      </c>
      <c r="AA201" s="5">
        <f>[1]Results!AD1462</f>
        <v>2.1465359770000001</v>
      </c>
      <c r="AB201" s="5">
        <f>[1]Results!AE1462</f>
        <v>2.2338100120000002</v>
      </c>
      <c r="AC201" s="5">
        <f>[1]Results!AF1462</f>
        <v>2.3261661739999999</v>
      </c>
      <c r="AD201" s="5">
        <f>[1]Results!AG1462</f>
        <v>2.4249766849999999</v>
      </c>
      <c r="AE201" s="5">
        <f>[1]Results!AH1462</f>
        <v>2.5315070460000002</v>
      </c>
      <c r="AF201" s="5">
        <f>[1]Results!AI1462</f>
        <v>2.6466836370000002</v>
      </c>
      <c r="AG201" s="5">
        <f>[1]Results!AJ1462</f>
        <v>2.7712114730000001</v>
      </c>
      <c r="AH201" s="5">
        <f>[1]Results!AK1462</f>
        <v>2.9059887980000001</v>
      </c>
      <c r="AI201" s="5">
        <f>[1]Results!AL1462</f>
        <v>3.052464498</v>
      </c>
      <c r="AJ201" s="5">
        <f>[1]Results!AM1462</f>
        <v>3.2128486459999999</v>
      </c>
      <c r="AK201" s="5">
        <f>[1]Results!AN1462</f>
        <v>3.390510694</v>
      </c>
      <c r="AL201" s="5">
        <f>[1]Results!AO1462</f>
        <v>3.5906502069999999</v>
      </c>
    </row>
    <row r="202" spans="1:38" x14ac:dyDescent="0.35">
      <c r="B202" t="s">
        <v>37</v>
      </c>
      <c r="C202" s="5">
        <f>[1]Results!F1458</f>
        <v>17.971260969999999</v>
      </c>
      <c r="D202" s="5">
        <f>[1]Results!G1458</f>
        <v>17.896634129999999</v>
      </c>
      <c r="E202" s="5">
        <f>[1]Results!H1458</f>
        <v>17.775132259999999</v>
      </c>
      <c r="F202" s="5">
        <f>[1]Results!I1458</f>
        <v>17.634520599999998</v>
      </c>
      <c r="G202" s="5">
        <f>[1]Results!J1458</f>
        <v>17.51637861</v>
      </c>
      <c r="H202" s="5">
        <f>[1]Results!K1458</f>
        <v>17.436033030000001</v>
      </c>
      <c r="I202" s="5">
        <f>[1]Results!L1458</f>
        <v>17.39129264</v>
      </c>
      <c r="J202" s="5">
        <f>[1]Results!M1458</f>
        <v>18.020647749999998</v>
      </c>
      <c r="K202" s="5">
        <f>[1]Results!N1458</f>
        <v>19.018539010000001</v>
      </c>
      <c r="L202" s="5">
        <f>[1]Results!O1458</f>
        <v>20.269573090000002</v>
      </c>
      <c r="M202" s="5">
        <f>[1]Results!P1458</f>
        <v>21.66649683</v>
      </c>
      <c r="N202" s="5">
        <f>[1]Results!Q1458</f>
        <v>23.144846149999999</v>
      </c>
      <c r="O202" s="5">
        <f>[1]Results!R1458</f>
        <v>24.656738570000002</v>
      </c>
      <c r="P202" s="5">
        <f>[1]Results!S1458</f>
        <v>26.16936153</v>
      </c>
      <c r="Q202" s="5">
        <f>[1]Results!T1458</f>
        <v>27.672886370000001</v>
      </c>
      <c r="R202" s="5">
        <f>[1]Results!U1458</f>
        <v>29.169406380000002</v>
      </c>
      <c r="S202" s="5">
        <f>[1]Results!V1458</f>
        <v>30.651308409999999</v>
      </c>
      <c r="T202" s="5">
        <f>[1]Results!W1458</f>
        <v>32.128126620000003</v>
      </c>
      <c r="U202" s="5">
        <f>[1]Results!X1458</f>
        <v>33.613146989999997</v>
      </c>
      <c r="V202" s="5">
        <f>[1]Results!Y1458</f>
        <v>35.119838350000002</v>
      </c>
      <c r="W202" s="5">
        <f>[1]Results!Z1458</f>
        <v>36.658708300000001</v>
      </c>
      <c r="X202" s="5">
        <f>[1]Results!AA1458</f>
        <v>38.243243730000003</v>
      </c>
      <c r="Y202" s="5">
        <f>[1]Results!AB1458</f>
        <v>39.88606145</v>
      </c>
      <c r="Z202" s="5">
        <f>[1]Results!AC1458</f>
        <v>41.598261610000002</v>
      </c>
      <c r="AA202" s="5">
        <f>[1]Results!AD1458</f>
        <v>43.389053789999998</v>
      </c>
      <c r="AB202" s="5">
        <f>[1]Results!AE1458</f>
        <v>45.259940069999999</v>
      </c>
      <c r="AC202" s="5">
        <f>[1]Results!AF1458</f>
        <v>47.224261640000002</v>
      </c>
      <c r="AD202" s="5">
        <f>[1]Results!AG1458</f>
        <v>49.297129560000002</v>
      </c>
      <c r="AE202" s="5">
        <f>[1]Results!AH1458</f>
        <v>51.493856979999997</v>
      </c>
      <c r="AF202" s="5">
        <f>[1]Results!AI1458</f>
        <v>53.826884790000001</v>
      </c>
      <c r="AG202" s="5">
        <f>[1]Results!AJ1458</f>
        <v>56.306369670000002</v>
      </c>
      <c r="AH202" s="5">
        <f>[1]Results!AK1458</f>
        <v>58.944315869999997</v>
      </c>
      <c r="AI202" s="5">
        <f>[1]Results!AL1458</f>
        <v>61.758217770000002</v>
      </c>
      <c r="AJ202" s="5">
        <f>[1]Results!AM1458</f>
        <v>64.772750529999996</v>
      </c>
      <c r="AK202" s="5">
        <f>[1]Results!AN1458</f>
        <v>68.02401141</v>
      </c>
      <c r="AL202" s="5">
        <f>[1]Results!AO1458</f>
        <v>71.567938429999998</v>
      </c>
    </row>
    <row r="203" spans="1:3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x14ac:dyDescent="0.35">
      <c r="A204" s="12" t="s">
        <v>86</v>
      </c>
      <c r="B204" t="s">
        <v>27</v>
      </c>
      <c r="C204" s="3">
        <f>[1]Results!F1473</f>
        <v>27379.147679999998</v>
      </c>
      <c r="D204" s="3">
        <f>[1]Results!G1473</f>
        <v>27463.02838</v>
      </c>
      <c r="E204" s="3">
        <f>[1]Results!H1473</f>
        <v>27580.776099999999</v>
      </c>
      <c r="F204" s="3">
        <f>[1]Results!I1473</f>
        <v>27730.77939</v>
      </c>
      <c r="G204" s="3">
        <f>[1]Results!J1473</f>
        <v>27902.627700000001</v>
      </c>
      <c r="H204" s="3">
        <f>[1]Results!K1473</f>
        <v>28090.563300000002</v>
      </c>
      <c r="I204" s="3">
        <f>[1]Results!L1473</f>
        <v>28279.679029999999</v>
      </c>
      <c r="J204" s="3">
        <f>[1]Results!M1473</f>
        <v>28464.796200000001</v>
      </c>
      <c r="K204" s="3">
        <f>[1]Results!N1473</f>
        <v>28643.926090000001</v>
      </c>
      <c r="L204" s="3">
        <f>[1]Results!O1473</f>
        <v>28817.204959999999</v>
      </c>
      <c r="M204" s="3">
        <f>[1]Results!P1473</f>
        <v>28997.284540000001</v>
      </c>
      <c r="N204" s="3">
        <f>[1]Results!Q1473</f>
        <v>29172.279770000001</v>
      </c>
      <c r="O204" s="3">
        <f>[1]Results!R1473</f>
        <v>29338.30356</v>
      </c>
      <c r="P204" s="3">
        <f>[1]Results!S1473</f>
        <v>29483.765899999999</v>
      </c>
      <c r="Q204" s="3">
        <f>[1]Results!T1473</f>
        <v>29606.612570000001</v>
      </c>
      <c r="R204" s="3">
        <f>[1]Results!U1473</f>
        <v>29710.916140000001</v>
      </c>
      <c r="S204" s="3">
        <f>[1]Results!V1473</f>
        <v>29806.50921</v>
      </c>
      <c r="T204" s="3">
        <f>[1]Results!W1473</f>
        <v>29904.356749999999</v>
      </c>
      <c r="U204" s="3">
        <f>[1]Results!X1473</f>
        <v>30013.776900000001</v>
      </c>
      <c r="V204" s="3">
        <f>[1]Results!Y1473</f>
        <v>30141.076430000001</v>
      </c>
      <c r="W204" s="3">
        <f>[1]Results!Z1473</f>
        <v>30283.104200000002</v>
      </c>
      <c r="X204" s="3">
        <f>[1]Results!AA1473</f>
        <v>30451.5497</v>
      </c>
      <c r="Y204" s="3">
        <f>[1]Results!AB1473</f>
        <v>30649.714619999999</v>
      </c>
      <c r="Z204" s="3">
        <f>[1]Results!AC1473</f>
        <v>30879.633180000001</v>
      </c>
      <c r="AA204" s="3">
        <f>[1]Results!AD1473</f>
        <v>31141.420099999999</v>
      </c>
      <c r="AB204" s="3">
        <f>[1]Results!AE1473</f>
        <v>31413.91302</v>
      </c>
      <c r="AC204" s="3">
        <f>[1]Results!AF1473</f>
        <v>31710.262139999999</v>
      </c>
      <c r="AD204" s="3">
        <f>[1]Results!AG1473</f>
        <v>32032.940289999999</v>
      </c>
      <c r="AE204" s="3">
        <f>[1]Results!AH1473</f>
        <v>32383.023270000002</v>
      </c>
      <c r="AF204" s="3">
        <f>[1]Results!AI1473</f>
        <v>32757.73028</v>
      </c>
      <c r="AG204" s="3">
        <f>[1]Results!AJ1473</f>
        <v>33150.671880000002</v>
      </c>
      <c r="AH204" s="3">
        <f>[1]Results!AK1473</f>
        <v>33553.977559999999</v>
      </c>
      <c r="AI204" s="3">
        <f>[1]Results!AL1473</f>
        <v>33959.855479999998</v>
      </c>
      <c r="AJ204" s="3">
        <f>[1]Results!AM1473</f>
        <v>34360.991240000003</v>
      </c>
      <c r="AK204" s="3">
        <f>[1]Results!AN1473</f>
        <v>34750.610540000001</v>
      </c>
      <c r="AL204" s="3">
        <f>[1]Results!AO1473</f>
        <v>35122.490790000003</v>
      </c>
    </row>
    <row r="205" spans="1:38" x14ac:dyDescent="0.35">
      <c r="A205" t="s">
        <v>38</v>
      </c>
      <c r="B205" t="s">
        <v>7</v>
      </c>
      <c r="C205" s="3">
        <f>[1]Results!F1474</f>
        <v>760.78110530000004</v>
      </c>
      <c r="D205" s="3">
        <f>[1]Results!G1474</f>
        <v>761.56852460000005</v>
      </c>
      <c r="E205" s="3">
        <f>[1]Results!H1474</f>
        <v>762.69229210000003</v>
      </c>
      <c r="F205" s="3">
        <f>[1]Results!I1474</f>
        <v>764.78119519999996</v>
      </c>
      <c r="G205" s="3">
        <f>[1]Results!J1474</f>
        <v>767.82261459999995</v>
      </c>
      <c r="H205" s="3">
        <f>[1]Results!K1474</f>
        <v>771.75041009999995</v>
      </c>
      <c r="I205" s="3">
        <f>[1]Results!L1474</f>
        <v>776.17849960000001</v>
      </c>
      <c r="J205" s="3">
        <f>[1]Results!M1474</f>
        <v>780.79647709999995</v>
      </c>
      <c r="K205" s="3">
        <f>[1]Results!N1474</f>
        <v>785.40595370000005</v>
      </c>
      <c r="L205" s="3">
        <f>[1]Results!O1474</f>
        <v>789.90731349999999</v>
      </c>
      <c r="M205" s="3">
        <f>[1]Results!P1474</f>
        <v>794.45401749999996</v>
      </c>
      <c r="N205" s="3">
        <f>[1]Results!Q1474</f>
        <v>798.90890560000003</v>
      </c>
      <c r="O205" s="3">
        <f>[1]Results!R1474</f>
        <v>803.04416230000004</v>
      </c>
      <c r="P205" s="3">
        <f>[1]Results!S1474</f>
        <v>806.36077009999997</v>
      </c>
      <c r="Q205" s="3">
        <f>[1]Results!T1474</f>
        <v>808.78431269999999</v>
      </c>
      <c r="R205" s="3">
        <f>[1]Results!U1474</f>
        <v>810.48282110000002</v>
      </c>
      <c r="S205" s="3">
        <f>[1]Results!V1474</f>
        <v>811.83505849999995</v>
      </c>
      <c r="T205" s="3">
        <f>[1]Results!W1474</f>
        <v>813.26753359999998</v>
      </c>
      <c r="U205" s="3">
        <f>[1]Results!X1474</f>
        <v>815.14242630000001</v>
      </c>
      <c r="V205" s="3">
        <f>[1]Results!Y1474</f>
        <v>817.69865670000002</v>
      </c>
      <c r="W205" s="3">
        <f>[1]Results!Z1474</f>
        <v>820.97662430000003</v>
      </c>
      <c r="X205" s="3">
        <f>[1]Results!AA1474</f>
        <v>825.16912549999995</v>
      </c>
      <c r="Y205" s="3">
        <f>[1]Results!AB1474</f>
        <v>830.41955810000002</v>
      </c>
      <c r="Z205" s="3">
        <f>[1]Results!AC1474</f>
        <v>836.8107321</v>
      </c>
      <c r="AA205" s="3">
        <f>[1]Results!AD1474</f>
        <v>844.34231709999995</v>
      </c>
      <c r="AB205" s="3">
        <f>[1]Results!AE1474</f>
        <v>852.66208140000003</v>
      </c>
      <c r="AC205" s="3">
        <f>[1]Results!AF1474</f>
        <v>861.82986040000003</v>
      </c>
      <c r="AD205" s="3">
        <f>[1]Results!AG1474</f>
        <v>871.93167960000005</v>
      </c>
      <c r="AE205" s="3">
        <f>[1]Results!AH1474</f>
        <v>883.00754559999996</v>
      </c>
      <c r="AF205" s="3">
        <f>[1]Results!AI1474</f>
        <v>894.94784879999997</v>
      </c>
      <c r="AG205" s="3">
        <f>[1]Results!AJ1474</f>
        <v>907.50625950000006</v>
      </c>
      <c r="AH205" s="3">
        <f>[1]Results!AK1474</f>
        <v>920.38514620000001</v>
      </c>
      <c r="AI205" s="3">
        <f>[1]Results!AL1474</f>
        <v>933.29380709999998</v>
      </c>
      <c r="AJ205" s="3">
        <f>[1]Results!AM1474</f>
        <v>945.96071519999998</v>
      </c>
      <c r="AK205" s="3">
        <f>[1]Results!AN1474</f>
        <v>958.13501199999996</v>
      </c>
      <c r="AL205" s="3">
        <f>[1]Results!AO1474</f>
        <v>969.58710159999998</v>
      </c>
    </row>
    <row r="206" spans="1:38" x14ac:dyDescent="0.35">
      <c r="B206" t="s">
        <v>30</v>
      </c>
      <c r="C206" s="3">
        <f>[1]Results!F1477</f>
        <v>4368.3707029999996</v>
      </c>
      <c r="D206" s="3">
        <f>[1]Results!G1477</f>
        <v>4384.0349720000004</v>
      </c>
      <c r="E206" s="3">
        <f>[1]Results!H1477</f>
        <v>4406.4538739999998</v>
      </c>
      <c r="F206" s="3">
        <f>[1]Results!I1477</f>
        <v>4435.0243849999997</v>
      </c>
      <c r="G206" s="3">
        <f>[1]Results!J1477</f>
        <v>4467.7091010000004</v>
      </c>
      <c r="H206" s="3">
        <f>[1]Results!K1477</f>
        <v>4503.5977890000004</v>
      </c>
      <c r="I206" s="3">
        <f>[1]Results!L1477</f>
        <v>4541.0620589999999</v>
      </c>
      <c r="J206" s="3">
        <f>[1]Results!M1477</f>
        <v>4578.9521610000002</v>
      </c>
      <c r="K206" s="3">
        <f>[1]Results!N1477</f>
        <v>4616.643814</v>
      </c>
      <c r="L206" s="3">
        <f>[1]Results!O1477</f>
        <v>4653.9370710000003</v>
      </c>
      <c r="M206" s="3">
        <f>[1]Results!P1477</f>
        <v>4691.8402759999999</v>
      </c>
      <c r="N206" s="3">
        <f>[1]Results!Q1477</f>
        <v>4729.7986629999996</v>
      </c>
      <c r="O206" s="3">
        <f>[1]Results!R1477</f>
        <v>4766.6173930000004</v>
      </c>
      <c r="P206" s="3">
        <f>[1]Results!S1477</f>
        <v>4799.4598370000003</v>
      </c>
      <c r="Q206" s="3">
        <f>[1]Results!T1477</f>
        <v>4828.0381029999999</v>
      </c>
      <c r="R206" s="3">
        <f>[1]Results!U1477</f>
        <v>4853.4934730000004</v>
      </c>
      <c r="S206" s="3">
        <f>[1]Results!V1477</f>
        <v>4877.8787949999996</v>
      </c>
      <c r="T206" s="3">
        <f>[1]Results!W1477</f>
        <v>4903.6180430000004</v>
      </c>
      <c r="U206" s="3">
        <f>[1]Results!X1477</f>
        <v>4932.8483850000002</v>
      </c>
      <c r="V206" s="3">
        <f>[1]Results!Y1477</f>
        <v>4967.0198190000001</v>
      </c>
      <c r="W206" s="3">
        <f>[1]Results!Z1477</f>
        <v>5006.4887159999998</v>
      </c>
      <c r="X206" s="3">
        <f>[1]Results!AA1477</f>
        <v>5052.2882479999998</v>
      </c>
      <c r="Y206" s="3">
        <f>[1]Results!AB1477</f>
        <v>5105.1602190000003</v>
      </c>
      <c r="Z206" s="3">
        <f>[1]Results!AC1477</f>
        <v>5165.5189410000003</v>
      </c>
      <c r="AA206" s="3">
        <f>[1]Results!AD1477</f>
        <v>5233.3195239999995</v>
      </c>
      <c r="AB206" s="3">
        <f>[1]Results!AE1477</f>
        <v>5306.6563299999998</v>
      </c>
      <c r="AC206" s="3">
        <f>[1]Results!AF1477</f>
        <v>5385.6966069999999</v>
      </c>
      <c r="AD206" s="3">
        <f>[1]Results!AG1477</f>
        <v>5470.7275769999997</v>
      </c>
      <c r="AE206" s="3">
        <f>[1]Results!AH1477</f>
        <v>5561.8119729999999</v>
      </c>
      <c r="AF206" s="3">
        <f>[1]Results!AI1477</f>
        <v>5658.1528070000004</v>
      </c>
      <c r="AG206" s="3">
        <f>[1]Results!AJ1477</f>
        <v>5758.2102969999996</v>
      </c>
      <c r="AH206" s="3">
        <f>[1]Results!AK1477</f>
        <v>5860.230818</v>
      </c>
      <c r="AI206" s="3">
        <f>[1]Results!AL1477</f>
        <v>5962.5892510000003</v>
      </c>
      <c r="AJ206" s="3">
        <f>[1]Results!AM1477</f>
        <v>6063.8365679999997</v>
      </c>
      <c r="AK206" s="3">
        <f>[1]Results!AN1477</f>
        <v>6162.6717829999998</v>
      </c>
      <c r="AL206" s="3">
        <f>[1]Results!AO1477</f>
        <v>6257.9106689999999</v>
      </c>
    </row>
    <row r="207" spans="1:38" x14ac:dyDescent="0.35">
      <c r="B207" t="s">
        <v>28</v>
      </c>
      <c r="C207" s="3">
        <f>[1]Results!F1489</f>
        <v>868.27520900000002</v>
      </c>
      <c r="D207" s="3">
        <f>[1]Results!G1489</f>
        <v>870.12886560000004</v>
      </c>
      <c r="E207" s="3">
        <f>[1]Results!H1489</f>
        <v>872.44483909999997</v>
      </c>
      <c r="F207" s="3">
        <f>[1]Results!I1489</f>
        <v>875.19916369999999</v>
      </c>
      <c r="G207" s="3">
        <f>[1]Results!J1489</f>
        <v>878.40633649999995</v>
      </c>
      <c r="H207" s="3">
        <f>[1]Results!K1489</f>
        <v>882.0992248</v>
      </c>
      <c r="I207" s="3">
        <f>[1]Results!L1489</f>
        <v>885.90246030000003</v>
      </c>
      <c r="J207" s="3">
        <f>[1]Results!M1489</f>
        <v>889.57022099999995</v>
      </c>
      <c r="K207" s="3">
        <f>[1]Results!N1489</f>
        <v>892.97708490000002</v>
      </c>
      <c r="L207" s="3">
        <f>[1]Results!O1489</f>
        <v>896.09828170000003</v>
      </c>
      <c r="M207" s="3">
        <f>[1]Results!P1489</f>
        <v>899.19419930000004</v>
      </c>
      <c r="N207" s="3">
        <f>[1]Results!Q1489</f>
        <v>902.08378140000002</v>
      </c>
      <c r="O207" s="3">
        <f>[1]Results!R1489</f>
        <v>904.57604330000004</v>
      </c>
      <c r="P207" s="3">
        <f>[1]Results!S1489</f>
        <v>906.17952579999996</v>
      </c>
      <c r="Q207" s="3">
        <f>[1]Results!T1489</f>
        <v>906.87318240000002</v>
      </c>
      <c r="R207" s="3">
        <f>[1]Results!U1489</f>
        <v>906.88848610000002</v>
      </c>
      <c r="S207" s="3">
        <f>[1]Results!V1489</f>
        <v>906.70803799999999</v>
      </c>
      <c r="T207" s="3">
        <f>[1]Results!W1489</f>
        <v>906.81580540000004</v>
      </c>
      <c r="U207" s="3">
        <f>[1]Results!X1489</f>
        <v>907.57676100000003</v>
      </c>
      <c r="V207" s="3">
        <f>[1]Results!Y1489</f>
        <v>909.19716849999998</v>
      </c>
      <c r="W207" s="3">
        <f>[1]Results!Z1489</f>
        <v>911.64682979999998</v>
      </c>
      <c r="X207" s="3">
        <f>[1]Results!AA1489</f>
        <v>915.12884599999995</v>
      </c>
      <c r="Y207" s="3">
        <f>[1]Results!AB1489</f>
        <v>919.73134860000005</v>
      </c>
      <c r="Z207" s="3">
        <f>[1]Results!AC1489</f>
        <v>925.49143289999995</v>
      </c>
      <c r="AA207" s="3">
        <f>[1]Results!AD1489</f>
        <v>932.37277449999999</v>
      </c>
      <c r="AB207" s="3">
        <f>[1]Results!AE1489</f>
        <v>939.92560100000003</v>
      </c>
      <c r="AC207" s="3">
        <f>[1]Results!AF1489</f>
        <v>948.30897530000004</v>
      </c>
      <c r="AD207" s="3">
        <f>[1]Results!AG1489</f>
        <v>957.58838600000001</v>
      </c>
      <c r="AE207" s="3">
        <f>[1]Results!AH1489</f>
        <v>967.77317549999998</v>
      </c>
      <c r="AF207" s="3">
        <f>[1]Results!AI1489</f>
        <v>978.71283640000001</v>
      </c>
      <c r="AG207" s="3">
        <f>[1]Results!AJ1489</f>
        <v>990.12329590000002</v>
      </c>
      <c r="AH207" s="3">
        <f>[1]Results!AK1489</f>
        <v>1001.686834</v>
      </c>
      <c r="AI207" s="3">
        <f>[1]Results!AL1489</f>
        <v>1013.114715</v>
      </c>
      <c r="AJ207" s="3">
        <f>[1]Results!AM1489</f>
        <v>1024.155446</v>
      </c>
      <c r="AK207" s="3">
        <f>[1]Results!AN1489</f>
        <v>1034.5902619999999</v>
      </c>
      <c r="AL207" s="3">
        <f>[1]Results!AO1489</f>
        <v>1044.228376</v>
      </c>
    </row>
    <row r="208" spans="1:38" x14ac:dyDescent="0.35">
      <c r="B208" t="s">
        <v>10</v>
      </c>
      <c r="C208" s="3">
        <f>[1]Results!F1494</f>
        <v>21276.68795</v>
      </c>
      <c r="D208" s="3">
        <f>[1]Results!G1494</f>
        <v>21342.201700000001</v>
      </c>
      <c r="E208" s="3">
        <f>[1]Results!H1494</f>
        <v>21434.21284</v>
      </c>
      <c r="F208" s="3">
        <f>[1]Results!I1494</f>
        <v>21550.98647</v>
      </c>
      <c r="G208" s="3">
        <f>[1]Results!J1494</f>
        <v>21684.175149999999</v>
      </c>
      <c r="H208" s="3">
        <f>[1]Results!K1494</f>
        <v>21828.895639999999</v>
      </c>
      <c r="I208" s="3">
        <f>[1]Results!L1494</f>
        <v>21972.58797</v>
      </c>
      <c r="J208" s="3">
        <f>[1]Results!M1494</f>
        <v>22111.764869999999</v>
      </c>
      <c r="K208" s="3">
        <f>[1]Results!N1494</f>
        <v>22245.39114</v>
      </c>
      <c r="L208" s="3">
        <f>[1]Results!O1494</f>
        <v>22373.941129999999</v>
      </c>
      <c r="M208" s="3">
        <f>[1]Results!P1494</f>
        <v>22508.631959999999</v>
      </c>
      <c r="N208" s="3">
        <f>[1]Results!Q1494</f>
        <v>22638.48763</v>
      </c>
      <c r="O208" s="3">
        <f>[1]Results!R1494</f>
        <v>22761.266070000001</v>
      </c>
      <c r="P208" s="3">
        <f>[1]Results!S1494</f>
        <v>22869.25274</v>
      </c>
      <c r="Q208" s="3">
        <f>[1]Results!T1494</f>
        <v>22960.780610000002</v>
      </c>
      <c r="R208" s="3">
        <f>[1]Results!U1494</f>
        <v>23038.35745</v>
      </c>
      <c r="S208" s="3">
        <f>[1]Results!V1494</f>
        <v>23108.871210000001</v>
      </c>
      <c r="T208" s="3">
        <f>[1]Results!W1494</f>
        <v>23179.90582</v>
      </c>
      <c r="U208" s="3">
        <f>[1]Results!X1494</f>
        <v>23257.87239</v>
      </c>
      <c r="V208" s="3">
        <f>[1]Results!Y1494</f>
        <v>23347.152740000001</v>
      </c>
      <c r="W208" s="3">
        <f>[1]Results!Z1494</f>
        <v>23444.224549999999</v>
      </c>
      <c r="X208" s="3">
        <f>[1]Results!AA1494</f>
        <v>23559.321469999999</v>
      </c>
      <c r="Y208" s="3">
        <f>[1]Results!AB1494</f>
        <v>23694.75691</v>
      </c>
      <c r="Z208" s="3">
        <f>[1]Results!AC1494</f>
        <v>23852.02246</v>
      </c>
      <c r="AA208" s="3">
        <f>[1]Results!AD1494</f>
        <v>24031.31482</v>
      </c>
      <c r="AB208" s="3">
        <f>[1]Results!AE1494</f>
        <v>24214.2248</v>
      </c>
      <c r="AC208" s="3">
        <f>[1]Results!AF1494</f>
        <v>24413.50258</v>
      </c>
      <c r="AD208" s="3">
        <f>[1]Results!AG1494</f>
        <v>24631.177080000001</v>
      </c>
      <c r="AE208" s="3">
        <f>[1]Results!AH1494</f>
        <v>24868.214680000001</v>
      </c>
      <c r="AF208" s="3">
        <f>[1]Results!AI1494</f>
        <v>25122.910469999999</v>
      </c>
      <c r="AG208" s="3">
        <f>[1]Results!AJ1494</f>
        <v>25390.976879999998</v>
      </c>
      <c r="AH208" s="3">
        <f>[1]Results!AK1494</f>
        <v>25666.94728</v>
      </c>
      <c r="AI208" s="3">
        <f>[1]Results!AL1494</f>
        <v>25945.266080000001</v>
      </c>
      <c r="AJ208" s="3">
        <f>[1]Results!AM1494</f>
        <v>26220.618129999999</v>
      </c>
      <c r="AK208" s="3">
        <f>[1]Results!AN1494</f>
        <v>26488.022850000001</v>
      </c>
      <c r="AL208" s="3">
        <f>[1]Results!AO1494</f>
        <v>26742.88191</v>
      </c>
    </row>
    <row r="209" spans="1:38" x14ac:dyDescent="0.35">
      <c r="B209" t="s">
        <v>29</v>
      </c>
      <c r="C209" s="3">
        <f>C214-C210</f>
        <v>10.573063502599998</v>
      </c>
      <c r="D209" s="3">
        <f t="shared" ref="D209:AL209" si="25">D214-D210</f>
        <v>10.534901948</v>
      </c>
      <c r="E209" s="3">
        <f t="shared" si="25"/>
        <v>10.473025717500001</v>
      </c>
      <c r="F209" s="3">
        <f t="shared" si="25"/>
        <v>10.4000939839</v>
      </c>
      <c r="G209" s="3">
        <f t="shared" si="25"/>
        <v>10.339733650299999</v>
      </c>
      <c r="H209" s="3">
        <f t="shared" si="25"/>
        <v>10.300555860099999</v>
      </c>
      <c r="I209" s="3">
        <f t="shared" si="25"/>
        <v>10.2741197898</v>
      </c>
      <c r="J209" s="3">
        <f t="shared" si="25"/>
        <v>10.252734221800001</v>
      </c>
      <c r="K209" s="3">
        <f t="shared" si="25"/>
        <v>10.231416971400002</v>
      </c>
      <c r="L209" s="3">
        <f t="shared" si="25"/>
        <v>10.207909988300001</v>
      </c>
      <c r="M209" s="3">
        <f t="shared" si="25"/>
        <v>10.183092395199999</v>
      </c>
      <c r="N209" s="3">
        <f t="shared" si="25"/>
        <v>10.1561377413</v>
      </c>
      <c r="O209" s="3">
        <f t="shared" si="25"/>
        <v>10.125522608800001</v>
      </c>
      <c r="P209" s="3">
        <f t="shared" si="25"/>
        <v>10.087091946699999</v>
      </c>
      <c r="Q209" s="3">
        <f t="shared" si="25"/>
        <v>10.040944427599999</v>
      </c>
      <c r="R209" s="3">
        <f t="shared" si="25"/>
        <v>9.9894908206000004</v>
      </c>
      <c r="S209" s="3">
        <f t="shared" si="25"/>
        <v>9.9405935074999991</v>
      </c>
      <c r="T209" s="3">
        <f t="shared" si="25"/>
        <v>9.8999144651000002</v>
      </c>
      <c r="U209" s="3">
        <f t="shared" si="25"/>
        <v>9.8705346784999985</v>
      </c>
      <c r="V209" s="3">
        <f t="shared" si="25"/>
        <v>9.853310844100001</v>
      </c>
      <c r="W209" s="3">
        <f t="shared" si="25"/>
        <v>9.8472187978999983</v>
      </c>
      <c r="X209" s="3">
        <f t="shared" si="25"/>
        <v>9.852250423800001</v>
      </c>
      <c r="Y209" s="3">
        <f t="shared" si="25"/>
        <v>9.8682980076999982</v>
      </c>
      <c r="Z209" s="3">
        <f t="shared" si="25"/>
        <v>9.8951498156</v>
      </c>
      <c r="AA209" s="3">
        <f t="shared" si="25"/>
        <v>9.9321662536000002</v>
      </c>
      <c r="AB209" s="3">
        <f t="shared" si="25"/>
        <v>9.9765799415999972</v>
      </c>
      <c r="AC209" s="3">
        <f t="shared" si="25"/>
        <v>10.028744752700002</v>
      </c>
      <c r="AD209" s="3">
        <f t="shared" si="25"/>
        <v>10.089206261000001</v>
      </c>
      <c r="AE209" s="3">
        <f t="shared" si="25"/>
        <v>10.158116418200001</v>
      </c>
      <c r="AF209" s="3">
        <f t="shared" si="25"/>
        <v>10.2342079026</v>
      </c>
      <c r="AG209" s="3">
        <f t="shared" si="25"/>
        <v>10.314998846200002</v>
      </c>
      <c r="AH209" s="3">
        <f t="shared" si="25"/>
        <v>10.397687749099999</v>
      </c>
      <c r="AI209" s="3">
        <f t="shared" si="25"/>
        <v>10.4797294372</v>
      </c>
      <c r="AJ209" s="3">
        <f t="shared" si="25"/>
        <v>10.558894859799999</v>
      </c>
      <c r="AK209" s="3">
        <f t="shared" si="25"/>
        <v>10.633192707999999</v>
      </c>
      <c r="AL209" s="3">
        <f t="shared" si="25"/>
        <v>10.700803839399999</v>
      </c>
    </row>
    <row r="210" spans="1:38" x14ac:dyDescent="0.35">
      <c r="B210" t="s">
        <v>36</v>
      </c>
      <c r="C210" s="3">
        <f>C212+C213</f>
        <v>7.3981974974</v>
      </c>
      <c r="D210" s="3">
        <f t="shared" ref="D210:AL210" si="26">D212+D213</f>
        <v>7.3617322319999996</v>
      </c>
      <c r="E210" s="3">
        <f t="shared" si="26"/>
        <v>7.3021066025000003</v>
      </c>
      <c r="F210" s="3">
        <f t="shared" si="26"/>
        <v>7.2344266861000008</v>
      </c>
      <c r="G210" s="3">
        <f t="shared" si="26"/>
        <v>7.1766450296999995</v>
      </c>
      <c r="H210" s="3">
        <f t="shared" si="26"/>
        <v>7.1354772399000002</v>
      </c>
      <c r="I210" s="3">
        <f t="shared" si="26"/>
        <v>7.1071095501999997</v>
      </c>
      <c r="J210" s="3">
        <f t="shared" si="26"/>
        <v>7.0861953882000002</v>
      </c>
      <c r="K210" s="3">
        <f t="shared" si="26"/>
        <v>7.0683710486000004</v>
      </c>
      <c r="L210" s="3">
        <f t="shared" si="26"/>
        <v>7.0509646417000003</v>
      </c>
      <c r="M210" s="3">
        <f t="shared" si="26"/>
        <v>7.0334289848000004</v>
      </c>
      <c r="N210" s="3">
        <f t="shared" si="26"/>
        <v>7.0147831687000002</v>
      </c>
      <c r="O210" s="3">
        <f t="shared" si="26"/>
        <v>6.9941466912000001</v>
      </c>
      <c r="P210" s="3">
        <f t="shared" si="26"/>
        <v>6.9697797533000001</v>
      </c>
      <c r="Q210" s="3">
        <f t="shared" si="26"/>
        <v>6.9414124024000001</v>
      </c>
      <c r="R210" s="3">
        <f t="shared" si="26"/>
        <v>6.9097158394000004</v>
      </c>
      <c r="S210" s="3">
        <f t="shared" si="26"/>
        <v>6.8778459724999994</v>
      </c>
      <c r="T210" s="3">
        <f t="shared" si="26"/>
        <v>6.8484885048999997</v>
      </c>
      <c r="U210" s="3">
        <f t="shared" si="26"/>
        <v>6.8232918414999997</v>
      </c>
      <c r="V210" s="3">
        <f t="shared" si="26"/>
        <v>6.8028539858999997</v>
      </c>
      <c r="W210" s="3">
        <f t="shared" si="26"/>
        <v>6.7867240721000002</v>
      </c>
      <c r="X210" s="3">
        <f t="shared" si="26"/>
        <v>6.7749549762000001</v>
      </c>
      <c r="Y210" s="3">
        <f t="shared" si="26"/>
        <v>6.7675205723000005</v>
      </c>
      <c r="Z210" s="3">
        <f t="shared" si="26"/>
        <v>6.7643776943999994</v>
      </c>
      <c r="AA210" s="3">
        <f t="shared" si="26"/>
        <v>6.7653654664000005</v>
      </c>
      <c r="AB210" s="3">
        <f t="shared" si="26"/>
        <v>6.7691687384000003</v>
      </c>
      <c r="AC210" s="3">
        <f t="shared" si="26"/>
        <v>6.7760393773000001</v>
      </c>
      <c r="AD210" s="3">
        <f t="shared" si="26"/>
        <v>6.786323769</v>
      </c>
      <c r="AE210" s="3">
        <f t="shared" si="26"/>
        <v>6.8002316617999998</v>
      </c>
      <c r="AF210" s="3">
        <f t="shared" si="26"/>
        <v>6.8174193473999996</v>
      </c>
      <c r="AG210" s="3">
        <f t="shared" si="26"/>
        <v>6.8370003837999995</v>
      </c>
      <c r="AH210" s="3">
        <f t="shared" si="26"/>
        <v>6.8578390209000002</v>
      </c>
      <c r="AI210" s="3">
        <f t="shared" si="26"/>
        <v>6.8787756727999998</v>
      </c>
      <c r="AJ210" s="3">
        <f t="shared" si="26"/>
        <v>6.8986791602000004</v>
      </c>
      <c r="AK210" s="3">
        <f t="shared" si="26"/>
        <v>6.9164505419999998</v>
      </c>
      <c r="AL210" s="3">
        <f t="shared" si="26"/>
        <v>6.9310334106000004</v>
      </c>
    </row>
    <row r="211" spans="1:38" x14ac:dyDescent="0.35">
      <c r="B211" t="s">
        <v>33</v>
      </c>
      <c r="C211" s="3">
        <f>[1]Results!F1502</f>
        <v>87.061451820000002</v>
      </c>
      <c r="D211" s="3">
        <f>[1]Results!G1502</f>
        <v>87.197682439999994</v>
      </c>
      <c r="E211" s="3">
        <f>[1]Results!H1502</f>
        <v>87.197127600000002</v>
      </c>
      <c r="F211" s="3">
        <f>[1]Results!I1502</f>
        <v>87.153659059999995</v>
      </c>
      <c r="G211" s="3">
        <f>[1]Results!J1502</f>
        <v>86.998113399999994</v>
      </c>
      <c r="H211" s="3">
        <f>[1]Results!K1502</f>
        <v>86.784198959999998</v>
      </c>
      <c r="I211" s="3">
        <f>[1]Results!L1502</f>
        <v>86.566818909999995</v>
      </c>
      <c r="J211" s="3">
        <f>[1]Results!M1502</f>
        <v>86.373532549999993</v>
      </c>
      <c r="K211" s="3">
        <f>[1]Results!N1502</f>
        <v>86.208307750000003</v>
      </c>
      <c r="L211" s="3">
        <f>[1]Results!O1502</f>
        <v>86.062283829999998</v>
      </c>
      <c r="M211" s="3">
        <f>[1]Results!P1502</f>
        <v>85.947566589999994</v>
      </c>
      <c r="N211" s="3">
        <f>[1]Results!Q1502</f>
        <v>85.829876209999995</v>
      </c>
      <c r="O211" s="3">
        <f>[1]Results!R1502</f>
        <v>85.680224850000002</v>
      </c>
      <c r="P211" s="3">
        <f>[1]Results!S1502</f>
        <v>85.456150269999995</v>
      </c>
      <c r="Q211" s="3">
        <f>[1]Results!T1502</f>
        <v>85.154002809999994</v>
      </c>
      <c r="R211" s="3">
        <f>[1]Results!U1502</f>
        <v>84.79470216</v>
      </c>
      <c r="S211" s="3">
        <f>[1]Results!V1502</f>
        <v>84.397667530000007</v>
      </c>
      <c r="T211" s="3">
        <f>[1]Results!W1502</f>
        <v>84.001145730000005</v>
      </c>
      <c r="U211" s="3">
        <f>[1]Results!X1502</f>
        <v>83.643114629999999</v>
      </c>
      <c r="V211" s="3">
        <f>[1]Results!Y1502</f>
        <v>83.351884420000005</v>
      </c>
      <c r="W211" s="3">
        <f>[1]Results!Z1502</f>
        <v>83.133536090000007</v>
      </c>
      <c r="X211" s="3">
        <f>[1]Results!AA1502</f>
        <v>83.014807090000005</v>
      </c>
      <c r="Y211" s="3">
        <f>[1]Results!AB1502</f>
        <v>83.010757859999998</v>
      </c>
      <c r="Z211" s="3">
        <f>[1]Results!AC1502</f>
        <v>83.130081529999998</v>
      </c>
      <c r="AA211" s="3">
        <f>[1]Results!AD1502</f>
        <v>83.373128379999997</v>
      </c>
      <c r="AB211" s="3">
        <f>[1]Results!AE1502</f>
        <v>83.698465760000005</v>
      </c>
      <c r="AC211" s="3">
        <f>[1]Results!AF1502</f>
        <v>84.119337450000003</v>
      </c>
      <c r="AD211" s="3">
        <f>[1]Results!AG1502</f>
        <v>84.640044160000002</v>
      </c>
      <c r="AE211" s="3">
        <f>[1]Results!AH1502</f>
        <v>85.257556640000004</v>
      </c>
      <c r="AF211" s="3">
        <f>[1]Results!AI1502</f>
        <v>85.954692890000004</v>
      </c>
      <c r="AG211" s="3">
        <f>[1]Results!AJ1502</f>
        <v>86.703150149999999</v>
      </c>
      <c r="AH211" s="3">
        <f>[1]Results!AK1502</f>
        <v>87.471952580000007</v>
      </c>
      <c r="AI211" s="3">
        <f>[1]Results!AL1502</f>
        <v>88.233118430000005</v>
      </c>
      <c r="AJ211" s="3">
        <f>[1]Results!AM1502</f>
        <v>88.962808910000007</v>
      </c>
      <c r="AK211" s="3">
        <f>[1]Results!AN1502</f>
        <v>89.64098285</v>
      </c>
      <c r="AL211" s="3">
        <f>[1]Results!AO1502</f>
        <v>90.250896310000002</v>
      </c>
    </row>
    <row r="212" spans="1:38" x14ac:dyDescent="0.35">
      <c r="B212" t="s">
        <v>35</v>
      </c>
      <c r="C212" s="3">
        <f>[1]Results!F1499</f>
        <v>6.6796781269999999</v>
      </c>
      <c r="D212" s="3">
        <f>[1]Results!G1499</f>
        <v>6.6471851549999998</v>
      </c>
      <c r="E212" s="3">
        <f>[1]Results!H1499</f>
        <v>6.5932525550000003</v>
      </c>
      <c r="F212" s="3">
        <f>[1]Results!I1499</f>
        <v>6.5324955100000004</v>
      </c>
      <c r="G212" s="3">
        <f>[1]Results!J1499</f>
        <v>6.4804491019999997</v>
      </c>
      <c r="H212" s="3">
        <f>[1]Results!K1499</f>
        <v>6.4432032660000003</v>
      </c>
      <c r="I212" s="3">
        <f>[1]Results!L1499</f>
        <v>6.4190124219999998</v>
      </c>
      <c r="J212" s="3">
        <f>[1]Results!M1499</f>
        <v>6.403099546</v>
      </c>
      <c r="K212" s="3">
        <f>[1]Results!N1499</f>
        <v>6.3910578060000001</v>
      </c>
      <c r="L212" s="3">
        <f>[1]Results!O1499</f>
        <v>6.3799597779999999</v>
      </c>
      <c r="M212" s="3">
        <f>[1]Results!P1499</f>
        <v>6.3688429920000003</v>
      </c>
      <c r="N212" s="3">
        <f>[1]Results!Q1499</f>
        <v>6.3566688610000002</v>
      </c>
      <c r="O212" s="3">
        <f>[1]Results!R1499</f>
        <v>6.3425832770000001</v>
      </c>
      <c r="P212" s="3">
        <f>[1]Results!S1499</f>
        <v>6.3250867460000002</v>
      </c>
      <c r="Q212" s="3">
        <f>[1]Results!T1499</f>
        <v>6.3038866750000002</v>
      </c>
      <c r="R212" s="3">
        <f>[1]Results!U1499</f>
        <v>6.2794769490000002</v>
      </c>
      <c r="S212" s="3">
        <f>[1]Results!V1499</f>
        <v>6.2537714519999996</v>
      </c>
      <c r="T212" s="3">
        <f>[1]Results!W1499</f>
        <v>6.2291406389999997</v>
      </c>
      <c r="U212" s="3">
        <f>[1]Results!X1499</f>
        <v>6.2072612319999996</v>
      </c>
      <c r="V212" s="3">
        <f>[1]Results!Y1499</f>
        <v>6.1888813149999997</v>
      </c>
      <c r="W212" s="3">
        <f>[1]Results!Z1499</f>
        <v>6.1737862899999998</v>
      </c>
      <c r="X212" s="3">
        <f>[1]Results!AA1499</f>
        <v>6.1620752510000001</v>
      </c>
      <c r="Y212" s="3">
        <f>[1]Results!AB1499</f>
        <v>6.1537625</v>
      </c>
      <c r="Z212" s="3">
        <f>[1]Results!AC1499</f>
        <v>6.1488354349999996</v>
      </c>
      <c r="AA212" s="3">
        <f>[1]Results!AD1499</f>
        <v>6.1471875020000004</v>
      </c>
      <c r="AB212" s="3">
        <f>[1]Results!AE1499</f>
        <v>6.147777359</v>
      </c>
      <c r="AC212" s="3">
        <f>[1]Results!AF1499</f>
        <v>6.150794747</v>
      </c>
      <c r="AD212" s="3">
        <f>[1]Results!AG1499</f>
        <v>6.1565470329999998</v>
      </c>
      <c r="AE212" s="3">
        <f>[1]Results!AH1499</f>
        <v>6.16524553</v>
      </c>
      <c r="AF212" s="3">
        <f>[1]Results!AI1499</f>
        <v>6.1766498439999999</v>
      </c>
      <c r="AG212" s="3">
        <f>[1]Results!AJ1499</f>
        <v>6.1900642279999998</v>
      </c>
      <c r="AH212" s="3">
        <f>[1]Results!AK1499</f>
        <v>6.2045710249999999</v>
      </c>
      <c r="AI212" s="3">
        <f>[1]Results!AL1499</f>
        <v>6.2192112719999999</v>
      </c>
      <c r="AJ212" s="3">
        <f>[1]Results!AM1499</f>
        <v>6.2330279720000004</v>
      </c>
      <c r="AK212" s="3">
        <f>[1]Results!AN1499</f>
        <v>6.2450735430000002</v>
      </c>
      <c r="AL212" s="3">
        <f>[1]Results!AO1499</f>
        <v>6.2544246240000003</v>
      </c>
    </row>
    <row r="213" spans="1:38" x14ac:dyDescent="0.35">
      <c r="B213" t="s">
        <v>34</v>
      </c>
      <c r="C213" s="3">
        <f>[1]Results!F1501</f>
        <v>0.71851937040000002</v>
      </c>
      <c r="D213" s="3">
        <f>[1]Results!G1501</f>
        <v>0.71454707699999997</v>
      </c>
      <c r="E213" s="3">
        <f>[1]Results!H1501</f>
        <v>0.70885404750000003</v>
      </c>
      <c r="F213" s="3">
        <f>[1]Results!I1501</f>
        <v>0.7019311761</v>
      </c>
      <c r="G213" s="3">
        <f>[1]Results!J1501</f>
        <v>0.69619592770000005</v>
      </c>
      <c r="H213" s="3">
        <f>[1]Results!K1501</f>
        <v>0.69227397390000001</v>
      </c>
      <c r="I213" s="3">
        <f>[1]Results!L1501</f>
        <v>0.68809712820000002</v>
      </c>
      <c r="J213" s="3">
        <f>[1]Results!M1501</f>
        <v>0.68309584219999997</v>
      </c>
      <c r="K213" s="3">
        <f>[1]Results!N1501</f>
        <v>0.67731324260000003</v>
      </c>
      <c r="L213" s="3">
        <f>[1]Results!O1501</f>
        <v>0.67100486370000001</v>
      </c>
      <c r="M213" s="3">
        <f>[1]Results!P1501</f>
        <v>0.66458599279999997</v>
      </c>
      <c r="N213" s="3">
        <f>[1]Results!Q1501</f>
        <v>0.65811430770000001</v>
      </c>
      <c r="O213" s="3">
        <f>[1]Results!R1501</f>
        <v>0.65156341419999997</v>
      </c>
      <c r="P213" s="3">
        <f>[1]Results!S1501</f>
        <v>0.64469300730000001</v>
      </c>
      <c r="Q213" s="3">
        <f>[1]Results!T1501</f>
        <v>0.63752572740000002</v>
      </c>
      <c r="R213" s="3">
        <f>[1]Results!U1501</f>
        <v>0.63023889040000003</v>
      </c>
      <c r="S213" s="3">
        <f>[1]Results!V1501</f>
        <v>0.62407452050000001</v>
      </c>
      <c r="T213" s="3">
        <f>[1]Results!W1501</f>
        <v>0.61934786590000002</v>
      </c>
      <c r="U213" s="3">
        <f>[1]Results!X1501</f>
        <v>0.61603060949999999</v>
      </c>
      <c r="V213" s="3">
        <f>[1]Results!Y1501</f>
        <v>0.61397267089999996</v>
      </c>
      <c r="W213" s="3">
        <f>[1]Results!Z1501</f>
        <v>0.61293778210000005</v>
      </c>
      <c r="X213" s="3">
        <f>[1]Results!AA1501</f>
        <v>0.6128797252</v>
      </c>
      <c r="Y213" s="3">
        <f>[1]Results!AB1501</f>
        <v>0.61375807230000001</v>
      </c>
      <c r="Z213" s="3">
        <f>[1]Results!AC1501</f>
        <v>0.61554225939999996</v>
      </c>
      <c r="AA213" s="3">
        <f>[1]Results!AD1501</f>
        <v>0.61817796439999995</v>
      </c>
      <c r="AB213" s="3">
        <f>[1]Results!AE1501</f>
        <v>0.6213913794</v>
      </c>
      <c r="AC213" s="3">
        <f>[1]Results!AF1501</f>
        <v>0.62524463029999999</v>
      </c>
      <c r="AD213" s="3">
        <f>[1]Results!AG1501</f>
        <v>0.62977673599999995</v>
      </c>
      <c r="AE213" s="3">
        <f>[1]Results!AH1501</f>
        <v>0.63498613179999996</v>
      </c>
      <c r="AF213" s="3">
        <f>[1]Results!AI1501</f>
        <v>0.64076950340000005</v>
      </c>
      <c r="AG213" s="3">
        <f>[1]Results!AJ1501</f>
        <v>0.64693615579999997</v>
      </c>
      <c r="AH213" s="3">
        <f>[1]Results!AK1501</f>
        <v>0.65326799589999995</v>
      </c>
      <c r="AI213" s="3">
        <f>[1]Results!AL1501</f>
        <v>0.65956440080000001</v>
      </c>
      <c r="AJ213" s="3">
        <f>[1]Results!AM1501</f>
        <v>0.66565118820000002</v>
      </c>
      <c r="AK213" s="3">
        <f>[1]Results!AN1501</f>
        <v>0.67137699900000003</v>
      </c>
      <c r="AL213" s="3">
        <f>[1]Results!AO1501</f>
        <v>0.67660878660000001</v>
      </c>
    </row>
    <row r="214" spans="1:38" x14ac:dyDescent="0.35">
      <c r="B214" t="s">
        <v>37</v>
      </c>
      <c r="C214" s="3">
        <f>[1]Results!F1497</f>
        <v>17.971260999999998</v>
      </c>
      <c r="D214" s="3">
        <f>[1]Results!G1497</f>
        <v>17.89663418</v>
      </c>
      <c r="E214" s="3">
        <f>[1]Results!H1497</f>
        <v>17.775132320000001</v>
      </c>
      <c r="F214" s="3">
        <f>[1]Results!I1497</f>
        <v>17.634520670000001</v>
      </c>
      <c r="G214" s="3">
        <f>[1]Results!J1497</f>
        <v>17.516378679999999</v>
      </c>
      <c r="H214" s="3">
        <f>[1]Results!K1497</f>
        <v>17.4360331</v>
      </c>
      <c r="I214" s="3">
        <f>[1]Results!L1497</f>
        <v>17.381229340000001</v>
      </c>
      <c r="J214" s="3">
        <f>[1]Results!M1497</f>
        <v>17.338929610000001</v>
      </c>
      <c r="K214" s="3">
        <f>[1]Results!N1497</f>
        <v>17.299788020000001</v>
      </c>
      <c r="L214" s="3">
        <f>[1]Results!O1497</f>
        <v>17.258874630000001</v>
      </c>
      <c r="M214" s="3">
        <f>[1]Results!P1497</f>
        <v>17.21652138</v>
      </c>
      <c r="N214" s="3">
        <f>[1]Results!Q1497</f>
        <v>17.17092091</v>
      </c>
      <c r="O214" s="3">
        <f>[1]Results!R1497</f>
        <v>17.119669300000002</v>
      </c>
      <c r="P214" s="3">
        <f>[1]Results!S1497</f>
        <v>17.056871699999999</v>
      </c>
      <c r="Q214" s="3">
        <f>[1]Results!T1497</f>
        <v>16.982356830000001</v>
      </c>
      <c r="R214" s="3">
        <f>[1]Results!U1497</f>
        <v>16.899206660000001</v>
      </c>
      <c r="S214" s="3">
        <f>[1]Results!V1497</f>
        <v>16.818439479999999</v>
      </c>
      <c r="T214" s="3">
        <f>[1]Results!W1497</f>
        <v>16.748402970000001</v>
      </c>
      <c r="U214" s="3">
        <f>[1]Results!X1497</f>
        <v>16.693826519999998</v>
      </c>
      <c r="V214" s="3">
        <f>[1]Results!Y1497</f>
        <v>16.656164830000002</v>
      </c>
      <c r="W214" s="3">
        <f>[1]Results!Z1497</f>
        <v>16.633942869999998</v>
      </c>
      <c r="X214" s="3">
        <f>[1]Results!AA1497</f>
        <v>16.627205400000001</v>
      </c>
      <c r="Y214" s="3">
        <f>[1]Results!AB1497</f>
        <v>16.635818579999999</v>
      </c>
      <c r="Z214" s="3">
        <f>[1]Results!AC1497</f>
        <v>16.65952751</v>
      </c>
      <c r="AA214" s="3">
        <f>[1]Results!AD1497</f>
        <v>16.697531720000001</v>
      </c>
      <c r="AB214" s="3">
        <f>[1]Results!AE1497</f>
        <v>16.745748679999998</v>
      </c>
      <c r="AC214" s="3">
        <f>[1]Results!AF1497</f>
        <v>16.804784130000002</v>
      </c>
      <c r="AD214" s="3">
        <f>[1]Results!AG1497</f>
        <v>16.87553003</v>
      </c>
      <c r="AE214" s="3">
        <f>[1]Results!AH1497</f>
        <v>16.95834808</v>
      </c>
      <c r="AF214" s="3">
        <f>[1]Results!AI1497</f>
        <v>17.051627249999999</v>
      </c>
      <c r="AG214" s="3">
        <f>[1]Results!AJ1497</f>
        <v>17.151999230000001</v>
      </c>
      <c r="AH214" s="3">
        <f>[1]Results!AK1497</f>
        <v>17.255526769999999</v>
      </c>
      <c r="AI214" s="3">
        <f>[1]Results!AL1497</f>
        <v>17.358505109999999</v>
      </c>
      <c r="AJ214" s="3">
        <f>[1]Results!AM1497</f>
        <v>17.457574019999999</v>
      </c>
      <c r="AK214" s="3">
        <f>[1]Results!AN1497</f>
        <v>17.549643249999999</v>
      </c>
      <c r="AL214" s="3">
        <f>[1]Results!AO1497</f>
        <v>17.63183725</v>
      </c>
    </row>
    <row r="216" spans="1:38" x14ac:dyDescent="0.35">
      <c r="A216" s="12" t="s">
        <v>86</v>
      </c>
      <c r="B216" t="s">
        <v>27</v>
      </c>
      <c r="C216" s="5">
        <f t="shared" ref="C216:AL216" si="27">C192-C204</f>
        <v>0</v>
      </c>
      <c r="D216" s="5">
        <f t="shared" si="27"/>
        <v>0</v>
      </c>
      <c r="E216" s="5">
        <f t="shared" si="27"/>
        <v>0</v>
      </c>
      <c r="F216" s="5">
        <f t="shared" si="27"/>
        <v>9.9999997473787516E-6</v>
      </c>
      <c r="G216" s="5">
        <f t="shared" si="27"/>
        <v>0</v>
      </c>
      <c r="H216" s="5">
        <f t="shared" si="27"/>
        <v>0</v>
      </c>
      <c r="I216" s="5">
        <f t="shared" si="27"/>
        <v>2.5944799999997485</v>
      </c>
      <c r="J216" s="5">
        <f t="shared" si="27"/>
        <v>-11.23203999999896</v>
      </c>
      <c r="K216" s="5">
        <f t="shared" si="27"/>
        <v>-33.437040000000707</v>
      </c>
      <c r="L216" s="5">
        <f t="shared" si="27"/>
        <v>-3.6236900000003516</v>
      </c>
      <c r="M216" s="5">
        <f t="shared" si="27"/>
        <v>62.915399999998044</v>
      </c>
      <c r="N216" s="5">
        <f t="shared" si="27"/>
        <v>140.96867999999813</v>
      </c>
      <c r="O216" s="5">
        <f t="shared" si="27"/>
        <v>214.73850999999922</v>
      </c>
      <c r="P216" s="5">
        <f t="shared" si="27"/>
        <v>278.58093999999983</v>
      </c>
      <c r="Q216" s="5">
        <f t="shared" si="27"/>
        <v>334.51627000000008</v>
      </c>
      <c r="R216" s="5">
        <f t="shared" si="27"/>
        <v>385.21988000000056</v>
      </c>
      <c r="S216" s="5">
        <f t="shared" si="27"/>
        <v>428.33727999999974</v>
      </c>
      <c r="T216" s="5">
        <f t="shared" si="27"/>
        <v>462.74541999999929</v>
      </c>
      <c r="U216" s="5">
        <f t="shared" si="27"/>
        <v>488.4463399999986</v>
      </c>
      <c r="V216" s="5">
        <f t="shared" si="27"/>
        <v>506.76509000000078</v>
      </c>
      <c r="W216" s="5">
        <f t="shared" si="27"/>
        <v>519.66039999999703</v>
      </c>
      <c r="X216" s="5">
        <f t="shared" si="27"/>
        <v>529.36373000000094</v>
      </c>
      <c r="Y216" s="5">
        <f t="shared" si="27"/>
        <v>538.04336999999941</v>
      </c>
      <c r="Z216" s="5">
        <f t="shared" si="27"/>
        <v>547.6840400000001</v>
      </c>
      <c r="AA216" s="5">
        <f t="shared" si="27"/>
        <v>560.14255000000048</v>
      </c>
      <c r="AB216" s="5">
        <f t="shared" si="27"/>
        <v>576.94843000000037</v>
      </c>
      <c r="AC216" s="5">
        <f t="shared" si="27"/>
        <v>600.33421000000089</v>
      </c>
      <c r="AD216" s="5">
        <f t="shared" si="27"/>
        <v>632.58882000000085</v>
      </c>
      <c r="AE216" s="5">
        <f t="shared" si="27"/>
        <v>676.24245999999766</v>
      </c>
      <c r="AF216" s="5">
        <f t="shared" si="27"/>
        <v>734.28681000000142</v>
      </c>
      <c r="AG216" s="5">
        <f t="shared" si="27"/>
        <v>810.19842000000062</v>
      </c>
      <c r="AH216" s="5">
        <f t="shared" si="27"/>
        <v>908.12767999999778</v>
      </c>
      <c r="AI216" s="5">
        <f t="shared" si="27"/>
        <v>1033.2851599999995</v>
      </c>
      <c r="AJ216" s="5">
        <f t="shared" si="27"/>
        <v>1192.4461200000005</v>
      </c>
      <c r="AK216" s="5">
        <f t="shared" si="27"/>
        <v>1394.9696499999991</v>
      </c>
      <c r="AL216" s="5">
        <f t="shared" si="27"/>
        <v>1654.4843699999983</v>
      </c>
    </row>
    <row r="217" spans="1:38" x14ac:dyDescent="0.35">
      <c r="A217" t="s">
        <v>87</v>
      </c>
      <c r="B217" t="s">
        <v>7</v>
      </c>
      <c r="C217" s="5">
        <f t="shared" ref="C217:AL217" si="28">C193-C205</f>
        <v>0</v>
      </c>
      <c r="D217" s="5">
        <f t="shared" si="28"/>
        <v>0</v>
      </c>
      <c r="E217" s="5">
        <f t="shared" si="28"/>
        <v>0</v>
      </c>
      <c r="F217" s="5">
        <f t="shared" si="28"/>
        <v>1.0000007932831068E-7</v>
      </c>
      <c r="G217" s="5">
        <f t="shared" si="28"/>
        <v>1.0000007932831068E-7</v>
      </c>
      <c r="H217" s="5">
        <f t="shared" si="28"/>
        <v>0</v>
      </c>
      <c r="I217" s="5">
        <f t="shared" si="28"/>
        <v>0.10163790000001427</v>
      </c>
      <c r="J217" s="5">
        <f t="shared" si="28"/>
        <v>-0.87952149999989615</v>
      </c>
      <c r="K217" s="5">
        <f t="shared" si="28"/>
        <v>-2.5369569000000638</v>
      </c>
      <c r="L217" s="5">
        <f t="shared" si="28"/>
        <v>-2.5415034000000105</v>
      </c>
      <c r="M217" s="5">
        <f t="shared" si="28"/>
        <v>-1.5130285999999842</v>
      </c>
      <c r="N217" s="5">
        <f t="shared" si="28"/>
        <v>-0.29701410000006945</v>
      </c>
      <c r="O217" s="5">
        <f t="shared" si="28"/>
        <v>0.69960370000001149</v>
      </c>
      <c r="P217" s="5">
        <f t="shared" si="28"/>
        <v>1.4403214999999818</v>
      </c>
      <c r="Q217" s="5">
        <f t="shared" si="28"/>
        <v>2.0739677000000256</v>
      </c>
      <c r="R217" s="5">
        <f t="shared" si="28"/>
        <v>2.6894121000000268</v>
      </c>
      <c r="S217" s="5">
        <f t="shared" si="28"/>
        <v>3.2919417000000522</v>
      </c>
      <c r="T217" s="5">
        <f t="shared" si="28"/>
        <v>3.6966283000000431</v>
      </c>
      <c r="U217" s="5">
        <f t="shared" si="28"/>
        <v>3.7818496999999525</v>
      </c>
      <c r="V217" s="5">
        <f t="shared" si="28"/>
        <v>3.5197557999999844</v>
      </c>
      <c r="W217" s="5">
        <f t="shared" si="28"/>
        <v>2.9437785999999733</v>
      </c>
      <c r="X217" s="5">
        <f t="shared" si="28"/>
        <v>2.1182144000000562</v>
      </c>
      <c r="Y217" s="5">
        <f t="shared" si="28"/>
        <v>1.1153641999999309</v>
      </c>
      <c r="Z217" s="5">
        <f t="shared" si="28"/>
        <v>2.7502000000367843E-3</v>
      </c>
      <c r="AA217" s="5">
        <f t="shared" si="28"/>
        <v>-1.1593245999999908</v>
      </c>
      <c r="AB217" s="5">
        <f t="shared" si="28"/>
        <v>-2.3248829000000342</v>
      </c>
      <c r="AC217" s="5">
        <f t="shared" si="28"/>
        <v>-3.5293297000000621</v>
      </c>
      <c r="AD217" s="5">
        <f t="shared" si="28"/>
        <v>-4.6861489000000347</v>
      </c>
      <c r="AE217" s="5">
        <f t="shared" si="28"/>
        <v>-5.7178505999999061</v>
      </c>
      <c r="AF217" s="5">
        <f t="shared" si="28"/>
        <v>-6.5502183999999488</v>
      </c>
      <c r="AG217" s="5">
        <f t="shared" si="28"/>
        <v>-7.1129718000000821</v>
      </c>
      <c r="AH217" s="5">
        <f t="shared" si="28"/>
        <v>-7.3397895000000517</v>
      </c>
      <c r="AI217" s="5">
        <f t="shared" si="28"/>
        <v>-7.1638078999999379</v>
      </c>
      <c r="AJ217" s="5">
        <f t="shared" si="28"/>
        <v>-6.5130179999999882</v>
      </c>
      <c r="AK217" s="5">
        <f t="shared" si="28"/>
        <v>-5.2994671999999809</v>
      </c>
      <c r="AL217" s="5">
        <f t="shared" si="28"/>
        <v>-3.4042115999999396</v>
      </c>
    </row>
    <row r="218" spans="1:38" x14ac:dyDescent="0.35">
      <c r="B218" t="s">
        <v>30</v>
      </c>
      <c r="C218" s="5">
        <f t="shared" ref="C218:AL218" si="29">C194-C206</f>
        <v>0</v>
      </c>
      <c r="D218" s="5">
        <f t="shared" si="29"/>
        <v>9.999994290410541E-7</v>
      </c>
      <c r="E218" s="5">
        <f t="shared" si="29"/>
        <v>0</v>
      </c>
      <c r="F218" s="5">
        <f t="shared" si="29"/>
        <v>1.0000003385357559E-6</v>
      </c>
      <c r="G218" s="5">
        <f t="shared" si="29"/>
        <v>9.999994290410541E-7</v>
      </c>
      <c r="H218" s="5">
        <f t="shared" si="29"/>
        <v>0</v>
      </c>
      <c r="I218" s="5">
        <f t="shared" si="29"/>
        <v>0.29167700000016339</v>
      </c>
      <c r="J218" s="5">
        <f t="shared" si="29"/>
        <v>-4.8013740000005782</v>
      </c>
      <c r="K218" s="5">
        <f t="shared" si="29"/>
        <v>-12.229707999999846</v>
      </c>
      <c r="L218" s="5">
        <f t="shared" si="29"/>
        <v>-7.6595550000001822</v>
      </c>
      <c r="M218" s="5">
        <f t="shared" si="29"/>
        <v>4.6250879999997778</v>
      </c>
      <c r="N218" s="5">
        <f t="shared" si="29"/>
        <v>18.993633000000045</v>
      </c>
      <c r="O218" s="5">
        <f t="shared" si="29"/>
        <v>31.962652999999591</v>
      </c>
      <c r="P218" s="5">
        <f t="shared" si="29"/>
        <v>42.706263000000035</v>
      </c>
      <c r="Q218" s="5">
        <f t="shared" si="29"/>
        <v>52.201653000000078</v>
      </c>
      <c r="R218" s="5">
        <f t="shared" si="29"/>
        <v>61.405753000000004</v>
      </c>
      <c r="S218" s="5">
        <f t="shared" si="29"/>
        <v>70.199954000000616</v>
      </c>
      <c r="T218" s="5">
        <f t="shared" si="29"/>
        <v>78.469075999999404</v>
      </c>
      <c r="U218" s="5">
        <f t="shared" si="29"/>
        <v>86.093939999999748</v>
      </c>
      <c r="V218" s="5">
        <f t="shared" si="29"/>
        <v>93.159877000000051</v>
      </c>
      <c r="W218" s="5">
        <f t="shared" si="29"/>
        <v>99.944645000000492</v>
      </c>
      <c r="X218" s="5">
        <f t="shared" si="29"/>
        <v>106.90174800000023</v>
      </c>
      <c r="Y218" s="5">
        <f t="shared" si="29"/>
        <v>114.54586500000005</v>
      </c>
      <c r="Z218" s="5">
        <f t="shared" si="29"/>
        <v>123.3572209999993</v>
      </c>
      <c r="AA218" s="5">
        <f t="shared" si="29"/>
        <v>133.8097630000002</v>
      </c>
      <c r="AB218" s="5">
        <f t="shared" si="29"/>
        <v>146.34570200000053</v>
      </c>
      <c r="AC218" s="5">
        <f t="shared" si="29"/>
        <v>161.61166800000046</v>
      </c>
      <c r="AD218" s="5">
        <f t="shared" si="29"/>
        <v>180.44366100000025</v>
      </c>
      <c r="AE218" s="5">
        <f t="shared" si="29"/>
        <v>203.60035200000038</v>
      </c>
      <c r="AF218" s="5">
        <f t="shared" si="29"/>
        <v>231.91443199999958</v>
      </c>
      <c r="AG218" s="5">
        <f t="shared" si="29"/>
        <v>266.38720300000023</v>
      </c>
      <c r="AH218" s="5">
        <f t="shared" si="29"/>
        <v>308.32417900000019</v>
      </c>
      <c r="AI218" s="5">
        <f t="shared" si="29"/>
        <v>359.43042399999922</v>
      </c>
      <c r="AJ218" s="5">
        <f t="shared" si="29"/>
        <v>421.87694400000055</v>
      </c>
      <c r="AK218" s="5">
        <f t="shared" si="29"/>
        <v>498.63445899999988</v>
      </c>
      <c r="AL218" s="5">
        <f t="shared" si="29"/>
        <v>594.03290399999969</v>
      </c>
    </row>
    <row r="219" spans="1:38" x14ac:dyDescent="0.35">
      <c r="B219" t="s">
        <v>28</v>
      </c>
      <c r="C219" s="5">
        <f t="shared" ref="C219:AL219" si="30">C195-C207</f>
        <v>0</v>
      </c>
      <c r="D219" s="5">
        <f t="shared" si="30"/>
        <v>0</v>
      </c>
      <c r="E219" s="5">
        <f t="shared" si="30"/>
        <v>0</v>
      </c>
      <c r="F219" s="5">
        <f t="shared" si="30"/>
        <v>0</v>
      </c>
      <c r="G219" s="5">
        <f t="shared" si="30"/>
        <v>1.0000007932831068E-7</v>
      </c>
      <c r="H219" s="5">
        <f t="shared" si="30"/>
        <v>9.9999965641472954E-8</v>
      </c>
      <c r="I219" s="5">
        <f t="shared" si="30"/>
        <v>0.13731219999999666</v>
      </c>
      <c r="J219" s="5">
        <f t="shared" si="30"/>
        <v>-1.6449771999999712</v>
      </c>
      <c r="K219" s="5">
        <f t="shared" si="30"/>
        <v>-4.5693468000000621</v>
      </c>
      <c r="L219" s="5">
        <f t="shared" si="30"/>
        <v>-5.7225114000000303</v>
      </c>
      <c r="M219" s="5">
        <f t="shared" si="30"/>
        <v>-5.7196253000000752</v>
      </c>
      <c r="N219" s="5">
        <f t="shared" si="30"/>
        <v>-5.1568184999999858</v>
      </c>
      <c r="O219" s="5">
        <f t="shared" si="30"/>
        <v>-4.5015816000000086</v>
      </c>
      <c r="P219" s="5">
        <f t="shared" si="30"/>
        <v>-3.9165454000000182</v>
      </c>
      <c r="Q219" s="5">
        <f t="shared" si="30"/>
        <v>-3.331905699999993</v>
      </c>
      <c r="R219" s="5">
        <f t="shared" si="30"/>
        <v>-2.7050338999999894</v>
      </c>
      <c r="S219" s="5">
        <f t="shared" si="30"/>
        <v>-2.3100948000000017</v>
      </c>
      <c r="T219" s="5">
        <f t="shared" si="30"/>
        <v>-2.3243731000000025</v>
      </c>
      <c r="U219" s="5">
        <f t="shared" si="30"/>
        <v>-2.7738798000000315</v>
      </c>
      <c r="V219" s="5">
        <f t="shared" si="30"/>
        <v>-3.5857124999999996</v>
      </c>
      <c r="W219" s="5">
        <f t="shared" si="30"/>
        <v>-4.6436206999999285</v>
      </c>
      <c r="X219" s="5">
        <f t="shared" si="30"/>
        <v>-5.8212775999999167</v>
      </c>
      <c r="Y219" s="5">
        <f t="shared" si="30"/>
        <v>-7.0022962000000462</v>
      </c>
      <c r="Z219" s="5">
        <f t="shared" si="30"/>
        <v>-8.0971559999999272</v>
      </c>
      <c r="AA219" s="5">
        <f t="shared" si="30"/>
        <v>-9.0368059999999559</v>
      </c>
      <c r="AB219" s="5">
        <f t="shared" si="30"/>
        <v>-9.7644522000000507</v>
      </c>
      <c r="AC219" s="5">
        <f t="shared" si="30"/>
        <v>-10.195709100000045</v>
      </c>
      <c r="AD219" s="5">
        <f t="shared" si="30"/>
        <v>-10.234308800000008</v>
      </c>
      <c r="AE219" s="5">
        <f t="shared" si="30"/>
        <v>-9.8026556999999457</v>
      </c>
      <c r="AF219" s="5">
        <f t="shared" si="30"/>
        <v>-8.8304769999999735</v>
      </c>
      <c r="AG219" s="5">
        <f t="shared" si="30"/>
        <v>-7.2485183999999663</v>
      </c>
      <c r="AH219" s="5">
        <f t="shared" si="30"/>
        <v>-4.9717158999999356</v>
      </c>
      <c r="AI219" s="5">
        <f t="shared" si="30"/>
        <v>-1.8926580000000968</v>
      </c>
      <c r="AJ219" s="5">
        <f t="shared" si="30"/>
        <v>2.1054770000000644</v>
      </c>
      <c r="AK219" s="5">
        <f t="shared" si="30"/>
        <v>7.1622850000001108</v>
      </c>
      <c r="AL219" s="5">
        <f t="shared" si="30"/>
        <v>13.466126000000031</v>
      </c>
    </row>
    <row r="220" spans="1:38" x14ac:dyDescent="0.35">
      <c r="B220" t="s">
        <v>10</v>
      </c>
      <c r="C220" s="5">
        <f t="shared" ref="C220:AL220" si="31">C196-C208</f>
        <v>0</v>
      </c>
      <c r="D220" s="5">
        <f t="shared" si="31"/>
        <v>0</v>
      </c>
      <c r="E220" s="5">
        <f t="shared" si="31"/>
        <v>0</v>
      </c>
      <c r="F220" s="5">
        <f t="shared" si="31"/>
        <v>0</v>
      </c>
      <c r="G220" s="5">
        <f t="shared" si="31"/>
        <v>9.9999997473787516E-6</v>
      </c>
      <c r="H220" s="5">
        <f t="shared" si="31"/>
        <v>9.9999997473787516E-6</v>
      </c>
      <c r="I220" s="5">
        <f t="shared" si="31"/>
        <v>2.0653700000002573</v>
      </c>
      <c r="J220" s="5">
        <f t="shared" si="31"/>
        <v>-6.0898600000000442</v>
      </c>
      <c r="K220" s="5">
        <f t="shared" si="31"/>
        <v>-19.843759999999747</v>
      </c>
      <c r="L220" s="5">
        <f t="shared" si="31"/>
        <v>1.9713400000000547</v>
      </c>
      <c r="M220" s="5">
        <f t="shared" si="31"/>
        <v>50.059040000000095</v>
      </c>
      <c r="N220" s="5">
        <f t="shared" si="31"/>
        <v>106.742040000001</v>
      </c>
      <c r="O220" s="5">
        <f t="shared" si="31"/>
        <v>160.74506999999721</v>
      </c>
      <c r="P220" s="5">
        <f t="shared" si="31"/>
        <v>207.45025000000169</v>
      </c>
      <c r="Q220" s="5">
        <f t="shared" si="31"/>
        <v>247.59161999999924</v>
      </c>
      <c r="R220" s="5">
        <f t="shared" si="31"/>
        <v>282.65234000000055</v>
      </c>
      <c r="S220" s="5">
        <f t="shared" si="31"/>
        <v>310.59641999999803</v>
      </c>
      <c r="T220" s="5">
        <f t="shared" si="31"/>
        <v>330.70578000000023</v>
      </c>
      <c r="U220" s="5">
        <f t="shared" si="31"/>
        <v>343.20176999999967</v>
      </c>
      <c r="V220" s="5">
        <f t="shared" si="31"/>
        <v>349.22257999999783</v>
      </c>
      <c r="W220" s="5">
        <f t="shared" si="31"/>
        <v>350.22904000000199</v>
      </c>
      <c r="X220" s="5">
        <f t="shared" si="31"/>
        <v>347.69889999999941</v>
      </c>
      <c r="Y220" s="5">
        <f t="shared" si="31"/>
        <v>342.96467000000121</v>
      </c>
      <c r="Z220" s="5">
        <f t="shared" si="31"/>
        <v>337.2257099999988</v>
      </c>
      <c r="AA220" s="5">
        <f t="shared" si="31"/>
        <v>331.56777000000147</v>
      </c>
      <c r="AB220" s="5">
        <f t="shared" si="31"/>
        <v>326.8119200000001</v>
      </c>
      <c r="AC220" s="5">
        <f t="shared" si="31"/>
        <v>324.21614000000045</v>
      </c>
      <c r="AD220" s="5">
        <f t="shared" si="31"/>
        <v>324.7202099999995</v>
      </c>
      <c r="AE220" s="5">
        <f t="shared" si="31"/>
        <v>329.54473999999755</v>
      </c>
      <c r="AF220" s="5">
        <f t="shared" si="31"/>
        <v>340.23322000000189</v>
      </c>
      <c r="AG220" s="5">
        <f t="shared" si="31"/>
        <v>358.54189000000042</v>
      </c>
      <c r="AH220" s="5">
        <f t="shared" si="31"/>
        <v>386.40256999999838</v>
      </c>
      <c r="AI220" s="5">
        <f t="shared" si="31"/>
        <v>426.10008000000016</v>
      </c>
      <c r="AJ220" s="5">
        <f t="shared" si="31"/>
        <v>480.58503000000201</v>
      </c>
      <c r="AK220" s="5">
        <f t="shared" si="31"/>
        <v>553.90301999999792</v>
      </c>
      <c r="AL220" s="5">
        <f t="shared" si="31"/>
        <v>651.87812000000122</v>
      </c>
    </row>
    <row r="221" spans="1:38" x14ac:dyDescent="0.35">
      <c r="B221" t="s">
        <v>31</v>
      </c>
      <c r="C221" s="5">
        <f>C197-C209</f>
        <v>6.5100001833684473E-8</v>
      </c>
      <c r="D221" s="5">
        <f t="shared" ref="D221:AL221" si="32">D197-D209</f>
        <v>9.3399998846166454E-8</v>
      </c>
      <c r="E221" s="5">
        <f t="shared" si="32"/>
        <v>1.0529999805442003E-7</v>
      </c>
      <c r="F221" s="5">
        <f t="shared" si="32"/>
        <v>1.0219999779792488E-7</v>
      </c>
      <c r="G221" s="5">
        <f t="shared" si="32"/>
        <v>1.03400001449927E-7</v>
      </c>
      <c r="H221" s="5">
        <f t="shared" si="32"/>
        <v>1.0180000131754241E-7</v>
      </c>
      <c r="I221" s="5">
        <f t="shared" si="32"/>
        <v>7.2045906999989029E-3</v>
      </c>
      <c r="J221" s="5">
        <f t="shared" si="32"/>
        <v>-0.1534115505000031</v>
      </c>
      <c r="K221" s="5">
        <f t="shared" si="32"/>
        <v>-0.39397336849999931</v>
      </c>
      <c r="L221" s="5">
        <f t="shared" si="32"/>
        <v>-0.64275436509999828</v>
      </c>
      <c r="M221" s="5">
        <f t="shared" si="32"/>
        <v>-0.88576452419999896</v>
      </c>
      <c r="N221" s="5">
        <f t="shared" si="32"/>
        <v>-1.1133341233000014</v>
      </c>
      <c r="O221" s="5">
        <f t="shared" si="32"/>
        <v>-1.3259392378000001</v>
      </c>
      <c r="P221" s="5">
        <f t="shared" si="32"/>
        <v>-1.5254811806999982</v>
      </c>
      <c r="Q221" s="5">
        <f t="shared" si="32"/>
        <v>-1.7129476425999997</v>
      </c>
      <c r="R221" s="5">
        <f t="shared" si="32"/>
        <v>-1.8903247065999977</v>
      </c>
      <c r="S221" s="5">
        <f t="shared" si="32"/>
        <v>-2.0731831124999989</v>
      </c>
      <c r="T221" s="5">
        <f t="shared" si="32"/>
        <v>-2.2646702130999969</v>
      </c>
      <c r="U221" s="5">
        <f t="shared" si="32"/>
        <v>-2.4653823215000035</v>
      </c>
      <c r="V221" s="5">
        <f t="shared" si="32"/>
        <v>-2.6744466751000004</v>
      </c>
      <c r="W221" s="5">
        <f t="shared" si="32"/>
        <v>-2.8902212558999985</v>
      </c>
      <c r="X221" s="5">
        <f t="shared" si="32"/>
        <v>-3.1114668477999992</v>
      </c>
      <c r="Y221" s="5">
        <f t="shared" si="32"/>
        <v>-3.3373815916999945</v>
      </c>
      <c r="Z221" s="5">
        <f t="shared" si="32"/>
        <v>-3.5676770845999926</v>
      </c>
      <c r="AA221" s="5">
        <f t="shared" si="32"/>
        <v>-3.8023051705999986</v>
      </c>
      <c r="AB221" s="5">
        <f t="shared" si="32"/>
        <v>-4.0405474235999996</v>
      </c>
      <c r="AC221" s="5">
        <f t="shared" si="32"/>
        <v>-4.2814388667000021</v>
      </c>
      <c r="AD221" s="5">
        <f t="shared" si="32"/>
        <v>-4.5259029759999976</v>
      </c>
      <c r="AE221" s="5">
        <f t="shared" si="32"/>
        <v>-4.7748098942000023</v>
      </c>
      <c r="AF221" s="5">
        <f t="shared" si="32"/>
        <v>-5.0286278396000004</v>
      </c>
      <c r="AG221" s="5">
        <f t="shared" si="32"/>
        <v>-5.2872909192000002</v>
      </c>
      <c r="AH221" s="5">
        <f t="shared" si="32"/>
        <v>-5.5502859271000045</v>
      </c>
      <c r="AI221" s="5">
        <f t="shared" si="32"/>
        <v>-5.8168694951999953</v>
      </c>
      <c r="AJ221" s="5">
        <f t="shared" si="32"/>
        <v>-6.0862803457999988</v>
      </c>
      <c r="AK221" s="5">
        <f t="shared" si="32"/>
        <v>-6.3577378719999977</v>
      </c>
      <c r="AL221" s="5">
        <f t="shared" si="32"/>
        <v>-6.6304359563999959</v>
      </c>
    </row>
    <row r="222" spans="1:38" x14ac:dyDescent="0.35">
      <c r="B222" t="s">
        <v>36</v>
      </c>
      <c r="C222" s="5">
        <f>C198-C210</f>
        <v>-9.5099999875003505E-8</v>
      </c>
      <c r="D222" s="5">
        <f t="shared" ref="D222:AL222" si="33">D198-D210</f>
        <v>-1.4339999943047133E-7</v>
      </c>
      <c r="E222" s="5">
        <f t="shared" si="33"/>
        <v>-1.6529999946612861E-7</v>
      </c>
      <c r="F222" s="5">
        <f t="shared" si="33"/>
        <v>-1.7220000092521559E-7</v>
      </c>
      <c r="G222" s="5">
        <f t="shared" si="33"/>
        <v>-1.7340000013632562E-7</v>
      </c>
      <c r="H222" s="5">
        <f t="shared" si="33"/>
        <v>-1.7180000000394102E-7</v>
      </c>
      <c r="I222" s="5">
        <f t="shared" si="33"/>
        <v>2.8587092999998731E-3</v>
      </c>
      <c r="J222" s="5">
        <f t="shared" si="33"/>
        <v>0.83512969049999963</v>
      </c>
      <c r="K222" s="5">
        <f t="shared" si="33"/>
        <v>2.1127243584999986</v>
      </c>
      <c r="L222" s="5">
        <f t="shared" si="33"/>
        <v>3.6534528250999987</v>
      </c>
      <c r="M222" s="5">
        <f t="shared" si="33"/>
        <v>5.3357399741999991</v>
      </c>
      <c r="N222" s="5">
        <f t="shared" si="33"/>
        <v>7.0872593633000003</v>
      </c>
      <c r="O222" s="5">
        <f t="shared" si="33"/>
        <v>8.8630085078</v>
      </c>
      <c r="P222" s="5">
        <f t="shared" si="33"/>
        <v>10.637971010699999</v>
      </c>
      <c r="Q222" s="5">
        <f t="shared" si="33"/>
        <v>12.4034771826</v>
      </c>
      <c r="R222" s="5">
        <f t="shared" si="33"/>
        <v>14.160524426599999</v>
      </c>
      <c r="S222" s="5">
        <f t="shared" si="33"/>
        <v>15.906052042499999</v>
      </c>
      <c r="T222" s="5">
        <f t="shared" si="33"/>
        <v>17.644393863099999</v>
      </c>
      <c r="U222" s="5">
        <f t="shared" si="33"/>
        <v>19.384702791500004</v>
      </c>
      <c r="V222" s="5">
        <f t="shared" si="33"/>
        <v>21.138120195100001</v>
      </c>
      <c r="W222" s="5">
        <f t="shared" si="33"/>
        <v>22.914986685900001</v>
      </c>
      <c r="X222" s="5">
        <f t="shared" si="33"/>
        <v>24.727505177800001</v>
      </c>
      <c r="Y222" s="5">
        <f t="shared" si="33"/>
        <v>26.587624461699995</v>
      </c>
      <c r="Z222" s="5">
        <f t="shared" si="33"/>
        <v>28.506411184599994</v>
      </c>
      <c r="AA222" s="5">
        <f t="shared" si="33"/>
        <v>30.493827240599998</v>
      </c>
      <c r="AB222" s="5">
        <f t="shared" si="33"/>
        <v>32.554738813600004</v>
      </c>
      <c r="AC222" s="5">
        <f t="shared" si="33"/>
        <v>34.7009163767</v>
      </c>
      <c r="AD222" s="5">
        <f t="shared" si="33"/>
        <v>36.947502505999999</v>
      </c>
      <c r="AE222" s="5">
        <f t="shared" si="33"/>
        <v>39.310318794200001</v>
      </c>
      <c r="AF222" s="5">
        <f t="shared" si="33"/>
        <v>41.803885379600004</v>
      </c>
      <c r="AG222" s="5">
        <f t="shared" si="33"/>
        <v>44.441661359199998</v>
      </c>
      <c r="AH222" s="5">
        <f t="shared" si="33"/>
        <v>47.2390750271</v>
      </c>
      <c r="AI222" s="5">
        <f t="shared" si="33"/>
        <v>50.216582155200001</v>
      </c>
      <c r="AJ222" s="5">
        <f t="shared" si="33"/>
        <v>53.401456855799992</v>
      </c>
      <c r="AK222" s="5">
        <f t="shared" si="33"/>
        <v>56.832106031999999</v>
      </c>
      <c r="AL222" s="5">
        <f t="shared" si="33"/>
        <v>60.566537136399994</v>
      </c>
    </row>
    <row r="223" spans="1:38" x14ac:dyDescent="0.35">
      <c r="B223" t="s">
        <v>11</v>
      </c>
      <c r="C223" s="5">
        <f>C199-C211</f>
        <v>0</v>
      </c>
      <c r="D223" s="5">
        <f t="shared" ref="D223:AL223" si="34">D199-D211</f>
        <v>1.0000007932831068E-8</v>
      </c>
      <c r="E223" s="5">
        <f t="shared" si="34"/>
        <v>9.9999937219763524E-9</v>
      </c>
      <c r="F223" s="5">
        <f t="shared" si="34"/>
        <v>1.0000007932831068E-8</v>
      </c>
      <c r="G223" s="5">
        <f t="shared" si="34"/>
        <v>0</v>
      </c>
      <c r="H223" s="5">
        <f t="shared" si="34"/>
        <v>0</v>
      </c>
      <c r="I223" s="5">
        <f t="shared" si="34"/>
        <v>-1.1586170000001061E-2</v>
      </c>
      <c r="J223" s="5">
        <f t="shared" si="34"/>
        <v>1.5019815700000123</v>
      </c>
      <c r="K223" s="5">
        <f t="shared" si="34"/>
        <v>4.0239787699999994</v>
      </c>
      <c r="L223" s="5">
        <f t="shared" si="34"/>
        <v>7.3178457300000019</v>
      </c>
      <c r="M223" s="5">
        <f t="shared" si="34"/>
        <v>11.013948429999999</v>
      </c>
      <c r="N223" s="5">
        <f t="shared" si="34"/>
        <v>14.712910190000002</v>
      </c>
      <c r="O223" s="5">
        <f t="shared" si="34"/>
        <v>18.29568845</v>
      </c>
      <c r="P223" s="5">
        <f t="shared" si="34"/>
        <v>21.788164030000004</v>
      </c>
      <c r="Q223" s="5">
        <f t="shared" si="34"/>
        <v>25.290412490000008</v>
      </c>
      <c r="R223" s="5">
        <f t="shared" si="34"/>
        <v>28.907209140000006</v>
      </c>
      <c r="S223" s="5">
        <f t="shared" si="34"/>
        <v>32.726190769999988</v>
      </c>
      <c r="T223" s="5">
        <f t="shared" si="34"/>
        <v>36.81859236999999</v>
      </c>
      <c r="U223" s="5">
        <f t="shared" si="34"/>
        <v>41.223335469999995</v>
      </c>
      <c r="V223" s="5">
        <f t="shared" si="34"/>
        <v>45.984906080000002</v>
      </c>
      <c r="W223" s="5">
        <f t="shared" si="34"/>
        <v>51.161793509999995</v>
      </c>
      <c r="X223" s="5">
        <f t="shared" si="34"/>
        <v>56.850106409999995</v>
      </c>
      <c r="Y223" s="5">
        <f t="shared" si="34"/>
        <v>63.169527540000004</v>
      </c>
      <c r="Z223" s="5">
        <f t="shared" si="34"/>
        <v>70.256787969999991</v>
      </c>
      <c r="AA223" s="5">
        <f t="shared" si="34"/>
        <v>78.26962352000001</v>
      </c>
      <c r="AB223" s="5">
        <f t="shared" si="34"/>
        <v>87.365946839999992</v>
      </c>
      <c r="AC223" s="5">
        <f t="shared" si="34"/>
        <v>97.811961850000003</v>
      </c>
      <c r="AD223" s="5">
        <f t="shared" si="34"/>
        <v>109.92379733999999</v>
      </c>
      <c r="AE223" s="5">
        <f t="shared" si="34"/>
        <v>124.08236536</v>
      </c>
      <c r="AF223" s="5">
        <f t="shared" si="34"/>
        <v>140.74459360999998</v>
      </c>
      <c r="AG223" s="5">
        <f t="shared" si="34"/>
        <v>160.47644224999999</v>
      </c>
      <c r="AH223" s="5">
        <f t="shared" si="34"/>
        <v>184.02364692000003</v>
      </c>
      <c r="AI223" s="5">
        <f t="shared" si="34"/>
        <v>212.41141307000004</v>
      </c>
      <c r="AJ223" s="5">
        <f t="shared" si="34"/>
        <v>247.07650929000002</v>
      </c>
      <c r="AK223" s="5">
        <f t="shared" si="34"/>
        <v>290.09499245000001</v>
      </c>
      <c r="AL223" s="5">
        <f t="shared" si="34"/>
        <v>344.57533249000005</v>
      </c>
    </row>
    <row r="225" spans="1:3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38" x14ac:dyDescent="0.35">
      <c r="A226" t="s">
        <v>87</v>
      </c>
      <c r="B226" t="s">
        <v>27</v>
      </c>
      <c r="C226" s="6">
        <f t="shared" ref="C226:C232" si="35">R216</f>
        <v>385.21988000000056</v>
      </c>
      <c r="D226" s="6">
        <f t="shared" ref="D226:D232" si="36">AB216</f>
        <v>576.94843000000037</v>
      </c>
      <c r="E226" s="6">
        <f>AL216</f>
        <v>1654.4843699999983</v>
      </c>
    </row>
    <row r="227" spans="1:38" x14ac:dyDescent="0.35">
      <c r="B227" t="s">
        <v>7</v>
      </c>
      <c r="C227" s="6">
        <f t="shared" si="35"/>
        <v>2.6894121000000268</v>
      </c>
      <c r="D227" s="6">
        <f t="shared" si="36"/>
        <v>-2.3248829000000342</v>
      </c>
      <c r="E227" s="6">
        <f t="shared" ref="E227:E231" si="37">AL217</f>
        <v>-3.4042115999999396</v>
      </c>
    </row>
    <row r="228" spans="1:38" x14ac:dyDescent="0.35">
      <c r="B228" t="s">
        <v>30</v>
      </c>
      <c r="C228" s="6">
        <f t="shared" si="35"/>
        <v>61.405753000000004</v>
      </c>
      <c r="D228" s="6">
        <f t="shared" si="36"/>
        <v>146.34570200000053</v>
      </c>
      <c r="E228" s="6">
        <f t="shared" si="37"/>
        <v>594.03290399999969</v>
      </c>
    </row>
    <row r="229" spans="1:38" x14ac:dyDescent="0.35">
      <c r="B229" t="s">
        <v>28</v>
      </c>
      <c r="C229" s="6">
        <f t="shared" si="35"/>
        <v>-2.7050338999999894</v>
      </c>
      <c r="D229" s="6">
        <f t="shared" si="36"/>
        <v>-9.7644522000000507</v>
      </c>
      <c r="E229" s="6">
        <f t="shared" si="37"/>
        <v>13.466126000000031</v>
      </c>
    </row>
    <row r="230" spans="1:38" x14ac:dyDescent="0.35">
      <c r="B230" t="s">
        <v>10</v>
      </c>
      <c r="C230" s="6">
        <f t="shared" si="35"/>
        <v>282.65234000000055</v>
      </c>
      <c r="D230" s="6">
        <f t="shared" si="36"/>
        <v>326.8119200000001</v>
      </c>
      <c r="E230" s="6">
        <f t="shared" si="37"/>
        <v>651.87812000000122</v>
      </c>
    </row>
    <row r="231" spans="1:38" x14ac:dyDescent="0.35">
      <c r="B231" t="s">
        <v>29</v>
      </c>
      <c r="C231" s="1">
        <f t="shared" si="35"/>
        <v>-1.8903247065999977</v>
      </c>
      <c r="D231" s="1">
        <f t="shared" si="36"/>
        <v>-4.0405474235999996</v>
      </c>
      <c r="E231" s="1">
        <f t="shared" si="37"/>
        <v>-6.6304359563999959</v>
      </c>
    </row>
    <row r="232" spans="1:38" x14ac:dyDescent="0.35">
      <c r="B232" t="s">
        <v>32</v>
      </c>
      <c r="C232" s="1">
        <f t="shared" si="35"/>
        <v>14.160524426599999</v>
      </c>
      <c r="D232" s="1">
        <f t="shared" si="36"/>
        <v>32.554738813600004</v>
      </c>
      <c r="E232" s="1">
        <f t="shared" ref="E232" si="38">AL222</f>
        <v>60.566537136399994</v>
      </c>
    </row>
    <row r="233" spans="1:38" x14ac:dyDescent="0.35">
      <c r="B233" t="s">
        <v>33</v>
      </c>
      <c r="C233" s="1">
        <f t="shared" ref="C233" si="39">R223</f>
        <v>28.907209140000006</v>
      </c>
      <c r="D233" s="1">
        <f t="shared" ref="D233" si="40">AB223</f>
        <v>87.365946839999992</v>
      </c>
      <c r="E233" s="1">
        <f t="shared" ref="E233" si="41">AL223</f>
        <v>344.57533249000005</v>
      </c>
    </row>
    <row r="235" spans="1:38" x14ac:dyDescent="0.35">
      <c r="A235" s="12" t="s">
        <v>43</v>
      </c>
      <c r="B235" t="s">
        <v>26</v>
      </c>
      <c r="C235" s="5">
        <f>C236+C237+C238+C239</f>
        <v>97.392837788000008</v>
      </c>
      <c r="D235" s="5">
        <f t="shared" ref="D235:AL235" si="42">D236+D237+D238+D239</f>
        <v>98.083389457999999</v>
      </c>
      <c r="E235" s="5">
        <f t="shared" si="42"/>
        <v>98.772001518999986</v>
      </c>
      <c r="F235" s="5">
        <f t="shared" si="42"/>
        <v>99.381922091000007</v>
      </c>
      <c r="G235" s="5">
        <f t="shared" si="42"/>
        <v>100.288166898</v>
      </c>
      <c r="H235" s="5">
        <f t="shared" si="42"/>
        <v>101.468619496</v>
      </c>
      <c r="I235" s="5">
        <f t="shared" si="42"/>
        <v>102.86478843</v>
      </c>
      <c r="J235" s="5">
        <f t="shared" si="42"/>
        <v>102.880434326</v>
      </c>
      <c r="K235" s="5">
        <f t="shared" si="42"/>
        <v>102.65698593900001</v>
      </c>
      <c r="L235" s="5">
        <f t="shared" si="42"/>
        <v>102.909264855</v>
      </c>
      <c r="M235" s="5">
        <f t="shared" si="42"/>
        <v>103.348907016</v>
      </c>
      <c r="N235" s="5">
        <f t="shared" si="42"/>
        <v>104.002123165</v>
      </c>
      <c r="O235" s="5">
        <f t="shared" si="42"/>
        <v>104.76030033000001</v>
      </c>
      <c r="P235" s="5">
        <f t="shared" si="42"/>
        <v>105.51501383800002</v>
      </c>
      <c r="Q235" s="5">
        <f t="shared" si="42"/>
        <v>106.31514041599999</v>
      </c>
      <c r="R235" s="5">
        <f t="shared" si="42"/>
        <v>107.197993266</v>
      </c>
      <c r="S235" s="5">
        <f t="shared" si="42"/>
        <v>108.106116988</v>
      </c>
      <c r="T235" s="5">
        <f t="shared" si="42"/>
        <v>109.078689412</v>
      </c>
      <c r="U235" s="5">
        <f t="shared" si="42"/>
        <v>110.16755819000001</v>
      </c>
      <c r="V235" s="5">
        <f t="shared" si="42"/>
        <v>111.41322462799999</v>
      </c>
      <c r="W235" s="5">
        <f t="shared" si="42"/>
        <v>112.82921691400001</v>
      </c>
      <c r="X235" s="5">
        <f t="shared" si="42"/>
        <v>114.487247721</v>
      </c>
      <c r="Y235" s="5">
        <f t="shared" si="42"/>
        <v>116.42228834700001</v>
      </c>
      <c r="Z235" s="5">
        <f t="shared" si="42"/>
        <v>118.66023496499999</v>
      </c>
      <c r="AA235" s="5">
        <f t="shared" si="42"/>
        <v>121.21580405899999</v>
      </c>
      <c r="AB235" s="5">
        <f t="shared" si="42"/>
        <v>124.033837379</v>
      </c>
      <c r="AC235" s="5">
        <f t="shared" si="42"/>
        <v>127.21138454600001</v>
      </c>
      <c r="AD235" s="5">
        <f t="shared" si="42"/>
        <v>130.80388086299999</v>
      </c>
      <c r="AE235" s="5">
        <f t="shared" si="42"/>
        <v>134.84194156700002</v>
      </c>
      <c r="AF235" s="5">
        <f t="shared" si="42"/>
        <v>139.32359213999999</v>
      </c>
      <c r="AG235" s="5">
        <f t="shared" si="42"/>
        <v>144.238582944</v>
      </c>
      <c r="AH235" s="5">
        <f t="shared" si="42"/>
        <v>149.600633329</v>
      </c>
      <c r="AI235" s="5">
        <f t="shared" si="42"/>
        <v>155.45502780699999</v>
      </c>
      <c r="AJ235" s="5">
        <f t="shared" si="42"/>
        <v>161.87325070700001</v>
      </c>
      <c r="AK235" s="5">
        <f t="shared" si="42"/>
        <v>168.973906363</v>
      </c>
      <c r="AL235" s="5">
        <f t="shared" si="42"/>
        <v>176.95931568</v>
      </c>
    </row>
    <row r="236" spans="1:38" x14ac:dyDescent="0.35">
      <c r="A236" t="s">
        <v>39</v>
      </c>
      <c r="B236" t="s">
        <v>7</v>
      </c>
      <c r="C236" s="5">
        <f>[1]Results!F378</f>
        <v>4.8754571579999997</v>
      </c>
      <c r="D236" s="5">
        <f>[1]Results!G378</f>
        <v>4.9056919380000004</v>
      </c>
      <c r="E236" s="5">
        <f>[1]Results!H378</f>
        <v>4.9381162590000001</v>
      </c>
      <c r="F236" s="5">
        <f>[1]Results!I378</f>
        <v>4.972205261</v>
      </c>
      <c r="G236" s="5">
        <f>[1]Results!J378</f>
        <v>5.0215283880000001</v>
      </c>
      <c r="H236" s="5">
        <f>[1]Results!K378</f>
        <v>5.085021276</v>
      </c>
      <c r="I236" s="5">
        <f>[1]Results!L378</f>
        <v>5.1585124799999997</v>
      </c>
      <c r="J236" s="5">
        <f>[1]Results!M378</f>
        <v>5.1716271860000003</v>
      </c>
      <c r="K236" s="5">
        <f>[1]Results!N378</f>
        <v>5.1688636990000001</v>
      </c>
      <c r="L236" s="5">
        <f>[1]Results!O378</f>
        <v>5.1822537750000004</v>
      </c>
      <c r="M236" s="5">
        <f>[1]Results!P378</f>
        <v>5.2028318359999997</v>
      </c>
      <c r="N236" s="5">
        <f>[1]Results!Q378</f>
        <v>5.2350789149999999</v>
      </c>
      <c r="O236" s="5">
        <f>[1]Results!R378</f>
        <v>5.2752766500000003</v>
      </c>
      <c r="P236" s="5">
        <f>[1]Results!S378</f>
        <v>5.3184289979999999</v>
      </c>
      <c r="Q236" s="5">
        <f>[1]Results!T378</f>
        <v>5.3654712959999999</v>
      </c>
      <c r="R236" s="5">
        <f>[1]Results!U378</f>
        <v>5.4171401259999996</v>
      </c>
      <c r="S236" s="5">
        <f>[1]Results!V378</f>
        <v>5.4703270279999998</v>
      </c>
      <c r="T236" s="5">
        <f>[1]Results!W378</f>
        <v>5.5261452020000004</v>
      </c>
      <c r="U236" s="5">
        <f>[1]Results!X378</f>
        <v>5.5868853500000002</v>
      </c>
      <c r="V236" s="5">
        <f>[1]Results!Y378</f>
        <v>5.6546993280000004</v>
      </c>
      <c r="W236" s="5">
        <f>[1]Results!Z378</f>
        <v>5.730542604</v>
      </c>
      <c r="X236" s="5">
        <f>[1]Results!AA378</f>
        <v>5.8178531610000004</v>
      </c>
      <c r="Y236" s="5">
        <f>[1]Results!AB378</f>
        <v>5.9190010370000001</v>
      </c>
      <c r="Z236" s="5">
        <f>[1]Results!AC378</f>
        <v>6.035817615</v>
      </c>
      <c r="AA236" s="5">
        <f>[1]Results!AD378</f>
        <v>6.1696270090000001</v>
      </c>
      <c r="AB236" s="5">
        <f>[1]Results!AE378</f>
        <v>6.3183207890000004</v>
      </c>
      <c r="AC236" s="5">
        <f>[1]Results!AF378</f>
        <v>6.485147156</v>
      </c>
      <c r="AD236" s="5">
        <f>[1]Results!AG378</f>
        <v>6.6739645129999996</v>
      </c>
      <c r="AE236" s="5">
        <f>[1]Results!AH378</f>
        <v>6.8871551269999998</v>
      </c>
      <c r="AF236" s="5">
        <f>[1]Results!AI378</f>
        <v>7.1256468499999999</v>
      </c>
      <c r="AG236" s="5">
        <f>[1]Results!AJ378</f>
        <v>7.3897669639999997</v>
      </c>
      <c r="AH236" s="5">
        <f>[1]Results!AK378</f>
        <v>7.6804025390000001</v>
      </c>
      <c r="AI236" s="5">
        <f>[1]Results!AL378</f>
        <v>7.9994216270000003</v>
      </c>
      <c r="AJ236" s="5">
        <f>[1]Results!AM378</f>
        <v>8.3496944670000008</v>
      </c>
      <c r="AK236" s="5">
        <f>[1]Results!AN378</f>
        <v>8.7356852329999999</v>
      </c>
      <c r="AL236" s="5">
        <f>[1]Results!AO378</f>
        <v>9.1643535299999996</v>
      </c>
    </row>
    <row r="237" spans="1:38" x14ac:dyDescent="0.35">
      <c r="B237" t="s">
        <v>8</v>
      </c>
      <c r="C237" s="5">
        <f>[1]Results!F390</f>
        <v>43.906102930000003</v>
      </c>
      <c r="D237" s="5">
        <f>[1]Results!G390</f>
        <v>44.199203590000003</v>
      </c>
      <c r="E237" s="5">
        <f>[1]Results!H390</f>
        <v>44.481295809999999</v>
      </c>
      <c r="F237" s="5">
        <f>[1]Results!I390</f>
        <v>44.706220719999997</v>
      </c>
      <c r="G237" s="5">
        <f>[1]Results!J390</f>
        <v>45.081474129999997</v>
      </c>
      <c r="H237" s="5">
        <f>[1]Results!K390</f>
        <v>45.597479970000002</v>
      </c>
      <c r="I237" s="5">
        <f>[1]Results!L390</f>
        <v>46.229654670000002</v>
      </c>
      <c r="J237" s="5">
        <f>[1]Results!M390</f>
        <v>46.065819810000001</v>
      </c>
      <c r="K237" s="5">
        <f>[1]Results!N390</f>
        <v>45.758658320000002</v>
      </c>
      <c r="L237" s="5">
        <f>[1]Results!O390</f>
        <v>45.716444420000002</v>
      </c>
      <c r="M237" s="5">
        <f>[1]Results!P390</f>
        <v>45.749128470000002</v>
      </c>
      <c r="N237" s="5">
        <f>[1]Results!Q390</f>
        <v>45.896962850000001</v>
      </c>
      <c r="O237" s="5">
        <f>[1]Results!R390</f>
        <v>46.096647040000001</v>
      </c>
      <c r="P237" s="5">
        <f>[1]Results!S390</f>
        <v>46.291970480000003</v>
      </c>
      <c r="Q237" s="5">
        <f>[1]Results!T390</f>
        <v>46.517574349999997</v>
      </c>
      <c r="R237" s="5">
        <f>[1]Results!U390</f>
        <v>46.797007909999998</v>
      </c>
      <c r="S237" s="5">
        <f>[1]Results!V390</f>
        <v>47.100048260000001</v>
      </c>
      <c r="T237" s="5">
        <f>[1]Results!W390</f>
        <v>47.44475422</v>
      </c>
      <c r="U237" s="5">
        <f>[1]Results!X390</f>
        <v>47.857411720000002</v>
      </c>
      <c r="V237" s="5">
        <f>[1]Results!Y390</f>
        <v>48.356792839999997</v>
      </c>
      <c r="W237" s="5">
        <f>[1]Results!Z390</f>
        <v>48.953396140000002</v>
      </c>
      <c r="X237" s="5">
        <f>[1]Results!AA390</f>
        <v>49.67209811</v>
      </c>
      <c r="Y237" s="5">
        <f>[1]Results!AB390</f>
        <v>50.531070839999998</v>
      </c>
      <c r="Z237" s="5">
        <f>[1]Results!AC390</f>
        <v>51.54138193</v>
      </c>
      <c r="AA237" s="5">
        <f>[1]Results!AD390</f>
        <v>52.7077034</v>
      </c>
      <c r="AB237" s="5">
        <f>[1]Results!AE390</f>
        <v>54.016485279999998</v>
      </c>
      <c r="AC237" s="5">
        <f>[1]Results!AF390</f>
        <v>55.493876700000001</v>
      </c>
      <c r="AD237" s="5">
        <f>[1]Results!AG390</f>
        <v>57.171922889999998</v>
      </c>
      <c r="AE237" s="5">
        <f>[1]Results!AH390</f>
        <v>59.064232969999999</v>
      </c>
      <c r="AF237" s="5">
        <f>[1]Results!AI390</f>
        <v>61.166017269999998</v>
      </c>
      <c r="AG237" s="5">
        <f>[1]Results!AJ390</f>
        <v>63.469090860000001</v>
      </c>
      <c r="AH237" s="5">
        <f>[1]Results!AK390</f>
        <v>65.979667140000004</v>
      </c>
      <c r="AI237" s="5">
        <f>[1]Results!AL390</f>
        <v>68.721840929999999</v>
      </c>
      <c r="AJ237" s="5">
        <f>[1]Results!AM390</f>
        <v>71.734238680000004</v>
      </c>
      <c r="AK237" s="5">
        <f>[1]Results!AN390</f>
        <v>75.081551289999993</v>
      </c>
      <c r="AL237" s="5">
        <f>[1]Results!AO390</f>
        <v>78.875544140000002</v>
      </c>
    </row>
    <row r="238" spans="1:38" x14ac:dyDescent="0.35">
      <c r="B238" t="s">
        <v>28</v>
      </c>
      <c r="C238" s="5">
        <f>[1]Results!F366</f>
        <v>26.32744194</v>
      </c>
      <c r="D238" s="5">
        <f>[1]Results!G366</f>
        <v>26.659812550000002</v>
      </c>
      <c r="E238" s="5">
        <f>[1]Results!H366</f>
        <v>27.00831762</v>
      </c>
      <c r="F238" s="5">
        <f>[1]Results!I366</f>
        <v>27.365780440000002</v>
      </c>
      <c r="G238" s="5">
        <f>[1]Results!J366</f>
        <v>27.750415799999999</v>
      </c>
      <c r="H238" s="5">
        <f>[1]Results!K366</f>
        <v>28.164101680000002</v>
      </c>
      <c r="I238" s="5">
        <f>[1]Results!L366</f>
        <v>28.59510873</v>
      </c>
      <c r="J238" s="5">
        <f>[1]Results!M366</f>
        <v>28.880766120000001</v>
      </c>
      <c r="K238" s="5">
        <f>[1]Results!N366</f>
        <v>29.138808139999998</v>
      </c>
      <c r="L238" s="5">
        <f>[1]Results!O366</f>
        <v>29.52109377</v>
      </c>
      <c r="M238" s="5">
        <f>[1]Results!P366</f>
        <v>29.944752579999999</v>
      </c>
      <c r="N238" s="5">
        <f>[1]Results!Q366</f>
        <v>30.38243559</v>
      </c>
      <c r="O238" s="5">
        <f>[1]Results!R366</f>
        <v>30.811912060000001</v>
      </c>
      <c r="P238" s="5">
        <f>[1]Results!S366</f>
        <v>31.210445839999998</v>
      </c>
      <c r="Q238" s="5">
        <f>[1]Results!T366</f>
        <v>31.59538221</v>
      </c>
      <c r="R238" s="5">
        <f>[1]Results!U366</f>
        <v>31.980600129999999</v>
      </c>
      <c r="S238" s="5">
        <f>[1]Results!V366</f>
        <v>32.368119149999998</v>
      </c>
      <c r="T238" s="5">
        <f>[1]Results!W366</f>
        <v>32.77103194</v>
      </c>
      <c r="U238" s="5">
        <f>[1]Results!X366</f>
        <v>33.202720829999997</v>
      </c>
      <c r="V238" s="5">
        <f>[1]Results!Y366</f>
        <v>33.672397760000003</v>
      </c>
      <c r="W238" s="5">
        <f>[1]Results!Z366</f>
        <v>34.180571620000002</v>
      </c>
      <c r="X238" s="5">
        <f>[1]Results!AA366</f>
        <v>34.746035380000002</v>
      </c>
      <c r="Y238" s="5">
        <f>[1]Results!AB366</f>
        <v>35.376668160000001</v>
      </c>
      <c r="Z238" s="5">
        <f>[1]Results!AC366</f>
        <v>36.077898679999997</v>
      </c>
      <c r="AA238" s="5">
        <f>[1]Results!AD366</f>
        <v>36.85168213</v>
      </c>
      <c r="AB238" s="5">
        <f>[1]Results!AE366</f>
        <v>37.677641850000001</v>
      </c>
      <c r="AC238" s="5">
        <f>[1]Results!AF366</f>
        <v>38.584429120000003</v>
      </c>
      <c r="AD238" s="5">
        <f>[1]Results!AG366</f>
        <v>39.583621460000003</v>
      </c>
      <c r="AE238" s="5">
        <f>[1]Results!AH366</f>
        <v>40.681212129999999</v>
      </c>
      <c r="AF238" s="5">
        <f>[1]Results!AI366</f>
        <v>41.873785050000002</v>
      </c>
      <c r="AG238" s="5">
        <f>[1]Results!AJ366</f>
        <v>43.153805650000002</v>
      </c>
      <c r="AH238" s="5">
        <f>[1]Results!AK366</f>
        <v>44.517807699999999</v>
      </c>
      <c r="AI238" s="5">
        <f>[1]Results!AL366</f>
        <v>45.967691649999999</v>
      </c>
      <c r="AJ238" s="5">
        <f>[1]Results!AM366</f>
        <v>47.507374130000002</v>
      </c>
      <c r="AK238" s="5">
        <f>[1]Results!AN366</f>
        <v>49.144525880000003</v>
      </c>
      <c r="AL238" s="5">
        <f>[1]Results!AO366</f>
        <v>50.893275000000003</v>
      </c>
    </row>
    <row r="239" spans="1:38" x14ac:dyDescent="0.35">
      <c r="B239" t="s">
        <v>10</v>
      </c>
      <c r="C239" s="5">
        <f>[1]Results!F402</f>
        <v>22.283835759999999</v>
      </c>
      <c r="D239" s="5">
        <f>[1]Results!G402</f>
        <v>22.318681380000001</v>
      </c>
      <c r="E239" s="5">
        <f>[1]Results!H402</f>
        <v>22.34427183</v>
      </c>
      <c r="F239" s="5">
        <f>[1]Results!I402</f>
        <v>22.337715670000001</v>
      </c>
      <c r="G239" s="5">
        <f>[1]Results!J402</f>
        <v>22.434748580000001</v>
      </c>
      <c r="H239" s="5">
        <f>[1]Results!K402</f>
        <v>22.62201657</v>
      </c>
      <c r="I239" s="5">
        <f>[1]Results!L402</f>
        <v>22.88151255</v>
      </c>
      <c r="J239" s="5">
        <f>[1]Results!M402</f>
        <v>22.76222121</v>
      </c>
      <c r="K239" s="5">
        <f>[1]Results!N402</f>
        <v>22.590655779999999</v>
      </c>
      <c r="L239" s="5">
        <f>[1]Results!O402</f>
        <v>22.489472889999998</v>
      </c>
      <c r="M239" s="5">
        <f>[1]Results!P402</f>
        <v>22.452194129999999</v>
      </c>
      <c r="N239" s="5">
        <f>[1]Results!Q402</f>
        <v>22.48764581</v>
      </c>
      <c r="O239" s="5">
        <f>[1]Results!R402</f>
        <v>22.57646458</v>
      </c>
      <c r="P239" s="5">
        <f>[1]Results!S402</f>
        <v>22.694168520000002</v>
      </c>
      <c r="Q239" s="5">
        <f>[1]Results!T402</f>
        <v>22.836712559999999</v>
      </c>
      <c r="R239" s="5">
        <f>[1]Results!U402</f>
        <v>23.003245100000001</v>
      </c>
      <c r="S239" s="5">
        <f>[1]Results!V402</f>
        <v>23.167622550000001</v>
      </c>
      <c r="T239" s="5">
        <f>[1]Results!W402</f>
        <v>23.33675805</v>
      </c>
      <c r="U239" s="5">
        <f>[1]Results!X402</f>
        <v>23.52054029</v>
      </c>
      <c r="V239" s="5">
        <f>[1]Results!Y402</f>
        <v>23.729334699999999</v>
      </c>
      <c r="W239" s="5">
        <f>[1]Results!Z402</f>
        <v>23.964706549999999</v>
      </c>
      <c r="X239" s="5">
        <f>[1]Results!AA402</f>
        <v>24.251261070000002</v>
      </c>
      <c r="Y239" s="5">
        <f>[1]Results!AB402</f>
        <v>24.595548310000002</v>
      </c>
      <c r="Z239" s="5">
        <f>[1]Results!AC402</f>
        <v>25.005136740000001</v>
      </c>
      <c r="AA239" s="5">
        <f>[1]Results!AD402</f>
        <v>25.486791520000001</v>
      </c>
      <c r="AB239" s="5">
        <f>[1]Results!AE402</f>
        <v>26.021389460000002</v>
      </c>
      <c r="AC239" s="5">
        <f>[1]Results!AF402</f>
        <v>26.647931570000001</v>
      </c>
      <c r="AD239" s="5">
        <f>[1]Results!AG402</f>
        <v>27.374372000000001</v>
      </c>
      <c r="AE239" s="5">
        <f>[1]Results!AH402</f>
        <v>28.209341340000002</v>
      </c>
      <c r="AF239" s="5">
        <f>[1]Results!AI402</f>
        <v>29.15814297</v>
      </c>
      <c r="AG239" s="5">
        <f>[1]Results!AJ402</f>
        <v>30.225919470000001</v>
      </c>
      <c r="AH239" s="5">
        <f>[1]Results!AK402</f>
        <v>31.422755949999999</v>
      </c>
      <c r="AI239" s="5">
        <f>[1]Results!AL402</f>
        <v>32.766073599999999</v>
      </c>
      <c r="AJ239" s="5">
        <f>[1]Results!AM402</f>
        <v>34.281943429999998</v>
      </c>
      <c r="AK239" s="5">
        <f>[1]Results!AN402</f>
        <v>36.012143960000003</v>
      </c>
      <c r="AL239" s="5">
        <f>[1]Results!AO402</f>
        <v>38.026143009999998</v>
      </c>
    </row>
    <row r="240" spans="1:38" x14ac:dyDescent="0.35">
      <c r="B240" t="s">
        <v>44</v>
      </c>
      <c r="C240" s="5">
        <f>[1]Results!F353</f>
        <v>64.301440170000006</v>
      </c>
      <c r="D240" s="5">
        <f>[1]Results!G353</f>
        <v>63.916926250000003</v>
      </c>
      <c r="E240" s="5">
        <f>[1]Results!H353</f>
        <v>63.417061769999997</v>
      </c>
      <c r="F240" s="5">
        <f>[1]Results!I353</f>
        <v>62.919764360000002</v>
      </c>
      <c r="G240" s="5">
        <f>[1]Results!J353</f>
        <v>62.64937381</v>
      </c>
      <c r="H240" s="5">
        <f>[1]Results!K353</f>
        <v>62.537234290000001</v>
      </c>
      <c r="I240" s="5">
        <f>[1]Results!L353</f>
        <v>62.51770793</v>
      </c>
      <c r="J240" s="5">
        <f>[1]Results!M353</f>
        <v>61.981808059999999</v>
      </c>
      <c r="K240" s="5">
        <f>[1]Results!N353</f>
        <v>61.40800428</v>
      </c>
      <c r="L240" s="5">
        <f>[1]Results!O353</f>
        <v>60.784545360000003</v>
      </c>
      <c r="M240" s="5">
        <f>[1]Results!P353</f>
        <v>60.135343159999998</v>
      </c>
      <c r="N240" s="5">
        <f>[1]Results!Q353</f>
        <v>59.5450059</v>
      </c>
      <c r="O240" s="5">
        <f>[1]Results!R353</f>
        <v>59.035825840000001</v>
      </c>
      <c r="P240" s="5">
        <f>[1]Results!S353</f>
        <v>58.621501819999999</v>
      </c>
      <c r="Q240" s="5">
        <f>[1]Results!T353</f>
        <v>58.299969699999998</v>
      </c>
      <c r="R240" s="5">
        <f>[1]Results!U353</f>
        <v>58.059952729999999</v>
      </c>
      <c r="S240" s="5">
        <f>[1]Results!V353</f>
        <v>57.842968290000002</v>
      </c>
      <c r="T240" s="5">
        <f>[1]Results!W353</f>
        <v>57.642623489999998</v>
      </c>
      <c r="U240" s="5">
        <f>[1]Results!X353</f>
        <v>57.45562563</v>
      </c>
      <c r="V240" s="5">
        <f>[1]Results!Y353</f>
        <v>57.283701090000001</v>
      </c>
      <c r="W240" s="5">
        <f>[1]Results!Z353</f>
        <v>57.114276599999997</v>
      </c>
      <c r="X240" s="5">
        <f>[1]Results!AA353</f>
        <v>56.981123510000003</v>
      </c>
      <c r="Y240" s="5">
        <f>[1]Results!AB353</f>
        <v>56.880426399999997</v>
      </c>
      <c r="Z240" s="5">
        <f>[1]Results!AC353</f>
        <v>56.813382109999999</v>
      </c>
      <c r="AA240" s="5">
        <f>[1]Results!AD353</f>
        <v>56.784098710000002</v>
      </c>
      <c r="AB240" s="5">
        <f>[1]Results!AE353</f>
        <v>56.747706979999997</v>
      </c>
      <c r="AC240" s="5">
        <f>[1]Results!AF353</f>
        <v>56.759053399999999</v>
      </c>
      <c r="AD240" s="5">
        <f>[1]Results!AG353</f>
        <v>56.819020119999998</v>
      </c>
      <c r="AE240" s="5">
        <f>[1]Results!AH353</f>
        <v>56.929874239999997</v>
      </c>
      <c r="AF240" s="5">
        <f>[1]Results!AI353</f>
        <v>57.094329209999998</v>
      </c>
      <c r="AG240" s="5">
        <f>[1]Results!AJ353</f>
        <v>57.314716079999997</v>
      </c>
      <c r="AH240" s="5">
        <f>[1]Results!AK353</f>
        <v>57.592528450000003</v>
      </c>
      <c r="AI240" s="5">
        <f>[1]Results!AL353</f>
        <v>57.928684859999997</v>
      </c>
      <c r="AJ240" s="5">
        <f>[1]Results!AM353</f>
        <v>58.325602449999998</v>
      </c>
      <c r="AK240" s="5">
        <f>[1]Results!AN353</f>
        <v>58.788110920000001</v>
      </c>
      <c r="AL240" s="5">
        <f>[1]Results!AO353</f>
        <v>59.32462881</v>
      </c>
    </row>
    <row r="241" spans="1:38" x14ac:dyDescent="0.35">
      <c r="B241" t="s">
        <v>45</v>
      </c>
      <c r="C241" s="5">
        <f>[1]Results!F354</f>
        <v>42.52087745</v>
      </c>
      <c r="D241" s="5">
        <f>[1]Results!G354</f>
        <v>42.433004529999998</v>
      </c>
      <c r="E241" s="5">
        <f>[1]Results!H354</f>
        <v>42.077798340000001</v>
      </c>
      <c r="F241" s="5">
        <f>[1]Results!I354</f>
        <v>41.627286020000007</v>
      </c>
      <c r="G241" s="5">
        <f>[1]Results!J354</f>
        <v>41.324126229999997</v>
      </c>
      <c r="H241" s="5">
        <f>[1]Results!K354</f>
        <v>41.12506724</v>
      </c>
      <c r="I241" s="5">
        <f>[1]Results!L354</f>
        <v>40.987527979999996</v>
      </c>
      <c r="J241" s="5">
        <f>[1]Results!M354</f>
        <v>40.3810176</v>
      </c>
      <c r="K241" s="5">
        <f>[1]Results!N354</f>
        <v>39.744252029999998</v>
      </c>
      <c r="L241" s="5">
        <f>[1]Results!O354</f>
        <v>39.04607378</v>
      </c>
      <c r="M241" s="5">
        <f>[1]Results!P354</f>
        <v>38.302551890000004</v>
      </c>
      <c r="N241" s="5">
        <f>[1]Results!Q354</f>
        <v>37.580716170000002</v>
      </c>
      <c r="O241" s="5">
        <f>[1]Results!R354</f>
        <v>36.91092295</v>
      </c>
      <c r="P241" s="5">
        <f>[1]Results!S354</f>
        <v>36.319255140000003</v>
      </c>
      <c r="Q241" s="5">
        <f>[1]Results!T354</f>
        <v>35.813323729999993</v>
      </c>
      <c r="R241" s="5">
        <f>[1]Results!U354</f>
        <v>35.38837083</v>
      </c>
      <c r="S241" s="5">
        <f>[1]Results!V354</f>
        <v>34.997668900000001</v>
      </c>
      <c r="T241" s="5">
        <f>[1]Results!W354</f>
        <v>34.632650929999997</v>
      </c>
      <c r="U241" s="5">
        <f>[1]Results!X354</f>
        <v>34.287212840000002</v>
      </c>
      <c r="V241" s="5">
        <f>[1]Results!Y354</f>
        <v>33.961060700000004</v>
      </c>
      <c r="W241" s="5">
        <f>[1]Results!Z354</f>
        <v>33.6424983</v>
      </c>
      <c r="X241" s="5">
        <f>[1]Results!AA354</f>
        <v>33.360644270000002</v>
      </c>
      <c r="Y241" s="5">
        <f>[1]Results!AB354</f>
        <v>33.109959510000003</v>
      </c>
      <c r="Z241" s="5">
        <f>[1]Results!AC354</f>
        <v>32.889390559999995</v>
      </c>
      <c r="AA241" s="5">
        <f>[1]Results!AD354</f>
        <v>32.701051120000002</v>
      </c>
      <c r="AB241" s="5">
        <f>[1]Results!AE354</f>
        <v>32.505180600000003</v>
      </c>
      <c r="AC241" s="5">
        <f>[1]Results!AF354</f>
        <v>32.350396350000004</v>
      </c>
      <c r="AD241" s="5">
        <f>[1]Results!AG354</f>
        <v>32.235996050000004</v>
      </c>
      <c r="AE241" s="5">
        <f>[1]Results!AH354</f>
        <v>32.161473030000003</v>
      </c>
      <c r="AF241" s="5">
        <f>[1]Results!AI354</f>
        <v>32.126591339999997</v>
      </c>
      <c r="AG241" s="5">
        <f>[1]Results!AJ354</f>
        <v>32.131736429999997</v>
      </c>
      <c r="AH241" s="5">
        <f>[1]Results!AK354</f>
        <v>32.177783269999999</v>
      </c>
      <c r="AI241" s="5">
        <f>[1]Results!AL354</f>
        <v>32.265835580000001</v>
      </c>
      <c r="AJ241" s="5">
        <f>[1]Results!AM354</f>
        <v>32.398441420000005</v>
      </c>
      <c r="AK241" s="5">
        <f>[1]Results!AN354</f>
        <v>32.5803893</v>
      </c>
      <c r="AL241" s="5">
        <f>[1]Results!AO354</f>
        <v>32.819810480000001</v>
      </c>
    </row>
    <row r="242" spans="1:38" x14ac:dyDescent="0.35">
      <c r="B242" t="s">
        <v>46</v>
      </c>
      <c r="C242" s="5">
        <f>[1]Results!F362</f>
        <v>21.78056273</v>
      </c>
      <c r="D242" s="5">
        <f>[1]Results!G362</f>
        <v>21.483921729999999</v>
      </c>
      <c r="E242" s="5">
        <f>[1]Results!H362</f>
        <v>21.339263420000002</v>
      </c>
      <c r="F242" s="5">
        <f>[1]Results!I362</f>
        <v>21.292478339999999</v>
      </c>
      <c r="G242" s="5">
        <f>[1]Results!J362</f>
        <v>21.325247579999999</v>
      </c>
      <c r="H242" s="5">
        <f>[1]Results!K362</f>
        <v>21.412167050000001</v>
      </c>
      <c r="I242" s="5">
        <f>[1]Results!L362</f>
        <v>21.530179950000001</v>
      </c>
      <c r="J242" s="5">
        <f>[1]Results!M362</f>
        <v>21.600790460000002</v>
      </c>
      <c r="K242" s="5">
        <f>[1]Results!N362</f>
        <v>21.663752250000002</v>
      </c>
      <c r="L242" s="5">
        <f>[1]Results!O362</f>
        <v>21.738471579999999</v>
      </c>
      <c r="M242" s="5">
        <f>[1]Results!P362</f>
        <v>21.832791270000001</v>
      </c>
      <c r="N242" s="5">
        <f>[1]Results!Q362</f>
        <v>21.964289730000001</v>
      </c>
      <c r="O242" s="5">
        <f>[1]Results!R362</f>
        <v>22.124902890000001</v>
      </c>
      <c r="P242" s="5">
        <f>[1]Results!S362</f>
        <v>22.30224668</v>
      </c>
      <c r="Q242" s="5">
        <f>[1]Results!T362</f>
        <v>22.486645969999998</v>
      </c>
      <c r="R242" s="5">
        <f>[1]Results!U362</f>
        <v>22.6715819</v>
      </c>
      <c r="S242" s="5">
        <f>[1]Results!V362</f>
        <v>22.845299390000001</v>
      </c>
      <c r="T242" s="5">
        <f>[1]Results!W362</f>
        <v>23.009972559999998</v>
      </c>
      <c r="U242" s="5">
        <f>[1]Results!X362</f>
        <v>23.168412789999998</v>
      </c>
      <c r="V242" s="5">
        <f>[1]Results!Y362</f>
        <v>23.322640399999997</v>
      </c>
      <c r="W242" s="5">
        <f>[1]Results!Z362</f>
        <v>23.47177829</v>
      </c>
      <c r="X242" s="5">
        <f>[1]Results!AA362</f>
        <v>23.620479239999998</v>
      </c>
      <c r="Y242" s="5">
        <f>[1]Results!AB362</f>
        <v>23.770466890000002</v>
      </c>
      <c r="Z242" s="5">
        <f>[1]Results!AC362</f>
        <v>23.92399155</v>
      </c>
      <c r="AA242" s="5">
        <f>[1]Results!AD362</f>
        <v>24.08304759</v>
      </c>
      <c r="AB242" s="5">
        <f>[1]Results!AE362</f>
        <v>24.242526379999997</v>
      </c>
      <c r="AC242" s="5">
        <f>[1]Results!AF362</f>
        <v>24.408657050000002</v>
      </c>
      <c r="AD242" s="5">
        <f>[1]Results!AG362</f>
        <v>24.58302407</v>
      </c>
      <c r="AE242" s="5">
        <f>[1]Results!AH362</f>
        <v>24.76840121</v>
      </c>
      <c r="AF242" s="5">
        <f>[1]Results!AI362</f>
        <v>24.967737870000001</v>
      </c>
      <c r="AG242" s="5">
        <f>[1]Results!AJ362</f>
        <v>25.18297965</v>
      </c>
      <c r="AH242" s="5">
        <f>[1]Results!AK362</f>
        <v>25.414745180000001</v>
      </c>
      <c r="AI242" s="5">
        <f>[1]Results!AL362</f>
        <v>25.66284928</v>
      </c>
      <c r="AJ242" s="5">
        <f>[1]Results!AM362</f>
        <v>25.927161030000001</v>
      </c>
      <c r="AK242" s="5">
        <f>[1]Results!AN362</f>
        <v>26.207721629999998</v>
      </c>
      <c r="AL242" s="5">
        <f>[1]Results!AO362</f>
        <v>26.504818329999999</v>
      </c>
    </row>
    <row r="244" spans="1:38" x14ac:dyDescent="0.35">
      <c r="A244" s="12" t="s">
        <v>43</v>
      </c>
      <c r="B244" t="s">
        <v>26</v>
      </c>
      <c r="C244" s="5">
        <f>C245+C246+C247+C248</f>
        <v>97.392837858000007</v>
      </c>
      <c r="D244" s="5">
        <f t="shared" ref="D244:AL244" si="43">D245+D246+D247+D248</f>
        <v>98.083389617999998</v>
      </c>
      <c r="E244" s="5">
        <f t="shared" si="43"/>
        <v>98.772001780000011</v>
      </c>
      <c r="F244" s="5">
        <f t="shared" si="43"/>
        <v>99.381922442999993</v>
      </c>
      <c r="G244" s="5">
        <f t="shared" si="43"/>
        <v>100.28816731999999</v>
      </c>
      <c r="H244" s="5">
        <f t="shared" si="43"/>
        <v>101.46861997900001</v>
      </c>
      <c r="I244" s="5">
        <f t="shared" si="43"/>
        <v>102.67678729599999</v>
      </c>
      <c r="J244" s="5">
        <f t="shared" si="43"/>
        <v>103.87578557999998</v>
      </c>
      <c r="K244" s="5">
        <f t="shared" si="43"/>
        <v>105.052922775</v>
      </c>
      <c r="L244" s="5">
        <f t="shared" si="43"/>
        <v>106.214344981</v>
      </c>
      <c r="M244" s="5">
        <f t="shared" si="43"/>
        <v>107.411374012</v>
      </c>
      <c r="N244" s="5">
        <f t="shared" si="43"/>
        <v>108.59737536700001</v>
      </c>
      <c r="O244" s="5">
        <f t="shared" si="43"/>
        <v>109.744001961</v>
      </c>
      <c r="P244" s="5">
        <f t="shared" si="43"/>
        <v>110.758722366</v>
      </c>
      <c r="Q244" s="5">
        <f t="shared" si="43"/>
        <v>111.68537676400001</v>
      </c>
      <c r="R244" s="5">
        <f t="shared" si="43"/>
        <v>112.583977112</v>
      </c>
      <c r="S244" s="5">
        <f t="shared" si="43"/>
        <v>113.625899696</v>
      </c>
      <c r="T244" s="5">
        <f t="shared" si="43"/>
        <v>114.86845806700001</v>
      </c>
      <c r="U244" s="5">
        <f t="shared" si="43"/>
        <v>116.345283196</v>
      </c>
      <c r="V244" s="5">
        <f t="shared" si="43"/>
        <v>118.069066385</v>
      </c>
      <c r="W244" s="5">
        <f t="shared" si="43"/>
        <v>120.02250989800001</v>
      </c>
      <c r="X244" s="5">
        <f t="shared" si="43"/>
        <v>122.24940851099998</v>
      </c>
      <c r="Y244" s="5">
        <f t="shared" si="43"/>
        <v>124.75913240100002</v>
      </c>
      <c r="Z244" s="5">
        <f t="shared" si="43"/>
        <v>127.55982500000002</v>
      </c>
      <c r="AA244" s="5">
        <f t="shared" si="43"/>
        <v>130.64993788000001</v>
      </c>
      <c r="AB244" s="5">
        <f t="shared" si="43"/>
        <v>133.952629626</v>
      </c>
      <c r="AC244" s="5">
        <f t="shared" si="43"/>
        <v>137.544486764</v>
      </c>
      <c r="AD244" s="5">
        <f t="shared" si="43"/>
        <v>141.43804164900001</v>
      </c>
      <c r="AE244" s="5">
        <f t="shared" si="43"/>
        <v>145.635585233</v>
      </c>
      <c r="AF244" s="5">
        <f t="shared" si="43"/>
        <v>150.099589095</v>
      </c>
      <c r="AG244" s="5">
        <f t="shared" si="43"/>
        <v>154.77191812699999</v>
      </c>
      <c r="AH244" s="5">
        <f t="shared" si="43"/>
        <v>159.59822919599998</v>
      </c>
      <c r="AI244" s="5">
        <f t="shared" si="43"/>
        <v>164.53333152300002</v>
      </c>
      <c r="AJ244" s="5">
        <f t="shared" si="43"/>
        <v>169.53568797400001</v>
      </c>
      <c r="AK244" s="5">
        <f t="shared" si="43"/>
        <v>174.56478423799999</v>
      </c>
      <c r="AL244" s="5">
        <f t="shared" si="43"/>
        <v>179.58010780499998</v>
      </c>
    </row>
    <row r="245" spans="1:38" x14ac:dyDescent="0.35">
      <c r="A245" t="s">
        <v>38</v>
      </c>
      <c r="B245" t="s">
        <v>7</v>
      </c>
      <c r="C245" s="5">
        <f>[1]Results!F439</f>
        <v>4.8754571579999997</v>
      </c>
      <c r="D245" s="5">
        <f>[1]Results!G439</f>
        <v>4.9056919380000004</v>
      </c>
      <c r="E245" s="5">
        <f>[1]Results!H439</f>
        <v>4.9381162600000001</v>
      </c>
      <c r="F245" s="5">
        <f>[1]Results!I439</f>
        <v>4.9722052630000002</v>
      </c>
      <c r="G245" s="5">
        <f>[1]Results!J439</f>
        <v>5.0215283900000003</v>
      </c>
      <c r="H245" s="5">
        <f>[1]Results!K439</f>
        <v>5.0850212790000002</v>
      </c>
      <c r="I245" s="5">
        <f>[1]Results!L439</f>
        <v>5.1540596460000003</v>
      </c>
      <c r="J245" s="5">
        <f>[1]Results!M439</f>
        <v>5.22461514</v>
      </c>
      <c r="K245" s="5">
        <f>[1]Results!N439</f>
        <v>5.2949176849999997</v>
      </c>
      <c r="L245" s="5">
        <f>[1]Results!O439</f>
        <v>5.364692121</v>
      </c>
      <c r="M245" s="5">
        <f>[1]Results!P439</f>
        <v>5.4361442120000003</v>
      </c>
      <c r="N245" s="5">
        <f>[1]Results!Q439</f>
        <v>5.5075306169999996</v>
      </c>
      <c r="O245" s="5">
        <f>[1]Results!R439</f>
        <v>5.5771716810000003</v>
      </c>
      <c r="P245" s="5">
        <f>[1]Results!S439</f>
        <v>5.6407337259999997</v>
      </c>
      <c r="Q245" s="5">
        <f>[1]Results!T439</f>
        <v>5.6995576540000004</v>
      </c>
      <c r="R245" s="5">
        <f>[1]Results!U439</f>
        <v>5.755908722</v>
      </c>
      <c r="S245" s="5">
        <f>[1]Results!V439</f>
        <v>5.8159734959999998</v>
      </c>
      <c r="T245" s="5">
        <f>[1]Results!W439</f>
        <v>5.8837877970000001</v>
      </c>
      <c r="U245" s="5">
        <f>[1]Results!X439</f>
        <v>5.9617043560000003</v>
      </c>
      <c r="V245" s="5">
        <f>[1]Results!Y439</f>
        <v>6.0507436050000001</v>
      </c>
      <c r="W245" s="5">
        <f>[1]Results!Z439</f>
        <v>6.1502876979999996</v>
      </c>
      <c r="X245" s="5">
        <f>[1]Results!AA439</f>
        <v>6.2623356010000002</v>
      </c>
      <c r="Y245" s="5">
        <f>[1]Results!AB439</f>
        <v>6.3878924010000002</v>
      </c>
      <c r="Z245" s="5">
        <f>[1]Results!AC439</f>
        <v>6.5276143700000002</v>
      </c>
      <c r="AA245" s="5">
        <f>[1]Results!AD439</f>
        <v>6.6816557100000002</v>
      </c>
      <c r="AB245" s="5">
        <f>[1]Results!AE439</f>
        <v>6.8464941960000001</v>
      </c>
      <c r="AC245" s="5">
        <f>[1]Results!AF439</f>
        <v>7.0250661140000004</v>
      </c>
      <c r="AD245" s="5">
        <f>[1]Results!AG439</f>
        <v>7.2188020990000004</v>
      </c>
      <c r="AE245" s="5">
        <f>[1]Results!AH439</f>
        <v>7.428266453</v>
      </c>
      <c r="AF245" s="5">
        <f>[1]Results!AI439</f>
        <v>7.6521874849999998</v>
      </c>
      <c r="AG245" s="5">
        <f>[1]Results!AJ439</f>
        <v>7.8881557769999997</v>
      </c>
      <c r="AH245" s="5">
        <f>[1]Results!AK439</f>
        <v>8.1336568459999992</v>
      </c>
      <c r="AI245" s="5">
        <f>[1]Results!AL439</f>
        <v>8.3863710329999996</v>
      </c>
      <c r="AJ245" s="5">
        <f>[1]Results!AM439</f>
        <v>8.6440062340000008</v>
      </c>
      <c r="AK245" s="5">
        <f>[1]Results!AN439</f>
        <v>8.9042337880000009</v>
      </c>
      <c r="AL245" s="5">
        <f>[1]Results!AO439</f>
        <v>9.1646758350000006</v>
      </c>
    </row>
    <row r="246" spans="1:38" x14ac:dyDescent="0.35">
      <c r="B246" t="s">
        <v>30</v>
      </c>
      <c r="C246" s="5">
        <f>[1]Results!F451</f>
        <v>43.906102959999998</v>
      </c>
      <c r="D246" s="5">
        <f>[1]Results!G451</f>
        <v>44.199203660000002</v>
      </c>
      <c r="E246" s="5">
        <f>[1]Results!H451</f>
        <v>44.481295930000002</v>
      </c>
      <c r="F246" s="5">
        <f>[1]Results!I451</f>
        <v>44.706220889999997</v>
      </c>
      <c r="G246" s="5">
        <f>[1]Results!J451</f>
        <v>45.081474329999999</v>
      </c>
      <c r="H246" s="5">
        <f>[1]Results!K451</f>
        <v>45.5974802</v>
      </c>
      <c r="I246" s="5">
        <f>[1]Results!L451</f>
        <v>46.11973235</v>
      </c>
      <c r="J246" s="5">
        <f>[1]Results!M451</f>
        <v>46.626541690000003</v>
      </c>
      <c r="K246" s="5">
        <f>[1]Results!N451</f>
        <v>47.11248338</v>
      </c>
      <c r="L246" s="5">
        <f>[1]Results!O451</f>
        <v>47.582775060000003</v>
      </c>
      <c r="M246" s="5">
        <f>[1]Results!P451</f>
        <v>48.057386180000002</v>
      </c>
      <c r="N246" s="5">
        <f>[1]Results!Q451</f>
        <v>48.527435670000003</v>
      </c>
      <c r="O246" s="5">
        <f>[1]Results!R451</f>
        <v>48.973239909999997</v>
      </c>
      <c r="P246" s="5">
        <f>[1]Results!S451</f>
        <v>49.342990350000001</v>
      </c>
      <c r="Q246" s="5">
        <f>[1]Results!T451</f>
        <v>49.666530350000002</v>
      </c>
      <c r="R246" s="5">
        <f>[1]Results!U451</f>
        <v>49.980306089999999</v>
      </c>
      <c r="S246" s="5">
        <f>[1]Results!V451</f>
        <v>50.382801520000001</v>
      </c>
      <c r="T246" s="5">
        <f>[1]Results!W451</f>
        <v>50.904424069999997</v>
      </c>
      <c r="U246" s="5">
        <f>[1]Results!X451</f>
        <v>51.561063539999999</v>
      </c>
      <c r="V246" s="5">
        <f>[1]Results!Y451</f>
        <v>52.356400620000002</v>
      </c>
      <c r="W246" s="5">
        <f>[1]Results!Z451</f>
        <v>53.284930850000002</v>
      </c>
      <c r="X246" s="5">
        <f>[1]Results!AA451</f>
        <v>54.356477079999998</v>
      </c>
      <c r="Y246" s="5">
        <f>[1]Results!AB451</f>
        <v>55.576537860000002</v>
      </c>
      <c r="Z246" s="5">
        <f>[1]Results!AC451</f>
        <v>56.947730030000002</v>
      </c>
      <c r="AA246" s="5">
        <f>[1]Results!AD451</f>
        <v>58.467080629999998</v>
      </c>
      <c r="AB246" s="5">
        <f>[1]Results!AE451</f>
        <v>60.111579519999999</v>
      </c>
      <c r="AC246" s="5">
        <f>[1]Results!AF451</f>
        <v>61.899923829999999</v>
      </c>
      <c r="AD246" s="5">
        <f>[1]Results!AG451</f>
        <v>63.841481530000003</v>
      </c>
      <c r="AE246" s="5">
        <f>[1]Results!AH451</f>
        <v>65.936989589999996</v>
      </c>
      <c r="AF246" s="5">
        <f>[1]Results!AI451</f>
        <v>68.164427009999997</v>
      </c>
      <c r="AG246" s="5">
        <f>[1]Results!AJ451</f>
        <v>70.491424850000001</v>
      </c>
      <c r="AH246" s="5">
        <f>[1]Results!AK451</f>
        <v>72.889387859999999</v>
      </c>
      <c r="AI246" s="5">
        <f>[1]Results!AL451</f>
        <v>75.335901030000002</v>
      </c>
      <c r="AJ246" s="5">
        <f>[1]Results!AM451</f>
        <v>77.81093482</v>
      </c>
      <c r="AK246" s="5">
        <f>[1]Results!AN451</f>
        <v>80.295026829999998</v>
      </c>
      <c r="AL246" s="5">
        <f>[1]Results!AO451</f>
        <v>82.768563540000002</v>
      </c>
    </row>
    <row r="247" spans="1:38" x14ac:dyDescent="0.35">
      <c r="B247" t="s">
        <v>28</v>
      </c>
      <c r="C247" s="5">
        <f>[1]Results!F427</f>
        <v>26.32744194</v>
      </c>
      <c r="D247" s="5">
        <f>[1]Results!G427</f>
        <v>26.659812550000002</v>
      </c>
      <c r="E247" s="5">
        <f>[1]Results!H427</f>
        <v>27.00831762</v>
      </c>
      <c r="F247" s="5">
        <f>[1]Results!I427</f>
        <v>27.365780440000002</v>
      </c>
      <c r="G247" s="5">
        <f>[1]Results!J427</f>
        <v>27.750415799999999</v>
      </c>
      <c r="H247" s="5">
        <f>[1]Results!K427</f>
        <v>28.164101680000002</v>
      </c>
      <c r="I247" s="5">
        <f>[1]Results!L427</f>
        <v>28.58388953</v>
      </c>
      <c r="J247" s="5">
        <f>[1]Results!M427</f>
        <v>29.00275791</v>
      </c>
      <c r="K247" s="5">
        <f>[1]Results!N427</f>
        <v>29.418714850000001</v>
      </c>
      <c r="L247" s="5">
        <f>[1]Results!O427</f>
        <v>29.833229209999999</v>
      </c>
      <c r="M247" s="5">
        <f>[1]Results!P427</f>
        <v>30.260107999999999</v>
      </c>
      <c r="N247" s="5">
        <f>[1]Results!Q427</f>
        <v>30.686012720000001</v>
      </c>
      <c r="O247" s="5">
        <f>[1]Results!R427</f>
        <v>31.103860820000001</v>
      </c>
      <c r="P247" s="5">
        <f>[1]Results!S427</f>
        <v>31.49036327</v>
      </c>
      <c r="Q247" s="5">
        <f>[1]Results!T427</f>
        <v>31.855829360000001</v>
      </c>
      <c r="R247" s="5">
        <f>[1]Results!U427</f>
        <v>32.214411130000002</v>
      </c>
      <c r="S247" s="5">
        <f>[1]Results!V427</f>
        <v>32.591447010000003</v>
      </c>
      <c r="T247" s="5">
        <f>[1]Results!W427</f>
        <v>33.004599319999997</v>
      </c>
      <c r="U247" s="5">
        <f>[1]Results!X427</f>
        <v>33.464163790000001</v>
      </c>
      <c r="V247" s="5">
        <f>[1]Results!Y427</f>
        <v>33.9741474</v>
      </c>
      <c r="W247" s="5">
        <f>[1]Results!Z427</f>
        <v>34.529581700000001</v>
      </c>
      <c r="X247" s="5">
        <f>[1]Results!AA427</f>
        <v>35.143937219999998</v>
      </c>
      <c r="Y247" s="5">
        <f>[1]Results!AB427</f>
        <v>35.820318870000001</v>
      </c>
      <c r="Z247" s="5">
        <f>[1]Results!AC427</f>
        <v>36.561081680000001</v>
      </c>
      <c r="AA247" s="5">
        <f>[1]Results!AD427</f>
        <v>37.365584849999998</v>
      </c>
      <c r="AB247" s="5">
        <f>[1]Results!AE427</f>
        <v>38.210553439999998</v>
      </c>
      <c r="AC247" s="5">
        <f>[1]Results!AF427</f>
        <v>39.118266779999999</v>
      </c>
      <c r="AD247" s="5">
        <f>[1]Results!AG427</f>
        <v>40.092563169999998</v>
      </c>
      <c r="AE247" s="5">
        <f>[1]Results!AH427</f>
        <v>41.134439999999998</v>
      </c>
      <c r="AF247" s="5">
        <f>[1]Results!AI427</f>
        <v>42.235412650000001</v>
      </c>
      <c r="AG247" s="5">
        <f>[1]Results!AJ427</f>
        <v>43.38195357</v>
      </c>
      <c r="AH247" s="5">
        <f>[1]Results!AK427</f>
        <v>44.561683479999999</v>
      </c>
      <c r="AI247" s="5">
        <f>[1]Results!AL427</f>
        <v>45.764688120000002</v>
      </c>
      <c r="AJ247" s="5">
        <f>[1]Results!AM427</f>
        <v>46.982062450000001</v>
      </c>
      <c r="AK247" s="5">
        <f>[1]Results!AN427</f>
        <v>48.205238219999998</v>
      </c>
      <c r="AL247" s="5">
        <f>[1]Results!AO427</f>
        <v>49.42571281</v>
      </c>
    </row>
    <row r="248" spans="1:38" x14ac:dyDescent="0.35">
      <c r="B248" t="s">
        <v>10</v>
      </c>
      <c r="C248" s="5">
        <f>[1]Results!F463</f>
        <v>22.283835799999999</v>
      </c>
      <c r="D248" s="5">
        <f>[1]Results!G463</f>
        <v>22.318681470000001</v>
      </c>
      <c r="E248" s="5">
        <f>[1]Results!H463</f>
        <v>22.344271970000001</v>
      </c>
      <c r="F248" s="5">
        <f>[1]Results!I463</f>
        <v>22.337715849999999</v>
      </c>
      <c r="G248" s="5">
        <f>[1]Results!J463</f>
        <v>22.434748800000001</v>
      </c>
      <c r="H248" s="5">
        <f>[1]Results!K463</f>
        <v>22.622016819999999</v>
      </c>
      <c r="I248" s="5">
        <f>[1]Results!L463</f>
        <v>22.81910577</v>
      </c>
      <c r="J248" s="5">
        <f>[1]Results!M463</f>
        <v>23.021870839999998</v>
      </c>
      <c r="K248" s="5">
        <f>[1]Results!N463</f>
        <v>23.22680686</v>
      </c>
      <c r="L248" s="5">
        <f>[1]Results!O463</f>
        <v>23.433648590000001</v>
      </c>
      <c r="M248" s="5">
        <f>[1]Results!P463</f>
        <v>23.65773562</v>
      </c>
      <c r="N248" s="5">
        <f>[1]Results!Q463</f>
        <v>23.876396360000001</v>
      </c>
      <c r="O248" s="5">
        <f>[1]Results!R463</f>
        <v>24.089729550000001</v>
      </c>
      <c r="P248" s="5">
        <f>[1]Results!S463</f>
        <v>24.28463502</v>
      </c>
      <c r="Q248" s="5">
        <f>[1]Results!T463</f>
        <v>24.463459400000001</v>
      </c>
      <c r="R248" s="5">
        <f>[1]Results!U463</f>
        <v>24.633351170000001</v>
      </c>
      <c r="S248" s="5">
        <f>[1]Results!V463</f>
        <v>24.835677669999999</v>
      </c>
      <c r="T248" s="5">
        <f>[1]Results!W463</f>
        <v>25.075646880000001</v>
      </c>
      <c r="U248" s="5">
        <f>[1]Results!X463</f>
        <v>25.358351509999999</v>
      </c>
      <c r="V248" s="5">
        <f>[1]Results!Y463</f>
        <v>25.68777476</v>
      </c>
      <c r="W248" s="5">
        <f>[1]Results!Z463</f>
        <v>26.05770965</v>
      </c>
      <c r="X248" s="5">
        <f>[1]Results!AA463</f>
        <v>26.486658609999999</v>
      </c>
      <c r="Y248" s="5">
        <f>[1]Results!AB463</f>
        <v>26.974383270000001</v>
      </c>
      <c r="Z248" s="5">
        <f>[1]Results!AC463</f>
        <v>27.523398920000002</v>
      </c>
      <c r="AA248" s="5">
        <f>[1]Results!AD463</f>
        <v>28.135616689999999</v>
      </c>
      <c r="AB248" s="5">
        <f>[1]Results!AE463</f>
        <v>28.784002470000001</v>
      </c>
      <c r="AC248" s="5">
        <f>[1]Results!AF463</f>
        <v>29.501230039999999</v>
      </c>
      <c r="AD248" s="5">
        <f>[1]Results!AG463</f>
        <v>30.28519485</v>
      </c>
      <c r="AE248" s="5">
        <f>[1]Results!AH463</f>
        <v>31.13588919</v>
      </c>
      <c r="AF248" s="5">
        <f>[1]Results!AI463</f>
        <v>32.047561950000002</v>
      </c>
      <c r="AG248" s="5">
        <f>[1]Results!AJ463</f>
        <v>33.010383930000003</v>
      </c>
      <c r="AH248" s="5">
        <f>[1]Results!AK463</f>
        <v>34.013501009999999</v>
      </c>
      <c r="AI248" s="5">
        <f>[1]Results!AL463</f>
        <v>35.04637134</v>
      </c>
      <c r="AJ248" s="5">
        <f>[1]Results!AM463</f>
        <v>36.098684470000002</v>
      </c>
      <c r="AK248" s="5">
        <f>[1]Results!AN463</f>
        <v>37.160285399999999</v>
      </c>
      <c r="AL248" s="5">
        <f>[1]Results!AO463</f>
        <v>38.221155619999998</v>
      </c>
    </row>
    <row r="249" spans="1:38" x14ac:dyDescent="0.35">
      <c r="B249" t="s">
        <v>25</v>
      </c>
      <c r="C249" s="5">
        <f>[1]Results!F414</f>
        <v>64.301440170000006</v>
      </c>
      <c r="D249" s="5">
        <f>[1]Results!G414</f>
        <v>63.916926349999997</v>
      </c>
      <c r="E249" s="5">
        <f>[1]Results!H414</f>
        <v>63.417061930000003</v>
      </c>
      <c r="F249" s="5">
        <f>[1]Results!I414</f>
        <v>62.91976459</v>
      </c>
      <c r="G249" s="5">
        <f>[1]Results!J414</f>
        <v>62.64937406</v>
      </c>
      <c r="H249" s="5">
        <f>[1]Results!K414</f>
        <v>62.53723454</v>
      </c>
      <c r="I249" s="5">
        <f>[1]Results!L414</f>
        <v>62.373026189999997</v>
      </c>
      <c r="J249" s="5">
        <f>[1]Results!M414</f>
        <v>62.192817609999999</v>
      </c>
      <c r="K249" s="5">
        <f>[1]Results!N414</f>
        <v>62.013502219999999</v>
      </c>
      <c r="L249" s="5">
        <f>[1]Results!O414</f>
        <v>61.844335119999997</v>
      </c>
      <c r="M249" s="5">
        <f>[1]Results!P414</f>
        <v>61.715362159999998</v>
      </c>
      <c r="N249" s="5">
        <f>[1]Results!Q414</f>
        <v>61.58556669</v>
      </c>
      <c r="O249" s="5">
        <f>[1]Results!R414</f>
        <v>61.46116602</v>
      </c>
      <c r="P249" s="5">
        <f>[1]Results!S414</f>
        <v>61.346177699999998</v>
      </c>
      <c r="Q249" s="5">
        <f>[1]Results!T414</f>
        <v>61.240763129999998</v>
      </c>
      <c r="R249" s="5">
        <f>[1]Results!U414</f>
        <v>61.142803149999999</v>
      </c>
      <c r="S249" s="5">
        <f>[1]Results!V414</f>
        <v>61.140933689999997</v>
      </c>
      <c r="T249" s="5">
        <f>[1]Results!W414</f>
        <v>61.193917149999997</v>
      </c>
      <c r="U249" s="5">
        <f>[1]Results!X414</f>
        <v>61.275338529999999</v>
      </c>
      <c r="V249" s="5">
        <f>[1]Results!Y414</f>
        <v>61.368571009999997</v>
      </c>
      <c r="W249" s="5">
        <f>[1]Results!Z414</f>
        <v>61.447589030000003</v>
      </c>
      <c r="X249" s="5">
        <f>[1]Results!AA414</f>
        <v>61.536212040000002</v>
      </c>
      <c r="Y249" s="5">
        <f>[1]Results!AB414</f>
        <v>61.63478173</v>
      </c>
      <c r="Z249" s="5">
        <f>[1]Results!AC414</f>
        <v>61.74877609</v>
      </c>
      <c r="AA249" s="5">
        <f>[1]Results!AD414</f>
        <v>61.87961241</v>
      </c>
      <c r="AB249" s="5">
        <f>[1]Results!AE414</f>
        <v>61.977811080000002</v>
      </c>
      <c r="AC249" s="5">
        <f>[1]Results!AF414</f>
        <v>62.092468750000002</v>
      </c>
      <c r="AD249" s="5">
        <f>[1]Results!AG414</f>
        <v>62.221902829999998</v>
      </c>
      <c r="AE249" s="5">
        <f>[1]Results!AH414</f>
        <v>62.36637855</v>
      </c>
      <c r="AF249" s="5">
        <f>[1]Results!AI414</f>
        <v>62.527540600000002</v>
      </c>
      <c r="AG249" s="5">
        <f>[1]Results!AJ414</f>
        <v>62.706661099999998</v>
      </c>
      <c r="AH249" s="5">
        <f>[1]Results!AK414</f>
        <v>62.902975259999998</v>
      </c>
      <c r="AI249" s="5">
        <f>[1]Results!AL414</f>
        <v>63.114669820000003</v>
      </c>
      <c r="AJ249" s="5">
        <f>[1]Results!AM414</f>
        <v>63.339445269999999</v>
      </c>
      <c r="AK249" s="5">
        <f>[1]Results!AN414</f>
        <v>63.57444521</v>
      </c>
      <c r="AL249" s="5">
        <f>[1]Results!AO414</f>
        <v>63.816332860000003</v>
      </c>
    </row>
    <row r="250" spans="1:38" x14ac:dyDescent="0.35">
      <c r="B250" t="s">
        <v>47</v>
      </c>
      <c r="C250" s="5">
        <f>[1]Results!F415</f>
        <v>42.52087745</v>
      </c>
      <c r="D250" s="5">
        <f>[1]Results!G415</f>
        <v>42.433004619999998</v>
      </c>
      <c r="E250" s="5">
        <f>[1]Results!H415</f>
        <v>42.077798510000001</v>
      </c>
      <c r="F250" s="5">
        <f>[1]Results!I415</f>
        <v>41.627286249999997</v>
      </c>
      <c r="G250" s="5">
        <f>[1]Results!J415</f>
        <v>41.324126490000005</v>
      </c>
      <c r="H250" s="5">
        <f>[1]Results!K415</f>
        <v>41.1250675</v>
      </c>
      <c r="I250" s="5">
        <f>[1]Results!L415</f>
        <v>40.849754930000003</v>
      </c>
      <c r="J250" s="5">
        <f>[1]Results!M415</f>
        <v>40.547698479999994</v>
      </c>
      <c r="K250" s="5">
        <f>[1]Results!N415</f>
        <v>40.240758419999999</v>
      </c>
      <c r="L250" s="5">
        <f>[1]Results!O415</f>
        <v>39.939485220000002</v>
      </c>
      <c r="M250" s="5">
        <f>[1]Results!P415</f>
        <v>39.670582179999997</v>
      </c>
      <c r="N250" s="5">
        <f>[1]Results!Q415</f>
        <v>39.396734020000004</v>
      </c>
      <c r="O250" s="5">
        <f>[1]Results!R415</f>
        <v>39.124172639999998</v>
      </c>
      <c r="P250" s="5">
        <f>[1]Results!S415</f>
        <v>38.859213520000004</v>
      </c>
      <c r="Q250" s="5">
        <f>[1]Results!T415</f>
        <v>38.604847849999999</v>
      </c>
      <c r="R250" s="5">
        <f>[1]Results!U415</f>
        <v>38.36131855</v>
      </c>
      <c r="S250" s="5">
        <f>[1]Results!V415</f>
        <v>38.208189149999995</v>
      </c>
      <c r="T250" s="5">
        <f>[1]Results!W415</f>
        <v>38.102460869999994</v>
      </c>
      <c r="U250" s="5">
        <f>[1]Results!X415</f>
        <v>38.019656079999997</v>
      </c>
      <c r="V250" s="5">
        <f>[1]Results!Y415</f>
        <v>37.945534760000001</v>
      </c>
      <c r="W250" s="5">
        <f>[1]Results!Z415</f>
        <v>37.858133619999997</v>
      </c>
      <c r="X250" s="5">
        <f>[1]Results!AA415</f>
        <v>37.778544780000004</v>
      </c>
      <c r="Y250" s="5">
        <f>[1]Results!AB415</f>
        <v>37.70648276</v>
      </c>
      <c r="Z250" s="5">
        <f>[1]Results!AC415</f>
        <v>37.646097099999999</v>
      </c>
      <c r="AA250" s="5">
        <f>[1]Results!AD415</f>
        <v>37.597540450000004</v>
      </c>
      <c r="AB250" s="5">
        <f>[1]Results!AE415</f>
        <v>37.516928869999994</v>
      </c>
      <c r="AC250" s="5">
        <f>[1]Results!AF415</f>
        <v>37.446838280000001</v>
      </c>
      <c r="AD250" s="5">
        <f>[1]Results!AG415</f>
        <v>37.383524789999996</v>
      </c>
      <c r="AE250" s="5">
        <f>[1]Results!AH415</f>
        <v>37.325014329999995</v>
      </c>
      <c r="AF250" s="5">
        <f>[1]Results!AI415</f>
        <v>37.27093781</v>
      </c>
      <c r="AG250" s="5">
        <f>[1]Results!AJ415</f>
        <v>37.2216174</v>
      </c>
      <c r="AH250" s="5">
        <f>[1]Results!AK415</f>
        <v>37.176548450000006</v>
      </c>
      <c r="AI250" s="5">
        <f>[1]Results!AL415</f>
        <v>37.135181280000005</v>
      </c>
      <c r="AJ250" s="5">
        <f>[1]Results!AM415</f>
        <v>37.097251749999998</v>
      </c>
      <c r="AK250" s="5">
        <f>[1]Results!AN415</f>
        <v>37.062493689999997</v>
      </c>
      <c r="AL250" s="5">
        <f>[1]Results!AO415</f>
        <v>37.030549619999995</v>
      </c>
    </row>
    <row r="251" spans="1:38" x14ac:dyDescent="0.35">
      <c r="B251" t="s">
        <v>48</v>
      </c>
      <c r="C251" s="5">
        <f>[1]Results!F423</f>
        <v>21.78056273</v>
      </c>
      <c r="D251" s="5">
        <f>[1]Results!G423</f>
        <v>21.483921729999999</v>
      </c>
      <c r="E251" s="5">
        <f>[1]Results!H423</f>
        <v>21.339263420000002</v>
      </c>
      <c r="F251" s="5">
        <f>[1]Results!I423</f>
        <v>21.292478339999999</v>
      </c>
      <c r="G251" s="5">
        <f>[1]Results!J423</f>
        <v>21.325247579999999</v>
      </c>
      <c r="H251" s="5">
        <f>[1]Results!K423</f>
        <v>21.412167050000001</v>
      </c>
      <c r="I251" s="5">
        <f>[1]Results!L423</f>
        <v>21.523271260000001</v>
      </c>
      <c r="J251" s="5">
        <f>[1]Results!M423</f>
        <v>21.645119140000002</v>
      </c>
      <c r="K251" s="5">
        <f>[1]Results!N423</f>
        <v>21.772743800000001</v>
      </c>
      <c r="L251" s="5">
        <f>[1]Results!O423</f>
        <v>21.904849890000001</v>
      </c>
      <c r="M251" s="5">
        <f>[1]Results!P423</f>
        <v>22.044779980000001</v>
      </c>
      <c r="N251" s="5">
        <f>[1]Results!Q423</f>
        <v>22.18883267</v>
      </c>
      <c r="O251" s="5">
        <f>[1]Results!R423</f>
        <v>22.336993370000002</v>
      </c>
      <c r="P251" s="5">
        <f>[1]Results!S423</f>
        <v>22.486964180000001</v>
      </c>
      <c r="Q251" s="5">
        <f>[1]Results!T423</f>
        <v>22.635915280000003</v>
      </c>
      <c r="R251" s="5">
        <f>[1]Results!U423</f>
        <v>22.781484600000002</v>
      </c>
      <c r="S251" s="5">
        <f>[1]Results!V423</f>
        <v>22.932744550000002</v>
      </c>
      <c r="T251" s="5">
        <f>[1]Results!W423</f>
        <v>23.091456280000003</v>
      </c>
      <c r="U251" s="5">
        <f>[1]Results!X423</f>
        <v>23.255682449999998</v>
      </c>
      <c r="V251" s="5">
        <f>[1]Results!Y423</f>
        <v>23.423036249999999</v>
      </c>
      <c r="W251" s="5">
        <f>[1]Results!Z423</f>
        <v>23.589455409999999</v>
      </c>
      <c r="X251" s="5">
        <f>[1]Results!AA423</f>
        <v>23.757667260000002</v>
      </c>
      <c r="Y251" s="5">
        <f>[1]Results!AB423</f>
        <v>23.92829897</v>
      </c>
      <c r="Z251" s="5">
        <f>[1]Results!AC423</f>
        <v>24.102678989999998</v>
      </c>
      <c r="AA251" s="5">
        <f>[1]Results!AD423</f>
        <v>24.28207196</v>
      </c>
      <c r="AB251" s="5">
        <f>[1]Results!AE423</f>
        <v>24.460882219999998</v>
      </c>
      <c r="AC251" s="5">
        <f>[1]Results!AF423</f>
        <v>24.645630480000001</v>
      </c>
      <c r="AD251" s="5">
        <f>[1]Results!AG423</f>
        <v>24.838378039999998</v>
      </c>
      <c r="AE251" s="5">
        <f>[1]Results!AH423</f>
        <v>25.041364219999998</v>
      </c>
      <c r="AF251" s="5">
        <f>[1]Results!AI423</f>
        <v>25.2566028</v>
      </c>
      <c r="AG251" s="5">
        <f>[1]Results!AJ423</f>
        <v>25.485043699999999</v>
      </c>
      <c r="AH251" s="5">
        <f>[1]Results!AK423</f>
        <v>25.72642681</v>
      </c>
      <c r="AI251" s="5">
        <f>[1]Results!AL423</f>
        <v>25.979488530000001</v>
      </c>
      <c r="AJ251" s="5">
        <f>[1]Results!AM423</f>
        <v>26.242193520000001</v>
      </c>
      <c r="AK251" s="5">
        <f>[1]Results!AN423</f>
        <v>26.51195152</v>
      </c>
      <c r="AL251" s="5">
        <f>[1]Results!AO423</f>
        <v>26.78578323</v>
      </c>
    </row>
    <row r="253" spans="1:3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</row>
    <row r="254" spans="1:38" x14ac:dyDescent="0.35">
      <c r="A254" t="s">
        <v>39</v>
      </c>
      <c r="B254" t="s">
        <v>26</v>
      </c>
      <c r="C254" s="9">
        <f t="shared" ref="C254:AL254" si="44">(C235/C136)/(C244/C125)-1</f>
        <v>-9.781995213842265E-10</v>
      </c>
      <c r="D254" s="9">
        <f t="shared" si="44"/>
        <v>-1.6312650119587602E-9</v>
      </c>
      <c r="E254" s="9">
        <f t="shared" si="44"/>
        <v>-2.6424493704269025E-9</v>
      </c>
      <c r="F254" s="9">
        <f t="shared" si="44"/>
        <v>-3.7894440918506689E-9</v>
      </c>
      <c r="G254" s="9">
        <f t="shared" si="44"/>
        <v>-4.4511956343029624E-9</v>
      </c>
      <c r="H254" s="9">
        <f t="shared" si="44"/>
        <v>-4.9991372153002089E-9</v>
      </c>
      <c r="I254" s="9">
        <f t="shared" si="44"/>
        <v>1.5728859725394617E-3</v>
      </c>
      <c r="J254" s="9">
        <f t="shared" si="44"/>
        <v>-8.0718901500663742E-3</v>
      </c>
      <c r="K254" s="9">
        <f t="shared" si="44"/>
        <v>-1.9640828542750066E-2</v>
      </c>
      <c r="L254" s="9">
        <f t="shared" si="44"/>
        <v>-3.0179348963976338E-2</v>
      </c>
      <c r="M254" s="9">
        <f t="shared" si="44"/>
        <v>-3.9588003582995079E-2</v>
      </c>
      <c r="N254" s="9">
        <f t="shared" si="44"/>
        <v>-4.6602708648150082E-2</v>
      </c>
      <c r="O254" s="9">
        <f t="shared" si="44"/>
        <v>-5.1870891802587527E-2</v>
      </c>
      <c r="P254" s="9">
        <f t="shared" si="44"/>
        <v>-5.5771967050662119E-2</v>
      </c>
      <c r="Q254" s="9">
        <f t="shared" si="44"/>
        <v>-5.8551533638760866E-2</v>
      </c>
      <c r="R254" s="9">
        <f t="shared" si="44"/>
        <v>-6.0458285124711852E-2</v>
      </c>
      <c r="S254" s="9">
        <f t="shared" si="44"/>
        <v>-6.2945106491143377E-2</v>
      </c>
      <c r="T254" s="9">
        <f t="shared" si="44"/>
        <v>-6.6169385791407298E-2</v>
      </c>
      <c r="U254" s="9">
        <f t="shared" si="44"/>
        <v>-6.9990153062788441E-2</v>
      </c>
      <c r="V254" s="9">
        <f t="shared" si="44"/>
        <v>-7.4229945116014662E-2</v>
      </c>
      <c r="W254" s="9">
        <f t="shared" si="44"/>
        <v>-7.8702279702943301E-2</v>
      </c>
      <c r="X254" s="9">
        <f t="shared" si="44"/>
        <v>-8.3201033576468797E-2</v>
      </c>
      <c r="Y254" s="9">
        <f t="shared" si="44"/>
        <v>-8.7566075546441802E-2</v>
      </c>
      <c r="Z254" s="9">
        <f t="shared" si="44"/>
        <v>-9.170694528138601E-2</v>
      </c>
      <c r="AA254" s="9">
        <f t="shared" si="44"/>
        <v>-9.5565849417000748E-2</v>
      </c>
      <c r="AB254" s="9">
        <f t="shared" si="44"/>
        <v>-9.9106358410655848E-2</v>
      </c>
      <c r="AC254" s="9">
        <f t="shared" si="44"/>
        <v>-0.10225121964968265</v>
      </c>
      <c r="AD254" s="9">
        <f t="shared" si="44"/>
        <v>-0.1048087765592286</v>
      </c>
      <c r="AE254" s="9">
        <f t="shared" si="44"/>
        <v>-0.10675751259201072</v>
      </c>
      <c r="AF254" s="9">
        <f t="shared" si="44"/>
        <v>-0.10810220270492044</v>
      </c>
      <c r="AG254" s="9">
        <f t="shared" si="44"/>
        <v>-0.10882844741171793</v>
      </c>
      <c r="AH254" s="9">
        <f t="shared" si="44"/>
        <v>-0.10886126491026138</v>
      </c>
      <c r="AI254" s="9">
        <f t="shared" si="44"/>
        <v>-0.10808980767103005</v>
      </c>
      <c r="AJ254" s="9">
        <f t="shared" si="44"/>
        <v>-0.10641657637772384</v>
      </c>
      <c r="AK254" s="9">
        <f t="shared" si="44"/>
        <v>-0.10370202921063554</v>
      </c>
      <c r="AL254" s="9">
        <f t="shared" si="44"/>
        <v>-9.9696600136098157E-2</v>
      </c>
    </row>
    <row r="255" spans="1:38" x14ac:dyDescent="0.35">
      <c r="B255" t="s">
        <v>7</v>
      </c>
      <c r="C255" s="9">
        <f t="shared" ref="C255:AL255" si="45">(C236/C137)/(C245/C126)-1</f>
        <v>0</v>
      </c>
      <c r="D255" s="9">
        <f t="shared" si="45"/>
        <v>-1.1214917883251019E-11</v>
      </c>
      <c r="E255" s="9">
        <f t="shared" si="45"/>
        <v>-2.0250634502616549E-10</v>
      </c>
      <c r="F255" s="9">
        <f t="shared" si="45"/>
        <v>-4.0223602226774346E-10</v>
      </c>
      <c r="G255" s="9">
        <f t="shared" si="45"/>
        <v>-3.9828507159000992E-10</v>
      </c>
      <c r="H255" s="9">
        <f t="shared" si="45"/>
        <v>-6.0058902295878624E-10</v>
      </c>
      <c r="I255" s="9">
        <f t="shared" si="45"/>
        <v>5.4773251208484197E-4</v>
      </c>
      <c r="J255" s="9">
        <f t="shared" si="45"/>
        <v>-6.598698597453434E-3</v>
      </c>
      <c r="K255" s="9">
        <f t="shared" si="45"/>
        <v>-1.5928098893869036E-2</v>
      </c>
      <c r="L255" s="9">
        <f t="shared" si="45"/>
        <v>-2.5710941143493038E-2</v>
      </c>
      <c r="M255" s="9">
        <f t="shared" si="45"/>
        <v>-3.4421858621425439E-2</v>
      </c>
      <c r="N255" s="9">
        <f t="shared" si="45"/>
        <v>-4.0643374950068534E-2</v>
      </c>
      <c r="O255" s="9">
        <f t="shared" si="45"/>
        <v>-4.4874415892352304E-2</v>
      </c>
      <c r="P255" s="9">
        <f t="shared" si="45"/>
        <v>-4.7611952638946908E-2</v>
      </c>
      <c r="Q255" s="9">
        <f t="shared" si="45"/>
        <v>-4.9220392711131655E-2</v>
      </c>
      <c r="R255" s="9">
        <f t="shared" si="45"/>
        <v>-4.9942199440127677E-2</v>
      </c>
      <c r="S255" s="9">
        <f t="shared" si="45"/>
        <v>-5.0875774988282774E-2</v>
      </c>
      <c r="T255" s="9">
        <f t="shared" si="45"/>
        <v>-5.2193162373958324E-2</v>
      </c>
      <c r="U255" s="9">
        <f t="shared" si="45"/>
        <v>-5.3846361746811455E-2</v>
      </c>
      <c r="V255" s="9">
        <f t="shared" si="45"/>
        <v>-5.5700631167366565E-2</v>
      </c>
      <c r="W255" s="9">
        <f t="shared" si="45"/>
        <v>-5.7586045301406652E-2</v>
      </c>
      <c r="X255" s="9">
        <f t="shared" si="45"/>
        <v>-5.9325043671655142E-2</v>
      </c>
      <c r="Y255" s="9">
        <f t="shared" si="45"/>
        <v>-6.0759300744215872E-2</v>
      </c>
      <c r="Z255" s="9">
        <f t="shared" si="45"/>
        <v>-6.1768277847510378E-2</v>
      </c>
      <c r="AA255" s="9">
        <f t="shared" si="45"/>
        <v>-6.2249448445268585E-2</v>
      </c>
      <c r="AB255" s="9">
        <f t="shared" si="45"/>
        <v>-6.210427686484099E-2</v>
      </c>
      <c r="AC255" s="9">
        <f t="shared" si="45"/>
        <v>-6.1210686644695311E-2</v>
      </c>
      <c r="AD255" s="9">
        <f t="shared" si="45"/>
        <v>-5.9443237896709133E-2</v>
      </c>
      <c r="AE255" s="9">
        <f t="shared" si="45"/>
        <v>-5.6705454620991302E-2</v>
      </c>
      <c r="AF255" s="9">
        <f t="shared" si="45"/>
        <v>-5.2905101865165394E-2</v>
      </c>
      <c r="AG255" s="9">
        <f t="shared" si="45"/>
        <v>-4.7917894535242089E-2</v>
      </c>
      <c r="AH255" s="9">
        <f t="shared" si="45"/>
        <v>-4.156362676831693E-2</v>
      </c>
      <c r="AI255" s="9">
        <f t="shared" si="45"/>
        <v>-3.3610493438339217E-2</v>
      </c>
      <c r="AJ255" s="9">
        <f t="shared" si="45"/>
        <v>-2.37787995543155E-2</v>
      </c>
      <c r="AK255" s="9">
        <f t="shared" si="45"/>
        <v>-1.1692551182234223E-2</v>
      </c>
      <c r="AL255" s="9">
        <f t="shared" si="45"/>
        <v>3.1784651661563856E-3</v>
      </c>
    </row>
    <row r="256" spans="1:38" x14ac:dyDescent="0.35">
      <c r="B256" t="s">
        <v>30</v>
      </c>
      <c r="C256" s="9">
        <f t="shared" ref="C256:AL256" si="46">(C237/C138)/(C246/C127)-1</f>
        <v>-6.853191347744314E-10</v>
      </c>
      <c r="D256" s="9">
        <f t="shared" si="46"/>
        <v>-1.5656468344005248E-9</v>
      </c>
      <c r="E256" s="9">
        <f t="shared" si="46"/>
        <v>-2.6592391622060063E-9</v>
      </c>
      <c r="F256" s="9">
        <f t="shared" si="46"/>
        <v>-3.8617820052877505E-9</v>
      </c>
      <c r="G256" s="9">
        <f t="shared" si="46"/>
        <v>-4.3602303989587199E-9</v>
      </c>
      <c r="H256" s="9">
        <f t="shared" si="46"/>
        <v>-4.9320222350601739E-9</v>
      </c>
      <c r="I256" s="9">
        <f t="shared" si="46"/>
        <v>2.0666508855615717E-3</v>
      </c>
      <c r="J256" s="9">
        <f t="shared" si="46"/>
        <v>-7.863067329392015E-3</v>
      </c>
      <c r="K256" s="9">
        <f t="shared" si="46"/>
        <v>-2.0418650477974531E-2</v>
      </c>
      <c r="L256" s="9">
        <f t="shared" si="46"/>
        <v>-3.251534677676593E-2</v>
      </c>
      <c r="M256" s="9">
        <f t="shared" si="46"/>
        <v>-4.3164950768224242E-2</v>
      </c>
      <c r="N256" s="9">
        <f t="shared" si="46"/>
        <v>-5.0910687388697196E-2</v>
      </c>
      <c r="O256" s="9">
        <f t="shared" si="46"/>
        <v>-5.6476533891502201E-2</v>
      </c>
      <c r="P256" s="9">
        <f t="shared" si="46"/>
        <v>-6.0384855776425495E-2</v>
      </c>
      <c r="Q256" s="9">
        <f t="shared" si="46"/>
        <v>-6.3000398918398481E-2</v>
      </c>
      <c r="R256" s="9">
        <f t="shared" si="46"/>
        <v>-6.4631661623946846E-2</v>
      </c>
      <c r="S256" s="9">
        <f t="shared" si="46"/>
        <v>-6.6973748285104051E-2</v>
      </c>
      <c r="T256" s="9">
        <f t="shared" si="46"/>
        <v>-7.031724564052888E-2</v>
      </c>
      <c r="U256" s="9">
        <f t="shared" si="46"/>
        <v>-7.447293880328798E-2</v>
      </c>
      <c r="V256" s="9">
        <f t="shared" si="46"/>
        <v>-7.9202246579428759E-2</v>
      </c>
      <c r="W256" s="9">
        <f t="shared" si="46"/>
        <v>-8.4260732920746317E-2</v>
      </c>
      <c r="X256" s="9">
        <f t="shared" si="46"/>
        <v>-8.9399632520273831E-2</v>
      </c>
      <c r="Y256" s="9">
        <f t="shared" si="46"/>
        <v>-9.4415437146828429E-2</v>
      </c>
      <c r="Z256" s="9">
        <f t="shared" si="46"/>
        <v>-9.9187650143126804E-2</v>
      </c>
      <c r="AA256" s="9">
        <f t="shared" si="46"/>
        <v>-0.10363838590097674</v>
      </c>
      <c r="AB256" s="9">
        <f t="shared" si="46"/>
        <v>-0.10770376935546466</v>
      </c>
      <c r="AC256" s="9">
        <f t="shared" si="46"/>
        <v>-0.11135087213442874</v>
      </c>
      <c r="AD256" s="9">
        <f t="shared" si="46"/>
        <v>-0.11429365028031357</v>
      </c>
      <c r="AE256" s="9">
        <f t="shared" si="46"/>
        <v>-0.11646323158613447</v>
      </c>
      <c r="AF256" s="9">
        <f t="shared" si="46"/>
        <v>-0.11782489768127269</v>
      </c>
      <c r="AG256" s="9">
        <f t="shared" si="46"/>
        <v>-0.11831319377696214</v>
      </c>
      <c r="AH256" s="9">
        <f t="shared" si="46"/>
        <v>-0.11777421403052901</v>
      </c>
      <c r="AI256" s="9">
        <f t="shared" si="46"/>
        <v>-0.1159745755237821</v>
      </c>
      <c r="AJ256" s="9">
        <f t="shared" si="46"/>
        <v>-0.11263489834563722</v>
      </c>
      <c r="AK256" s="9">
        <f t="shared" si="46"/>
        <v>-0.10734049140487445</v>
      </c>
      <c r="AL256" s="9">
        <f t="shared" si="46"/>
        <v>-9.9398204949010305E-2</v>
      </c>
    </row>
    <row r="257" spans="1:38" x14ac:dyDescent="0.35">
      <c r="B257" t="s">
        <v>28</v>
      </c>
      <c r="C257" s="9">
        <f t="shared" ref="C257:AL257" si="47">(C238/C139)/(C247/C128)-1</f>
        <v>0</v>
      </c>
      <c r="D257" s="9">
        <f t="shared" si="47"/>
        <v>0</v>
      </c>
      <c r="E257" s="9">
        <f t="shared" si="47"/>
        <v>-8.0299100702063697E-12</v>
      </c>
      <c r="F257" s="9">
        <f t="shared" si="47"/>
        <v>-7.9105610950591654E-12</v>
      </c>
      <c r="G257" s="9">
        <f t="shared" si="47"/>
        <v>0</v>
      </c>
      <c r="H257" s="9">
        <f t="shared" si="47"/>
        <v>-8.4297235858343811E-11</v>
      </c>
      <c r="I257" s="9">
        <f t="shared" si="47"/>
        <v>1.0358852222092096E-4</v>
      </c>
      <c r="J257" s="9">
        <f t="shared" si="47"/>
        <v>-1.1914318688366343E-4</v>
      </c>
      <c r="K257" s="9">
        <f t="shared" si="47"/>
        <v>-1.3513174337540512E-3</v>
      </c>
      <c r="L257" s="9">
        <f t="shared" si="47"/>
        <v>-4.3066330125635099E-3</v>
      </c>
      <c r="M257" s="9">
        <f t="shared" si="47"/>
        <v>-6.9721724016452713E-3</v>
      </c>
      <c r="N257" s="9">
        <f t="shared" si="47"/>
        <v>-9.3407847750043294E-3</v>
      </c>
      <c r="O257" s="9">
        <f t="shared" si="47"/>
        <v>-1.1223932483457988E-2</v>
      </c>
      <c r="P257" s="9">
        <f t="shared" si="47"/>
        <v>-1.2689792166105107E-2</v>
      </c>
      <c r="Q257" s="9">
        <f t="shared" si="47"/>
        <v>-1.3831922942293295E-2</v>
      </c>
      <c r="R257" s="9">
        <f t="shared" si="47"/>
        <v>-1.4639655446323396E-2</v>
      </c>
      <c r="S257" s="9">
        <f t="shared" si="47"/>
        <v>-1.5306113904369423E-2</v>
      </c>
      <c r="T257" s="9">
        <f t="shared" si="47"/>
        <v>-1.5954042525323175E-2</v>
      </c>
      <c r="U257" s="9">
        <f t="shared" si="47"/>
        <v>-1.6637254834549919E-2</v>
      </c>
      <c r="V257" s="9">
        <f t="shared" si="47"/>
        <v>-1.7353148601393031E-2</v>
      </c>
      <c r="W257" s="9">
        <f t="shared" si="47"/>
        <v>-1.8084785925142288E-2</v>
      </c>
      <c r="X257" s="9">
        <f t="shared" si="47"/>
        <v>-1.8824695404473624E-2</v>
      </c>
      <c r="Y257" s="9">
        <f t="shared" si="47"/>
        <v>-1.9564861183669513E-2</v>
      </c>
      <c r="Z257" s="9">
        <f t="shared" si="47"/>
        <v>-2.0252318307117267E-2</v>
      </c>
      <c r="AA257" s="9">
        <f t="shared" si="47"/>
        <v>-2.0829549249255397E-2</v>
      </c>
      <c r="AB257" s="9">
        <f t="shared" si="47"/>
        <v>-2.1258550180873304E-2</v>
      </c>
      <c r="AC257" s="9">
        <f t="shared" si="47"/>
        <v>-2.1594055904402554E-2</v>
      </c>
      <c r="AD257" s="9">
        <f t="shared" si="47"/>
        <v>-2.1911473071621224E-2</v>
      </c>
      <c r="AE257" s="9">
        <f t="shared" si="47"/>
        <v>-2.2163097552948874E-2</v>
      </c>
      <c r="AF257" s="9">
        <f t="shared" si="47"/>
        <v>-2.2279944979275434E-2</v>
      </c>
      <c r="AG257" s="9">
        <f t="shared" si="47"/>
        <v>-2.2190500009170666E-2</v>
      </c>
      <c r="AH257" s="9">
        <f t="shared" si="47"/>
        <v>-2.1867765677522577E-2</v>
      </c>
      <c r="AI257" s="9">
        <f t="shared" si="47"/>
        <v>-2.1292793160092915E-2</v>
      </c>
      <c r="AJ257" s="9">
        <f t="shared" si="47"/>
        <v>-2.037580899403646E-2</v>
      </c>
      <c r="AK257" s="9">
        <f t="shared" si="47"/>
        <v>-1.8985734924789388E-2</v>
      </c>
      <c r="AL257" s="9">
        <f t="shared" si="47"/>
        <v>-1.6938608382406906E-2</v>
      </c>
    </row>
    <row r="258" spans="1:38" x14ac:dyDescent="0.35">
      <c r="B258" t="s">
        <v>10</v>
      </c>
      <c r="C258" s="9">
        <f t="shared" ref="C258:AL258" si="48">(C239/C140)/(C248/C129)-1</f>
        <v>-1.7950231301355757E-9</v>
      </c>
      <c r="D258" s="9">
        <f t="shared" si="48"/>
        <v>-4.0324963368476574E-9</v>
      </c>
      <c r="E258" s="9">
        <f t="shared" si="48"/>
        <v>-6.2655879373707535E-9</v>
      </c>
      <c r="F258" s="9">
        <f t="shared" si="48"/>
        <v>-8.0581200601059777E-9</v>
      </c>
      <c r="G258" s="9">
        <f t="shared" si="48"/>
        <v>-1.0172933717633725E-8</v>
      </c>
      <c r="H258" s="9">
        <f t="shared" si="48"/>
        <v>-1.1051180748289369E-8</v>
      </c>
      <c r="I258" s="9">
        <f t="shared" si="48"/>
        <v>2.4958748778847184E-3</v>
      </c>
      <c r="J258" s="9">
        <f t="shared" si="48"/>
        <v>-1.0131719074680801E-2</v>
      </c>
      <c r="K258" s="9">
        <f t="shared" si="48"/>
        <v>-2.484694527673903E-2</v>
      </c>
      <c r="L258" s="9">
        <f t="shared" si="48"/>
        <v>-3.9428378111099338E-2</v>
      </c>
      <c r="M258" s="9">
        <f t="shared" si="48"/>
        <v>-5.2352433115519625E-2</v>
      </c>
      <c r="N258" s="9">
        <f t="shared" si="48"/>
        <v>-6.1695211543601025E-2</v>
      </c>
      <c r="O258" s="9">
        <f t="shared" si="48"/>
        <v>-6.8204767078370421E-2</v>
      </c>
      <c r="P258" s="9">
        <f t="shared" si="48"/>
        <v>-7.2507142209996434E-2</v>
      </c>
      <c r="Q258" s="9">
        <f t="shared" si="48"/>
        <v>-7.5085429834969575E-2</v>
      </c>
      <c r="R258" s="9">
        <f t="shared" si="48"/>
        <v>-7.6312124885898558E-2</v>
      </c>
      <c r="S258" s="9">
        <f t="shared" si="48"/>
        <v>-7.8422320387758759E-2</v>
      </c>
      <c r="T258" s="9">
        <f t="shared" si="48"/>
        <v>-8.1332661178645904E-2</v>
      </c>
      <c r="U258" s="9">
        <f t="shared" si="48"/>
        <v>-8.4868187076002743E-2</v>
      </c>
      <c r="V258" s="9">
        <f t="shared" si="48"/>
        <v>-8.882176277677567E-2</v>
      </c>
      <c r="W258" s="9">
        <f t="shared" si="48"/>
        <v>-9.2956288535050779E-2</v>
      </c>
      <c r="X258" s="9">
        <f t="shared" si="48"/>
        <v>-9.699867995702216E-2</v>
      </c>
      <c r="Y258" s="9">
        <f t="shared" si="48"/>
        <v>-0.10071852229905165</v>
      </c>
      <c r="Z258" s="9">
        <f t="shared" si="48"/>
        <v>-0.10395708146776617</v>
      </c>
      <c r="AA258" s="9">
        <f t="shared" si="48"/>
        <v>-0.10658067933302229</v>
      </c>
      <c r="AB258" s="9">
        <f t="shared" si="48"/>
        <v>-0.10846475451860371</v>
      </c>
      <c r="AC258" s="9">
        <f t="shared" si="48"/>
        <v>-0.10936079918271291</v>
      </c>
      <c r="AD258" s="9">
        <f t="shared" si="48"/>
        <v>-0.10902342776709784</v>
      </c>
      <c r="AE258" s="9">
        <f t="shared" si="48"/>
        <v>-0.10733032672493059</v>
      </c>
      <c r="AF258" s="9">
        <f t="shared" si="48"/>
        <v>-0.10415210475237202</v>
      </c>
      <c r="AG258" s="9">
        <f t="shared" si="48"/>
        <v>-9.9293513569208347E-2</v>
      </c>
      <c r="AH258" s="9">
        <f t="shared" si="48"/>
        <v>-9.2430195122625625E-2</v>
      </c>
      <c r="AI258" s="9">
        <f t="shared" si="48"/>
        <v>-8.3111848028720847E-2</v>
      </c>
      <c r="AJ258" s="9">
        <f t="shared" si="48"/>
        <v>-7.0770835703700241E-2</v>
      </c>
      <c r="AK258" s="9">
        <f t="shared" si="48"/>
        <v>-5.4573352409152842E-2</v>
      </c>
      <c r="AL258" s="9">
        <f t="shared" si="48"/>
        <v>-3.3195895464325331E-2</v>
      </c>
    </row>
    <row r="259" spans="1:38" x14ac:dyDescent="0.35">
      <c r="B259" t="s">
        <v>25</v>
      </c>
      <c r="C259" s="9">
        <f t="shared" ref="C259:AL259" si="49">(C240/C59)/(C249/C58)-1</f>
        <v>0</v>
      </c>
      <c r="D259" s="9">
        <f t="shared" si="49"/>
        <v>-1.5645307271938691E-9</v>
      </c>
      <c r="E259" s="9">
        <f t="shared" si="49"/>
        <v>-2.5229803801707362E-9</v>
      </c>
      <c r="F259" s="9">
        <f t="shared" si="49"/>
        <v>-3.655449165584912E-9</v>
      </c>
      <c r="G259" s="9">
        <f t="shared" si="49"/>
        <v>-3.9904628490461391E-9</v>
      </c>
      <c r="H259" s="9">
        <f t="shared" si="49"/>
        <v>-3.9976184584844532E-9</v>
      </c>
      <c r="I259" s="9">
        <f t="shared" si="49"/>
        <v>1.7873770662497623E-3</v>
      </c>
      <c r="J259" s="9">
        <f t="shared" si="49"/>
        <v>-4.3082848354664138E-3</v>
      </c>
      <c r="K259" s="9">
        <f t="shared" si="49"/>
        <v>-1.08390267263202E-2</v>
      </c>
      <c r="L259" s="9">
        <f t="shared" si="49"/>
        <v>-1.9754484672701023E-2</v>
      </c>
      <c r="M259" s="9">
        <f t="shared" si="49"/>
        <v>-3.1173974383060465E-2</v>
      </c>
      <c r="N259" s="9">
        <f t="shared" si="49"/>
        <v>-4.2534377093128906E-2</v>
      </c>
      <c r="O259" s="9">
        <f t="shared" si="49"/>
        <v>-5.3279672552719592E-2</v>
      </c>
      <c r="P259" s="9">
        <f t="shared" si="49"/>
        <v>-6.2715944199581597E-2</v>
      </c>
      <c r="Q259" s="9">
        <f t="shared" si="49"/>
        <v>-7.057671611086147E-2</v>
      </c>
      <c r="R259" s="9">
        <f t="shared" si="49"/>
        <v>-7.6896841425232343E-2</v>
      </c>
      <c r="S259" s="9">
        <f t="shared" si="49"/>
        <v>-8.3555790374301941E-2</v>
      </c>
      <c r="T259" s="9">
        <f t="shared" si="49"/>
        <v>-8.994607395569576E-2</v>
      </c>
      <c r="U259" s="9">
        <f t="shared" si="49"/>
        <v>-9.5946969557114681E-2</v>
      </c>
      <c r="V259" s="9">
        <f t="shared" si="49"/>
        <v>-0.10148312862351749</v>
      </c>
      <c r="W259" s="9">
        <f t="shared" si="49"/>
        <v>-0.1064934013826967</v>
      </c>
      <c r="X259" s="9">
        <f t="shared" si="49"/>
        <v>-0.11081235576020787</v>
      </c>
      <c r="Y259" s="9">
        <f t="shared" si="49"/>
        <v>-0.11451903070559077</v>
      </c>
      <c r="Z259" s="9">
        <f t="shared" si="49"/>
        <v>-0.11771379945786664</v>
      </c>
      <c r="AA259" s="9">
        <f t="shared" si="49"/>
        <v>-0.1203858222999572</v>
      </c>
      <c r="AB259" s="9">
        <f t="shared" si="49"/>
        <v>-0.1225612912424856</v>
      </c>
      <c r="AC259" s="9">
        <f t="shared" si="49"/>
        <v>-0.12400377747396607</v>
      </c>
      <c r="AD259" s="9">
        <f t="shared" si="49"/>
        <v>-0.12463272711639073</v>
      </c>
      <c r="AE259" s="9">
        <f t="shared" si="49"/>
        <v>-0.12450716430271869</v>
      </c>
      <c r="AF259" s="9">
        <f t="shared" si="49"/>
        <v>-0.12370640079497419</v>
      </c>
      <c r="AG259" s="9">
        <f t="shared" si="49"/>
        <v>-0.12229228518481294</v>
      </c>
      <c r="AH259" s="9">
        <f t="shared" si="49"/>
        <v>-0.12026948455734165</v>
      </c>
      <c r="AI259" s="9">
        <f t="shared" si="49"/>
        <v>-0.11764544062031457</v>
      </c>
      <c r="AJ259" s="9">
        <f t="shared" si="49"/>
        <v>-0.11447496961256354</v>
      </c>
      <c r="AK259" s="9">
        <f t="shared" si="49"/>
        <v>-0.11080735978750034</v>
      </c>
      <c r="AL259" s="9">
        <f t="shared" si="49"/>
        <v>-0.10666697116634993</v>
      </c>
    </row>
    <row r="260" spans="1:38" x14ac:dyDescent="0.35">
      <c r="B260" t="s">
        <v>47</v>
      </c>
      <c r="C260" s="9">
        <f t="shared" ref="C260:AL260" si="50">(C241/C59)/(C250/C58)-1</f>
        <v>0</v>
      </c>
      <c r="D260" s="9">
        <f t="shared" si="50"/>
        <v>-2.1209904943475522E-9</v>
      </c>
      <c r="E260" s="9">
        <f t="shared" si="50"/>
        <v>-4.0401354484131957E-9</v>
      </c>
      <c r="F260" s="9">
        <f t="shared" si="50"/>
        <v>-5.5252216135670551E-9</v>
      </c>
      <c r="G260" s="9">
        <f t="shared" si="50"/>
        <v>-6.2917241416826641E-9</v>
      </c>
      <c r="H260" s="9">
        <f t="shared" si="50"/>
        <v>-6.322178003337342E-9</v>
      </c>
      <c r="I260" s="9">
        <f t="shared" si="50"/>
        <v>2.8398750605700407E-3</v>
      </c>
      <c r="J260" s="9">
        <f t="shared" si="50"/>
        <v>-5.0255330160755562E-3</v>
      </c>
      <c r="K260" s="9">
        <f t="shared" si="50"/>
        <v>-1.3410657785109636E-2</v>
      </c>
      <c r="L260" s="9">
        <f t="shared" si="50"/>
        <v>-2.4973265712028958E-2</v>
      </c>
      <c r="M260" s="9">
        <f t="shared" si="50"/>
        <v>-4.0006216610233736E-2</v>
      </c>
      <c r="N260" s="9">
        <f t="shared" si="50"/>
        <v>-5.5370245746612201E-2</v>
      </c>
      <c r="O260" s="9">
        <f t="shared" si="50"/>
        <v>-7.0142083812647527E-2</v>
      </c>
      <c r="P260" s="9">
        <f t="shared" si="50"/>
        <v>-8.3263076699466199E-2</v>
      </c>
      <c r="Q260" s="9">
        <f t="shared" si="50"/>
        <v>-9.4291181352301856E-2</v>
      </c>
      <c r="R260" s="9">
        <f t="shared" si="50"/>
        <v>-0.10321993022956211</v>
      </c>
      <c r="S260" s="9">
        <f t="shared" si="50"/>
        <v>-0.11270059574452818</v>
      </c>
      <c r="T260" s="9">
        <f t="shared" si="50"/>
        <v>-0.1218588012431594</v>
      </c>
      <c r="U260" s="9">
        <f t="shared" si="50"/>
        <v>-0.13049703564954374</v>
      </c>
      <c r="V260" s="9">
        <f t="shared" si="50"/>
        <v>-0.13848717815153555</v>
      </c>
      <c r="W260" s="9">
        <f t="shared" si="50"/>
        <v>-0.14574609924711046</v>
      </c>
      <c r="X260" s="9">
        <f t="shared" si="50"/>
        <v>-0.15202631607303441</v>
      </c>
      <c r="Y260" s="9">
        <f t="shared" si="50"/>
        <v>-0.15747096400509075</v>
      </c>
      <c r="Z260" s="9">
        <f t="shared" si="50"/>
        <v>-0.16223335561840924</v>
      </c>
      <c r="AA260" s="9">
        <f t="shared" si="50"/>
        <v>-0.16628935659584609</v>
      </c>
      <c r="AB260" s="9">
        <f t="shared" si="50"/>
        <v>-0.16970961365175263</v>
      </c>
      <c r="AC260" s="9">
        <f t="shared" si="50"/>
        <v>-0.17211413494361516</v>
      </c>
      <c r="AD260" s="9">
        <f t="shared" si="50"/>
        <v>-0.1733899127730838</v>
      </c>
      <c r="AE260" s="9">
        <f t="shared" si="50"/>
        <v>-0.17358375213937471</v>
      </c>
      <c r="AF260" s="9">
        <f t="shared" si="50"/>
        <v>-0.17277749745855508</v>
      </c>
      <c r="AG260" s="9">
        <f t="shared" si="50"/>
        <v>-0.17103460327893083</v>
      </c>
      <c r="AH260" s="9">
        <f t="shared" si="50"/>
        <v>-0.168347773326332</v>
      </c>
      <c r="AI260" s="9">
        <f t="shared" si="50"/>
        <v>-0.16471025817318696</v>
      </c>
      <c r="AJ260" s="9">
        <f t="shared" si="50"/>
        <v>-0.1601567333533479</v>
      </c>
      <c r="AK260" s="9">
        <f t="shared" si="50"/>
        <v>-0.15470058967492128</v>
      </c>
      <c r="AL260" s="9">
        <f t="shared" si="50"/>
        <v>-0.14830104018889945</v>
      </c>
    </row>
    <row r="261" spans="1:38" x14ac:dyDescent="0.35">
      <c r="B261" t="s">
        <v>48</v>
      </c>
      <c r="C261" s="9">
        <f t="shared" ref="C261:AL261" si="51">(C242/C59)/(C251/C58)-1</f>
        <v>0</v>
      </c>
      <c r="D261" s="9">
        <f t="shared" si="51"/>
        <v>0</v>
      </c>
      <c r="E261" s="9">
        <f t="shared" si="51"/>
        <v>0</v>
      </c>
      <c r="F261" s="9">
        <f t="shared" si="51"/>
        <v>0</v>
      </c>
      <c r="G261" s="9">
        <f t="shared" si="51"/>
        <v>0</v>
      </c>
      <c r="H261" s="9">
        <f t="shared" si="51"/>
        <v>0</v>
      </c>
      <c r="I261" s="9">
        <f t="shared" si="51"/>
        <v>-2.1019498555197025E-4</v>
      </c>
      <c r="J261" s="9">
        <f t="shared" si="51"/>
        <v>-2.9646676986117004E-3</v>
      </c>
      <c r="K261" s="9">
        <f t="shared" si="51"/>
        <v>-6.0860941086997578E-3</v>
      </c>
      <c r="L261" s="9">
        <f t="shared" si="51"/>
        <v>-1.0238992029026339E-2</v>
      </c>
      <c r="M261" s="9">
        <f t="shared" si="51"/>
        <v>-1.5279953602420626E-2</v>
      </c>
      <c r="N261" s="9">
        <f t="shared" si="51"/>
        <v>-1.9744025262649623E-2</v>
      </c>
      <c r="O261" s="9">
        <f t="shared" si="51"/>
        <v>-2.3744457682961406E-2</v>
      </c>
      <c r="P261" s="9">
        <f t="shared" si="51"/>
        <v>-2.7208909873138953E-2</v>
      </c>
      <c r="Q261" s="9">
        <f t="shared" si="51"/>
        <v>-3.0132434924723617E-2</v>
      </c>
      <c r="R261" s="9">
        <f t="shared" si="51"/>
        <v>-3.2571881372241651E-2</v>
      </c>
      <c r="S261" s="9">
        <f t="shared" si="51"/>
        <v>-3.4997702408285369E-2</v>
      </c>
      <c r="T261" s="9">
        <f t="shared" si="51"/>
        <v>-3.7287920741741587E-2</v>
      </c>
      <c r="U261" s="9">
        <f t="shared" si="51"/>
        <v>-3.9462640051857623E-2</v>
      </c>
      <c r="V261" s="9">
        <f t="shared" si="51"/>
        <v>-4.1536226681969546E-2</v>
      </c>
      <c r="W261" s="9">
        <f t="shared" si="51"/>
        <v>-4.3497717707288941E-2</v>
      </c>
      <c r="X261" s="9">
        <f t="shared" si="51"/>
        <v>-4.527547336347848E-2</v>
      </c>
      <c r="Y261" s="9">
        <f t="shared" si="51"/>
        <v>-4.6834890913757365E-2</v>
      </c>
      <c r="Z261" s="9">
        <f t="shared" si="51"/>
        <v>-4.8178477896141159E-2</v>
      </c>
      <c r="AA261" s="9">
        <f t="shared" si="51"/>
        <v>-4.9310339518641721E-2</v>
      </c>
      <c r="AB261" s="9">
        <f t="shared" si="51"/>
        <v>-5.0247454256359014E-2</v>
      </c>
      <c r="AC261" s="9">
        <f t="shared" si="51"/>
        <v>-5.0904378841783782E-2</v>
      </c>
      <c r="AD261" s="9">
        <f t="shared" si="51"/>
        <v>-5.1249696398672717E-2</v>
      </c>
      <c r="AE261" s="9">
        <f t="shared" si="51"/>
        <v>-5.1356822804642488E-2</v>
      </c>
      <c r="AF261" s="9">
        <f t="shared" si="51"/>
        <v>-5.1292632493011969E-2</v>
      </c>
      <c r="AG261" s="9">
        <f t="shared" si="51"/>
        <v>-5.1102769614613908E-2</v>
      </c>
      <c r="AH261" s="9">
        <f t="shared" si="51"/>
        <v>-5.0792878069623515E-2</v>
      </c>
      <c r="AI261" s="9">
        <f t="shared" si="51"/>
        <v>-5.0370808229405317E-2</v>
      </c>
      <c r="AJ261" s="9">
        <f t="shared" si="51"/>
        <v>-4.9896988027893441E-2</v>
      </c>
      <c r="AK261" s="9">
        <f t="shared" si="51"/>
        <v>-4.9446634828233416E-2</v>
      </c>
      <c r="AL261" s="9">
        <f t="shared" si="51"/>
        <v>-4.9109107186153689E-2</v>
      </c>
    </row>
    <row r="263" spans="1:38" x14ac:dyDescent="0.35">
      <c r="A263" s="12" t="s">
        <v>21</v>
      </c>
      <c r="B263" t="s">
        <v>26</v>
      </c>
      <c r="C263" s="6">
        <f>[1]Results!F1600</f>
        <v>472737.799</v>
      </c>
      <c r="D263" s="6">
        <f>[1]Results!G1600</f>
        <v>479640.45140000002</v>
      </c>
      <c r="E263" s="6">
        <f>[1]Results!H1600</f>
        <v>487700.59159999999</v>
      </c>
      <c r="F263" s="6">
        <f>[1]Results!I1600</f>
        <v>496636.79599999997</v>
      </c>
      <c r="G263" s="6">
        <f>[1]Results!J1600</f>
        <v>506358.6875</v>
      </c>
      <c r="H263" s="6">
        <f>[1]Results!K1600</f>
        <v>516731.29470000003</v>
      </c>
      <c r="I263" s="6">
        <f>[1]Results!L1600</f>
        <v>527542.2561</v>
      </c>
      <c r="J263" s="6">
        <f>[1]Results!M1600</f>
        <v>537305.50280000002</v>
      </c>
      <c r="K263" s="6">
        <f>[1]Results!N1600</f>
        <v>546962.53469999996</v>
      </c>
      <c r="L263" s="6">
        <f>[1]Results!O1600</f>
        <v>558271.478</v>
      </c>
      <c r="M263" s="6">
        <f>[1]Results!P1600</f>
        <v>570906.45200000005</v>
      </c>
      <c r="N263" s="6">
        <f>[1]Results!Q1600</f>
        <v>584479.38760000002</v>
      </c>
      <c r="O263" s="6">
        <f>[1]Results!R1600</f>
        <v>598697.53599999996</v>
      </c>
      <c r="P263" s="6">
        <f>[1]Results!S1600</f>
        <v>613236.98699999996</v>
      </c>
      <c r="Q263" s="6">
        <f>[1]Results!T1600</f>
        <v>628178.54110000003</v>
      </c>
      <c r="R263" s="6">
        <f>[1]Results!U1600</f>
        <v>643678.96259999997</v>
      </c>
      <c r="S263" s="6">
        <f>[1]Results!V1600</f>
        <v>659698.14229999995</v>
      </c>
      <c r="T263" s="6">
        <f>[1]Results!W1600</f>
        <v>676455.1398</v>
      </c>
      <c r="U263" s="6">
        <f>[1]Results!X1600</f>
        <v>694166.39800000004</v>
      </c>
      <c r="V263" s="6">
        <f>[1]Results!Y1600</f>
        <v>712998.54610000004</v>
      </c>
      <c r="W263" s="6">
        <f>[1]Results!Z1600</f>
        <v>732947.95490000001</v>
      </c>
      <c r="X263" s="6">
        <f>[1]Results!AA1600</f>
        <v>754294.35259999998</v>
      </c>
      <c r="Y263" s="6">
        <f>[1]Results!AB1600</f>
        <v>777194.39500000002</v>
      </c>
      <c r="Z263" s="6">
        <f>[1]Results!AC1600</f>
        <v>801799.68229999999</v>
      </c>
      <c r="AA263" s="6">
        <f>[1]Results!AD1600</f>
        <v>828223.10840000003</v>
      </c>
      <c r="AB263" s="6">
        <f>[1]Results!AE1600</f>
        <v>856129.71180000005</v>
      </c>
      <c r="AC263" s="6">
        <f>[1]Results!AF1600</f>
        <v>885912.30420000001</v>
      </c>
      <c r="AD263" s="6">
        <f>[1]Results!AG1600</f>
        <v>917754.49540000001</v>
      </c>
      <c r="AE263" s="6">
        <f>[1]Results!AH1600</f>
        <v>951894.88410000002</v>
      </c>
      <c r="AF263" s="6">
        <f>[1]Results!AI1600</f>
        <v>988547.34439999994</v>
      </c>
      <c r="AG263" s="6">
        <f>[1]Results!AJ1600</f>
        <v>1027899.182</v>
      </c>
      <c r="AH263" s="6">
        <f>[1]Results!AK1600</f>
        <v>1070171.702</v>
      </c>
      <c r="AI263" s="6">
        <f>[1]Results!AL1600</f>
        <v>1115693.21</v>
      </c>
      <c r="AJ263" s="6">
        <f>[1]Results!AM1600</f>
        <v>1164975.9029999999</v>
      </c>
      <c r="AK263" s="6">
        <f>[1]Results!AN1600</f>
        <v>1218792.733</v>
      </c>
      <c r="AL263" s="6">
        <f>[1]Results!AO1600</f>
        <v>1278322.9890000001</v>
      </c>
    </row>
    <row r="264" spans="1:38" x14ac:dyDescent="0.35">
      <c r="A264" t="s">
        <v>39</v>
      </c>
      <c r="B264" t="s">
        <v>7</v>
      </c>
      <c r="C264" s="6">
        <f>[1]Results!F1601</f>
        <v>4444.1839890000001</v>
      </c>
      <c r="D264" s="6">
        <f>[1]Results!G1601</f>
        <v>4503.3899119999996</v>
      </c>
      <c r="E264" s="6">
        <f>[1]Results!H1601</f>
        <v>4570.8716999999997</v>
      </c>
      <c r="F264" s="6">
        <f>[1]Results!I1601</f>
        <v>4649.8261599999996</v>
      </c>
      <c r="G264" s="6">
        <f>[1]Results!J1601</f>
        <v>4735.6415950000001</v>
      </c>
      <c r="H264" s="6">
        <f>[1]Results!K1601</f>
        <v>4827.5694780000003</v>
      </c>
      <c r="I264" s="6">
        <f>[1]Results!L1601</f>
        <v>4924.1501850000004</v>
      </c>
      <c r="J264" s="6">
        <f>[1]Results!M1601</f>
        <v>5026.4685520000003</v>
      </c>
      <c r="K264" s="6">
        <f>[1]Results!N1601</f>
        <v>5133.7054029999999</v>
      </c>
      <c r="L264" s="6">
        <f>[1]Results!O1601</f>
        <v>5262.845679</v>
      </c>
      <c r="M264" s="6">
        <f>[1]Results!P1601</f>
        <v>5407.6108850000001</v>
      </c>
      <c r="N264" s="6">
        <f>[1]Results!Q1601</f>
        <v>5557.0562460000001</v>
      </c>
      <c r="O264" s="6">
        <f>[1]Results!R1601</f>
        <v>5708.3408019999997</v>
      </c>
      <c r="P264" s="6">
        <f>[1]Results!S1601</f>
        <v>5858.2663670000002</v>
      </c>
      <c r="Q264" s="6">
        <f>[1]Results!T1601</f>
        <v>6007.803758</v>
      </c>
      <c r="R264" s="6">
        <f>[1]Results!U1601</f>
        <v>6158.3755430000001</v>
      </c>
      <c r="S264" s="6">
        <f>[1]Results!V1601</f>
        <v>6313.9531349999997</v>
      </c>
      <c r="T264" s="6">
        <f>[1]Results!W1601</f>
        <v>6474.8973830000004</v>
      </c>
      <c r="U264" s="6">
        <f>[1]Results!X1601</f>
        <v>6642.1496989999996</v>
      </c>
      <c r="V264" s="6">
        <f>[1]Results!Y1601</f>
        <v>6816.457797</v>
      </c>
      <c r="W264" s="6">
        <f>[1]Results!Z1601</f>
        <v>6997.2631289999999</v>
      </c>
      <c r="X264" s="6">
        <f>[1]Results!AA1601</f>
        <v>7185.9937870000003</v>
      </c>
      <c r="Y264" s="6">
        <f>[1]Results!AB1601</f>
        <v>7383.6419729999998</v>
      </c>
      <c r="Z264" s="6">
        <f>[1]Results!AC1601</f>
        <v>7590.8598700000002</v>
      </c>
      <c r="AA264" s="6">
        <f>[1]Results!AD1601</f>
        <v>7807.5088910000004</v>
      </c>
      <c r="AB264" s="6">
        <f>[1]Results!AE1601</f>
        <v>8029.576505</v>
      </c>
      <c r="AC264" s="6">
        <f>[1]Results!AF1601</f>
        <v>8256.6852039999994</v>
      </c>
      <c r="AD264" s="6">
        <f>[1]Results!AG1601</f>
        <v>8489.8136090000007</v>
      </c>
      <c r="AE264" s="6">
        <f>[1]Results!AH1601</f>
        <v>8729.813118</v>
      </c>
      <c r="AF264" s="6">
        <f>[1]Results!AI1601</f>
        <v>8976.3267180000003</v>
      </c>
      <c r="AG264" s="6">
        <f>[1]Results!AJ1601</f>
        <v>9227.7034519999997</v>
      </c>
      <c r="AH264" s="6">
        <f>[1]Results!AK1601</f>
        <v>9481.5755200000003</v>
      </c>
      <c r="AI264" s="6">
        <f>[1]Results!AL1601</f>
        <v>9735.449423</v>
      </c>
      <c r="AJ264" s="6">
        <f>[1]Results!AM1601</f>
        <v>9987.0305879999996</v>
      </c>
      <c r="AK264" s="6">
        <f>[1]Results!AN1601</f>
        <v>10234.03868</v>
      </c>
      <c r="AL264" s="6">
        <f>[1]Results!AO1601</f>
        <v>10474.17787</v>
      </c>
    </row>
    <row r="265" spans="1:38" x14ac:dyDescent="0.35">
      <c r="B265" t="s">
        <v>30</v>
      </c>
      <c r="C265" s="6">
        <f>[1]Results!F1604</f>
        <v>234875.91560000001</v>
      </c>
      <c r="D265" s="6">
        <f>[1]Results!G1604</f>
        <v>238439.22820000001</v>
      </c>
      <c r="E265" s="6">
        <f>[1]Results!H1604</f>
        <v>242661.41339999999</v>
      </c>
      <c r="F265" s="6">
        <f>[1]Results!I1604</f>
        <v>247363.0007</v>
      </c>
      <c r="G265" s="6">
        <f>[1]Results!J1604</f>
        <v>252482.3554</v>
      </c>
      <c r="H265" s="6">
        <f>[1]Results!K1604</f>
        <v>257957.6698</v>
      </c>
      <c r="I265" s="6">
        <f>[1]Results!L1604</f>
        <v>263703.15340000001</v>
      </c>
      <c r="J265" s="6">
        <f>[1]Results!M1604</f>
        <v>268860.66580000002</v>
      </c>
      <c r="K265" s="6">
        <f>[1]Results!N1604</f>
        <v>273923.71480000002</v>
      </c>
      <c r="L265" s="6">
        <f>[1]Results!O1604</f>
        <v>279888.95140000002</v>
      </c>
      <c r="M265" s="6">
        <f>[1]Results!P1604</f>
        <v>286529.34129999997</v>
      </c>
      <c r="N265" s="6">
        <f>[1]Results!Q1604</f>
        <v>293708.6373</v>
      </c>
      <c r="O265" s="6">
        <f>[1]Results!R1604</f>
        <v>301277.73180000001</v>
      </c>
      <c r="P265" s="6">
        <f>[1]Results!S1604</f>
        <v>309076.12640000001</v>
      </c>
      <c r="Q265" s="6">
        <f>[1]Results!T1604</f>
        <v>317174.9829</v>
      </c>
      <c r="R265" s="6">
        <f>[1]Results!U1604</f>
        <v>325682.38799999998</v>
      </c>
      <c r="S265" s="6">
        <f>[1]Results!V1604</f>
        <v>334570.25559999997</v>
      </c>
      <c r="T265" s="6">
        <f>[1]Results!W1604</f>
        <v>343968.29940000002</v>
      </c>
      <c r="U265" s="6">
        <f>[1]Results!X1604</f>
        <v>354003.16460000002</v>
      </c>
      <c r="V265" s="6">
        <f>[1]Results!Y1604</f>
        <v>364773.46360000002</v>
      </c>
      <c r="W265" s="6">
        <f>[1]Results!Z1604</f>
        <v>376313.80540000001</v>
      </c>
      <c r="X265" s="6">
        <f>[1]Results!AA1604</f>
        <v>388740.48210000002</v>
      </c>
      <c r="Y265" s="6">
        <f>[1]Results!AB1604</f>
        <v>402154.53889999999</v>
      </c>
      <c r="Z265" s="6">
        <f>[1]Results!AC1604</f>
        <v>416649.60580000002</v>
      </c>
      <c r="AA265" s="6">
        <f>[1]Results!AD1604</f>
        <v>432298.23590000003</v>
      </c>
      <c r="AB265" s="6">
        <f>[1]Results!AE1604</f>
        <v>449012.86849999998</v>
      </c>
      <c r="AC265" s="6">
        <f>[1]Results!AF1604</f>
        <v>466935.83159999998</v>
      </c>
      <c r="AD265" s="6">
        <f>[1]Results!AG1604</f>
        <v>486172.69709999999</v>
      </c>
      <c r="AE265" s="6">
        <f>[1]Results!AH1604</f>
        <v>506855.03769999999</v>
      </c>
      <c r="AF265" s="6">
        <f>[1]Results!AI1604</f>
        <v>529102.96140000003</v>
      </c>
      <c r="AG265" s="6">
        <f>[1]Results!AJ1604</f>
        <v>553030.18940000003</v>
      </c>
      <c r="AH265" s="6">
        <f>[1]Results!AK1604</f>
        <v>578777.73869999999</v>
      </c>
      <c r="AI265" s="6">
        <f>[1]Results!AL1604</f>
        <v>606549.35490000003</v>
      </c>
      <c r="AJ265" s="6">
        <f>[1]Results!AM1604</f>
        <v>636650.44799999997</v>
      </c>
      <c r="AK265" s="6">
        <f>[1]Results!AN1604</f>
        <v>669531.28410000005</v>
      </c>
      <c r="AL265" s="6">
        <f>[1]Results!AO1604</f>
        <v>705864.01</v>
      </c>
    </row>
    <row r="266" spans="1:38" x14ac:dyDescent="0.35">
      <c r="B266" t="s">
        <v>28</v>
      </c>
      <c r="C266" s="6">
        <f>[1]Results!F1616</f>
        <v>8012.3261389999998</v>
      </c>
      <c r="D266" s="6">
        <f>[1]Results!G1616</f>
        <v>8138.0697030000001</v>
      </c>
      <c r="E266" s="6">
        <f>[1]Results!H1616</f>
        <v>8279.8860949999998</v>
      </c>
      <c r="F266" s="6">
        <f>[1]Results!I1616</f>
        <v>8430.598806</v>
      </c>
      <c r="G266" s="6">
        <f>[1]Results!J1616</f>
        <v>8588.8765459999995</v>
      </c>
      <c r="H266" s="6">
        <f>[1]Results!K1616</f>
        <v>8755.1448990000008</v>
      </c>
      <c r="I266" s="6">
        <f>[1]Results!L1616</f>
        <v>8928.0858580000004</v>
      </c>
      <c r="J266" s="6">
        <f>[1]Results!M1616</f>
        <v>9080.1335729999992</v>
      </c>
      <c r="K266" s="6">
        <f>[1]Results!N1616</f>
        <v>9238.3986060000007</v>
      </c>
      <c r="L266" s="6">
        <f>[1]Results!O1616</f>
        <v>9457.1255099999998</v>
      </c>
      <c r="M266" s="6">
        <f>[1]Results!P1616</f>
        <v>9713.6722229999996</v>
      </c>
      <c r="N266" s="6">
        <f>[1]Results!Q1616</f>
        <v>9989.5827759999993</v>
      </c>
      <c r="O266" s="6">
        <f>[1]Results!R1616</f>
        <v>10267.86634</v>
      </c>
      <c r="P266" s="6">
        <f>[1]Results!S1616</f>
        <v>10533.96926</v>
      </c>
      <c r="Q266" s="6">
        <f>[1]Results!T1616</f>
        <v>10790.30127</v>
      </c>
      <c r="R266" s="6">
        <f>[1]Results!U1616</f>
        <v>11041.63601</v>
      </c>
      <c r="S266" s="6">
        <f>[1]Results!V1616</f>
        <v>11294.82519</v>
      </c>
      <c r="T266" s="6">
        <f>[1]Results!W1616</f>
        <v>11556.108200000001</v>
      </c>
      <c r="U266" s="6">
        <f>[1]Results!X1616</f>
        <v>11831.6325</v>
      </c>
      <c r="V266" s="6">
        <f>[1]Results!Y1616</f>
        <v>12125.252930000001</v>
      </c>
      <c r="W266" s="6">
        <f>[1]Results!Z1616</f>
        <v>12438.342280000001</v>
      </c>
      <c r="X266" s="6">
        <f>[1]Results!AA1616</f>
        <v>12775.43161</v>
      </c>
      <c r="Y266" s="6">
        <f>[1]Results!AB1616</f>
        <v>13140.32279</v>
      </c>
      <c r="Z266" s="6">
        <f>[1]Results!AC1616</f>
        <v>13534.733260000001</v>
      </c>
      <c r="AA266" s="6">
        <f>[1]Results!AD1616</f>
        <v>13957.82346</v>
      </c>
      <c r="AB266" s="6">
        <f>[1]Results!AE1616</f>
        <v>14403.68621</v>
      </c>
      <c r="AC266" s="6">
        <f>[1]Results!AF1616</f>
        <v>14877.53032</v>
      </c>
      <c r="AD266" s="6">
        <f>[1]Results!AG1616</f>
        <v>15386.44616</v>
      </c>
      <c r="AE266" s="6">
        <f>[1]Results!AH1616</f>
        <v>15933.78592</v>
      </c>
      <c r="AF266" s="6">
        <f>[1]Results!AI1616</f>
        <v>16517.237229999999</v>
      </c>
      <c r="AG266" s="6">
        <f>[1]Results!AJ1616</f>
        <v>17131.06235</v>
      </c>
      <c r="AH266" s="6">
        <f>[1]Results!AK1616</f>
        <v>17771.078229999999</v>
      </c>
      <c r="AI266" s="6">
        <f>[1]Results!AL1616</f>
        <v>18435.875690000001</v>
      </c>
      <c r="AJ266" s="6">
        <f>[1]Results!AM1616</f>
        <v>19123.687890000001</v>
      </c>
      <c r="AK266" s="6">
        <f>[1]Results!AN1616</f>
        <v>19832.053390000001</v>
      </c>
      <c r="AL266" s="6">
        <f>[1]Results!AO1616</f>
        <v>20558.1414</v>
      </c>
    </row>
    <row r="267" spans="1:38" x14ac:dyDescent="0.35">
      <c r="B267" t="s">
        <v>10</v>
      </c>
      <c r="C267" s="6">
        <f>[1]Results!F1621</f>
        <v>219508.55739999999</v>
      </c>
      <c r="D267" s="6">
        <f>[1]Results!G1621</f>
        <v>222605.38020000001</v>
      </c>
      <c r="E267" s="6">
        <f>[1]Results!H1621</f>
        <v>226185.7114</v>
      </c>
      <c r="F267" s="6">
        <f>[1]Results!I1621</f>
        <v>230144.2935</v>
      </c>
      <c r="G267" s="6">
        <f>[1]Results!J1621</f>
        <v>234457.6054</v>
      </c>
      <c r="H267" s="6">
        <f>[1]Results!K1621</f>
        <v>239048.8285</v>
      </c>
      <c r="I267" s="6">
        <f>[1]Results!L1621</f>
        <v>243792.86369999999</v>
      </c>
      <c r="J267" s="6">
        <f>[1]Results!M1621</f>
        <v>248020.7403</v>
      </c>
      <c r="K267" s="6">
        <f>[1]Results!N1621</f>
        <v>252182.4295</v>
      </c>
      <c r="L267" s="6">
        <f>[1]Results!O1621</f>
        <v>256968.5061</v>
      </c>
      <c r="M267" s="6">
        <f>[1]Results!P1621</f>
        <v>262321.8126</v>
      </c>
      <c r="N267" s="6">
        <f>[1]Results!Q1621</f>
        <v>268033.08279999997</v>
      </c>
      <c r="O267" s="6">
        <f>[1]Results!R1621</f>
        <v>273978.51779999997</v>
      </c>
      <c r="P267" s="6">
        <f>[1]Results!S1621</f>
        <v>280010.24089999998</v>
      </c>
      <c r="Q267" s="6">
        <f>[1]Results!T1621</f>
        <v>286127.54719999997</v>
      </c>
      <c r="R267" s="6">
        <f>[1]Results!U1621</f>
        <v>292365.9118</v>
      </c>
      <c r="S267" s="6">
        <f>[1]Results!V1621</f>
        <v>298699.53249999997</v>
      </c>
      <c r="T267" s="6">
        <f>[1]Results!W1621</f>
        <v>305203.83319999999</v>
      </c>
      <c r="U267" s="6">
        <f>[1]Results!X1621</f>
        <v>311955.5613</v>
      </c>
      <c r="V267" s="6">
        <f>[1]Results!Y1621</f>
        <v>319011.46460000001</v>
      </c>
      <c r="W267" s="6">
        <f>[1]Results!Z1621</f>
        <v>326325.6079</v>
      </c>
      <c r="X267" s="6">
        <f>[1]Results!AA1621</f>
        <v>334042.9755</v>
      </c>
      <c r="Y267" s="6">
        <f>[1]Results!AB1621</f>
        <v>342200.20400000003</v>
      </c>
      <c r="Z267" s="6">
        <f>[1]Results!AC1621</f>
        <v>350836.61310000002</v>
      </c>
      <c r="AA267" s="6">
        <f>[1]Results!AD1621</f>
        <v>359974.6054</v>
      </c>
      <c r="AB267" s="6">
        <f>[1]Results!AE1621</f>
        <v>369359.772</v>
      </c>
      <c r="AC267" s="6">
        <f>[1]Results!AF1621</f>
        <v>379202.99219999998</v>
      </c>
      <c r="AD267" s="6">
        <f>[1]Results!AG1621</f>
        <v>389534.234</v>
      </c>
      <c r="AE267" s="6">
        <f>[1]Results!AH1621</f>
        <v>400407.33399999997</v>
      </c>
      <c r="AF267" s="6">
        <f>[1]Results!AI1621</f>
        <v>411859.20069999999</v>
      </c>
      <c r="AG267" s="6">
        <f>[1]Results!AJ1621</f>
        <v>423895.51699999999</v>
      </c>
      <c r="AH267" s="6">
        <f>[1]Results!AK1621</f>
        <v>436501.78779999999</v>
      </c>
      <c r="AI267" s="6">
        <f>[1]Results!AL1621</f>
        <v>449665.08429999999</v>
      </c>
      <c r="AJ267" s="6">
        <f>[1]Results!AM1621</f>
        <v>463395.69809999998</v>
      </c>
      <c r="AK267" s="6">
        <f>[1]Results!AN1621</f>
        <v>477727.8762</v>
      </c>
      <c r="AL267" s="6">
        <f>[1]Results!AO1621</f>
        <v>492729.01030000002</v>
      </c>
    </row>
    <row r="268" spans="1:38" x14ac:dyDescent="0.35">
      <c r="B268" t="s">
        <v>31</v>
      </c>
      <c r="C268" s="6">
        <f>[1]Results!F1624</f>
        <v>2246.653448</v>
      </c>
      <c r="D268" s="6">
        <f>[1]Results!G1624</f>
        <v>2260.8089650000002</v>
      </c>
      <c r="E268" s="6">
        <f>[1]Results!H1624</f>
        <v>2270.792312</v>
      </c>
      <c r="F268" s="6">
        <f>[1]Results!I1624</f>
        <v>2279.1137290000001</v>
      </c>
      <c r="G268" s="6">
        <f>[1]Results!J1624</f>
        <v>2290.7338239999999</v>
      </c>
      <c r="H268" s="6">
        <f>[1]Results!K1624</f>
        <v>2306.884337</v>
      </c>
      <c r="I268" s="6">
        <f>[1]Results!L1624</f>
        <v>2326.9650329999999</v>
      </c>
      <c r="J268" s="6">
        <f>[1]Results!M1624</f>
        <v>2335.5594110000002</v>
      </c>
      <c r="K268" s="6">
        <f>[1]Results!N1624</f>
        <v>2340.7698529999998</v>
      </c>
      <c r="L268" s="6">
        <f>[1]Results!O1624</f>
        <v>2351.9813100000001</v>
      </c>
      <c r="M268" s="6">
        <f>[1]Results!P1624</f>
        <v>2367.5659369999998</v>
      </c>
      <c r="N268" s="6">
        <f>[1]Results!Q1624</f>
        <v>2388.3656940000001</v>
      </c>
      <c r="O268" s="6">
        <f>[1]Results!R1624</f>
        <v>2413.8246199999999</v>
      </c>
      <c r="P268" s="6">
        <f>[1]Results!S1624</f>
        <v>2442.867064</v>
      </c>
      <c r="Q268" s="6">
        <f>[1]Results!T1624</f>
        <v>2476.0568830000002</v>
      </c>
      <c r="R268" s="6">
        <f>[1]Results!U1624</f>
        <v>2514.0683210000002</v>
      </c>
      <c r="S268" s="6">
        <f>[1]Results!V1624</f>
        <v>2554.8010509999999</v>
      </c>
      <c r="T268" s="6">
        <f>[1]Results!W1624</f>
        <v>2599.4591399999999</v>
      </c>
      <c r="U268" s="6">
        <f>[1]Results!X1624</f>
        <v>2648.9323239999999</v>
      </c>
      <c r="V268" s="6">
        <f>[1]Results!Y1624</f>
        <v>2703.833224</v>
      </c>
      <c r="W268" s="6">
        <f>[1]Results!Z1624</f>
        <v>2764.4668109999998</v>
      </c>
      <c r="X268" s="6">
        <f>[1]Results!AA1624</f>
        <v>2831.5328279999999</v>
      </c>
      <c r="Y268" s="6">
        <f>[1]Results!AB1624</f>
        <v>2905.6499039999999</v>
      </c>
      <c r="Z268" s="6">
        <f>[1]Results!AC1624</f>
        <v>2987.3315149999999</v>
      </c>
      <c r="AA268" s="6">
        <f>[1]Results!AD1624</f>
        <v>3076.9517649999998</v>
      </c>
      <c r="AB268" s="6">
        <f>[1]Results!AE1624</f>
        <v>3174.2519820000002</v>
      </c>
      <c r="AC268" s="6">
        <f>[1]Results!AF1624</f>
        <v>3280.5195840000001</v>
      </c>
      <c r="AD268" s="6">
        <f>[1]Results!AG1624</f>
        <v>3396.5918980000001</v>
      </c>
      <c r="AE268" s="6">
        <f>[1]Results!AH1624</f>
        <v>3523.355607</v>
      </c>
      <c r="AF268" s="6">
        <f>[1]Results!AI1624</f>
        <v>3661.4124280000001</v>
      </c>
      <c r="AG268" s="6">
        <f>[1]Results!AJ1624</f>
        <v>3811.2105350000002</v>
      </c>
      <c r="AH268" s="6">
        <f>[1]Results!AK1624</f>
        <v>3973.4481139999998</v>
      </c>
      <c r="AI268" s="6">
        <f>[1]Results!AL1624</f>
        <v>4149.3251410000003</v>
      </c>
      <c r="AJ268" s="6">
        <f>[1]Results!AM1624</f>
        <v>4340.6135000000004</v>
      </c>
      <c r="AK268" s="6">
        <f>[1]Results!AN1624</f>
        <v>4549.9463180000002</v>
      </c>
      <c r="AL268" s="6">
        <f>[1]Results!AO1624</f>
        <v>4781.4141159999999</v>
      </c>
    </row>
    <row r="269" spans="1:38" x14ac:dyDescent="0.35">
      <c r="B269" t="s">
        <v>33</v>
      </c>
      <c r="C269" s="6">
        <f>[1]Results!F1629</f>
        <v>3650.1624750000001</v>
      </c>
      <c r="D269" s="6">
        <f>[1]Results!G1629</f>
        <v>3693.5744629999999</v>
      </c>
      <c r="E269" s="6">
        <f>[1]Results!H1629</f>
        <v>3731.916608</v>
      </c>
      <c r="F269" s="6">
        <f>[1]Results!I1629</f>
        <v>3769.9631319999999</v>
      </c>
      <c r="G269" s="6">
        <f>[1]Results!J1629</f>
        <v>3803.4748519999998</v>
      </c>
      <c r="H269" s="6">
        <f>[1]Results!K1629</f>
        <v>3835.1977000000002</v>
      </c>
      <c r="I269" s="6">
        <f>[1]Results!L1629</f>
        <v>3867.0379119999998</v>
      </c>
      <c r="J269" s="6">
        <f>[1]Results!M1629</f>
        <v>3981.9351769999998</v>
      </c>
      <c r="K269" s="6">
        <f>[1]Results!N1629</f>
        <v>4143.5164800000002</v>
      </c>
      <c r="L269" s="6">
        <f>[1]Results!O1629</f>
        <v>4342.0679520000003</v>
      </c>
      <c r="M269" s="6">
        <f>[1]Results!P1629</f>
        <v>4566.4489329999997</v>
      </c>
      <c r="N269" s="6">
        <f>[1]Results!Q1629</f>
        <v>4802.6627859999999</v>
      </c>
      <c r="O269" s="6">
        <f>[1]Results!R1629</f>
        <v>5051.2546670000002</v>
      </c>
      <c r="P269" s="6">
        <f>[1]Results!S1629</f>
        <v>5315.5169770000002</v>
      </c>
      <c r="Q269" s="6">
        <f>[1]Results!T1629</f>
        <v>5601.8489689999997</v>
      </c>
      <c r="R269" s="6">
        <f>[1]Results!U1629</f>
        <v>5916.5829759999997</v>
      </c>
      <c r="S269" s="6">
        <f>[1]Results!V1629</f>
        <v>6264.7748369999999</v>
      </c>
      <c r="T269" s="6">
        <f>[1]Results!W1629</f>
        <v>6652.5425089999999</v>
      </c>
      <c r="U269" s="6">
        <f>[1]Results!X1629</f>
        <v>7084.9575649999997</v>
      </c>
      <c r="V269" s="6">
        <f>[1]Results!Y1629</f>
        <v>7568.0739059999996</v>
      </c>
      <c r="W269" s="6">
        <f>[1]Results!Z1629</f>
        <v>8108.4693909999996</v>
      </c>
      <c r="X269" s="6">
        <f>[1]Results!AA1629</f>
        <v>8717.9368020000002</v>
      </c>
      <c r="Y269" s="6">
        <f>[1]Results!AB1629</f>
        <v>9410.0373810000001</v>
      </c>
      <c r="Z269" s="6">
        <f>[1]Results!AC1629</f>
        <v>10200.53875</v>
      </c>
      <c r="AA269" s="6">
        <f>[1]Results!AD1629</f>
        <v>11107.98307</v>
      </c>
      <c r="AB269" s="6">
        <f>[1]Results!AE1629</f>
        <v>12149.556570000001</v>
      </c>
      <c r="AC269" s="6">
        <f>[1]Results!AF1629</f>
        <v>13358.74532</v>
      </c>
      <c r="AD269" s="6">
        <f>[1]Results!AG1629</f>
        <v>14774.712600000001</v>
      </c>
      <c r="AE269" s="6">
        <f>[1]Results!AH1629</f>
        <v>16445.55775</v>
      </c>
      <c r="AF269" s="6">
        <f>[1]Results!AI1629</f>
        <v>18430.205849999998</v>
      </c>
      <c r="AG269" s="6">
        <f>[1]Results!AJ1629</f>
        <v>20803.498889999999</v>
      </c>
      <c r="AH269" s="6">
        <f>[1]Results!AK1629</f>
        <v>23666.073329999999</v>
      </c>
      <c r="AI269" s="6">
        <f>[1]Results!AL1629</f>
        <v>27158.120299999999</v>
      </c>
      <c r="AJ269" s="6">
        <f>[1]Results!AM1629</f>
        <v>31478.424749999998</v>
      </c>
      <c r="AK269" s="6">
        <f>[1]Results!AN1629</f>
        <v>36917.534590000003</v>
      </c>
      <c r="AL269" s="6">
        <f>[1]Results!AO1629</f>
        <v>43916.235500000003</v>
      </c>
    </row>
    <row r="271" spans="1:38" x14ac:dyDescent="0.35">
      <c r="A271" s="12" t="s">
        <v>21</v>
      </c>
      <c r="B271" t="s">
        <v>26</v>
      </c>
      <c r="C271" s="6">
        <f>[1]Results!F1639</f>
        <v>472737.799</v>
      </c>
      <c r="D271" s="6">
        <f>[1]Results!G1639</f>
        <v>479640.45140000002</v>
      </c>
      <c r="E271" s="6">
        <f>[1]Results!H1639</f>
        <v>487700.59159999999</v>
      </c>
      <c r="F271" s="6">
        <f>[1]Results!I1639</f>
        <v>496636.79590000003</v>
      </c>
      <c r="G271" s="6">
        <f>[1]Results!J1639</f>
        <v>506358.6875</v>
      </c>
      <c r="H271" s="6">
        <f>[1]Results!K1639</f>
        <v>516731.29460000002</v>
      </c>
      <c r="I271" s="6">
        <f>[1]Results!L1639</f>
        <v>527414.47230000002</v>
      </c>
      <c r="J271" s="6">
        <f>[1]Results!M1639</f>
        <v>538302.24369999999</v>
      </c>
      <c r="K271" s="6">
        <f>[1]Results!N1639</f>
        <v>549396.6925</v>
      </c>
      <c r="L271" s="6">
        <f>[1]Results!O1639</f>
        <v>560752.24129999999</v>
      </c>
      <c r="M271" s="6">
        <f>[1]Results!P1639</f>
        <v>572622.95779999997</v>
      </c>
      <c r="N271" s="6">
        <f>[1]Results!Q1639</f>
        <v>584883.15729999996</v>
      </c>
      <c r="O271" s="6">
        <f>[1]Results!R1639</f>
        <v>597482.69709999999</v>
      </c>
      <c r="P271" s="6">
        <f>[1]Results!S1639</f>
        <v>610170.50399999996</v>
      </c>
      <c r="Q271" s="6">
        <f>[1]Results!T1639</f>
        <v>622957.6655</v>
      </c>
      <c r="R271" s="6">
        <f>[1]Results!U1639</f>
        <v>635957.55319999997</v>
      </c>
      <c r="S271" s="6">
        <f>[1]Results!V1639</f>
        <v>649485.59329999995</v>
      </c>
      <c r="T271" s="6">
        <f>[1]Results!W1639</f>
        <v>663794.48230000003</v>
      </c>
      <c r="U271" s="6">
        <f>[1]Results!X1639</f>
        <v>679039.3443</v>
      </c>
      <c r="V271" s="6">
        <f>[1]Results!Y1639</f>
        <v>695286.17830000003</v>
      </c>
      <c r="W271" s="6">
        <f>[1]Results!Z1639</f>
        <v>712428.60120000003</v>
      </c>
      <c r="X271" s="6">
        <f>[1]Results!AA1639</f>
        <v>730658.60739999998</v>
      </c>
      <c r="Y271" s="6">
        <f>[1]Results!AB1639</f>
        <v>750053.64950000006</v>
      </c>
      <c r="Z271" s="6">
        <f>[1]Results!AC1639</f>
        <v>770677.46939999994</v>
      </c>
      <c r="AA271" s="6">
        <f>[1]Results!AD1639</f>
        <v>792548.74120000005</v>
      </c>
      <c r="AB271" s="6">
        <f>[1]Results!AE1639</f>
        <v>815250.09089999995</v>
      </c>
      <c r="AC271" s="6">
        <f>[1]Results!AF1639</f>
        <v>839068.34450000001</v>
      </c>
      <c r="AD271" s="6">
        <f>[1]Results!AG1639</f>
        <v>864127.31319999998</v>
      </c>
      <c r="AE271" s="6">
        <f>[1]Results!AH1639</f>
        <v>890528.75349999999</v>
      </c>
      <c r="AF271" s="6">
        <f>[1]Results!AI1639</f>
        <v>918290.45649999997</v>
      </c>
      <c r="AG271" s="6">
        <f>[1]Results!AJ1639</f>
        <v>947348.16489999997</v>
      </c>
      <c r="AH271" s="6">
        <f>[1]Results!AK1639</f>
        <v>977615.54379999998</v>
      </c>
      <c r="AI271" s="6">
        <f>[1]Results!AL1639</f>
        <v>1009012.691</v>
      </c>
      <c r="AJ271" s="6">
        <f>[1]Results!AM1639</f>
        <v>1041458.566</v>
      </c>
      <c r="AK271" s="6">
        <f>[1]Results!AN1639</f>
        <v>1074862.284</v>
      </c>
      <c r="AL271" s="6">
        <f>[1]Results!AO1639</f>
        <v>1109116.889</v>
      </c>
    </row>
    <row r="272" spans="1:38" x14ac:dyDescent="0.35">
      <c r="A272" t="s">
        <v>38</v>
      </c>
      <c r="B272" t="s">
        <v>7</v>
      </c>
      <c r="C272" s="6">
        <f>[1]Results!F1640</f>
        <v>4444.1839890000001</v>
      </c>
      <c r="D272" s="6">
        <f>[1]Results!G1640</f>
        <v>4503.3899119999996</v>
      </c>
      <c r="E272" s="6">
        <f>[1]Results!H1640</f>
        <v>4570.8716990000003</v>
      </c>
      <c r="F272" s="6">
        <f>[1]Results!I1640</f>
        <v>4649.8261599999996</v>
      </c>
      <c r="G272" s="6">
        <f>[1]Results!J1640</f>
        <v>4735.6415939999997</v>
      </c>
      <c r="H272" s="6">
        <f>[1]Results!K1640</f>
        <v>4827.569477</v>
      </c>
      <c r="I272" s="6">
        <f>[1]Results!L1640</f>
        <v>4923.7815270000001</v>
      </c>
      <c r="J272" s="6">
        <f>[1]Results!M1640</f>
        <v>5023.3788679999998</v>
      </c>
      <c r="K272" s="6">
        <f>[1]Results!N1640</f>
        <v>5126.1720489999998</v>
      </c>
      <c r="L272" s="6">
        <f>[1]Results!O1640</f>
        <v>5232.2890770000004</v>
      </c>
      <c r="M272" s="6">
        <f>[1]Results!P1640</f>
        <v>5343.4359979999999</v>
      </c>
      <c r="N272" s="6">
        <f>[1]Results!Q1640</f>
        <v>5458.8223930000004</v>
      </c>
      <c r="O272" s="6">
        <f>[1]Results!R1640</f>
        <v>5577.1528209999997</v>
      </c>
      <c r="P272" s="6">
        <f>[1]Results!S1640</f>
        <v>5695.0105460000004</v>
      </c>
      <c r="Q272" s="6">
        <f>[1]Results!T1640</f>
        <v>5812.3433960000002</v>
      </c>
      <c r="R272" s="6">
        <f>[1]Results!U1640</f>
        <v>5930.3398360000001</v>
      </c>
      <c r="S272" s="6">
        <f>[1]Results!V1640</f>
        <v>6051.0548120000003</v>
      </c>
      <c r="T272" s="6">
        <f>[1]Results!W1640</f>
        <v>6176.8582050000005</v>
      </c>
      <c r="U272" s="6">
        <f>[1]Results!X1640</f>
        <v>6309.435735</v>
      </c>
      <c r="V272" s="6">
        <f>[1]Results!Y1640</f>
        <v>6449.6589199999999</v>
      </c>
      <c r="W272" s="6">
        <f>[1]Results!Z1640</f>
        <v>6597.058207</v>
      </c>
      <c r="X272" s="6">
        <f>[1]Results!AA1640</f>
        <v>6753.2370650000003</v>
      </c>
      <c r="Y272" s="6">
        <f>[1]Results!AB1640</f>
        <v>6919.4744769999998</v>
      </c>
      <c r="Z272" s="6">
        <f>[1]Results!AC1640</f>
        <v>7096.657451</v>
      </c>
      <c r="AA272" s="6">
        <f>[1]Results!AD1640</f>
        <v>7285.0011189999996</v>
      </c>
      <c r="AB272" s="6">
        <f>[1]Results!AE1640</f>
        <v>7481.3201259999996</v>
      </c>
      <c r="AC272" s="6">
        <f>[1]Results!AF1640</f>
        <v>7687.2355729999999</v>
      </c>
      <c r="AD272" s="6">
        <f>[1]Results!AG1640</f>
        <v>7904.375376</v>
      </c>
      <c r="AE272" s="6">
        <f>[1]Results!AH1640</f>
        <v>8133.8824290000002</v>
      </c>
      <c r="AF272" s="6">
        <f>[1]Results!AI1640</f>
        <v>8375.7208759999994</v>
      </c>
      <c r="AG272" s="6">
        <f>[1]Results!AJ1640</f>
        <v>8628.7597179999993</v>
      </c>
      <c r="AH272" s="6">
        <f>[1]Results!AK1640</f>
        <v>8891.5485989999997</v>
      </c>
      <c r="AI272" s="6">
        <f>[1]Results!AL1640</f>
        <v>9162.6741920000004</v>
      </c>
      <c r="AJ272" s="6">
        <f>[1]Results!AM1640</f>
        <v>9440.6878149999993</v>
      </c>
      <c r="AK272" s="6">
        <f>[1]Results!AN1640</f>
        <v>9724.0423559999999</v>
      </c>
      <c r="AL272" s="6">
        <f>[1]Results!AO1640</f>
        <v>10011.06359</v>
      </c>
    </row>
    <row r="273" spans="1:38" x14ac:dyDescent="0.35">
      <c r="B273" t="s">
        <v>30</v>
      </c>
      <c r="C273" s="6">
        <f>[1]Results!F1643</f>
        <v>234875.91560000001</v>
      </c>
      <c r="D273" s="6">
        <f>[1]Results!G1643</f>
        <v>238439.22820000001</v>
      </c>
      <c r="E273" s="6">
        <f>[1]Results!H1643</f>
        <v>242661.41339999999</v>
      </c>
      <c r="F273" s="6">
        <f>[1]Results!I1643</f>
        <v>247363.0006</v>
      </c>
      <c r="G273" s="6">
        <f>[1]Results!J1643</f>
        <v>252482.3554</v>
      </c>
      <c r="H273" s="6">
        <f>[1]Results!K1643</f>
        <v>257957.6697</v>
      </c>
      <c r="I273" s="6">
        <f>[1]Results!L1643</f>
        <v>263646.87439999997</v>
      </c>
      <c r="J273" s="6">
        <f>[1]Results!M1643</f>
        <v>269485.34700000001</v>
      </c>
      <c r="K273" s="6">
        <f>[1]Results!N1643</f>
        <v>275469.5025</v>
      </c>
      <c r="L273" s="6">
        <f>[1]Results!O1643</f>
        <v>281627.33559999999</v>
      </c>
      <c r="M273" s="6">
        <f>[1]Results!P1643</f>
        <v>288061.05989999999</v>
      </c>
      <c r="N273" s="6">
        <f>[1]Results!Q1643</f>
        <v>294760.63419999997</v>
      </c>
      <c r="O273" s="6">
        <f>[1]Results!R1643</f>
        <v>301689.74800000002</v>
      </c>
      <c r="P273" s="6">
        <f>[1]Results!S1643</f>
        <v>308709.1078</v>
      </c>
      <c r="Q273" s="6">
        <f>[1]Results!T1643</f>
        <v>315832.8798</v>
      </c>
      <c r="R273" s="6">
        <f>[1]Results!U1643</f>
        <v>323131.28360000002</v>
      </c>
      <c r="S273" s="6">
        <f>[1]Results!V1643</f>
        <v>330769.51380000002</v>
      </c>
      <c r="T273" s="6">
        <f>[1]Results!W1643</f>
        <v>338893.391</v>
      </c>
      <c r="U273" s="6">
        <f>[1]Results!X1643</f>
        <v>347598.12459999998</v>
      </c>
      <c r="V273" s="6">
        <f>[1]Results!Y1643</f>
        <v>356927.98450000002</v>
      </c>
      <c r="W273" s="6">
        <f>[1]Results!Z1643</f>
        <v>366857.56589999999</v>
      </c>
      <c r="X273" s="6">
        <f>[1]Results!AA1643</f>
        <v>377447.77140000003</v>
      </c>
      <c r="Y273" s="6">
        <f>[1]Results!AB1643</f>
        <v>388747.9241</v>
      </c>
      <c r="Z273" s="6">
        <f>[1]Results!AC1643</f>
        <v>400795.1262</v>
      </c>
      <c r="AA273" s="6">
        <f>[1]Results!AD1643</f>
        <v>413599.74599999998</v>
      </c>
      <c r="AB273" s="6">
        <f>[1]Results!AE1643</f>
        <v>427014.592</v>
      </c>
      <c r="AC273" s="6">
        <f>[1]Results!AF1643</f>
        <v>441102.6961</v>
      </c>
      <c r="AD273" s="6">
        <f>[1]Results!AG1643</f>
        <v>455931.44380000001</v>
      </c>
      <c r="AE273" s="6">
        <f>[1]Results!AH1643</f>
        <v>471555.21659999999</v>
      </c>
      <c r="AF273" s="6">
        <f>[1]Results!AI1643</f>
        <v>487980.28749999998</v>
      </c>
      <c r="AG273" s="6">
        <f>[1]Results!AJ1643</f>
        <v>505170.73</v>
      </c>
      <c r="AH273" s="6">
        <f>[1]Results!AK1643</f>
        <v>523083.01890000002</v>
      </c>
      <c r="AI273" s="6">
        <f>[1]Results!AL1643</f>
        <v>541681.34790000005</v>
      </c>
      <c r="AJ273" s="6">
        <f>[1]Results!AM1643</f>
        <v>560932.01729999995</v>
      </c>
      <c r="AK273" s="6">
        <f>[1]Results!AN1643</f>
        <v>580797.10259999998</v>
      </c>
      <c r="AL273" s="6">
        <f>[1]Results!AO1643</f>
        <v>601229.71889999998</v>
      </c>
    </row>
    <row r="274" spans="1:38" x14ac:dyDescent="0.35">
      <c r="B274" t="s">
        <v>28</v>
      </c>
      <c r="C274" s="6">
        <f>[1]Results!F1655</f>
        <v>8012.3261389999998</v>
      </c>
      <c r="D274" s="6">
        <f>[1]Results!G1655</f>
        <v>8138.0697039999995</v>
      </c>
      <c r="E274" s="6">
        <f>[1]Results!H1655</f>
        <v>8279.8860960000002</v>
      </c>
      <c r="F274" s="6">
        <f>[1]Results!I1655</f>
        <v>8430.5988070000003</v>
      </c>
      <c r="G274" s="6">
        <f>[1]Results!J1655</f>
        <v>8588.8765480000002</v>
      </c>
      <c r="H274" s="6">
        <f>[1]Results!K1655</f>
        <v>8755.1448999999993</v>
      </c>
      <c r="I274" s="6">
        <f>[1]Results!L1655</f>
        <v>8925.9139699999996</v>
      </c>
      <c r="J274" s="6">
        <f>[1]Results!M1655</f>
        <v>9099.7660259999993</v>
      </c>
      <c r="K274" s="6">
        <f>[1]Results!N1655</f>
        <v>9276.2594379999991</v>
      </c>
      <c r="L274" s="6">
        <f>[1]Results!O1655</f>
        <v>9455.6731309999996</v>
      </c>
      <c r="M274" s="6">
        <f>[1]Results!P1655</f>
        <v>9640.639416</v>
      </c>
      <c r="N274" s="6">
        <f>[1]Results!Q1655</f>
        <v>9829.7623359999998</v>
      </c>
      <c r="O274" s="6">
        <f>[1]Results!R1655</f>
        <v>10019.767620000001</v>
      </c>
      <c r="P274" s="6">
        <f>[1]Results!S1655</f>
        <v>10201.65112</v>
      </c>
      <c r="Q274" s="6">
        <f>[1]Results!T1655</f>
        <v>10377.37955</v>
      </c>
      <c r="R274" s="6">
        <f>[1]Results!U1655</f>
        <v>10551.92432</v>
      </c>
      <c r="S274" s="6">
        <f>[1]Results!V1655</f>
        <v>10732.983249999999</v>
      </c>
      <c r="T274" s="6">
        <f>[1]Results!W1655</f>
        <v>10926.919599999999</v>
      </c>
      <c r="U274" s="6">
        <f>[1]Results!X1655</f>
        <v>11138.09237</v>
      </c>
      <c r="V274" s="6">
        <f>[1]Results!Y1655</f>
        <v>11368.551299999999</v>
      </c>
      <c r="W274" s="6">
        <f>[1]Results!Z1655</f>
        <v>11618.18936</v>
      </c>
      <c r="X274" s="6">
        <f>[1]Results!AA1655</f>
        <v>11889.74274</v>
      </c>
      <c r="Y274" s="6">
        <f>[1]Results!AB1655</f>
        <v>12185.26665</v>
      </c>
      <c r="Z274" s="6">
        <f>[1]Results!AC1655</f>
        <v>12506.11879</v>
      </c>
      <c r="AA274" s="6">
        <f>[1]Results!AD1655</f>
        <v>12852.19954</v>
      </c>
      <c r="AB274" s="6">
        <f>[1]Results!AE1655</f>
        <v>13218.92353</v>
      </c>
      <c r="AC274" s="6">
        <f>[1]Results!AF1655</f>
        <v>13609.46615</v>
      </c>
      <c r="AD274" s="6">
        <f>[1]Results!AG1655</f>
        <v>14026.360769999999</v>
      </c>
      <c r="AE274" s="6">
        <f>[1]Results!AH1655</f>
        <v>14470.940070000001</v>
      </c>
      <c r="AF274" s="6">
        <f>[1]Results!AI1655</f>
        <v>14941.066790000001</v>
      </c>
      <c r="AG274" s="6">
        <f>[1]Results!AJ1655</f>
        <v>15432.20543</v>
      </c>
      <c r="AH274" s="6">
        <f>[1]Results!AK1655</f>
        <v>15939.8968</v>
      </c>
      <c r="AI274" s="6">
        <f>[1]Results!AL1655</f>
        <v>16460.62182</v>
      </c>
      <c r="AJ274" s="6">
        <f>[1]Results!AM1655</f>
        <v>16991.35152</v>
      </c>
      <c r="AK274" s="6">
        <f>[1]Results!AN1655</f>
        <v>17529.1757</v>
      </c>
      <c r="AL274" s="6">
        <f>[1]Results!AO1655</f>
        <v>18071.090370000002</v>
      </c>
    </row>
    <row r="275" spans="1:38" x14ac:dyDescent="0.35">
      <c r="B275" t="s">
        <v>10</v>
      </c>
      <c r="C275" s="6">
        <f>[1]Results!F1660</f>
        <v>219508.55739999999</v>
      </c>
      <c r="D275" s="6">
        <f>[1]Results!G1660</f>
        <v>222605.38020000001</v>
      </c>
      <c r="E275" s="6">
        <f>[1]Results!H1660</f>
        <v>226185.7114</v>
      </c>
      <c r="F275" s="6">
        <f>[1]Results!I1660</f>
        <v>230144.2935</v>
      </c>
      <c r="G275" s="6">
        <f>[1]Results!J1660</f>
        <v>234457.6053</v>
      </c>
      <c r="H275" s="6">
        <f>[1]Results!K1660</f>
        <v>239048.8284</v>
      </c>
      <c r="I275" s="6">
        <f>[1]Results!L1660</f>
        <v>243724.44810000001</v>
      </c>
      <c r="J275" s="6">
        <f>[1]Results!M1660</f>
        <v>248446.02280000001</v>
      </c>
      <c r="K275" s="6">
        <f>[1]Results!N1660</f>
        <v>253220.8156</v>
      </c>
      <c r="L275" s="6">
        <f>[1]Results!O1660</f>
        <v>258075.63570000001</v>
      </c>
      <c r="M275" s="6">
        <f>[1]Results!P1660</f>
        <v>263156.81929999997</v>
      </c>
      <c r="N275" s="6">
        <f>[1]Results!Q1660</f>
        <v>268352.89600000001</v>
      </c>
      <c r="O275" s="6">
        <f>[1]Results!R1660</f>
        <v>273656.23430000001</v>
      </c>
      <c r="P275" s="6">
        <f>[1]Results!S1660</f>
        <v>278970.63380000001</v>
      </c>
      <c r="Q275" s="6">
        <f>[1]Results!T1660</f>
        <v>284290.89140000002</v>
      </c>
      <c r="R275" s="6">
        <f>[1]Results!U1660</f>
        <v>289652.26689999999</v>
      </c>
      <c r="S275" s="6">
        <f>[1]Results!V1660</f>
        <v>295192.7292</v>
      </c>
      <c r="T275" s="6">
        <f>[1]Results!W1660</f>
        <v>301007.12579999998</v>
      </c>
      <c r="U275" s="6">
        <f>[1]Results!X1660</f>
        <v>307146.61869999999</v>
      </c>
      <c r="V275" s="6">
        <f>[1]Results!Y1660</f>
        <v>313628.22450000001</v>
      </c>
      <c r="W275" s="6">
        <f>[1]Results!Z1660</f>
        <v>320371.25439999998</v>
      </c>
      <c r="X275" s="6">
        <f>[1]Results!AA1660</f>
        <v>327500.21909999999</v>
      </c>
      <c r="Y275" s="6">
        <f>[1]Results!AB1660</f>
        <v>335038.43810000003</v>
      </c>
      <c r="Z275" s="6">
        <f>[1]Results!AC1660</f>
        <v>343009.1201</v>
      </c>
      <c r="AA275" s="6">
        <f>[1]Results!AD1660</f>
        <v>351419.78810000001</v>
      </c>
      <c r="AB275" s="6">
        <f>[1]Results!AE1660</f>
        <v>360010.60560000001</v>
      </c>
      <c r="AC275" s="6">
        <f>[1]Results!AF1660</f>
        <v>368998.2782</v>
      </c>
      <c r="AD275" s="6">
        <f>[1]Results!AG1660</f>
        <v>378433.7855</v>
      </c>
      <c r="AE275" s="6">
        <f>[1]Results!AH1660</f>
        <v>388361.42440000002</v>
      </c>
      <c r="AF275" s="6">
        <f>[1]Results!AI1660</f>
        <v>398795.6422</v>
      </c>
      <c r="AG275" s="6">
        <f>[1]Results!AJ1660</f>
        <v>409715.57319999998</v>
      </c>
      <c r="AH275" s="6">
        <f>[1]Results!AK1660</f>
        <v>421086.39039999997</v>
      </c>
      <c r="AI275" s="6">
        <f>[1]Results!AL1660</f>
        <v>432870.88919999998</v>
      </c>
      <c r="AJ275" s="6">
        <f>[1]Results!AM1660</f>
        <v>445028.08189999999</v>
      </c>
      <c r="AK275" s="6">
        <f>[1]Results!AN1660</f>
        <v>457511.34360000002</v>
      </c>
      <c r="AL275" s="6">
        <f>[1]Results!AO1660</f>
        <v>470267.2059</v>
      </c>
    </row>
    <row r="276" spans="1:38" x14ac:dyDescent="0.35">
      <c r="B276" t="s">
        <v>31</v>
      </c>
      <c r="C276" s="6">
        <f>[1]Results!F1663</f>
        <v>2246.6534470000001</v>
      </c>
      <c r="D276" s="6">
        <f>[1]Results!G1663</f>
        <v>2260.8089629999999</v>
      </c>
      <c r="E276" s="6">
        <f>[1]Results!H1663</f>
        <v>2270.7923099999998</v>
      </c>
      <c r="F276" s="6">
        <f>[1]Results!I1663</f>
        <v>2279.1137279999998</v>
      </c>
      <c r="G276" s="6">
        <f>[1]Results!J1663</f>
        <v>2290.733823</v>
      </c>
      <c r="H276" s="6">
        <f>[1]Results!K1663</f>
        <v>2306.8843360000001</v>
      </c>
      <c r="I276" s="6">
        <f>[1]Results!L1663</f>
        <v>2325.8122760000001</v>
      </c>
      <c r="J276" s="6">
        <f>[1]Results!M1663</f>
        <v>2345.9634740000001</v>
      </c>
      <c r="K276" s="6">
        <f>[1]Results!N1663</f>
        <v>2366.4386460000001</v>
      </c>
      <c r="L276" s="6">
        <f>[1]Results!O1663</f>
        <v>2386.910989</v>
      </c>
      <c r="M276" s="6">
        <f>[1]Results!P1663</f>
        <v>2407.7073350000001</v>
      </c>
      <c r="N276" s="6">
        <f>[1]Results!Q1663</f>
        <v>2428.616305</v>
      </c>
      <c r="O276" s="6">
        <f>[1]Results!R1663</f>
        <v>2449.2400050000001</v>
      </c>
      <c r="P276" s="6">
        <f>[1]Results!S1663</f>
        <v>2468.4736760000001</v>
      </c>
      <c r="Q276" s="6">
        <f>[1]Results!T1663</f>
        <v>2486.4313739999998</v>
      </c>
      <c r="R276" s="6">
        <f>[1]Results!U1663</f>
        <v>2503.7037810000002</v>
      </c>
      <c r="S276" s="6">
        <f>[1]Results!V1663</f>
        <v>2522.0097110000002</v>
      </c>
      <c r="T276" s="6">
        <f>[1]Results!W1663</f>
        <v>2542.7227579999999</v>
      </c>
      <c r="U276" s="6">
        <f>[1]Results!X1663</f>
        <v>2566.6486070000001</v>
      </c>
      <c r="V276" s="6">
        <f>[1]Results!Y1663</f>
        <v>2594.1159429999998</v>
      </c>
      <c r="W276" s="6">
        <f>[1]Results!Z1663</f>
        <v>2625.055828</v>
      </c>
      <c r="X276" s="6">
        <f>[1]Results!AA1663</f>
        <v>2659.7770599999999</v>
      </c>
      <c r="Y276" s="6">
        <f>[1]Results!AB1663</f>
        <v>2698.5528439999998</v>
      </c>
      <c r="Z276" s="6">
        <f>[1]Results!AC1663</f>
        <v>2741.6151960000002</v>
      </c>
      <c r="AA276" s="6">
        <f>[1]Results!AD1663</f>
        <v>2789.0634110000001</v>
      </c>
      <c r="AB276" s="6">
        <f>[1]Results!AE1663</f>
        <v>2840.3584919999998</v>
      </c>
      <c r="AC276" s="6">
        <f>[1]Results!AF1663</f>
        <v>2895.9556560000001</v>
      </c>
      <c r="AD276" s="6">
        <f>[1]Results!AG1663</f>
        <v>2956.2863990000001</v>
      </c>
      <c r="AE276" s="6">
        <f>[1]Results!AH1663</f>
        <v>3021.6268519999999</v>
      </c>
      <c r="AF276" s="6">
        <f>[1]Results!AI1663</f>
        <v>3091.8033070000001</v>
      </c>
      <c r="AG276" s="6">
        <f>[1]Results!AJ1663</f>
        <v>3166.2847339999998</v>
      </c>
      <c r="AH276" s="6">
        <f>[1]Results!AK1663</f>
        <v>3244.4518600000001</v>
      </c>
      <c r="AI276" s="6">
        <f>[1]Results!AL1663</f>
        <v>3325.7226110000001</v>
      </c>
      <c r="AJ276" s="6">
        <f>[1]Results!AM1663</f>
        <v>3409.5256899999999</v>
      </c>
      <c r="AK276" s="6">
        <f>[1]Results!AN1663</f>
        <v>3495.2618480000001</v>
      </c>
      <c r="AL276" s="6">
        <f>[1]Results!AO1663</f>
        <v>3582.2806540000001</v>
      </c>
    </row>
    <row r="277" spans="1:38" x14ac:dyDescent="0.35">
      <c r="B277" t="s">
        <v>33</v>
      </c>
      <c r="C277" s="6">
        <f>[1]Results!F1668</f>
        <v>3650.1624750000001</v>
      </c>
      <c r="D277" s="6">
        <f>[1]Results!G1668</f>
        <v>3693.5744629999999</v>
      </c>
      <c r="E277" s="6">
        <f>[1]Results!H1668</f>
        <v>3731.916608</v>
      </c>
      <c r="F277" s="6">
        <f>[1]Results!I1668</f>
        <v>3769.9631319999999</v>
      </c>
      <c r="G277" s="6">
        <f>[1]Results!J1668</f>
        <v>3803.4748519999998</v>
      </c>
      <c r="H277" s="6">
        <f>[1]Results!K1668</f>
        <v>3835.1977010000001</v>
      </c>
      <c r="I277" s="6">
        <f>[1]Results!L1668</f>
        <v>3867.6419299999998</v>
      </c>
      <c r="J277" s="6">
        <f>[1]Results!M1668</f>
        <v>3901.7655159999999</v>
      </c>
      <c r="K277" s="6">
        <f>[1]Results!N1668</f>
        <v>3937.504363</v>
      </c>
      <c r="L277" s="6">
        <f>[1]Results!O1668</f>
        <v>3974.39687</v>
      </c>
      <c r="M277" s="6">
        <f>[1]Results!P1668</f>
        <v>4013.2959000000001</v>
      </c>
      <c r="N277" s="6">
        <f>[1]Results!Q1668</f>
        <v>4052.4259849999999</v>
      </c>
      <c r="O277" s="6">
        <f>[1]Results!R1668</f>
        <v>4090.5543109999999</v>
      </c>
      <c r="P277" s="6">
        <f>[1]Results!S1668</f>
        <v>4125.627039</v>
      </c>
      <c r="Q277" s="6">
        <f>[1]Results!T1668</f>
        <v>4157.7399720000003</v>
      </c>
      <c r="R277" s="6">
        <f>[1]Results!U1668</f>
        <v>4188.0347609999999</v>
      </c>
      <c r="S277" s="6">
        <f>[1]Results!V1668</f>
        <v>4217.3024640000003</v>
      </c>
      <c r="T277" s="6">
        <f>[1]Results!W1668</f>
        <v>4247.4649659999995</v>
      </c>
      <c r="U277" s="6">
        <f>[1]Results!X1668</f>
        <v>4280.4242620000005</v>
      </c>
      <c r="V277" s="6">
        <f>[1]Results!Y1668</f>
        <v>4317.6430959999998</v>
      </c>
      <c r="W277" s="6">
        <f>[1]Results!Z1668</f>
        <v>4359.4776179999999</v>
      </c>
      <c r="X277" s="6">
        <f>[1]Results!AA1668</f>
        <v>4407.8600660000002</v>
      </c>
      <c r="Y277" s="6">
        <f>[1]Results!AB1668</f>
        <v>4463.9933369999999</v>
      </c>
      <c r="Z277" s="6">
        <f>[1]Results!AC1668</f>
        <v>4528.8317399999996</v>
      </c>
      <c r="AA277" s="6">
        <f>[1]Results!AD1668</f>
        <v>4602.9430039999997</v>
      </c>
      <c r="AB277" s="6">
        <f>[1]Results!AE1668</f>
        <v>4684.291072</v>
      </c>
      <c r="AC277" s="6">
        <f>[1]Results!AF1668</f>
        <v>4774.7128130000001</v>
      </c>
      <c r="AD277" s="6">
        <f>[1]Results!AG1668</f>
        <v>4875.0613910000002</v>
      </c>
      <c r="AE277" s="6">
        <f>[1]Results!AH1668</f>
        <v>4985.663063</v>
      </c>
      <c r="AF277" s="6">
        <f>[1]Results!AI1668</f>
        <v>5105.9358380000003</v>
      </c>
      <c r="AG277" s="6">
        <f>[1]Results!AJ1668</f>
        <v>5234.6117350000004</v>
      </c>
      <c r="AH277" s="6">
        <f>[1]Results!AK1668</f>
        <v>5370.237228</v>
      </c>
      <c r="AI277" s="6">
        <f>[1]Results!AL1668</f>
        <v>5511.435391</v>
      </c>
      <c r="AJ277" s="6">
        <f>[1]Results!AM1668</f>
        <v>5656.901261</v>
      </c>
      <c r="AK277" s="6">
        <f>[1]Results!AN1668</f>
        <v>5805.3581350000004</v>
      </c>
      <c r="AL277" s="6">
        <f>[1]Results!AO1668</f>
        <v>5955.5294329999997</v>
      </c>
    </row>
    <row r="279" spans="1:38" x14ac:dyDescent="0.35">
      <c r="A279" s="12" t="s">
        <v>21</v>
      </c>
      <c r="B279" t="s">
        <v>26</v>
      </c>
      <c r="C279" s="4">
        <f>C263/C271-1</f>
        <v>0</v>
      </c>
      <c r="D279" s="4">
        <f t="shared" ref="D279:AK279" si="52">D263/D271-1</f>
        <v>0</v>
      </c>
      <c r="E279" s="4">
        <f t="shared" si="52"/>
        <v>0</v>
      </c>
      <c r="F279" s="4">
        <f t="shared" si="52"/>
        <v>2.0135426659351197E-10</v>
      </c>
      <c r="G279" s="4">
        <f t="shared" si="52"/>
        <v>0</v>
      </c>
      <c r="H279" s="4">
        <f t="shared" si="52"/>
        <v>1.9352408564543566E-10</v>
      </c>
      <c r="I279" s="4">
        <f t="shared" si="52"/>
        <v>2.422834539270724E-4</v>
      </c>
      <c r="J279" s="4">
        <f t="shared" si="52"/>
        <v>-1.8516380187251213E-3</v>
      </c>
      <c r="K279" s="4">
        <f t="shared" si="52"/>
        <v>-4.4306014820066908E-3</v>
      </c>
      <c r="L279" s="4">
        <f t="shared" si="52"/>
        <v>-4.4239917690721553E-3</v>
      </c>
      <c r="M279" s="4">
        <f t="shared" si="52"/>
        <v>-2.9976195970113917E-3</v>
      </c>
      <c r="N279" s="4">
        <f t="shared" si="52"/>
        <v>-6.9034249825872251E-4</v>
      </c>
      <c r="O279" s="4">
        <f t="shared" si="52"/>
        <v>2.0332620608034535E-3</v>
      </c>
      <c r="P279" s="4">
        <f t="shared" si="52"/>
        <v>5.0256165774935635E-3</v>
      </c>
      <c r="Q279" s="4">
        <f t="shared" si="52"/>
        <v>8.3807871531842437E-3</v>
      </c>
      <c r="R279" s="4">
        <f t="shared" si="52"/>
        <v>1.2141391137109103E-2</v>
      </c>
      <c r="S279" s="4">
        <f t="shared" si="52"/>
        <v>1.5724057785655665E-2</v>
      </c>
      <c r="T279" s="4">
        <f t="shared" si="52"/>
        <v>1.9073158692328507E-2</v>
      </c>
      <c r="U279" s="4">
        <f t="shared" si="52"/>
        <v>2.2277138765197879E-2</v>
      </c>
      <c r="V279" s="4">
        <f t="shared" si="52"/>
        <v>2.5474931550210522E-2</v>
      </c>
      <c r="W279" s="4">
        <f t="shared" si="52"/>
        <v>2.8801979125259169E-2</v>
      </c>
      <c r="X279" s="4">
        <f t="shared" si="52"/>
        <v>3.2348548228434915E-2</v>
      </c>
      <c r="Y279" s="4">
        <f t="shared" si="52"/>
        <v>3.6185072251954997E-2</v>
      </c>
      <c r="Z279" s="4">
        <f t="shared" si="52"/>
        <v>4.0382928184250488E-2</v>
      </c>
      <c r="AA279" s="4">
        <f t="shared" si="52"/>
        <v>4.501220599503486E-2</v>
      </c>
      <c r="AB279" s="4">
        <f t="shared" si="52"/>
        <v>5.0143656966503025E-2</v>
      </c>
      <c r="AC279" s="4">
        <f t="shared" si="52"/>
        <v>5.5828538887275458E-2</v>
      </c>
      <c r="AD279" s="4">
        <f t="shared" si="52"/>
        <v>6.2059353269844131E-2</v>
      </c>
      <c r="AE279" s="4">
        <f t="shared" si="52"/>
        <v>6.8909768897203794E-2</v>
      </c>
      <c r="AF279" s="4">
        <f t="shared" si="52"/>
        <v>7.6508350274900216E-2</v>
      </c>
      <c r="AG279" s="4">
        <f t="shared" si="52"/>
        <v>8.5027891628948193E-2</v>
      </c>
      <c r="AH279" s="4">
        <f t="shared" si="52"/>
        <v>9.4675415900440152E-2</v>
      </c>
      <c r="AI279" s="4">
        <f>AI263/AI271-1</f>
        <v>0.10572762855368278</v>
      </c>
      <c r="AJ279" s="4">
        <f t="shared" si="52"/>
        <v>0.11860033709684803</v>
      </c>
      <c r="AK279" s="4">
        <f t="shared" si="52"/>
        <v>0.1339059441776822</v>
      </c>
      <c r="AL279" s="4">
        <f>AL263/AL271-1</f>
        <v>0.15255930342252699</v>
      </c>
    </row>
    <row r="280" spans="1:38" x14ac:dyDescent="0.35">
      <c r="A280" t="s">
        <v>88</v>
      </c>
      <c r="B280" t="s">
        <v>7</v>
      </c>
      <c r="C280" s="4">
        <f>(C264-C272)/C$271</f>
        <v>0</v>
      </c>
      <c r="D280" s="4">
        <f t="shared" ref="D280:AL280" si="53">(D264-D272)/D$271</f>
        <v>0</v>
      </c>
      <c r="E280" s="4">
        <f t="shared" si="53"/>
        <v>2.0504371868001114E-12</v>
      </c>
      <c r="F280" s="4">
        <f t="shared" si="53"/>
        <v>0</v>
      </c>
      <c r="G280" s="4">
        <f t="shared" si="53"/>
        <v>1.9748853198766456E-12</v>
      </c>
      <c r="H280" s="4">
        <f t="shared" si="53"/>
        <v>1.9352424538363849E-12</v>
      </c>
      <c r="I280" s="4">
        <f t="shared" si="53"/>
        <v>6.9899105800537439E-7</v>
      </c>
      <c r="J280" s="4">
        <f t="shared" si="53"/>
        <v>5.7396825596781153E-6</v>
      </c>
      <c r="K280" s="4">
        <f t="shared" si="53"/>
        <v>1.3712048330178371E-5</v>
      </c>
      <c r="L280" s="4">
        <f t="shared" si="53"/>
        <v>5.449216204496989E-5</v>
      </c>
      <c r="M280" s="4">
        <f t="shared" si="53"/>
        <v>1.120718024414496E-4</v>
      </c>
      <c r="N280" s="4">
        <f t="shared" si="53"/>
        <v>1.6795466201057545E-4</v>
      </c>
      <c r="O280" s="4">
        <f t="shared" si="53"/>
        <v>2.1956783290419415E-4</v>
      </c>
      <c r="P280" s="4">
        <f t="shared" si="53"/>
        <v>2.6755770711591094E-4</v>
      </c>
      <c r="Q280" s="4">
        <f t="shared" si="53"/>
        <v>3.1376186990671168E-4</v>
      </c>
      <c r="R280" s="4">
        <f t="shared" si="53"/>
        <v>3.5857064021423124E-4</v>
      </c>
      <c r="S280" s="4">
        <f t="shared" si="53"/>
        <v>4.0477929874352988E-4</v>
      </c>
      <c r="T280" s="4">
        <f t="shared" si="53"/>
        <v>4.4899315367508889E-4</v>
      </c>
      <c r="U280" s="4">
        <f t="shared" si="53"/>
        <v>4.8997744651008959E-4</v>
      </c>
      <c r="V280" s="4">
        <f t="shared" si="53"/>
        <v>5.2755094009899171E-4</v>
      </c>
      <c r="W280" s="4">
        <f t="shared" si="53"/>
        <v>5.6174741065406829E-4</v>
      </c>
      <c r="X280" s="4">
        <f t="shared" si="53"/>
        <v>5.9228306847699511E-4</v>
      </c>
      <c r="Y280" s="4">
        <f t="shared" si="53"/>
        <v>6.1884572698156037E-4</v>
      </c>
      <c r="Z280" s="4">
        <f t="shared" si="53"/>
        <v>6.4125712586972925E-4</v>
      </c>
      <c r="AA280" s="4">
        <f t="shared" si="53"/>
        <v>6.5927525316470824E-4</v>
      </c>
      <c r="AB280" s="4">
        <f t="shared" si="53"/>
        <v>6.7250084988613697E-4</v>
      </c>
      <c r="AC280" s="4">
        <f t="shared" si="53"/>
        <v>6.7866894840292651E-4</v>
      </c>
      <c r="AD280" s="4">
        <f t="shared" si="53"/>
        <v>6.7749071700098278E-4</v>
      </c>
      <c r="AE280" s="4">
        <f t="shared" si="53"/>
        <v>6.6918747615710736E-4</v>
      </c>
      <c r="AF280" s="4">
        <f t="shared" si="53"/>
        <v>6.5404778820109721E-4</v>
      </c>
      <c r="AG280" s="4">
        <f t="shared" si="53"/>
        <v>6.3223190395183127E-4</v>
      </c>
      <c r="AH280" s="4">
        <f t="shared" si="53"/>
        <v>6.0353676324187823E-4</v>
      </c>
      <c r="AI280" s="4">
        <f t="shared" si="53"/>
        <v>5.6765909498357307E-4</v>
      </c>
      <c r="AJ280" s="4">
        <f t="shared" si="53"/>
        <v>5.2459386367945083E-4</v>
      </c>
      <c r="AK280" s="4">
        <f t="shared" si="53"/>
        <v>4.744759692396089E-4</v>
      </c>
      <c r="AL280" s="4">
        <f t="shared" si="53"/>
        <v>4.1755227478102157E-4</v>
      </c>
    </row>
    <row r="281" spans="1:38" x14ac:dyDescent="0.35">
      <c r="B281" t="s">
        <v>30</v>
      </c>
      <c r="C281" s="4">
        <f t="shared" ref="C281:AL281" si="54">(C265-C273)/C$271</f>
        <v>0</v>
      </c>
      <c r="D281" s="4">
        <f t="shared" si="54"/>
        <v>0</v>
      </c>
      <c r="E281" s="4">
        <f t="shared" si="54"/>
        <v>0</v>
      </c>
      <c r="F281" s="4">
        <f t="shared" si="54"/>
        <v>2.0135440139614738E-10</v>
      </c>
      <c r="G281" s="4">
        <f t="shared" si="54"/>
        <v>0</v>
      </c>
      <c r="H281" s="4">
        <f t="shared" si="54"/>
        <v>1.9352418906068926E-10</v>
      </c>
      <c r="I281" s="4">
        <f t="shared" si="54"/>
        <v>1.067073486903227E-4</v>
      </c>
      <c r="J281" s="4">
        <f t="shared" si="54"/>
        <v>-1.1604655327205574E-3</v>
      </c>
      <c r="K281" s="4">
        <f t="shared" si="54"/>
        <v>-2.8136094030088944E-3</v>
      </c>
      <c r="L281" s="4">
        <f t="shared" si="54"/>
        <v>-3.1000931819190774E-3</v>
      </c>
      <c r="M281" s="4">
        <f t="shared" si="54"/>
        <v>-2.6749165033215544E-3</v>
      </c>
      <c r="N281" s="4">
        <f t="shared" si="54"/>
        <v>-1.7986445444185973E-3</v>
      </c>
      <c r="O281" s="4">
        <f t="shared" si="54"/>
        <v>-6.8958683155146512E-4</v>
      </c>
      <c r="P281" s="4">
        <f t="shared" si="54"/>
        <v>6.0150170746373934E-4</v>
      </c>
      <c r="Q281" s="4">
        <f t="shared" si="54"/>
        <v>2.154404985004567E-3</v>
      </c>
      <c r="R281" s="4">
        <f t="shared" si="54"/>
        <v>4.0114381646437734E-3</v>
      </c>
      <c r="S281" s="4">
        <f t="shared" si="54"/>
        <v>5.8519262616567114E-3</v>
      </c>
      <c r="T281" s="4">
        <f t="shared" si="54"/>
        <v>7.6453006695925262E-3</v>
      </c>
      <c r="U281" s="4">
        <f t="shared" si="54"/>
        <v>9.4325020394846019E-3</v>
      </c>
      <c r="V281" s="4">
        <f t="shared" si="54"/>
        <v>1.1283812831117223E-2</v>
      </c>
      <c r="W281" s="4">
        <f t="shared" si="54"/>
        <v>1.3273245184250226E-2</v>
      </c>
      <c r="X281" s="4">
        <f t="shared" si="54"/>
        <v>1.5455522710098982E-2</v>
      </c>
      <c r="Y281" s="4">
        <f t="shared" si="54"/>
        <v>1.7874207810250752E-2</v>
      </c>
      <c r="Z281" s="4">
        <f t="shared" si="54"/>
        <v>2.0572133258733128E-2</v>
      </c>
      <c r="AA281" s="4">
        <f t="shared" si="54"/>
        <v>2.3592857988378877E-2</v>
      </c>
      <c r="AB281" s="4">
        <f t="shared" si="54"/>
        <v>2.698347015909542E-2</v>
      </c>
      <c r="AC281" s="4">
        <f t="shared" si="54"/>
        <v>3.0787879997300951E-2</v>
      </c>
      <c r="AD281" s="4">
        <f t="shared" si="54"/>
        <v>3.4996293761404028E-2</v>
      </c>
      <c r="AE281" s="4">
        <f t="shared" si="54"/>
        <v>3.9639170505458586E-2</v>
      </c>
      <c r="AF281" s="4">
        <f t="shared" si="54"/>
        <v>4.4781772051444659E-2</v>
      </c>
      <c r="AG281" s="4">
        <f t="shared" si="54"/>
        <v>5.0519398435792603E-2</v>
      </c>
      <c r="AH281" s="4">
        <f t="shared" si="54"/>
        <v>5.6969961405803869E-2</v>
      </c>
      <c r="AI281" s="4">
        <f t="shared" si="54"/>
        <v>6.428859376953068E-2</v>
      </c>
      <c r="AJ281" s="4">
        <f t="shared" si="54"/>
        <v>7.270421807640115E-2</v>
      </c>
      <c r="AK281" s="4">
        <f t="shared" si="54"/>
        <v>8.2554000471375802E-2</v>
      </c>
      <c r="AL281" s="4">
        <f t="shared" si="54"/>
        <v>9.4340183742346775E-2</v>
      </c>
    </row>
    <row r="282" spans="1:38" x14ac:dyDescent="0.35">
      <c r="B282" t="s">
        <v>28</v>
      </c>
      <c r="C282" s="4">
        <f t="shared" ref="C282:AL282" si="55">(C266-C274)/C$271</f>
        <v>0</v>
      </c>
      <c r="D282" s="4">
        <f t="shared" si="55"/>
        <v>-2.0848938535567686E-12</v>
      </c>
      <c r="E282" s="4">
        <f t="shared" si="55"/>
        <v>-2.0504390516629341E-12</v>
      </c>
      <c r="F282" s="4">
        <f t="shared" si="55"/>
        <v>-2.0135445999798821E-12</v>
      </c>
      <c r="G282" s="4">
        <f t="shared" si="55"/>
        <v>-3.9497706397532913E-12</v>
      </c>
      <c r="H282" s="4">
        <f t="shared" si="55"/>
        <v>-1.9352389336520595E-12</v>
      </c>
      <c r="I282" s="4">
        <f t="shared" si="55"/>
        <v>4.1179909048179579E-6</v>
      </c>
      <c r="J282" s="4">
        <f t="shared" si="55"/>
        <v>-3.6471059204690009E-5</v>
      </c>
      <c r="K282" s="4">
        <f t="shared" si="55"/>
        <v>-6.891346911412009E-5</v>
      </c>
      <c r="L282" s="4">
        <f t="shared" si="55"/>
        <v>2.590054739029167E-6</v>
      </c>
      <c r="M282" s="4">
        <f t="shared" si="55"/>
        <v>1.2754082945013142E-4</v>
      </c>
      <c r="N282" s="4">
        <f t="shared" si="55"/>
        <v>2.7325191024097815E-4</v>
      </c>
      <c r="O282" s="4">
        <f t="shared" si="55"/>
        <v>4.1524000812776001E-4</v>
      </c>
      <c r="P282" s="4">
        <f t="shared" si="55"/>
        <v>5.4463160349684718E-4</v>
      </c>
      <c r="Q282" s="4">
        <f t="shared" si="55"/>
        <v>6.6284074001815184E-4</v>
      </c>
      <c r="R282" s="4">
        <f t="shared" si="55"/>
        <v>7.7003832651389623E-4</v>
      </c>
      <c r="S282" s="4">
        <f t="shared" si="55"/>
        <v>8.6505681695772923E-4</v>
      </c>
      <c r="T282" s="4">
        <f t="shared" si="55"/>
        <v>9.4786657132175641E-4</v>
      </c>
      <c r="U282" s="4">
        <f t="shared" si="55"/>
        <v>1.0213548534731044E-3</v>
      </c>
      <c r="V282" s="4">
        <f t="shared" si="55"/>
        <v>1.0883311845061618E-3</v>
      </c>
      <c r="W282" s="4">
        <f t="shared" si="55"/>
        <v>1.1512071786822593E-3</v>
      </c>
      <c r="X282" s="4">
        <f t="shared" si="55"/>
        <v>1.2121787946242977E-3</v>
      </c>
      <c r="Y282" s="4">
        <f t="shared" si="55"/>
        <v>1.2733171028987847E-3</v>
      </c>
      <c r="Z282" s="4">
        <f t="shared" si="55"/>
        <v>1.3346886484184022E-3</v>
      </c>
      <c r="AA282" s="4">
        <f t="shared" si="55"/>
        <v>1.3950232490761035E-3</v>
      </c>
      <c r="AB282" s="4">
        <f t="shared" si="55"/>
        <v>1.4532505953995961E-3</v>
      </c>
      <c r="AC282" s="4">
        <f t="shared" si="55"/>
        <v>1.5112763797037747E-3</v>
      </c>
      <c r="AD282" s="4">
        <f t="shared" si="55"/>
        <v>1.5739409797884865E-3</v>
      </c>
      <c r="AE282" s="4">
        <f t="shared" si="55"/>
        <v>1.6426711032638203E-3</v>
      </c>
      <c r="AF282" s="4">
        <f t="shared" si="55"/>
        <v>1.7164181864716985E-3</v>
      </c>
      <c r="AG282" s="4">
        <f t="shared" si="55"/>
        <v>1.7932762029251705E-3</v>
      </c>
      <c r="AH282" s="4">
        <f t="shared" si="55"/>
        <v>1.8731099782662833E-3</v>
      </c>
      <c r="AI282" s="4">
        <f t="shared" si="55"/>
        <v>1.9576105311840922E-3</v>
      </c>
      <c r="AJ282" s="4">
        <f t="shared" si="55"/>
        <v>2.0474519482707879E-3</v>
      </c>
      <c r="AK282" s="4">
        <f t="shared" si="55"/>
        <v>2.1424862740834633E-3</v>
      </c>
      <c r="AL282" s="4">
        <f t="shared" si="55"/>
        <v>2.2423705334091246E-3</v>
      </c>
    </row>
    <row r="283" spans="1:38" x14ac:dyDescent="0.35">
      <c r="B283" t="s">
        <v>10</v>
      </c>
      <c r="C283" s="4">
        <f t="shared" ref="C283:AL283" si="56">(C267-C275)/C$271</f>
        <v>0</v>
      </c>
      <c r="D283" s="4">
        <f t="shared" si="56"/>
        <v>0</v>
      </c>
      <c r="E283" s="4">
        <f t="shared" si="56"/>
        <v>0</v>
      </c>
      <c r="F283" s="4">
        <f t="shared" si="56"/>
        <v>0</v>
      </c>
      <c r="G283" s="4">
        <f t="shared" si="56"/>
        <v>1.9748847451095649E-10</v>
      </c>
      <c r="H283" s="4">
        <f t="shared" si="56"/>
        <v>1.9352418906068926E-10</v>
      </c>
      <c r="I283" s="4">
        <f t="shared" si="56"/>
        <v>1.2971885223707471E-4</v>
      </c>
      <c r="J283" s="4">
        <f t="shared" si="56"/>
        <v>-7.9004407835426822E-4</v>
      </c>
      <c r="K283" s="4">
        <f t="shared" si="56"/>
        <v>-1.890047963839905E-3</v>
      </c>
      <c r="L283" s="4">
        <f t="shared" si="56"/>
        <v>-1.9743650019718876E-3</v>
      </c>
      <c r="M283" s="4">
        <f t="shared" si="56"/>
        <v>-1.4582138012908868E-3</v>
      </c>
      <c r="N283" s="4">
        <f t="shared" si="56"/>
        <v>-5.4679844342994774E-4</v>
      </c>
      <c r="O283" s="4">
        <f t="shared" si="56"/>
        <v>5.3940223133528017E-4</v>
      </c>
      <c r="P283" s="4">
        <f t="shared" si="56"/>
        <v>1.703797697831629E-3</v>
      </c>
      <c r="Q283" s="4">
        <f t="shared" si="56"/>
        <v>2.9482834897389177E-3</v>
      </c>
      <c r="R283" s="4">
        <f t="shared" si="56"/>
        <v>4.2670220462757988E-3</v>
      </c>
      <c r="S283" s="4">
        <f t="shared" si="56"/>
        <v>5.3993550221523761E-3</v>
      </c>
      <c r="T283" s="4">
        <f t="shared" si="56"/>
        <v>6.3222993138760735E-3</v>
      </c>
      <c r="U283" s="4">
        <f t="shared" si="56"/>
        <v>7.0819793291320918E-3</v>
      </c>
      <c r="V283" s="4">
        <f t="shared" si="56"/>
        <v>7.7424811077968113E-3</v>
      </c>
      <c r="W283" s="4">
        <f t="shared" si="56"/>
        <v>8.3578248963764746E-3</v>
      </c>
      <c r="X283" s="4">
        <f t="shared" si="56"/>
        <v>8.9546011416767896E-3</v>
      </c>
      <c r="Y283" s="4">
        <f t="shared" si="56"/>
        <v>9.5483381819076105E-3</v>
      </c>
      <c r="Z283" s="4">
        <f t="shared" si="56"/>
        <v>1.0156639204846616E-2</v>
      </c>
      <c r="AA283" s="4">
        <f t="shared" si="56"/>
        <v>1.0794058277156715E-2</v>
      </c>
      <c r="AB283" s="4">
        <f t="shared" si="56"/>
        <v>1.14678507912571E-2</v>
      </c>
      <c r="AC283" s="4">
        <f t="shared" si="56"/>
        <v>1.2161958041786164E-2</v>
      </c>
      <c r="AD283" s="4">
        <f t="shared" si="56"/>
        <v>1.2845848442046443E-2</v>
      </c>
      <c r="AE283" s="4">
        <f t="shared" si="56"/>
        <v>1.3526693610572963E-2</v>
      </c>
      <c r="AF283" s="4">
        <f t="shared" si="56"/>
        <v>1.4225954770117972E-2</v>
      </c>
      <c r="AG283" s="4">
        <f t="shared" si="56"/>
        <v>1.4968038494587482E-2</v>
      </c>
      <c r="AH283" s="4">
        <f t="shared" si="56"/>
        <v>1.5768363645365369E-2</v>
      </c>
      <c r="AI283" s="4">
        <f t="shared" si="56"/>
        <v>1.6644186192896964E-2</v>
      </c>
      <c r="AJ283" s="4">
        <f t="shared" si="56"/>
        <v>1.7636434899705834E-2</v>
      </c>
      <c r="AK283" s="4">
        <f t="shared" si="56"/>
        <v>1.8808486353029369E-2</v>
      </c>
      <c r="AL283" s="4">
        <f t="shared" si="56"/>
        <v>2.0251972197675213E-2</v>
      </c>
    </row>
    <row r="284" spans="1:38" x14ac:dyDescent="0.35">
      <c r="B284" t="s">
        <v>31</v>
      </c>
      <c r="C284" s="4">
        <f t="shared" ref="C284:AL284" si="57">(C268-C276)/C$271</f>
        <v>2.1153372670933915E-12</v>
      </c>
      <c r="D284" s="4">
        <f t="shared" si="57"/>
        <v>4.1697905514150318E-12</v>
      </c>
      <c r="E284" s="4">
        <f t="shared" si="57"/>
        <v>4.1008771708944568E-12</v>
      </c>
      <c r="F284" s="4">
        <f t="shared" si="57"/>
        <v>2.0135445999798821E-12</v>
      </c>
      <c r="G284" s="4">
        <f t="shared" si="57"/>
        <v>1.9748844218030821E-12</v>
      </c>
      <c r="H284" s="4">
        <f t="shared" si="57"/>
        <v>1.9352415737903035E-12</v>
      </c>
      <c r="I284" s="4">
        <f t="shared" si="57"/>
        <v>2.1856757077081777E-6</v>
      </c>
      <c r="J284" s="4">
        <f t="shared" si="57"/>
        <v>-1.9327549015006922E-5</v>
      </c>
      <c r="K284" s="4">
        <f t="shared" si="57"/>
        <v>-4.6721782912808994E-5</v>
      </c>
      <c r="L284" s="4">
        <f t="shared" si="57"/>
        <v>-6.2290752363328717E-5</v>
      </c>
      <c r="M284" s="4">
        <f t="shared" si="57"/>
        <v>-7.0100923222188365E-5</v>
      </c>
      <c r="N284" s="4">
        <f t="shared" si="57"/>
        <v>-6.8818208385088567E-5</v>
      </c>
      <c r="O284" s="4">
        <f t="shared" si="57"/>
        <v>-5.9274327393740091E-5</v>
      </c>
      <c r="P284" s="4">
        <f t="shared" si="57"/>
        <v>-4.1966322252771571E-5</v>
      </c>
      <c r="Q284" s="4">
        <f t="shared" si="57"/>
        <v>-1.6653605171826206E-5</v>
      </c>
      <c r="R284" s="4">
        <f t="shared" si="57"/>
        <v>1.6297534242415904E-5</v>
      </c>
      <c r="S284" s="4">
        <f t="shared" si="57"/>
        <v>5.0488171467189597E-5</v>
      </c>
      <c r="T284" s="4">
        <f t="shared" si="57"/>
        <v>8.5472813518142808E-5</v>
      </c>
      <c r="U284" s="4">
        <f t="shared" si="57"/>
        <v>1.2117665594888828E-4</v>
      </c>
      <c r="V284" s="4">
        <f t="shared" si="57"/>
        <v>1.5780161381643301E-4</v>
      </c>
      <c r="W284" s="4">
        <f t="shared" si="57"/>
        <v>1.9568414682563106E-4</v>
      </c>
      <c r="X284" s="4">
        <f t="shared" si="57"/>
        <v>2.3506979355403951E-4</v>
      </c>
      <c r="Y284" s="4">
        <f t="shared" si="57"/>
        <v>2.7610966247288424E-4</v>
      </c>
      <c r="Z284" s="4">
        <f t="shared" si="57"/>
        <v>3.1883158487985722E-4</v>
      </c>
      <c r="AA284" s="4">
        <f t="shared" si="57"/>
        <v>3.6324372121783607E-4</v>
      </c>
      <c r="AB284" s="4">
        <f t="shared" si="57"/>
        <v>4.0955958634901441E-4</v>
      </c>
      <c r="AC284" s="4">
        <f t="shared" si="57"/>
        <v>4.5832253179466722E-4</v>
      </c>
      <c r="AD284" s="4">
        <f t="shared" si="57"/>
        <v>5.0953776402400618E-4</v>
      </c>
      <c r="AE284" s="4">
        <f t="shared" si="57"/>
        <v>5.6340545212951406E-4</v>
      </c>
      <c r="AF284" s="4">
        <f t="shared" si="57"/>
        <v>6.2029297698576263E-4</v>
      </c>
      <c r="AG284" s="4">
        <f t="shared" si="57"/>
        <v>6.8076956803740391E-4</v>
      </c>
      <c r="AH284" s="4">
        <f t="shared" si="57"/>
        <v>7.4568807607782611E-4</v>
      </c>
      <c r="AI284" s="4">
        <f t="shared" si="57"/>
        <v>8.1624595740590158E-4</v>
      </c>
      <c r="AJ284" s="4">
        <f t="shared" si="57"/>
        <v>8.9402290249154326E-4</v>
      </c>
      <c r="AK284" s="4">
        <f t="shared" si="57"/>
        <v>9.8122753556398865E-4</v>
      </c>
      <c r="AL284" s="4">
        <f t="shared" si="57"/>
        <v>1.081160582705724E-3</v>
      </c>
    </row>
    <row r="285" spans="1:38" x14ac:dyDescent="0.35">
      <c r="B285" t="s">
        <v>33</v>
      </c>
      <c r="C285" s="4">
        <f t="shared" ref="C285:AL285" si="58">(C269-C277)/C$271</f>
        <v>0</v>
      </c>
      <c r="D285" s="4">
        <f t="shared" si="58"/>
        <v>0</v>
      </c>
      <c r="E285" s="4">
        <f t="shared" si="58"/>
        <v>0</v>
      </c>
      <c r="F285" s="4">
        <f t="shared" si="58"/>
        <v>0</v>
      </c>
      <c r="G285" s="4">
        <f t="shared" si="58"/>
        <v>0</v>
      </c>
      <c r="H285" s="4">
        <f t="shared" si="58"/>
        <v>-1.9352415737903035E-12</v>
      </c>
      <c r="I285" s="4">
        <f t="shared" si="58"/>
        <v>-1.1452435071907228E-6</v>
      </c>
      <c r="J285" s="4">
        <f t="shared" si="58"/>
        <v>1.4893057188273412E-4</v>
      </c>
      <c r="K285" s="4">
        <f t="shared" si="58"/>
        <v>3.7497880823154065E-4</v>
      </c>
      <c r="L285" s="4">
        <f t="shared" si="58"/>
        <v>6.55674743533121E-4</v>
      </c>
      <c r="M285" s="4">
        <f t="shared" si="58"/>
        <v>9.6599870030568934E-4</v>
      </c>
      <c r="N285" s="4">
        <f t="shared" si="58"/>
        <v>1.2827122676319202E-3</v>
      </c>
      <c r="O285" s="4">
        <f t="shared" si="58"/>
        <v>1.6079132678870013E-3</v>
      </c>
      <c r="P285" s="4">
        <f t="shared" si="58"/>
        <v>1.9500941625326424E-3</v>
      </c>
      <c r="Q285" s="4">
        <f t="shared" si="58"/>
        <v>2.3181494939000786E-3</v>
      </c>
      <c r="R285" s="4">
        <f t="shared" si="58"/>
        <v>2.7180245069852878E-3</v>
      </c>
      <c r="S285" s="4">
        <f t="shared" si="58"/>
        <v>3.152452331693621E-3</v>
      </c>
      <c r="T285" s="4">
        <f t="shared" si="58"/>
        <v>3.6232261748645155E-3</v>
      </c>
      <c r="U285" s="4">
        <f t="shared" si="58"/>
        <v>4.1301484612664132E-3</v>
      </c>
      <c r="V285" s="4">
        <f t="shared" si="58"/>
        <v>4.6749538699984248E-3</v>
      </c>
      <c r="W285" s="4">
        <f t="shared" si="58"/>
        <v>5.2622701652983543E-3</v>
      </c>
      <c r="X285" s="4">
        <f t="shared" si="58"/>
        <v>5.8988927145293222E-3</v>
      </c>
      <c r="Y285" s="4">
        <f t="shared" si="58"/>
        <v>6.5942536874490599E-3</v>
      </c>
      <c r="Z285" s="4">
        <f t="shared" si="58"/>
        <v>7.3593782551027833E-3</v>
      </c>
      <c r="AA285" s="4">
        <f t="shared" si="58"/>
        <v>8.207747647356935E-3</v>
      </c>
      <c r="AB285" s="4">
        <f t="shared" si="58"/>
        <v>9.1570250421667276E-3</v>
      </c>
      <c r="AC285" s="4">
        <f t="shared" si="58"/>
        <v>1.0230433031191538E-2</v>
      </c>
      <c r="AD285" s="4">
        <f t="shared" si="58"/>
        <v>1.145624152573077E-2</v>
      </c>
      <c r="AE285" s="4">
        <f t="shared" si="58"/>
        <v>1.2868640840578991E-2</v>
      </c>
      <c r="AF285" s="4">
        <f t="shared" si="58"/>
        <v>1.4509864409115742E-2</v>
      </c>
      <c r="AG285" s="4">
        <f t="shared" si="58"/>
        <v>1.6434176717535963E-2</v>
      </c>
      <c r="AH285" s="4">
        <f t="shared" si="58"/>
        <v>1.8714755731976118E-2</v>
      </c>
      <c r="AI285" s="4">
        <f t="shared" si="58"/>
        <v>2.1453332650897251E-2</v>
      </c>
      <c r="AJ285" s="4">
        <f t="shared" si="58"/>
        <v>2.4793615734684925E-2</v>
      </c>
      <c r="AK285" s="4">
        <f t="shared" si="58"/>
        <v>2.8945267610673741E-2</v>
      </c>
      <c r="AL285" s="4">
        <f t="shared" si="58"/>
        <v>3.4226064397257595E-2</v>
      </c>
    </row>
    <row r="287" spans="1:3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38" x14ac:dyDescent="0.35">
      <c r="A288" t="s">
        <v>88</v>
      </c>
      <c r="B288" t="s">
        <v>26</v>
      </c>
      <c r="C288" s="4">
        <f>R279</f>
        <v>1.2141391137109103E-2</v>
      </c>
      <c r="D288" s="4">
        <f>AB279</f>
        <v>5.0143656966503025E-2</v>
      </c>
      <c r="E288" s="4">
        <f>AL279</f>
        <v>0.15255930342252699</v>
      </c>
    </row>
    <row r="289" spans="1:38" x14ac:dyDescent="0.35">
      <c r="B289" t="s">
        <v>7</v>
      </c>
      <c r="C289" s="4">
        <f t="shared" ref="C289:C294" si="59">R280</f>
        <v>3.5857064021423124E-4</v>
      </c>
      <c r="D289" s="4">
        <f t="shared" ref="D289:D294" si="60">AB280</f>
        <v>6.7250084988613697E-4</v>
      </c>
      <c r="E289" s="4">
        <f t="shared" ref="E289:E294" si="61">AL280</f>
        <v>4.1755227478102157E-4</v>
      </c>
    </row>
    <row r="290" spans="1:38" x14ac:dyDescent="0.35">
      <c r="B290" t="s">
        <v>30</v>
      </c>
      <c r="C290" s="4">
        <f t="shared" si="59"/>
        <v>4.0114381646437734E-3</v>
      </c>
      <c r="D290" s="4">
        <f t="shared" si="60"/>
        <v>2.698347015909542E-2</v>
      </c>
      <c r="E290" s="4">
        <f t="shared" si="61"/>
        <v>9.4340183742346775E-2</v>
      </c>
    </row>
    <row r="291" spans="1:38" x14ac:dyDescent="0.35">
      <c r="B291" t="s">
        <v>28</v>
      </c>
      <c r="C291" s="4">
        <f t="shared" si="59"/>
        <v>7.7003832651389623E-4</v>
      </c>
      <c r="D291" s="4">
        <f t="shared" si="60"/>
        <v>1.4532505953995961E-3</v>
      </c>
      <c r="E291" s="4">
        <f t="shared" si="61"/>
        <v>2.2423705334091246E-3</v>
      </c>
    </row>
    <row r="292" spans="1:38" x14ac:dyDescent="0.35">
      <c r="B292" t="s">
        <v>10</v>
      </c>
      <c r="C292" s="4">
        <f t="shared" si="59"/>
        <v>4.2670220462757988E-3</v>
      </c>
      <c r="D292" s="4">
        <f t="shared" si="60"/>
        <v>1.14678507912571E-2</v>
      </c>
      <c r="E292" s="4">
        <f t="shared" si="61"/>
        <v>2.0251972197675213E-2</v>
      </c>
    </row>
    <row r="293" spans="1:38" x14ac:dyDescent="0.35">
      <c r="B293" t="s">
        <v>31</v>
      </c>
      <c r="C293" s="4">
        <f t="shared" si="59"/>
        <v>1.6297534242415904E-5</v>
      </c>
      <c r="D293" s="4">
        <f t="shared" si="60"/>
        <v>4.0955958634901441E-4</v>
      </c>
      <c r="E293" s="4">
        <f t="shared" si="61"/>
        <v>1.081160582705724E-3</v>
      </c>
    </row>
    <row r="294" spans="1:38" x14ac:dyDescent="0.35">
      <c r="B294" t="s">
        <v>33</v>
      </c>
      <c r="C294" s="4">
        <f t="shared" si="59"/>
        <v>2.7180245069852878E-3</v>
      </c>
      <c r="D294" s="4">
        <f t="shared" si="60"/>
        <v>9.1570250421667276E-3</v>
      </c>
      <c r="E294" s="4">
        <f t="shared" si="61"/>
        <v>3.4226064397257595E-2</v>
      </c>
    </row>
    <row r="295" spans="1:38" x14ac:dyDescent="0.35">
      <c r="C295" s="4"/>
      <c r="D295" s="4"/>
      <c r="E295" s="4"/>
    </row>
    <row r="296" spans="1:3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</row>
    <row r="297" spans="1:3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31911.216659999998</v>
      </c>
      <c r="E297" s="6">
        <f>[1]Results!H3</f>
        <v>31732.934720000001</v>
      </c>
      <c r="F297" s="6">
        <f>[1]Results!I3</f>
        <v>31702.28557</v>
      </c>
      <c r="G297" s="6">
        <f>[1]Results!J3</f>
        <v>31792.126219999998</v>
      </c>
      <c r="H297" s="6">
        <f>[1]Results!K3</f>
        <v>31964.154709999999</v>
      </c>
      <c r="I297" s="6">
        <f>[1]Results!L3</f>
        <v>32183.57087</v>
      </c>
      <c r="J297" s="6">
        <f>[1]Results!M3</f>
        <v>32332.232909999999</v>
      </c>
      <c r="K297" s="6">
        <f>[1]Results!N3</f>
        <v>32472.487809999999</v>
      </c>
      <c r="L297" s="6">
        <f>[1]Results!O3</f>
        <v>32635.149949999999</v>
      </c>
      <c r="M297" s="6">
        <f>[1]Results!P3</f>
        <v>32833.745239999997</v>
      </c>
      <c r="N297" s="6">
        <f>[1]Results!Q3</f>
        <v>33096.137840000003</v>
      </c>
      <c r="O297" s="6">
        <f>[1]Results!R3</f>
        <v>33409.64574</v>
      </c>
      <c r="P297" s="6">
        <f>[1]Results!S3</f>
        <v>33754.897490000003</v>
      </c>
      <c r="Q297" s="6">
        <f>[1]Results!T3</f>
        <v>34116.663589999996</v>
      </c>
      <c r="R297" s="6">
        <f>[1]Results!U3</f>
        <v>34484.600870000002</v>
      </c>
      <c r="S297" s="6">
        <f>[1]Results!V3</f>
        <v>34840.394919999999</v>
      </c>
      <c r="T297" s="6">
        <f>[1]Results!W3</f>
        <v>35187.660450000003</v>
      </c>
      <c r="U297" s="6">
        <f>[1]Results!X3</f>
        <v>35530.931279999997</v>
      </c>
      <c r="V297" s="6">
        <f>[1]Results!Y3</f>
        <v>35873.49944</v>
      </c>
      <c r="W297" s="6">
        <f>[1]Results!Z3</f>
        <v>36214.109199999999</v>
      </c>
      <c r="X297" s="6">
        <f>[1]Results!AA3</f>
        <v>36560.303870000003</v>
      </c>
      <c r="Y297" s="6">
        <f>[1]Results!AB3</f>
        <v>36915.081420000002</v>
      </c>
      <c r="Z297" s="6">
        <f>[1]Results!AC3</f>
        <v>37282.354650000001</v>
      </c>
      <c r="AA297" s="6">
        <f>[1]Results!AD3</f>
        <v>37665.714229999998</v>
      </c>
      <c r="AB297" s="6">
        <f>[1]Results!AE3</f>
        <v>38057.367299999998</v>
      </c>
      <c r="AC297" s="6">
        <f>[1]Results!AF3</f>
        <v>38467.847979999999</v>
      </c>
      <c r="AD297" s="6">
        <f>[1]Results!AG3</f>
        <v>38900.336900000002</v>
      </c>
      <c r="AE297" s="6">
        <f>[1]Results!AH3</f>
        <v>39360.046240000003</v>
      </c>
      <c r="AF297" s="6">
        <f>[1]Results!AI3</f>
        <v>39852.565289999999</v>
      </c>
      <c r="AG297" s="6">
        <f>[1]Results!AJ3</f>
        <v>40381.920310000001</v>
      </c>
      <c r="AH297" s="6">
        <f>[1]Results!AK3</f>
        <v>40950.018239999998</v>
      </c>
      <c r="AI297" s="6">
        <f>[1]Results!AL3</f>
        <v>41557.48515</v>
      </c>
      <c r="AJ297" s="6">
        <f>[1]Results!AM3</f>
        <v>42205.076200000003</v>
      </c>
      <c r="AK297" s="6">
        <f>[1]Results!AN3</f>
        <v>42893.874450000003</v>
      </c>
      <c r="AL297" s="6">
        <f>[1]Results!AO3</f>
        <v>43625.428269999997</v>
      </c>
    </row>
    <row r="298" spans="1:38" x14ac:dyDescent="0.35">
      <c r="B298" t="s">
        <v>53</v>
      </c>
      <c r="C298" s="6">
        <f>[1]Results!F4</f>
        <v>32271.24</v>
      </c>
      <c r="D298" s="6">
        <f>[1]Results!G4</f>
        <v>31846.407179999998</v>
      </c>
      <c r="E298" s="6">
        <f>[1]Results!H4</f>
        <v>31648.242030000001</v>
      </c>
      <c r="F298" s="6">
        <f>[1]Results!I4</f>
        <v>31596.227709999999</v>
      </c>
      <c r="G298" s="6">
        <f>[1]Results!J4</f>
        <v>31663.112730000001</v>
      </c>
      <c r="H298" s="6">
        <f>[1]Results!K4</f>
        <v>31810.955089999999</v>
      </c>
      <c r="I298" s="6">
        <f>[1]Results!L4</f>
        <v>32005.276620000001</v>
      </c>
      <c r="J298" s="6">
        <f>[1]Results!M4</f>
        <v>32128.17137</v>
      </c>
      <c r="K298" s="6">
        <f>[1]Results!N4</f>
        <v>32237.637269999999</v>
      </c>
      <c r="L298" s="6">
        <f>[1]Results!O4</f>
        <v>32360.6273</v>
      </c>
      <c r="M298" s="6">
        <f>[1]Results!P4</f>
        <v>32506.312180000001</v>
      </c>
      <c r="N298" s="6">
        <f>[1]Results!Q4</f>
        <v>32698.95004</v>
      </c>
      <c r="O298" s="6">
        <f>[1]Results!R4</f>
        <v>32925.862760000004</v>
      </c>
      <c r="P298" s="6">
        <f>[1]Results!S4</f>
        <v>33168.13983</v>
      </c>
      <c r="Q298" s="6">
        <f>[1]Results!T4</f>
        <v>33411.081230000003</v>
      </c>
      <c r="R298" s="6">
        <f>[1]Results!U4</f>
        <v>33644.806109999998</v>
      </c>
      <c r="S298" s="6">
        <f>[1]Results!V4</f>
        <v>33851.64806</v>
      </c>
      <c r="T298" s="6">
        <f>[1]Results!W4</f>
        <v>34034.31439</v>
      </c>
      <c r="U298" s="6">
        <f>[1]Results!X4</f>
        <v>34196.539109999998</v>
      </c>
      <c r="V298" s="6">
        <f>[1]Results!Y4</f>
        <v>34340.955750000001</v>
      </c>
      <c r="W298" s="6">
        <f>[1]Results!Z4</f>
        <v>34466.048439999999</v>
      </c>
      <c r="X298" s="6">
        <f>[1]Results!AA4</f>
        <v>34578.300309999999</v>
      </c>
      <c r="Y298" s="6">
        <f>[1]Results!AB4</f>
        <v>34679.920469999997</v>
      </c>
      <c r="Z298" s="6">
        <f>[1]Results!AC4</f>
        <v>34773.821080000002</v>
      </c>
      <c r="AA298" s="6">
        <f>[1]Results!AD4</f>
        <v>34862.480179999999</v>
      </c>
      <c r="AB298" s="6">
        <f>[1]Results!AE4</f>
        <v>34938.34448</v>
      </c>
      <c r="AC298" s="6">
        <f>[1]Results!AF4</f>
        <v>35009.76513</v>
      </c>
      <c r="AD298" s="6">
        <f>[1]Results!AG4</f>
        <v>35078.42267</v>
      </c>
      <c r="AE298" s="6">
        <f>[1]Results!AH4</f>
        <v>35147.499369999998</v>
      </c>
      <c r="AF298" s="6">
        <f>[1]Results!AI4</f>
        <v>35220.220659999999</v>
      </c>
      <c r="AG298" s="6">
        <f>[1]Results!AJ4</f>
        <v>35298.2399</v>
      </c>
      <c r="AH298" s="6">
        <f>[1]Results!AK4</f>
        <v>35381.248119999997</v>
      </c>
      <c r="AI298" s="6">
        <f>[1]Results!AL4</f>
        <v>35467.734270000001</v>
      </c>
      <c r="AJ298" s="6">
        <f>[1]Results!AM4</f>
        <v>35556.155989999999</v>
      </c>
      <c r="AK298" s="6">
        <f>[1]Results!AN4</f>
        <v>35645.092219999999</v>
      </c>
      <c r="AL298" s="6">
        <f>[1]Results!AO4</f>
        <v>35733.333030000002</v>
      </c>
    </row>
    <row r="299" spans="1:38" x14ac:dyDescent="0.35">
      <c r="B299" t="s">
        <v>54</v>
      </c>
      <c r="C299" s="6">
        <f>[1]Results!F20</f>
        <v>1.9359999999999999</v>
      </c>
      <c r="D299" s="6">
        <f>[1]Results!G20</f>
        <v>1.990292951</v>
      </c>
      <c r="E299" s="6">
        <f>[1]Results!H20</f>
        <v>2.057457689</v>
      </c>
      <c r="F299" s="6">
        <f>[1]Results!I20</f>
        <v>2.1314073379999998</v>
      </c>
      <c r="G299" s="6">
        <f>[1]Results!J20</f>
        <v>2.210383926</v>
      </c>
      <c r="H299" s="6">
        <f>[1]Results!K20</f>
        <v>2.291663067</v>
      </c>
      <c r="I299" s="6">
        <f>[1]Results!L20</f>
        <v>2.3727335890000001</v>
      </c>
      <c r="J299" s="6">
        <f>[1]Results!M20</f>
        <v>2.4440070079999998</v>
      </c>
      <c r="K299" s="6">
        <f>[1]Results!N20</f>
        <v>2.5105011319999999</v>
      </c>
      <c r="L299" s="6">
        <f>[1]Results!O20</f>
        <v>2.5746912160000002</v>
      </c>
      <c r="M299" s="6">
        <f>[1]Results!P20</f>
        <v>2.6375801239999999</v>
      </c>
      <c r="N299" s="6">
        <f>[1]Results!Q20</f>
        <v>2.701435504</v>
      </c>
      <c r="O299" s="6">
        <f>[1]Results!R20</f>
        <v>2.7654388179999998</v>
      </c>
      <c r="P299" s="6">
        <f>[1]Results!S20</f>
        <v>2.8282162149999999</v>
      </c>
      <c r="Q299" s="6">
        <f>[1]Results!T20</f>
        <v>2.8887098</v>
      </c>
      <c r="R299" s="6">
        <f>[1]Results!U20</f>
        <v>2.946236554</v>
      </c>
      <c r="S299" s="6">
        <f>[1]Results!V20</f>
        <v>2.9994374750000001</v>
      </c>
      <c r="T299" s="6">
        <f>[1]Results!W20</f>
        <v>3.0486346169999998</v>
      </c>
      <c r="U299" s="6">
        <f>[1]Results!X20</f>
        <v>3.0942338569999999</v>
      </c>
      <c r="V299" s="6">
        <f>[1]Results!Y20</f>
        <v>3.1365476659999998</v>
      </c>
      <c r="W299" s="6">
        <f>[1]Results!Z20</f>
        <v>3.1755376069999999</v>
      </c>
      <c r="X299" s="6">
        <f>[1]Results!AA20</f>
        <v>3.2118297409999998</v>
      </c>
      <c r="Y299" s="6">
        <f>[1]Results!AB20</f>
        <v>3.245694319</v>
      </c>
      <c r="Z299" s="6">
        <f>[1]Results!AC20</f>
        <v>3.2774582080000001</v>
      </c>
      <c r="AA299" s="6">
        <f>[1]Results!AD20</f>
        <v>3.307410414</v>
      </c>
      <c r="AB299" s="6">
        <f>[1]Results!AE20</f>
        <v>3.3349953409999999</v>
      </c>
      <c r="AC299" s="6">
        <f>[1]Results!AF20</f>
        <v>3.3609788819999999</v>
      </c>
      <c r="AD299" s="6">
        <f>[1]Results!AG20</f>
        <v>3.3855732559999998</v>
      </c>
      <c r="AE299" s="6">
        <f>[1]Results!AH20</f>
        <v>3.4091145649999999</v>
      </c>
      <c r="AF299" s="6">
        <f>[1]Results!AI20</f>
        <v>3.4319423389999999</v>
      </c>
      <c r="AG299" s="6">
        <f>[1]Results!AJ20</f>
        <v>3.4542639039999998</v>
      </c>
      <c r="AH299" s="6">
        <f>[1]Results!AK20</f>
        <v>3.4761195740000002</v>
      </c>
      <c r="AI299" s="6">
        <f>[1]Results!AL20</f>
        <v>3.497444142</v>
      </c>
      <c r="AJ299" s="6">
        <f>[1]Results!AM20</f>
        <v>3.5181639649999998</v>
      </c>
      <c r="AK299" s="6">
        <f>[1]Results!AN20</f>
        <v>3.5382101100000001</v>
      </c>
      <c r="AL299" s="6">
        <f>[1]Results!AO20</f>
        <v>3.5575263960000001</v>
      </c>
    </row>
    <row r="300" spans="1:38" x14ac:dyDescent="0.35">
      <c r="B300" t="s">
        <v>55</v>
      </c>
      <c r="C300" s="6">
        <f>[1]Results!F12</f>
        <v>44.765000000000001</v>
      </c>
      <c r="D300" s="6">
        <f>[1]Results!G12</f>
        <v>62.819187579999998</v>
      </c>
      <c r="E300" s="6">
        <f>[1]Results!H12</f>
        <v>82.635225599999998</v>
      </c>
      <c r="F300" s="6">
        <f>[1]Results!I12</f>
        <v>103.9264514</v>
      </c>
      <c r="G300" s="6">
        <f>[1]Results!J12</f>
        <v>126.80310470000001</v>
      </c>
      <c r="H300" s="6">
        <f>[1]Results!K12</f>
        <v>150.90795199999999</v>
      </c>
      <c r="I300" s="6">
        <f>[1]Results!L12</f>
        <v>175.9215088</v>
      </c>
      <c r="J300" s="6">
        <f>[1]Results!M12</f>
        <v>201.61753300000001</v>
      </c>
      <c r="K300" s="6">
        <f>[1]Results!N12</f>
        <v>232.34003079999999</v>
      </c>
      <c r="L300" s="6">
        <f>[1]Results!O12</f>
        <v>271.94795449999998</v>
      </c>
      <c r="M300" s="6">
        <f>[1]Results!P12</f>
        <v>324.79548060000002</v>
      </c>
      <c r="N300" s="6">
        <f>[1]Results!Q12</f>
        <v>394.48635519999999</v>
      </c>
      <c r="O300" s="6">
        <f>[1]Results!R12</f>
        <v>481.0175395</v>
      </c>
      <c r="P300" s="6">
        <f>[1]Results!S12</f>
        <v>583.92944120000004</v>
      </c>
      <c r="Q300" s="6">
        <f>[1]Results!T12</f>
        <v>702.69364540000004</v>
      </c>
      <c r="R300" s="6">
        <f>[1]Results!U12</f>
        <v>836.84850800000004</v>
      </c>
      <c r="S300" s="6">
        <f>[1]Results!V12</f>
        <v>985.74742030000004</v>
      </c>
      <c r="T300" s="6">
        <f>[1]Results!W12</f>
        <v>1150.297409</v>
      </c>
      <c r="U300" s="6">
        <f>[1]Results!X12</f>
        <v>1331.2979270000001</v>
      </c>
      <c r="V300" s="6">
        <f>[1]Results!Y12</f>
        <v>1529.4071220000001</v>
      </c>
      <c r="W300" s="6">
        <f>[1]Results!Z12</f>
        <v>1744.8852159999999</v>
      </c>
      <c r="X300" s="6">
        <f>[1]Results!AA12</f>
        <v>1978.7917190000001</v>
      </c>
      <c r="Y300" s="6">
        <f>[1]Results!AB12</f>
        <v>2231.9152370000002</v>
      </c>
      <c r="Z300" s="6">
        <f>[1]Results!AC12</f>
        <v>2505.2560990000002</v>
      </c>
      <c r="AA300" s="6">
        <f>[1]Results!AD12</f>
        <v>2799.9266189999998</v>
      </c>
      <c r="AB300" s="6">
        <f>[1]Results!AE12</f>
        <v>3115.6878059999999</v>
      </c>
      <c r="AC300" s="6">
        <f>[1]Results!AF12</f>
        <v>3454.7218480000001</v>
      </c>
      <c r="AD300" s="6">
        <f>[1]Results!AG12</f>
        <v>3818.5286270000001</v>
      </c>
      <c r="AE300" s="6">
        <f>[1]Results!AH12</f>
        <v>4209.1377329999996</v>
      </c>
      <c r="AF300" s="6">
        <f>[1]Results!AI12</f>
        <v>4628.9126630000001</v>
      </c>
      <c r="AG300" s="6">
        <f>[1]Results!AJ12</f>
        <v>5080.2261189999999</v>
      </c>
      <c r="AH300" s="6">
        <f>[1]Results!AK12</f>
        <v>5565.2939740000002</v>
      </c>
      <c r="AI300" s="6">
        <f>[1]Results!AL12</f>
        <v>6086.2534070000002</v>
      </c>
      <c r="AJ300" s="6">
        <f>[1]Results!AM12</f>
        <v>6645.4020179999998</v>
      </c>
      <c r="AK300" s="6">
        <f>[1]Results!AN12</f>
        <v>7245.2439949999998</v>
      </c>
      <c r="AL300" s="6">
        <f>[1]Results!AO12</f>
        <v>7888.5376919999999</v>
      </c>
    </row>
    <row r="302" spans="1:3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</row>
    <row r="303" spans="1:3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31911.216659999998</v>
      </c>
      <c r="E303" s="6">
        <f>[1]Results!H28</f>
        <v>31732.934720000001</v>
      </c>
      <c r="F303" s="6">
        <f>[1]Results!I28</f>
        <v>31702.28557</v>
      </c>
      <c r="G303" s="6">
        <f>[1]Results!J28</f>
        <v>31792.126209999999</v>
      </c>
      <c r="H303" s="6">
        <f>[1]Results!K28</f>
        <v>31964.154699999999</v>
      </c>
      <c r="I303" s="6">
        <f>[1]Results!L28</f>
        <v>32173.160110000001</v>
      </c>
      <c r="J303" s="6">
        <f>[1]Results!M28</f>
        <v>32399.008249999999</v>
      </c>
      <c r="K303" s="6">
        <f>[1]Results!N28</f>
        <v>32634.390940000001</v>
      </c>
      <c r="L303" s="6">
        <f>[1]Results!O28</f>
        <v>32877.537949999998</v>
      </c>
      <c r="M303" s="6">
        <f>[1]Results!P28</f>
        <v>33133.71372</v>
      </c>
      <c r="N303" s="6">
        <f>[1]Results!Q28</f>
        <v>33397.410689999997</v>
      </c>
      <c r="O303" s="6">
        <f>[1]Results!R28</f>
        <v>33668.683129999998</v>
      </c>
      <c r="P303" s="6">
        <f>[1]Results!S28</f>
        <v>33944.055690000001</v>
      </c>
      <c r="Q303" s="6">
        <f>[1]Results!T28</f>
        <v>34219.220130000002</v>
      </c>
      <c r="R303" s="6">
        <f>[1]Results!U28</f>
        <v>34490.593789999999</v>
      </c>
      <c r="S303" s="6">
        <f>[1]Results!V28</f>
        <v>34772.085460000002</v>
      </c>
      <c r="T303" s="6">
        <f>[1]Results!W28</f>
        <v>35066.281009999999</v>
      </c>
      <c r="U303" s="6">
        <f>[1]Results!X28</f>
        <v>35370.113519999999</v>
      </c>
      <c r="V303" s="6">
        <f>[1]Results!Y28</f>
        <v>35679.906410000003</v>
      </c>
      <c r="W303" s="6">
        <f>[1]Results!Z28</f>
        <v>35989.47997</v>
      </c>
      <c r="X303" s="6">
        <f>[1]Results!AA28</f>
        <v>36303.221839999998</v>
      </c>
      <c r="Y303" s="6">
        <f>[1]Results!AB28</f>
        <v>36622.349739999998</v>
      </c>
      <c r="Z303" s="6">
        <f>[1]Results!AC28</f>
        <v>36949.230280000003</v>
      </c>
      <c r="AA303" s="6">
        <f>[1]Results!AD28</f>
        <v>37286.195590000003</v>
      </c>
      <c r="AB303" s="6">
        <f>[1]Results!AE28</f>
        <v>37624.944280000003</v>
      </c>
      <c r="AC303" s="6">
        <f>[1]Results!AF28</f>
        <v>37976.069259999997</v>
      </c>
      <c r="AD303" s="6">
        <f>[1]Results!AG28</f>
        <v>38343.27261</v>
      </c>
      <c r="AE303" s="6">
        <f>[1]Results!AH28</f>
        <v>38730.571960000001</v>
      </c>
      <c r="AF303" s="6">
        <f>[1]Results!AI28</f>
        <v>39141.653980000003</v>
      </c>
      <c r="AG303" s="6">
        <f>[1]Results!AJ28</f>
        <v>39578.548790000001</v>
      </c>
      <c r="AH303" s="6">
        <f>[1]Results!AK28</f>
        <v>40041.385849999999</v>
      </c>
      <c r="AI303" s="6">
        <f>[1]Results!AL28</f>
        <v>40528.705009999998</v>
      </c>
      <c r="AJ303" s="6">
        <f>[1]Results!AM28</f>
        <v>41037.810469999997</v>
      </c>
      <c r="AK303" s="6">
        <f>[1]Results!AN28</f>
        <v>41565.103629999998</v>
      </c>
      <c r="AL303" s="6">
        <f>[1]Results!AO28</f>
        <v>42106.337339999998</v>
      </c>
    </row>
    <row r="304" spans="1:38" x14ac:dyDescent="0.35">
      <c r="B304" t="s">
        <v>53</v>
      </c>
      <c r="C304" s="6">
        <f>[1]Results!F29</f>
        <v>32271.24</v>
      </c>
      <c r="D304" s="6">
        <f>[1]Results!G29</f>
        <v>31846.407179999998</v>
      </c>
      <c r="E304" s="6">
        <f>[1]Results!H29</f>
        <v>31648.242030000001</v>
      </c>
      <c r="F304" s="6">
        <f>[1]Results!I29</f>
        <v>31596.227699999999</v>
      </c>
      <c r="G304" s="6">
        <f>[1]Results!J29</f>
        <v>31663.112720000001</v>
      </c>
      <c r="H304" s="6">
        <f>[1]Results!K29</f>
        <v>31810.955089999999</v>
      </c>
      <c r="I304" s="6">
        <f>[1]Results!L29</f>
        <v>31994.922859999999</v>
      </c>
      <c r="J304" s="6">
        <f>[1]Results!M29</f>
        <v>32194.828699999998</v>
      </c>
      <c r="K304" s="6">
        <f>[1]Results!N29</f>
        <v>32403.05286</v>
      </c>
      <c r="L304" s="6">
        <f>[1]Results!O29</f>
        <v>32617.374459999999</v>
      </c>
      <c r="M304" s="6">
        <f>[1]Results!P29</f>
        <v>32842.462780000002</v>
      </c>
      <c r="N304" s="6">
        <f>[1]Results!Q29</f>
        <v>33072.342199999999</v>
      </c>
      <c r="O304" s="6">
        <f>[1]Results!R29</f>
        <v>33306.521719999997</v>
      </c>
      <c r="P304" s="6">
        <f>[1]Results!S29</f>
        <v>33541.054100000001</v>
      </c>
      <c r="Q304" s="6">
        <f>[1]Results!T29</f>
        <v>33771.202120000002</v>
      </c>
      <c r="R304" s="6">
        <f>[1]Results!U29</f>
        <v>33992.964390000001</v>
      </c>
      <c r="S304" s="6">
        <f>[1]Results!V29</f>
        <v>34219.569960000001</v>
      </c>
      <c r="T304" s="6">
        <f>[1]Results!W29</f>
        <v>34453.40812</v>
      </c>
      <c r="U304" s="6">
        <f>[1]Results!X29</f>
        <v>34691.436119999998</v>
      </c>
      <c r="V304" s="6">
        <f>[1]Results!Y29</f>
        <v>34930.011250000003</v>
      </c>
      <c r="W304" s="6">
        <f>[1]Results!Z29</f>
        <v>35163.030290000002</v>
      </c>
      <c r="X304" s="6">
        <f>[1]Results!AA29</f>
        <v>35394.533990000004</v>
      </c>
      <c r="Y304" s="6">
        <f>[1]Results!AB29</f>
        <v>35625.400679999999</v>
      </c>
      <c r="Z304" s="6">
        <f>[1]Results!AC29</f>
        <v>35857.521139999997</v>
      </c>
      <c r="AA304" s="6">
        <f>[1]Results!AD29</f>
        <v>36092.655550000003</v>
      </c>
      <c r="AB304" s="6">
        <f>[1]Results!AE29</f>
        <v>36322.35456</v>
      </c>
      <c r="AC304" s="6">
        <f>[1]Results!AF29</f>
        <v>36556.102129999999</v>
      </c>
      <c r="AD304" s="6">
        <f>[1]Results!AG29</f>
        <v>36796.680930000002</v>
      </c>
      <c r="AE304" s="6">
        <f>[1]Results!AH29</f>
        <v>37047.049769999998</v>
      </c>
      <c r="AF304" s="6">
        <f>[1]Results!AI29</f>
        <v>37309.729420000003</v>
      </c>
      <c r="AG304" s="6">
        <f>[1]Results!AJ29</f>
        <v>37585.568010000003</v>
      </c>
      <c r="AH304" s="6">
        <f>[1]Results!AK29</f>
        <v>37873.541530000002</v>
      </c>
      <c r="AI304" s="6">
        <f>[1]Results!AL29</f>
        <v>38171.077310000001</v>
      </c>
      <c r="AJ304" s="6">
        <f>[1]Results!AM29</f>
        <v>38474.414380000002</v>
      </c>
      <c r="AK304" s="6">
        <f>[1]Results!AN29</f>
        <v>38778.940459999998</v>
      </c>
      <c r="AL304" s="6">
        <f>[1]Results!AO29</f>
        <v>39079.453049999996</v>
      </c>
    </row>
    <row r="305" spans="1:38" x14ac:dyDescent="0.35">
      <c r="B305" t="s">
        <v>54</v>
      </c>
      <c r="C305" s="6">
        <f>[1]Results!F45</f>
        <v>1.9359999999999999</v>
      </c>
      <c r="D305" s="6">
        <f>[1]Results!G45</f>
        <v>1.990292951</v>
      </c>
      <c r="E305" s="6">
        <f>[1]Results!H45</f>
        <v>2.057457688</v>
      </c>
      <c r="F305" s="6">
        <f>[1]Results!I45</f>
        <v>2.1314073379999998</v>
      </c>
      <c r="G305" s="6">
        <f>[1]Results!J45</f>
        <v>2.210383926</v>
      </c>
      <c r="H305" s="6">
        <f>[1]Results!K45</f>
        <v>2.291663067</v>
      </c>
      <c r="I305" s="6">
        <f>[1]Results!L45</f>
        <v>2.3718637600000001</v>
      </c>
      <c r="J305" s="6">
        <f>[1]Results!M45</f>
        <v>2.4495936299999999</v>
      </c>
      <c r="K305" s="6">
        <f>[1]Results!N45</f>
        <v>2.5244711629999999</v>
      </c>
      <c r="L305" s="6">
        <f>[1]Results!O45</f>
        <v>2.5965424349999999</v>
      </c>
      <c r="M305" s="6">
        <f>[1]Results!P45</f>
        <v>2.6664149699999999</v>
      </c>
      <c r="N305" s="6">
        <f>[1]Results!Q45</f>
        <v>2.7337945640000001</v>
      </c>
      <c r="O305" s="6">
        <f>[1]Results!R45</f>
        <v>2.7988271</v>
      </c>
      <c r="P305" s="6">
        <f>[1]Results!S45</f>
        <v>2.8613557699999999</v>
      </c>
      <c r="Q305" s="6">
        <f>[1]Results!T45</f>
        <v>2.9211413949999998</v>
      </c>
      <c r="R305" s="6">
        <f>[1]Results!U45</f>
        <v>2.977990589</v>
      </c>
      <c r="S305" s="6">
        <f>[1]Results!V45</f>
        <v>3.033143441</v>
      </c>
      <c r="T305" s="6">
        <f>[1]Results!W45</f>
        <v>3.0869383629999998</v>
      </c>
      <c r="U305" s="6">
        <f>[1]Results!X45</f>
        <v>3.139251888</v>
      </c>
      <c r="V305" s="6">
        <f>[1]Results!Y45</f>
        <v>3.1898979660000002</v>
      </c>
      <c r="W305" s="6">
        <f>[1]Results!Z45</f>
        <v>3.238471654</v>
      </c>
      <c r="X305" s="6">
        <f>[1]Results!AA45</f>
        <v>3.2854056169999999</v>
      </c>
      <c r="Y305" s="6">
        <f>[1]Results!AB45</f>
        <v>3.330866221</v>
      </c>
      <c r="Z305" s="6">
        <f>[1]Results!AC45</f>
        <v>3.3751002329999999</v>
      </c>
      <c r="AA305" s="6">
        <f>[1]Results!AD45</f>
        <v>3.4183403860000001</v>
      </c>
      <c r="AB305" s="6">
        <f>[1]Results!AE45</f>
        <v>3.4599586630000001</v>
      </c>
      <c r="AC305" s="6">
        <f>[1]Results!AF45</f>
        <v>3.5008176519999998</v>
      </c>
      <c r="AD305" s="6">
        <f>[1]Results!AG45</f>
        <v>3.5412250520000002</v>
      </c>
      <c r="AE305" s="6">
        <f>[1]Results!AH45</f>
        <v>3.581502322</v>
      </c>
      <c r="AF305" s="6">
        <f>[1]Results!AI45</f>
        <v>3.6219333730000001</v>
      </c>
      <c r="AG305" s="6">
        <f>[1]Results!AJ45</f>
        <v>3.6626603310000001</v>
      </c>
      <c r="AH305" s="6">
        <f>[1]Results!AK45</f>
        <v>3.703664705</v>
      </c>
      <c r="AI305" s="6">
        <f>[1]Results!AL45</f>
        <v>3.7447923589999998</v>
      </c>
      <c r="AJ305" s="6">
        <f>[1]Results!AM45</f>
        <v>3.785782143</v>
      </c>
      <c r="AK305" s="6">
        <f>[1]Results!AN45</f>
        <v>3.8262931189999998</v>
      </c>
      <c r="AL305" s="6">
        <f>[1]Results!AO45</f>
        <v>3.8659259179999999</v>
      </c>
    </row>
    <row r="306" spans="1:38" x14ac:dyDescent="0.35">
      <c r="B306" t="s">
        <v>55</v>
      </c>
      <c r="C306" s="6">
        <f>[1]Results!F37</f>
        <v>44.765000000000001</v>
      </c>
      <c r="D306" s="6">
        <f>[1]Results!G37</f>
        <v>62.819187579999998</v>
      </c>
      <c r="E306" s="6">
        <f>[1]Results!H37</f>
        <v>82.635225599999998</v>
      </c>
      <c r="F306" s="6">
        <f>[1]Results!I37</f>
        <v>103.9264514</v>
      </c>
      <c r="G306" s="6">
        <f>[1]Results!J37</f>
        <v>126.80310470000001</v>
      </c>
      <c r="H306" s="6">
        <f>[1]Results!K37</f>
        <v>150.90795209999999</v>
      </c>
      <c r="I306" s="6">
        <f>[1]Results!L37</f>
        <v>175.86537910000001</v>
      </c>
      <c r="J306" s="6">
        <f>[1]Results!M37</f>
        <v>201.72995420000001</v>
      </c>
      <c r="K306" s="6">
        <f>[1]Results!N37</f>
        <v>228.8136106</v>
      </c>
      <c r="L306" s="6">
        <f>[1]Results!O37</f>
        <v>257.56693890000003</v>
      </c>
      <c r="M306" s="6">
        <f>[1]Results!P37</f>
        <v>288.58452770000002</v>
      </c>
      <c r="N306" s="6">
        <f>[1]Results!Q37</f>
        <v>322.3346995</v>
      </c>
      <c r="O306" s="6">
        <f>[1]Results!R37</f>
        <v>359.3625783</v>
      </c>
      <c r="P306" s="6">
        <f>[1]Results!S37</f>
        <v>400.14023739999999</v>
      </c>
      <c r="Q306" s="6">
        <f>[1]Results!T37</f>
        <v>445.09687050000002</v>
      </c>
      <c r="R306" s="6">
        <f>[1]Results!U37</f>
        <v>494.65141080000001</v>
      </c>
      <c r="S306" s="6">
        <f>[1]Results!V37</f>
        <v>549.48235529999999</v>
      </c>
      <c r="T306" s="6">
        <f>[1]Results!W37</f>
        <v>609.78595080000002</v>
      </c>
      <c r="U306" s="6">
        <f>[1]Results!X37</f>
        <v>675.53814639999996</v>
      </c>
      <c r="V306" s="6">
        <f>[1]Results!Y37</f>
        <v>746.70526050000001</v>
      </c>
      <c r="W306" s="6">
        <f>[1]Results!Z37</f>
        <v>823.21120329999997</v>
      </c>
      <c r="X306" s="6">
        <f>[1]Results!AA37</f>
        <v>905.40243880000003</v>
      </c>
      <c r="Y306" s="6">
        <f>[1]Results!AB37</f>
        <v>993.61819930000001</v>
      </c>
      <c r="Z306" s="6">
        <f>[1]Results!AC37</f>
        <v>1088.3340450000001</v>
      </c>
      <c r="AA306" s="6">
        <f>[1]Results!AD37</f>
        <v>1190.121707</v>
      </c>
      <c r="AB306" s="6">
        <f>[1]Results!AE37</f>
        <v>1299.129768</v>
      </c>
      <c r="AC306" s="6">
        <f>[1]Results!AF37</f>
        <v>1416.4663210000001</v>
      </c>
      <c r="AD306" s="6">
        <f>[1]Results!AG37</f>
        <v>1543.0504679999999</v>
      </c>
      <c r="AE306" s="6">
        <f>[1]Results!AH37</f>
        <v>1679.9406939999999</v>
      </c>
      <c r="AF306" s="6">
        <f>[1]Results!AI37</f>
        <v>1828.302631</v>
      </c>
      <c r="AG306" s="6">
        <f>[1]Results!AJ37</f>
        <v>1989.3181279999999</v>
      </c>
      <c r="AH306" s="6">
        <f>[1]Results!AK37</f>
        <v>2164.1406649999999</v>
      </c>
      <c r="AI306" s="6">
        <f>[1]Results!AL37</f>
        <v>2353.8829230000001</v>
      </c>
      <c r="AJ306" s="6">
        <f>[1]Results!AM37</f>
        <v>2559.610326</v>
      </c>
      <c r="AK306" s="6">
        <f>[1]Results!AN37</f>
        <v>2782.336898</v>
      </c>
      <c r="AL306" s="6">
        <f>[1]Results!AO37</f>
        <v>3023.0183950000001</v>
      </c>
    </row>
    <row r="308" spans="1:3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7136.757756</v>
      </c>
      <c r="E308" s="5">
        <f>[1]Hybrid!D18</f>
        <v>7234.0597159999998</v>
      </c>
      <c r="F308" s="5">
        <f>[1]Hybrid!E18</f>
        <v>7366.5769819999996</v>
      </c>
      <c r="G308" s="5">
        <f>[1]Hybrid!F18</f>
        <v>7527.8348660000001</v>
      </c>
      <c r="H308" s="5">
        <f>[1]Hybrid!G18</f>
        <v>7707.4421970000003</v>
      </c>
      <c r="I308" s="5">
        <f>[1]Hybrid!H18</f>
        <v>7895.9502320000001</v>
      </c>
      <c r="J308" s="5">
        <f>[1]Hybrid!I18</f>
        <v>8060.2893560000002</v>
      </c>
      <c r="K308" s="5">
        <f>[1]Hybrid!J18</f>
        <v>8220.1979589999992</v>
      </c>
      <c r="L308" s="5">
        <f>[1]Hybrid!K18</f>
        <v>8384.1238209999992</v>
      </c>
      <c r="M308" s="5">
        <f>[1]Hybrid!L18</f>
        <v>8555.0785959999994</v>
      </c>
      <c r="N308" s="5">
        <f>[1]Hybrid!M18</f>
        <v>8740.1705700000002</v>
      </c>
      <c r="O308" s="5">
        <f>[1]Hybrid!N18</f>
        <v>8934.2740570000005</v>
      </c>
      <c r="P308" s="5">
        <f>[1]Hybrid!O18</f>
        <v>9130.5663949999998</v>
      </c>
      <c r="Q308" s="5">
        <f>[1]Hybrid!P18</f>
        <v>9323.7358139999997</v>
      </c>
      <c r="R308" s="5">
        <f>[1]Hybrid!Q18</f>
        <v>9510.1671110000007</v>
      </c>
      <c r="S308" s="5">
        <f>[1]Hybrid!R18</f>
        <v>9684.0123500000009</v>
      </c>
      <c r="T308" s="5">
        <f>[1]Hybrid!S18</f>
        <v>9846.2460900000005</v>
      </c>
      <c r="U308" s="5">
        <f>[1]Hybrid!T18</f>
        <v>9998.0434760000007</v>
      </c>
      <c r="V308" s="5">
        <f>[1]Hybrid!U18</f>
        <v>10140.228580000001</v>
      </c>
      <c r="W308" s="5">
        <f>[1]Hybrid!V18</f>
        <v>10272.333640000001</v>
      </c>
      <c r="X308" s="5">
        <f>[1]Hybrid!W18</f>
        <v>10396.614449999999</v>
      </c>
      <c r="Y308" s="5">
        <f>[1]Hybrid!X18</f>
        <v>10514.01756</v>
      </c>
      <c r="Z308" s="5">
        <f>[1]Hybrid!Y18</f>
        <v>10625.795410000001</v>
      </c>
      <c r="AA308" s="5">
        <f>[1]Hybrid!Z18</f>
        <v>10733.127920000001</v>
      </c>
      <c r="AB308" s="5">
        <f>[1]Hybrid!AA18</f>
        <v>10833.89083</v>
      </c>
      <c r="AC308" s="5">
        <f>[1]Hybrid!AB18</f>
        <v>10931.36087</v>
      </c>
      <c r="AD308" s="5">
        <f>[1]Hybrid!AC18</f>
        <v>11026.66144</v>
      </c>
      <c r="AE308" s="5">
        <f>[1]Hybrid!AD18</f>
        <v>11121.439770000001</v>
      </c>
      <c r="AF308" s="5">
        <f>[1]Hybrid!AE18</f>
        <v>11217.293799999999</v>
      </c>
      <c r="AG308" s="5">
        <f>[1]Hybrid!AF18</f>
        <v>11315.20413</v>
      </c>
      <c r="AH308" s="5">
        <f>[1]Hybrid!AG18</f>
        <v>11415.41058</v>
      </c>
      <c r="AI308" s="5">
        <f>[1]Hybrid!AH18</f>
        <v>11517.687610000001</v>
      </c>
      <c r="AJ308" s="5">
        <f>[1]Hybrid!AI18</f>
        <v>11621.740449999999</v>
      </c>
      <c r="AK308" s="5">
        <f>[1]Hybrid!AJ18</f>
        <v>11727.25244</v>
      </c>
      <c r="AL308" s="5">
        <f>[1]Hybrid!AK18</f>
        <v>11833.93001</v>
      </c>
    </row>
    <row r="309" spans="1:3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8178.0100259999999</v>
      </c>
      <c r="E309" s="5">
        <f>[1]Hybrid!D20</f>
        <v>8166.471595</v>
      </c>
      <c r="F309" s="5">
        <f>[1]Hybrid!E20</f>
        <v>8195.5437349999993</v>
      </c>
      <c r="G309" s="5">
        <f>[1]Hybrid!F20</f>
        <v>8258.2796460000009</v>
      </c>
      <c r="H309" s="5">
        <f>[1]Hybrid!G20</f>
        <v>8344.2947559999993</v>
      </c>
      <c r="I309" s="5">
        <f>[1]Hybrid!H20</f>
        <v>8444.0796950000004</v>
      </c>
      <c r="J309" s="5">
        <f>[1]Hybrid!I20</f>
        <v>8525.0964899999999</v>
      </c>
      <c r="K309" s="5">
        <f>[1]Hybrid!J20</f>
        <v>8604.4670139999998</v>
      </c>
      <c r="L309" s="5">
        <f>[1]Hybrid!K20</f>
        <v>8689.6297070000001</v>
      </c>
      <c r="M309" s="5">
        <f>[1]Hybrid!L20</f>
        <v>8782.9608489999991</v>
      </c>
      <c r="N309" s="5">
        <f>[1]Hybrid!M20</f>
        <v>8891.0358159999996</v>
      </c>
      <c r="O309" s="5">
        <f>[1]Hybrid!N20</f>
        <v>9009.4932040000003</v>
      </c>
      <c r="P309" s="5">
        <f>[1]Hybrid!O20</f>
        <v>9132.2176309999995</v>
      </c>
      <c r="Q309" s="5">
        <f>[1]Hybrid!P20</f>
        <v>9254.3914789999999</v>
      </c>
      <c r="R309" s="5">
        <f>[1]Hybrid!Q20</f>
        <v>9372.6969580000004</v>
      </c>
      <c r="S309" s="5">
        <f>[1]Hybrid!R20</f>
        <v>9481.622539</v>
      </c>
      <c r="T309" s="5">
        <f>[1]Hybrid!S20</f>
        <v>9581.8143720000007</v>
      </c>
      <c r="U309" s="5">
        <f>[1]Hybrid!T20</f>
        <v>9674.2261510000008</v>
      </c>
      <c r="V309" s="5">
        <f>[1]Hybrid!U20</f>
        <v>9759.5273710000001</v>
      </c>
      <c r="W309" s="5">
        <f>[1]Hybrid!V20</f>
        <v>9837.2079300000005</v>
      </c>
      <c r="X309" s="5">
        <f>[1]Hybrid!W20</f>
        <v>9909.2124089999998</v>
      </c>
      <c r="Y309" s="5">
        <f>[1]Hybrid!X20</f>
        <v>9976.2643489999991</v>
      </c>
      <c r="Z309" s="5">
        <f>[1]Hybrid!Y20</f>
        <v>10039.339610000001</v>
      </c>
      <c r="AA309" s="5">
        <f>[1]Hybrid!Z20</f>
        <v>10099.322050000001</v>
      </c>
      <c r="AB309" s="5">
        <f>[1]Hybrid!AA20</f>
        <v>10154.102140000001</v>
      </c>
      <c r="AC309" s="5">
        <f>[1]Hybrid!AB20</f>
        <v>10206.39538</v>
      </c>
      <c r="AD309" s="5">
        <f>[1]Hybrid!AC20</f>
        <v>10256.93845</v>
      </c>
      <c r="AE309" s="5">
        <f>[1]Hybrid!AD20</f>
        <v>10306.91597</v>
      </c>
      <c r="AF309" s="5">
        <f>[1]Hybrid!AE20</f>
        <v>10357.47768</v>
      </c>
      <c r="AG309" s="5">
        <f>[1]Hybrid!AF20</f>
        <v>10409.24202</v>
      </c>
      <c r="AH309" s="5">
        <f>[1]Hybrid!AG20</f>
        <v>10462.186519999999</v>
      </c>
      <c r="AI309" s="5">
        <f>[1]Hybrid!AH20</f>
        <v>10515.88897</v>
      </c>
      <c r="AJ309" s="5">
        <f>[1]Hybrid!AI20</f>
        <v>10569.88236</v>
      </c>
      <c r="AK309" s="5">
        <f>[1]Hybrid!AJ20</f>
        <v>10623.70097</v>
      </c>
      <c r="AL309" s="5">
        <f>[1]Hybrid!AK20</f>
        <v>10676.91531</v>
      </c>
    </row>
    <row r="310" spans="1:3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6643.4662250000001</v>
      </c>
      <c r="E310" s="5">
        <f>[1]Hybrid!D22</f>
        <v>6557.8114910000004</v>
      </c>
      <c r="F310" s="5">
        <f>[1]Hybrid!E22</f>
        <v>6505.379003</v>
      </c>
      <c r="G310" s="5">
        <f>[1]Hybrid!F22</f>
        <v>6480.8301350000002</v>
      </c>
      <c r="H310" s="5">
        <f>[1]Hybrid!G22</f>
        <v>6476.6687620000002</v>
      </c>
      <c r="I310" s="5">
        <f>[1]Hybrid!H22</f>
        <v>6485.9869779999999</v>
      </c>
      <c r="J310" s="5">
        <f>[1]Hybrid!I22</f>
        <v>6485.7063179999996</v>
      </c>
      <c r="K310" s="5">
        <f>[1]Hybrid!J22</f>
        <v>6486.4371659999997</v>
      </c>
      <c r="L310" s="5">
        <f>[1]Hybrid!K22</f>
        <v>6492.8701689999998</v>
      </c>
      <c r="M310" s="5">
        <f>[1]Hybrid!L22</f>
        <v>6506.3038569999999</v>
      </c>
      <c r="N310" s="5">
        <f>[1]Hybrid!M22</f>
        <v>6531.1170700000002</v>
      </c>
      <c r="O310" s="5">
        <f>[1]Hybrid!N22</f>
        <v>6564.6417499999998</v>
      </c>
      <c r="P310" s="5">
        <f>[1]Hybrid!O22</f>
        <v>6602.9117569999999</v>
      </c>
      <c r="Q310" s="5">
        <f>[1]Hybrid!P22</f>
        <v>6642.7573130000001</v>
      </c>
      <c r="R310" s="5">
        <f>[1]Hybrid!Q22</f>
        <v>6681.9615709999998</v>
      </c>
      <c r="S310" s="5">
        <f>[1]Hybrid!R22</f>
        <v>6716.7586899999997</v>
      </c>
      <c r="T310" s="5">
        <f>[1]Hybrid!S22</f>
        <v>6747.3925989999998</v>
      </c>
      <c r="U310" s="5">
        <f>[1]Hybrid!T22</f>
        <v>6774.3935940000001</v>
      </c>
      <c r="V310" s="5">
        <f>[1]Hybrid!U22</f>
        <v>6798.1298100000004</v>
      </c>
      <c r="W310" s="5">
        <f>[1]Hybrid!V22</f>
        <v>6818.1930949999996</v>
      </c>
      <c r="X310" s="5">
        <f>[1]Hybrid!W22</f>
        <v>6835.7731460000005</v>
      </c>
      <c r="Y310" s="5">
        <f>[1]Hybrid!X22</f>
        <v>6851.2399569999998</v>
      </c>
      <c r="Z310" s="5">
        <f>[1]Hybrid!Y22</f>
        <v>6865.1141090000001</v>
      </c>
      <c r="AA310" s="5">
        <f>[1]Hybrid!Z22</f>
        <v>6877.8410180000001</v>
      </c>
      <c r="AB310" s="5">
        <f>[1]Hybrid!AA22</f>
        <v>6887.9101220000002</v>
      </c>
      <c r="AC310" s="5">
        <f>[1]Hybrid!AB22</f>
        <v>6896.9260800000002</v>
      </c>
      <c r="AD310" s="5">
        <f>[1]Hybrid!AC22</f>
        <v>6905.1845869999997</v>
      </c>
      <c r="AE310" s="5">
        <f>[1]Hybrid!AD22</f>
        <v>6913.2613099999999</v>
      </c>
      <c r="AF310" s="5">
        <f>[1]Hybrid!AE22</f>
        <v>6921.7192180000002</v>
      </c>
      <c r="AG310" s="5">
        <f>[1]Hybrid!AF22</f>
        <v>6930.7952530000002</v>
      </c>
      <c r="AH310" s="5">
        <f>[1]Hybrid!AG22</f>
        <v>6940.3297069999999</v>
      </c>
      <c r="AI310" s="5">
        <f>[1]Hybrid!AH22</f>
        <v>6949.9187460000003</v>
      </c>
      <c r="AJ310" s="5">
        <f>[1]Hybrid!AI22</f>
        <v>6959.1440329999996</v>
      </c>
      <c r="AK310" s="5">
        <f>[1]Hybrid!AJ22</f>
        <v>6967.6046960000003</v>
      </c>
      <c r="AL310" s="5">
        <f>[1]Hybrid!AK22</f>
        <v>6974.9365100000005</v>
      </c>
    </row>
    <row r="311" spans="1:3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4053.0059419999998</v>
      </c>
      <c r="E311" s="5">
        <f>[1]Hybrid!D24</f>
        <v>3974.2091730000002</v>
      </c>
      <c r="F311" s="5">
        <f>[1]Hybrid!E24</f>
        <v>3914.3492820000001</v>
      </c>
      <c r="G311" s="5">
        <f>[1]Hybrid!F24</f>
        <v>3870.1371989999998</v>
      </c>
      <c r="H311" s="5">
        <f>[1]Hybrid!G24</f>
        <v>3837.332973</v>
      </c>
      <c r="I311" s="5">
        <f>[1]Hybrid!H24</f>
        <v>3812.0521840000001</v>
      </c>
      <c r="J311" s="5">
        <f>[1]Hybrid!I24</f>
        <v>3781.6082240000001</v>
      </c>
      <c r="K311" s="5">
        <f>[1]Hybrid!J24</f>
        <v>3751.148318</v>
      </c>
      <c r="L311" s="5">
        <f>[1]Hybrid!K24</f>
        <v>3723.2200240000002</v>
      </c>
      <c r="M311" s="5">
        <f>[1]Hybrid!L24</f>
        <v>3698.628471</v>
      </c>
      <c r="N311" s="5">
        <f>[1]Hybrid!M24</f>
        <v>3679.8224260000002</v>
      </c>
      <c r="O311" s="5">
        <f>[1]Hybrid!N24</f>
        <v>3665.7556</v>
      </c>
      <c r="P311" s="5">
        <f>[1]Hybrid!O24</f>
        <v>3654.7070800000001</v>
      </c>
      <c r="Q311" s="5">
        <f>[1]Hybrid!P24</f>
        <v>3645.3373780000002</v>
      </c>
      <c r="R311" s="5">
        <f>[1]Hybrid!Q24</f>
        <v>3636.7518709999999</v>
      </c>
      <c r="S311" s="5">
        <f>[1]Hybrid!R24</f>
        <v>3627.238218</v>
      </c>
      <c r="T311" s="5">
        <f>[1]Hybrid!S24</f>
        <v>3616.998349</v>
      </c>
      <c r="U311" s="5">
        <f>[1]Hybrid!T24</f>
        <v>3606.3943260000001</v>
      </c>
      <c r="V311" s="5">
        <f>[1]Hybrid!U24</f>
        <v>3595.6908360000002</v>
      </c>
      <c r="W311" s="5">
        <f>[1]Hybrid!V24</f>
        <v>3584.7349920000001</v>
      </c>
      <c r="X311" s="5">
        <f>[1]Hybrid!W24</f>
        <v>3574.1139969999999</v>
      </c>
      <c r="Y311" s="5">
        <f>[1]Hybrid!X24</f>
        <v>3563.9727109999999</v>
      </c>
      <c r="Z311" s="5">
        <f>[1]Hybrid!Y24</f>
        <v>3554.4983200000001</v>
      </c>
      <c r="AA311" s="5">
        <f>[1]Hybrid!Z24</f>
        <v>3545.809663</v>
      </c>
      <c r="AB311" s="5">
        <f>[1]Hybrid!AA24</f>
        <v>3537.0390870000001</v>
      </c>
      <c r="AC311" s="5">
        <f>[1]Hybrid!AB24</f>
        <v>3528.8067390000001</v>
      </c>
      <c r="AD311" s="5">
        <f>[1]Hybrid!AC24</f>
        <v>3521.0548699999999</v>
      </c>
      <c r="AE311" s="5">
        <f>[1]Hybrid!AD24</f>
        <v>3513.8573820000001</v>
      </c>
      <c r="AF311" s="5">
        <f>[1]Hybrid!AE24</f>
        <v>3507.3200999999999</v>
      </c>
      <c r="AG311" s="5">
        <f>[1]Hybrid!AF24</f>
        <v>3501.4366890000001</v>
      </c>
      <c r="AH311" s="5">
        <f>[1]Hybrid!AG24</f>
        <v>3496.0451210000001</v>
      </c>
      <c r="AI311" s="5">
        <f>[1]Hybrid!AH24</f>
        <v>3490.8911159999998</v>
      </c>
      <c r="AJ311" s="5">
        <f>[1]Hybrid!AI24</f>
        <v>3485.7445640000001</v>
      </c>
      <c r="AK311" s="5">
        <f>[1]Hybrid!AJ24</f>
        <v>3480.4203360000001</v>
      </c>
      <c r="AL311" s="5">
        <f>[1]Hybrid!AK24</f>
        <v>3474.7832600000002</v>
      </c>
    </row>
    <row r="312" spans="1:3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2441.8638930000002</v>
      </c>
      <c r="E312" s="5">
        <f>[1]Hybrid!D26</f>
        <v>2395.982638</v>
      </c>
      <c r="F312" s="5">
        <f>[1]Hybrid!E26</f>
        <v>2360.4699649999998</v>
      </c>
      <c r="G312" s="5">
        <f>[1]Hybrid!F26</f>
        <v>2333.2493450000002</v>
      </c>
      <c r="H312" s="5">
        <f>[1]Hybrid!G26</f>
        <v>2311.7996929999999</v>
      </c>
      <c r="I312" s="5">
        <f>[1]Hybrid!H26</f>
        <v>2293.8231249999999</v>
      </c>
      <c r="J312" s="5">
        <f>[1]Hybrid!I26</f>
        <v>2271.6500569999998</v>
      </c>
      <c r="K312" s="5">
        <f>[1]Hybrid!J26</f>
        <v>2248.0250850000002</v>
      </c>
      <c r="L312" s="5">
        <f>[1]Hybrid!K26</f>
        <v>2224.466277</v>
      </c>
      <c r="M312" s="5">
        <f>[1]Hybrid!L26</f>
        <v>2201.4733670000001</v>
      </c>
      <c r="N312" s="5">
        <f>[1]Hybrid!M26</f>
        <v>2180.5551839999998</v>
      </c>
      <c r="O312" s="5">
        <f>[1]Hybrid!N26</f>
        <v>2161.3778750000001</v>
      </c>
      <c r="P312" s="5">
        <f>[1]Hybrid!O26</f>
        <v>2143.2091540000001</v>
      </c>
      <c r="Q312" s="5">
        <f>[1]Hybrid!P26</f>
        <v>2125.507192</v>
      </c>
      <c r="R312" s="5">
        <f>[1]Hybrid!Q26</f>
        <v>2107.9479040000001</v>
      </c>
      <c r="S312" s="5">
        <f>[1]Hybrid!R26</f>
        <v>2089.7260310000001</v>
      </c>
      <c r="T312" s="5">
        <f>[1]Hybrid!S26</f>
        <v>2071.0152990000001</v>
      </c>
      <c r="U312" s="5">
        <f>[1]Hybrid!T26</f>
        <v>2052.0802899999999</v>
      </c>
      <c r="V312" s="5">
        <f>[1]Hybrid!U26</f>
        <v>2033.120647</v>
      </c>
      <c r="W312" s="5">
        <f>[1]Hybrid!V26</f>
        <v>2014.0964739999999</v>
      </c>
      <c r="X312" s="5">
        <f>[1]Hybrid!W26</f>
        <v>1995.3268479999999</v>
      </c>
      <c r="Y312" s="5">
        <f>[1]Hybrid!X26</f>
        <v>1976.876182</v>
      </c>
      <c r="Z312" s="5">
        <f>[1]Hybrid!Y26</f>
        <v>1958.810694</v>
      </c>
      <c r="AA312" s="5">
        <f>[1]Hybrid!Z26</f>
        <v>1941.142098</v>
      </c>
      <c r="AB312" s="5">
        <f>[1]Hybrid!AA26</f>
        <v>1923.372511</v>
      </c>
      <c r="AC312" s="5">
        <f>[1]Hybrid!AB26</f>
        <v>1905.7311520000001</v>
      </c>
      <c r="AD312" s="5">
        <f>[1]Hybrid!AC26</f>
        <v>1888.0886</v>
      </c>
      <c r="AE312" s="5">
        <f>[1]Hybrid!AD26</f>
        <v>1870.3759809999999</v>
      </c>
      <c r="AF312" s="5">
        <f>[1]Hybrid!AE26</f>
        <v>1852.553396</v>
      </c>
      <c r="AG312" s="5">
        <f>[1]Hybrid!AF26</f>
        <v>1834.544388</v>
      </c>
      <c r="AH312" s="5">
        <f>[1]Hybrid!AG26</f>
        <v>1816.213827</v>
      </c>
      <c r="AI312" s="5">
        <f>[1]Hybrid!AH26</f>
        <v>1797.396131</v>
      </c>
      <c r="AJ312" s="5">
        <f>[1]Hybrid!AI26</f>
        <v>1777.952063</v>
      </c>
      <c r="AK312" s="5">
        <f>[1]Hybrid!AJ26</f>
        <v>1757.779215</v>
      </c>
      <c r="AL312" s="5">
        <f>[1]Hybrid!AK26</f>
        <v>1736.8109139999999</v>
      </c>
    </row>
    <row r="313" spans="1:3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1210.317067</v>
      </c>
      <c r="E313" s="5">
        <f>[1]Hybrid!D28</f>
        <v>1183.5843560000001</v>
      </c>
      <c r="F313" s="5">
        <f>[1]Hybrid!E28</f>
        <v>1160.5419850000001</v>
      </c>
      <c r="G313" s="5">
        <f>[1]Hybrid!F28</f>
        <v>1140.091574</v>
      </c>
      <c r="H313" s="5">
        <f>[1]Hybrid!G28</f>
        <v>1121.1101410000001</v>
      </c>
      <c r="I313" s="5">
        <f>[1]Hybrid!H28</f>
        <v>1102.6232749999999</v>
      </c>
      <c r="J313" s="5">
        <f>[1]Hybrid!I28</f>
        <v>1081.2936139999999</v>
      </c>
      <c r="K313" s="5">
        <f>[1]Hybrid!J28</f>
        <v>1058.1197870000001</v>
      </c>
      <c r="L313" s="5">
        <f>[1]Hybrid!K28</f>
        <v>1033.8428429999999</v>
      </c>
      <c r="M313" s="5">
        <f>[1]Hybrid!L28</f>
        <v>1008.77923</v>
      </c>
      <c r="N313" s="5">
        <f>[1]Hybrid!M28</f>
        <v>983.65914439999995</v>
      </c>
      <c r="O313" s="5">
        <f>[1]Hybrid!N28</f>
        <v>958.62604050000004</v>
      </c>
      <c r="P313" s="5">
        <f>[1]Hybrid!O28</f>
        <v>933.67940490000001</v>
      </c>
      <c r="Q313" s="5">
        <f>[1]Hybrid!P28</f>
        <v>908.86485210000001</v>
      </c>
      <c r="R313" s="5">
        <f>[1]Hybrid!Q28</f>
        <v>884.26697899999999</v>
      </c>
      <c r="S313" s="5">
        <f>[1]Hybrid!R28</f>
        <v>859.7806544</v>
      </c>
      <c r="T313" s="5">
        <f>[1]Hybrid!S28</f>
        <v>835.5546392</v>
      </c>
      <c r="U313" s="5">
        <f>[1]Hybrid!T28</f>
        <v>811.74716650000005</v>
      </c>
      <c r="V313" s="5">
        <f>[1]Hybrid!U28</f>
        <v>788.47163160000002</v>
      </c>
      <c r="W313" s="5">
        <f>[1]Hybrid!V28</f>
        <v>765.74586839999995</v>
      </c>
      <c r="X313" s="5">
        <f>[1]Hybrid!W28</f>
        <v>743.6615759</v>
      </c>
      <c r="Y313" s="5">
        <f>[1]Hybrid!X28</f>
        <v>722.21595219999995</v>
      </c>
      <c r="Z313" s="5">
        <f>[1]Hybrid!Y28</f>
        <v>701.3901257</v>
      </c>
      <c r="AA313" s="5">
        <f>[1]Hybrid!Z28</f>
        <v>681.13618269999995</v>
      </c>
      <c r="AB313" s="5">
        <f>[1]Hybrid!AA28</f>
        <v>661.26856980000002</v>
      </c>
      <c r="AC313" s="5">
        <f>[1]Hybrid!AB28</f>
        <v>641.77516219999995</v>
      </c>
      <c r="AD313" s="5">
        <f>[1]Hybrid!AC28</f>
        <v>622.54646090000006</v>
      </c>
      <c r="AE313" s="5">
        <f>[1]Hybrid!AD28</f>
        <v>603.49414260000003</v>
      </c>
      <c r="AF313" s="5">
        <f>[1]Hybrid!AE28</f>
        <v>584.55736899999999</v>
      </c>
      <c r="AG313" s="5">
        <f>[1]Hybrid!AF28</f>
        <v>565.689483</v>
      </c>
      <c r="AH313" s="5">
        <f>[1]Hybrid!AG28</f>
        <v>546.85005999999998</v>
      </c>
      <c r="AI313" s="5">
        <f>[1]Hybrid!AH28</f>
        <v>528.00766469999996</v>
      </c>
      <c r="AJ313" s="5">
        <f>[1]Hybrid!AI28</f>
        <v>509.15107239999998</v>
      </c>
      <c r="AK313" s="5">
        <f>[1]Hybrid!AJ28</f>
        <v>490.28962749999999</v>
      </c>
      <c r="AL313" s="5">
        <f>[1]Hybrid!AK28</f>
        <v>471.44891150000001</v>
      </c>
    </row>
    <row r="314" spans="1:3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2182.9862680000001</v>
      </c>
      <c r="E314" s="5">
        <f>[1]Hybrid!D30</f>
        <v>2136.1230620000001</v>
      </c>
      <c r="F314" s="5">
        <f>[1]Hybrid!E30</f>
        <v>2093.3667559999999</v>
      </c>
      <c r="G314" s="5">
        <f>[1]Hybrid!F30</f>
        <v>2052.689961</v>
      </c>
      <c r="H314" s="5">
        <f>[1]Hybrid!G30</f>
        <v>2012.30657</v>
      </c>
      <c r="I314" s="5">
        <f>[1]Hybrid!H30</f>
        <v>1970.7611300000001</v>
      </c>
      <c r="J314" s="5">
        <f>[1]Hybrid!I30</f>
        <v>1922.5273070000001</v>
      </c>
      <c r="K314" s="5">
        <f>[1]Hybrid!J30</f>
        <v>1869.241945</v>
      </c>
      <c r="L314" s="5">
        <f>[1]Hybrid!K30</f>
        <v>1812.474457</v>
      </c>
      <c r="M314" s="5">
        <f>[1]Hybrid!L30</f>
        <v>1753.087806</v>
      </c>
      <c r="N314" s="5">
        <f>[1]Hybrid!M30</f>
        <v>1692.589831</v>
      </c>
      <c r="O314" s="5">
        <f>[1]Hybrid!N30</f>
        <v>1631.6942300000001</v>
      </c>
      <c r="P314" s="5">
        <f>[1]Hybrid!O30</f>
        <v>1570.848407</v>
      </c>
      <c r="Q314" s="5">
        <f>[1]Hybrid!P30</f>
        <v>1510.4872009999999</v>
      </c>
      <c r="R314" s="5">
        <f>[1]Hybrid!Q30</f>
        <v>1451.013721</v>
      </c>
      <c r="S314" s="5">
        <f>[1]Hybrid!R30</f>
        <v>1392.5095759999999</v>
      </c>
      <c r="T314" s="5">
        <f>[1]Hybrid!S30</f>
        <v>1335.293046</v>
      </c>
      <c r="U314" s="5">
        <f>[1]Hybrid!T30</f>
        <v>1279.654108</v>
      </c>
      <c r="V314" s="5">
        <f>[1]Hybrid!U30</f>
        <v>1225.7868759999999</v>
      </c>
      <c r="W314" s="5">
        <f>[1]Hybrid!V30</f>
        <v>1173.7364339999999</v>
      </c>
      <c r="X314" s="5">
        <f>[1]Hybrid!W30</f>
        <v>1123.59788</v>
      </c>
      <c r="Y314" s="5">
        <f>[1]Hybrid!X30</f>
        <v>1075.33376</v>
      </c>
      <c r="Z314" s="5">
        <f>[1]Hybrid!Y30</f>
        <v>1028.872811</v>
      </c>
      <c r="AA314" s="5">
        <f>[1]Hybrid!Z30</f>
        <v>984.10124310000003</v>
      </c>
      <c r="AB314" s="5">
        <f>[1]Hybrid!AA30</f>
        <v>940.76122980000002</v>
      </c>
      <c r="AC314" s="5">
        <f>[1]Hybrid!AB30</f>
        <v>898.76974949999999</v>
      </c>
      <c r="AD314" s="5">
        <f>[1]Hybrid!AC30</f>
        <v>857.94826399999999</v>
      </c>
      <c r="AE314" s="5">
        <f>[1]Hybrid!AD30</f>
        <v>818.15480590000004</v>
      </c>
      <c r="AF314" s="5">
        <f>[1]Hybrid!AE30</f>
        <v>779.29908709999995</v>
      </c>
      <c r="AG314" s="5">
        <f>[1]Hybrid!AF30</f>
        <v>741.32793470000001</v>
      </c>
      <c r="AH314" s="5">
        <f>[1]Hybrid!AG30</f>
        <v>704.21229270000003</v>
      </c>
      <c r="AI314" s="5">
        <f>[1]Hybrid!AH30</f>
        <v>667.94402500000001</v>
      </c>
      <c r="AJ314" s="5">
        <f>[1]Hybrid!AI30</f>
        <v>632.54144719999999</v>
      </c>
      <c r="AK314" s="5">
        <f>[1]Hybrid!AJ30</f>
        <v>598.04493690000004</v>
      </c>
      <c r="AL314" s="5">
        <f>[1]Hybrid!AK30</f>
        <v>564.50810939999997</v>
      </c>
    </row>
    <row r="315" spans="1:3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15.10261468</v>
      </c>
      <c r="E315" s="5">
        <f>[1]Hybrid!D32</f>
        <v>20.915323659999999</v>
      </c>
      <c r="F315" s="5">
        <f>[1]Hybrid!E32</f>
        <v>27.22055202</v>
      </c>
      <c r="G315" s="5">
        <f>[1]Hybrid!F32</f>
        <v>34.066405160000002</v>
      </c>
      <c r="H315" s="5">
        <f>[1]Hybrid!G32</f>
        <v>41.350771559999998</v>
      </c>
      <c r="I315" s="5">
        <f>[1]Hybrid!H32</f>
        <v>48.982805720000002</v>
      </c>
      <c r="J315" s="5">
        <f>[1]Hybrid!I32</f>
        <v>56.933502320000002</v>
      </c>
      <c r="K315" s="5">
        <f>[1]Hybrid!J32</f>
        <v>66.644086669999993</v>
      </c>
      <c r="L315" s="5">
        <f>[1]Hybrid!K32</f>
        <v>79.429069569999996</v>
      </c>
      <c r="M315" s="5">
        <f>[1]Hybrid!L32</f>
        <v>96.813964440000007</v>
      </c>
      <c r="N315" s="5">
        <f>[1]Hybrid!M32</f>
        <v>120.07487949999999</v>
      </c>
      <c r="O315" s="5">
        <f>[1]Hybrid!N32</f>
        <v>149.2395272</v>
      </c>
      <c r="P315" s="5">
        <f>[1]Hybrid!O32</f>
        <v>184.17429849999999</v>
      </c>
      <c r="Q315" s="5">
        <f>[1]Hybrid!P32</f>
        <v>224.71525650000001</v>
      </c>
      <c r="R315" s="5">
        <f>[1]Hybrid!Q32</f>
        <v>270.71683180000002</v>
      </c>
      <c r="S315" s="5">
        <f>[1]Hybrid!R32</f>
        <v>321.98104160000003</v>
      </c>
      <c r="T315" s="5">
        <f>[1]Hybrid!S32</f>
        <v>378.853455</v>
      </c>
      <c r="U315" s="5">
        <f>[1]Hybrid!T32</f>
        <v>441.633533</v>
      </c>
      <c r="V315" s="5">
        <f>[1]Hybrid!U32</f>
        <v>510.56928290000002</v>
      </c>
      <c r="W315" s="5">
        <f>[1]Hybrid!V32</f>
        <v>585.77328690000002</v>
      </c>
      <c r="X315" s="5">
        <f>[1]Hybrid!W32</f>
        <v>667.63988789999996</v>
      </c>
      <c r="Y315" s="5">
        <f>[1]Hybrid!X32</f>
        <v>756.47927949999996</v>
      </c>
      <c r="Z315" s="5">
        <f>[1]Hybrid!Y32</f>
        <v>852.68599559999996</v>
      </c>
      <c r="AA315" s="5">
        <f>[1]Hybrid!Z32</f>
        <v>956.7076376</v>
      </c>
      <c r="AB315" s="5">
        <f>[1]Hybrid!AA32</f>
        <v>1068.53441</v>
      </c>
      <c r="AC315" s="5">
        <f>[1]Hybrid!AB32</f>
        <v>1189.027081</v>
      </c>
      <c r="AD315" s="5">
        <f>[1]Hybrid!AC32</f>
        <v>1318.8367430000001</v>
      </c>
      <c r="AE315" s="5">
        <f>[1]Hybrid!AD32</f>
        <v>1458.8286410000001</v>
      </c>
      <c r="AF315" s="5">
        <f>[1]Hybrid!AE32</f>
        <v>1610.0066670000001</v>
      </c>
      <c r="AG315" s="5">
        <f>[1]Hybrid!AF32</f>
        <v>1773.396753</v>
      </c>
      <c r="AH315" s="5">
        <f>[1]Hybrid!AG32</f>
        <v>1949.9897470000001</v>
      </c>
      <c r="AI315" s="5">
        <f>[1]Hybrid!AH32</f>
        <v>2140.7727150000001</v>
      </c>
      <c r="AJ315" s="5">
        <f>[1]Hybrid!AI32</f>
        <v>2346.8148420000002</v>
      </c>
      <c r="AK315" s="5">
        <f>[1]Hybrid!AJ32</f>
        <v>2569.2840379999998</v>
      </c>
      <c r="AL315" s="5">
        <f>[1]Hybrid!AK32</f>
        <v>2809.4680370000001</v>
      </c>
    </row>
    <row r="316" spans="1:3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16.42226621</v>
      </c>
      <c r="E316" s="5">
        <f>[1]Hybrid!D34</f>
        <v>21.938273899999999</v>
      </c>
      <c r="F316" s="5">
        <f>[1]Hybrid!E34</f>
        <v>27.93983326</v>
      </c>
      <c r="G316" s="5">
        <f>[1]Hybrid!F34</f>
        <v>34.476478219999997</v>
      </c>
      <c r="H316" s="5">
        <f>[1]Hybrid!G34</f>
        <v>41.448912249999999</v>
      </c>
      <c r="I316" s="5">
        <f>[1]Hybrid!H34</f>
        <v>48.768486660000001</v>
      </c>
      <c r="J316" s="5">
        <f>[1]Hybrid!I34</f>
        <v>56.415550199999998</v>
      </c>
      <c r="K316" s="5">
        <f>[1]Hybrid!J34</f>
        <v>65.806829160000007</v>
      </c>
      <c r="L316" s="5">
        <f>[1]Hybrid!K34</f>
        <v>78.220614049999995</v>
      </c>
      <c r="M316" s="5">
        <f>[1]Hybrid!L34</f>
        <v>95.120058920000005</v>
      </c>
      <c r="N316" s="5">
        <f>[1]Hybrid!M34</f>
        <v>117.7131053</v>
      </c>
      <c r="O316" s="5">
        <f>[1]Hybrid!N34</f>
        <v>146.0086757</v>
      </c>
      <c r="P316" s="5">
        <f>[1]Hybrid!O34</f>
        <v>179.8637157</v>
      </c>
      <c r="Q316" s="5">
        <f>[1]Hybrid!P34</f>
        <v>219.10844320000001</v>
      </c>
      <c r="R316" s="5">
        <f>[1]Hybrid!Q34</f>
        <v>263.59206519999998</v>
      </c>
      <c r="S316" s="5">
        <f>[1]Hybrid!R34</f>
        <v>313.10575879999999</v>
      </c>
      <c r="T316" s="5">
        <f>[1]Hybrid!S34</f>
        <v>367.95620580000002</v>
      </c>
      <c r="U316" s="5">
        <f>[1]Hybrid!T34</f>
        <v>428.41109949999998</v>
      </c>
      <c r="V316" s="5">
        <f>[1]Hybrid!U34</f>
        <v>494.69009579999999</v>
      </c>
      <c r="W316" s="5">
        <f>[1]Hybrid!V34</f>
        <v>566.8809119</v>
      </c>
      <c r="X316" s="5">
        <f>[1]Hybrid!W34</f>
        <v>645.33818540000004</v>
      </c>
      <c r="Y316" s="5">
        <f>[1]Hybrid!X34</f>
        <v>730.32886889999997</v>
      </c>
      <c r="Z316" s="5">
        <f>[1]Hybrid!Y34</f>
        <v>822.19280549999996</v>
      </c>
      <c r="AA316" s="5">
        <f>[1]Hybrid!Z34</f>
        <v>921.31024950000005</v>
      </c>
      <c r="AB316" s="5">
        <f>[1]Hybrid!AA34</f>
        <v>1027.6125870000001</v>
      </c>
      <c r="AC316" s="5">
        <f>[1]Hybrid!AB34</f>
        <v>1141.8455389999999</v>
      </c>
      <c r="AD316" s="5">
        <f>[1]Hybrid!AC34</f>
        <v>1264.532293</v>
      </c>
      <c r="AE316" s="5">
        <f>[1]Hybrid!AD34</f>
        <v>1396.377215</v>
      </c>
      <c r="AF316" s="5">
        <f>[1]Hybrid!AE34</f>
        <v>1538.1967420000001</v>
      </c>
      <c r="AG316" s="5">
        <f>[1]Hybrid!AF34</f>
        <v>1690.8088</v>
      </c>
      <c r="AH316" s="5">
        <f>[1]Hybrid!AG34</f>
        <v>1854.9766219999999</v>
      </c>
      <c r="AI316" s="5">
        <f>[1]Hybrid!AH34</f>
        <v>2031.4349030000001</v>
      </c>
      <c r="AJ316" s="5">
        <f>[1]Hybrid!AI34</f>
        <v>2220.9689440000002</v>
      </c>
      <c r="AK316" s="5">
        <f>[1]Hybrid!AJ34</f>
        <v>2424.4287009999998</v>
      </c>
      <c r="AL316" s="5">
        <f>[1]Hybrid!AK34</f>
        <v>2642.7440759999999</v>
      </c>
    </row>
    <row r="317" spans="1:3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12.791177530000001</v>
      </c>
      <c r="E317" s="5">
        <f>[1]Hybrid!D36</f>
        <v>16.55968682</v>
      </c>
      <c r="F317" s="5">
        <f>[1]Hybrid!E36</f>
        <v>20.672149730000001</v>
      </c>
      <c r="G317" s="5">
        <f>[1]Hybrid!F36</f>
        <v>25.164793079999999</v>
      </c>
      <c r="H317" s="5">
        <f>[1]Hybrid!G36</f>
        <v>29.968026999999999</v>
      </c>
      <c r="I317" s="5">
        <f>[1]Hybrid!H36</f>
        <v>35.019504220000002</v>
      </c>
      <c r="J317" s="5">
        <f>[1]Hybrid!I36</f>
        <v>40.310081910000001</v>
      </c>
      <c r="K317" s="5">
        <f>[1]Hybrid!J36</f>
        <v>46.838217200000003</v>
      </c>
      <c r="L317" s="5">
        <f>[1]Hybrid!K36</f>
        <v>55.495011249999997</v>
      </c>
      <c r="M317" s="5">
        <f>[1]Hybrid!L36</f>
        <v>67.286611429999994</v>
      </c>
      <c r="N317" s="5">
        <f>[1]Hybrid!M36</f>
        <v>83.032703280000007</v>
      </c>
      <c r="O317" s="5">
        <f>[1]Hybrid!N36</f>
        <v>102.7265742</v>
      </c>
      <c r="P317" s="5">
        <f>[1]Hybrid!O36</f>
        <v>126.2591362</v>
      </c>
      <c r="Q317" s="5">
        <f>[1]Hybrid!P36</f>
        <v>153.50479989999999</v>
      </c>
      <c r="R317" s="5">
        <f>[1]Hybrid!Q36</f>
        <v>184.35218409999999</v>
      </c>
      <c r="S317" s="5">
        <f>[1]Hybrid!R36</f>
        <v>218.64472319999999</v>
      </c>
      <c r="T317" s="5">
        <f>[1]Hybrid!S36</f>
        <v>256.57660900000002</v>
      </c>
      <c r="U317" s="5">
        <f>[1]Hybrid!T36</f>
        <v>298.31902589999999</v>
      </c>
      <c r="V317" s="5">
        <f>[1]Hybrid!U36</f>
        <v>344.01120049999997</v>
      </c>
      <c r="W317" s="5">
        <f>[1]Hybrid!V36</f>
        <v>393.70038090000003</v>
      </c>
      <c r="X317" s="5">
        <f>[1]Hybrid!W36</f>
        <v>447.61536260000003</v>
      </c>
      <c r="Y317" s="5">
        <f>[1]Hybrid!X36</f>
        <v>505.92010549999998</v>
      </c>
      <c r="Z317" s="5">
        <f>[1]Hybrid!Y36</f>
        <v>568.82357109999998</v>
      </c>
      <c r="AA317" s="5">
        <f>[1]Hybrid!Z36</f>
        <v>636.55579809999995</v>
      </c>
      <c r="AB317" s="5">
        <f>[1]Hybrid!AA36</f>
        <v>709.03165209999997</v>
      </c>
      <c r="AC317" s="5">
        <f>[1]Hybrid!AB36</f>
        <v>786.71292540000002</v>
      </c>
      <c r="AD317" s="5">
        <f>[1]Hybrid!AC36</f>
        <v>869.89481890000002</v>
      </c>
      <c r="AE317" s="5">
        <f>[1]Hybrid!AD36</f>
        <v>958.98214959999996</v>
      </c>
      <c r="AF317" s="5">
        <f>[1]Hybrid!AE36</f>
        <v>1054.444405</v>
      </c>
      <c r="AG317" s="5">
        <f>[1]Hybrid!AF36</f>
        <v>1156.740888</v>
      </c>
      <c r="AH317" s="5">
        <f>[1]Hybrid!AG36</f>
        <v>1266.2815479999999</v>
      </c>
      <c r="AI317" s="5">
        <f>[1]Hybrid!AH36</f>
        <v>1383.4429230000001</v>
      </c>
      <c r="AJ317" s="5">
        <f>[1]Hybrid!AI36</f>
        <v>1508.6210249999999</v>
      </c>
      <c r="AK317" s="5">
        <f>[1]Hybrid!AJ36</f>
        <v>1642.240403</v>
      </c>
      <c r="AL317" s="5">
        <f>[1]Hybrid!AK36</f>
        <v>1784.7621919999999</v>
      </c>
    </row>
    <row r="318" spans="1:3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7.5799113839999999</v>
      </c>
      <c r="E318" s="5">
        <f>[1]Hybrid!D38</f>
        <v>9.5402272860000004</v>
      </c>
      <c r="F318" s="5">
        <f>[1]Hybrid!E38</f>
        <v>11.603567350000001</v>
      </c>
      <c r="G318" s="5">
        <f>[1]Hybrid!F38</f>
        <v>13.76644699</v>
      </c>
      <c r="H318" s="5">
        <f>[1]Hybrid!G38</f>
        <v>15.99376764</v>
      </c>
      <c r="I318" s="5">
        <f>[1]Hybrid!H38</f>
        <v>18.252981120000001</v>
      </c>
      <c r="J318" s="5">
        <f>[1]Hybrid!I38</f>
        <v>20.477844359999999</v>
      </c>
      <c r="K318" s="5">
        <f>[1]Hybrid!J38</f>
        <v>22.917180200000001</v>
      </c>
      <c r="L318" s="5">
        <f>[1]Hybrid!K38</f>
        <v>25.77255074</v>
      </c>
      <c r="M318" s="5">
        <f>[1]Hybrid!L38</f>
        <v>29.25138321</v>
      </c>
      <c r="N318" s="5">
        <f>[1]Hybrid!M38</f>
        <v>33.529637430000001</v>
      </c>
      <c r="O318" s="5">
        <f>[1]Hybrid!N38</f>
        <v>38.598233219999997</v>
      </c>
      <c r="P318" s="5">
        <f>[1]Hybrid!O38</f>
        <v>44.423204120000001</v>
      </c>
      <c r="Q318" s="5">
        <f>[1]Hybrid!P38</f>
        <v>50.97008915</v>
      </c>
      <c r="R318" s="5">
        <f>[1]Hybrid!Q38</f>
        <v>58.210870059999998</v>
      </c>
      <c r="S318" s="5">
        <f>[1]Hybrid!R38</f>
        <v>66.102568500000004</v>
      </c>
      <c r="T318" s="5">
        <f>[1]Hybrid!S38</f>
        <v>74.683902279999998</v>
      </c>
      <c r="U318" s="5">
        <f>[1]Hybrid!T38</f>
        <v>83.992952180000003</v>
      </c>
      <c r="V318" s="5">
        <f>[1]Hybrid!U38</f>
        <v>94.062670769999997</v>
      </c>
      <c r="W318" s="5">
        <f>[1]Hybrid!V38</f>
        <v>104.9055281</v>
      </c>
      <c r="X318" s="5">
        <f>[1]Hybrid!W38</f>
        <v>116.57555410000001</v>
      </c>
      <c r="Y318" s="5">
        <f>[1]Hybrid!X38</f>
        <v>129.11029339999999</v>
      </c>
      <c r="Z318" s="5">
        <f>[1]Hybrid!Y38</f>
        <v>142.55589090000001</v>
      </c>
      <c r="AA318" s="5">
        <f>[1]Hybrid!Z38</f>
        <v>156.96080989999999</v>
      </c>
      <c r="AB318" s="5">
        <f>[1]Hybrid!AA38</f>
        <v>172.30094120000001</v>
      </c>
      <c r="AC318" s="5">
        <f>[1]Hybrid!AB38</f>
        <v>188.66866110000001</v>
      </c>
      <c r="AD318" s="5">
        <f>[1]Hybrid!AC38</f>
        <v>206.11295630000001</v>
      </c>
      <c r="AE318" s="5">
        <f>[1]Hybrid!AD38</f>
        <v>224.70182389999999</v>
      </c>
      <c r="AF318" s="5">
        <f>[1]Hybrid!AE38</f>
        <v>244.51601360000001</v>
      </c>
      <c r="AG318" s="5">
        <f>[1]Hybrid!AF38</f>
        <v>265.63440439999999</v>
      </c>
      <c r="AH318" s="5">
        <f>[1]Hybrid!AG38</f>
        <v>288.12568449999998</v>
      </c>
      <c r="AI318" s="5">
        <f>[1]Hybrid!AH38</f>
        <v>312.05142410000002</v>
      </c>
      <c r="AJ318" s="5">
        <f>[1]Hybrid!AI38</f>
        <v>337.47871220000002</v>
      </c>
      <c r="AK318" s="5">
        <f>[1]Hybrid!AJ38</f>
        <v>364.4839035</v>
      </c>
      <c r="AL318" s="5">
        <f>[1]Hybrid!AK38</f>
        <v>393.1551394</v>
      </c>
    </row>
    <row r="319" spans="1:3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4.5874376720000001</v>
      </c>
      <c r="E319" s="5">
        <f>[1]Hybrid!D40</f>
        <v>5.7895748810000001</v>
      </c>
      <c r="F319" s="5">
        <f>[1]Hybrid!E40</f>
        <v>7.0494690440000003</v>
      </c>
      <c r="G319" s="5">
        <f>[1]Hybrid!F40</f>
        <v>8.3642147960000006</v>
      </c>
      <c r="H319" s="5">
        <f>[1]Hybrid!G40</f>
        <v>9.7114328650000008</v>
      </c>
      <c r="I319" s="5">
        <f>[1]Hybrid!H40</f>
        <v>11.07049818</v>
      </c>
      <c r="J319" s="5">
        <f>[1]Hybrid!I40</f>
        <v>12.401865799999999</v>
      </c>
      <c r="K319" s="5">
        <f>[1]Hybrid!J40</f>
        <v>13.85354201</v>
      </c>
      <c r="L319" s="5">
        <f>[1]Hybrid!K40</f>
        <v>15.5400115</v>
      </c>
      <c r="M319" s="5">
        <f>[1]Hybrid!L40</f>
        <v>17.572721399999999</v>
      </c>
      <c r="N319" s="5">
        <f>[1]Hybrid!M40</f>
        <v>20.042917039999999</v>
      </c>
      <c r="O319" s="5">
        <f>[1]Hybrid!N40</f>
        <v>22.939460180000001</v>
      </c>
      <c r="P319" s="5">
        <f>[1]Hybrid!O40</f>
        <v>26.2383098</v>
      </c>
      <c r="Q319" s="5">
        <f>[1]Hybrid!P40</f>
        <v>29.916365450000001</v>
      </c>
      <c r="R319" s="5">
        <f>[1]Hybrid!Q40</f>
        <v>33.95498241</v>
      </c>
      <c r="S319" s="5">
        <f>[1]Hybrid!R40</f>
        <v>38.326463369999999</v>
      </c>
      <c r="T319" s="5">
        <f>[1]Hybrid!S40</f>
        <v>43.047483020000001</v>
      </c>
      <c r="U319" s="5">
        <f>[1]Hybrid!T40</f>
        <v>48.135084849999998</v>
      </c>
      <c r="V319" s="5">
        <f>[1]Hybrid!U40</f>
        <v>53.603439260000002</v>
      </c>
      <c r="W319" s="5">
        <f>[1]Hybrid!V40</f>
        <v>59.454763929999999</v>
      </c>
      <c r="X319" s="5">
        <f>[1]Hybrid!W40</f>
        <v>65.712781590000006</v>
      </c>
      <c r="Y319" s="5">
        <f>[1]Hybrid!X40</f>
        <v>72.390319410000004</v>
      </c>
      <c r="Z319" s="5">
        <f>[1]Hybrid!Y40</f>
        <v>79.502760199999997</v>
      </c>
      <c r="AA319" s="5">
        <f>[1]Hybrid!Z40</f>
        <v>87.064028930000006</v>
      </c>
      <c r="AB319" s="5">
        <f>[1]Hybrid!AA40</f>
        <v>95.046389759999997</v>
      </c>
      <c r="AC319" s="5">
        <f>[1]Hybrid!AB40</f>
        <v>103.4801022</v>
      </c>
      <c r="AD319" s="5">
        <f>[1]Hybrid!AC40</f>
        <v>112.3673604</v>
      </c>
      <c r="AE319" s="5">
        <f>[1]Hybrid!AD40</f>
        <v>121.71589179999999</v>
      </c>
      <c r="AF319" s="5">
        <f>[1]Hybrid!AE40</f>
        <v>131.53697919999999</v>
      </c>
      <c r="AG319" s="5">
        <f>[1]Hybrid!AF40</f>
        <v>141.8383068</v>
      </c>
      <c r="AH319" s="5">
        <f>[1]Hybrid!AG40</f>
        <v>152.61957240000001</v>
      </c>
      <c r="AI319" s="5">
        <f>[1]Hybrid!AH40</f>
        <v>163.87376470000001</v>
      </c>
      <c r="AJ319" s="5">
        <f>[1]Hybrid!AI40</f>
        <v>175.59373540000001</v>
      </c>
      <c r="AK319" s="5">
        <f>[1]Hybrid!AJ40</f>
        <v>187.77424379999999</v>
      </c>
      <c r="AL319" s="5">
        <f>[1]Hybrid!AK40</f>
        <v>200.41277220000001</v>
      </c>
    </row>
    <row r="320" spans="1:3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2.2500569050000001</v>
      </c>
      <c r="E320" s="5">
        <f>[1]Hybrid!D42</f>
        <v>2.799747322</v>
      </c>
      <c r="F320" s="5">
        <f>[1]Hybrid!E42</f>
        <v>3.3544501919999998</v>
      </c>
      <c r="G320" s="5">
        <f>[1]Hybrid!F42</f>
        <v>3.9088074779999999</v>
      </c>
      <c r="H320" s="5">
        <f>[1]Hybrid!G42</f>
        <v>4.4525896530000004</v>
      </c>
      <c r="I320" s="5">
        <f>[1]Hybrid!H42</f>
        <v>4.9767518639999997</v>
      </c>
      <c r="J320" s="5">
        <f>[1]Hybrid!I42</f>
        <v>5.4580834170000001</v>
      </c>
      <c r="K320" s="5">
        <f>[1]Hybrid!J42</f>
        <v>5.9319159050000003</v>
      </c>
      <c r="L320" s="5">
        <f>[1]Hybrid!K42</f>
        <v>6.4221247440000004</v>
      </c>
      <c r="M320" s="5">
        <f>[1]Hybrid!L42</f>
        <v>6.946759707</v>
      </c>
      <c r="N320" s="5">
        <f>[1]Hybrid!M42</f>
        <v>7.5209467419999996</v>
      </c>
      <c r="O320" s="5">
        <f>[1]Hybrid!N42</f>
        <v>8.1400314480000002</v>
      </c>
      <c r="P320" s="5">
        <f>[1]Hybrid!O42</f>
        <v>8.7973903930000006</v>
      </c>
      <c r="Q320" s="5">
        <f>[1]Hybrid!P42</f>
        <v>9.4877081309999998</v>
      </c>
      <c r="R320" s="5">
        <f>[1]Hybrid!Q42</f>
        <v>10.207268429999999</v>
      </c>
      <c r="S320" s="5">
        <f>[1]Hybrid!R42</f>
        <v>10.95007483</v>
      </c>
      <c r="T320" s="5">
        <f>[1]Hybrid!S42</f>
        <v>11.71825003</v>
      </c>
      <c r="U320" s="5">
        <f>[1]Hybrid!T42</f>
        <v>12.51427561</v>
      </c>
      <c r="V320" s="5">
        <f>[1]Hybrid!U42</f>
        <v>13.33993862</v>
      </c>
      <c r="W320" s="5">
        <f>[1]Hybrid!V42</f>
        <v>14.194450229999999</v>
      </c>
      <c r="X320" s="5">
        <f>[1]Hybrid!W42</f>
        <v>15.08010125</v>
      </c>
      <c r="Y320" s="5">
        <f>[1]Hybrid!X42</f>
        <v>15.99636954</v>
      </c>
      <c r="Z320" s="5">
        <f>[1]Hybrid!Y42</f>
        <v>16.94226527</v>
      </c>
      <c r="AA320" s="5">
        <f>[1]Hybrid!Z42</f>
        <v>17.91550415</v>
      </c>
      <c r="AB320" s="5">
        <f>[1]Hybrid!AA42</f>
        <v>18.906468199999999</v>
      </c>
      <c r="AC320" s="5">
        <f>[1]Hybrid!AB42</f>
        <v>19.913048239999998</v>
      </c>
      <c r="AD320" s="5">
        <f>[1]Hybrid!AC42</f>
        <v>20.927457889999999</v>
      </c>
      <c r="AE320" s="5">
        <f>[1]Hybrid!AD42</f>
        <v>21.94184847</v>
      </c>
      <c r="AF320" s="5">
        <f>[1]Hybrid!AE42</f>
        <v>22.948887129999999</v>
      </c>
      <c r="AG320" s="5">
        <f>[1]Hybrid!AF42</f>
        <v>23.941153180000001</v>
      </c>
      <c r="AH320" s="5">
        <f>[1]Hybrid!AG42</f>
        <v>24.910674780000001</v>
      </c>
      <c r="AI320" s="5">
        <f>[1]Hybrid!AH42</f>
        <v>25.8491456</v>
      </c>
      <c r="AJ320" s="5">
        <f>[1]Hybrid!AI42</f>
        <v>26.74895368</v>
      </c>
      <c r="AK320" s="5">
        <f>[1]Hybrid!AJ42</f>
        <v>27.603582530000001</v>
      </c>
      <c r="AL320" s="5">
        <f>[1]Hybrid!AK42</f>
        <v>28.407643010000001</v>
      </c>
    </row>
    <row r="321" spans="1:3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4.0857231929999998</v>
      </c>
      <c r="E321" s="5">
        <f>[1]Hybrid!D44</f>
        <v>5.0923917269999999</v>
      </c>
      <c r="F321" s="5">
        <f>[1]Hybrid!E44</f>
        <v>6.086429753</v>
      </c>
      <c r="G321" s="5">
        <f>[1]Hybrid!F44</f>
        <v>7.0559589620000001</v>
      </c>
      <c r="H321" s="5">
        <f>[1]Hybrid!G44</f>
        <v>7.9824510030000004</v>
      </c>
      <c r="I321" s="5">
        <f>[1]Hybrid!H44</f>
        <v>8.8504809959999999</v>
      </c>
      <c r="J321" s="5">
        <f>[1]Hybrid!I44</f>
        <v>9.6206049619999998</v>
      </c>
      <c r="K321" s="5">
        <f>[1]Hybrid!J44</f>
        <v>10.348259629999999</v>
      </c>
      <c r="L321" s="5">
        <f>[1]Hybrid!K44</f>
        <v>11.06857261</v>
      </c>
      <c r="M321" s="5">
        <f>[1]Hybrid!L44</f>
        <v>11.803981459999999</v>
      </c>
      <c r="N321" s="5">
        <f>[1]Hybrid!M44</f>
        <v>12.572165930000001</v>
      </c>
      <c r="O321" s="5">
        <f>[1]Hybrid!N44</f>
        <v>13.365037600000001</v>
      </c>
      <c r="P321" s="5">
        <f>[1]Hybrid!O44</f>
        <v>14.173386410000001</v>
      </c>
      <c r="Q321" s="5">
        <f>[1]Hybrid!P44</f>
        <v>14.99098307</v>
      </c>
      <c r="R321" s="5">
        <f>[1]Hybrid!Q44</f>
        <v>15.814306009999999</v>
      </c>
      <c r="S321" s="5">
        <f>[1]Hybrid!R44</f>
        <v>16.636790019999999</v>
      </c>
      <c r="T321" s="5">
        <f>[1]Hybrid!S44</f>
        <v>17.461503929999999</v>
      </c>
      <c r="U321" s="5">
        <f>[1]Hybrid!T44</f>
        <v>18.29195605</v>
      </c>
      <c r="V321" s="5">
        <f>[1]Hybrid!U44</f>
        <v>19.1304944</v>
      </c>
      <c r="W321" s="5">
        <f>[1]Hybrid!V44</f>
        <v>19.975894010000001</v>
      </c>
      <c r="X321" s="5">
        <f>[1]Hybrid!W44</f>
        <v>20.829846069999999</v>
      </c>
      <c r="Y321" s="5">
        <f>[1]Hybrid!X44</f>
        <v>21.69000046</v>
      </c>
      <c r="Z321" s="5">
        <f>[1]Hybrid!Y44</f>
        <v>22.552809969999998</v>
      </c>
      <c r="AA321" s="5">
        <f>[1]Hybrid!Z44</f>
        <v>23.412591030000002</v>
      </c>
      <c r="AB321" s="5">
        <f>[1]Hybrid!AA44</f>
        <v>24.2553582</v>
      </c>
      <c r="AC321" s="5">
        <f>[1]Hybrid!AB44</f>
        <v>25.074490669999999</v>
      </c>
      <c r="AD321" s="5">
        <f>[1]Hybrid!AC44</f>
        <v>25.856997629999999</v>
      </c>
      <c r="AE321" s="5">
        <f>[1]Hybrid!AD44</f>
        <v>26.590163149999999</v>
      </c>
      <c r="AF321" s="5">
        <f>[1]Hybrid!AE44</f>
        <v>27.262969049999999</v>
      </c>
      <c r="AG321" s="5">
        <f>[1]Hybrid!AF44</f>
        <v>27.865814610000001</v>
      </c>
      <c r="AH321" s="5">
        <f>[1]Hybrid!AG44</f>
        <v>28.390125520000002</v>
      </c>
      <c r="AI321" s="5">
        <f>[1]Hybrid!AH44</f>
        <v>28.828531250000001</v>
      </c>
      <c r="AJ321" s="5">
        <f>[1]Hybrid!AI44</f>
        <v>29.175806179999999</v>
      </c>
      <c r="AK321" s="5">
        <f>[1]Hybrid!AJ44</f>
        <v>29.429123959999998</v>
      </c>
      <c r="AL321" s="5">
        <f>[1]Hybrid!AK44</f>
        <v>29.587832710000001</v>
      </c>
    </row>
    <row r="322" spans="1:3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0.44891626740000001</v>
      </c>
      <c r="E322" s="5">
        <f>[1]Hybrid!D46</f>
        <v>0.47569227739999997</v>
      </c>
      <c r="F322" s="5">
        <f>[1]Hybrid!E46</f>
        <v>0.50438940239999996</v>
      </c>
      <c r="G322" s="5">
        <f>[1]Hybrid!F46</f>
        <v>0.53457385909999999</v>
      </c>
      <c r="H322" s="5">
        <f>[1]Hybrid!G46</f>
        <v>0.56546761769999998</v>
      </c>
      <c r="I322" s="5">
        <f>[1]Hybrid!H46</f>
        <v>0.596352514</v>
      </c>
      <c r="J322" s="5">
        <f>[1]Hybrid!I46</f>
        <v>0.62450908169999997</v>
      </c>
      <c r="K322" s="5">
        <f>[1]Hybrid!J46</f>
        <v>0.65160807109999996</v>
      </c>
      <c r="L322" s="5">
        <f>[1]Hybrid!K46</f>
        <v>0.67839632139999995</v>
      </c>
      <c r="M322" s="5">
        <f>[1]Hybrid!L46</f>
        <v>0.70517252990000001</v>
      </c>
      <c r="N322" s="5">
        <f>[1]Hybrid!M46</f>
        <v>0.73258057720000003</v>
      </c>
      <c r="O322" s="5">
        <f>[1]Hybrid!N46</f>
        <v>0.76024278590000005</v>
      </c>
      <c r="P322" s="5">
        <f>[1]Hybrid!O46</f>
        <v>0.7876290078</v>
      </c>
      <c r="Q322" s="5">
        <f>[1]Hybrid!P46</f>
        <v>0.81432455540000004</v>
      </c>
      <c r="R322" s="5">
        <f>[1]Hybrid!Q46</f>
        <v>0.84004846190000004</v>
      </c>
      <c r="S322" s="5">
        <f>[1]Hybrid!R46</f>
        <v>0.86432611150000005</v>
      </c>
      <c r="T322" s="5">
        <f>[1]Hybrid!S46</f>
        <v>0.88724748330000003</v>
      </c>
      <c r="U322" s="5">
        <f>[1]Hybrid!T46</f>
        <v>0.90892015609999999</v>
      </c>
      <c r="V322" s="5">
        <f>[1]Hybrid!U46</f>
        <v>0.92942317350000003</v>
      </c>
      <c r="W322" s="5">
        <f>[1]Hybrid!V46</f>
        <v>0.94872749860000005</v>
      </c>
      <c r="X322" s="5">
        <f>[1]Hybrid!W46</f>
        <v>0.96703165930000001</v>
      </c>
      <c r="Y322" s="5">
        <f>[1]Hybrid!X46</f>
        <v>0.98442653319999995</v>
      </c>
      <c r="Z322" s="5">
        <f>[1]Hybrid!Y46</f>
        <v>1.001029204</v>
      </c>
      <c r="AA322" s="5">
        <f>[1]Hybrid!Z46</f>
        <v>1.016951535</v>
      </c>
      <c r="AB322" s="5">
        <f>[1]Hybrid!AA46</f>
        <v>1.032028521</v>
      </c>
      <c r="AC322" s="5">
        <f>[1]Hybrid!AB46</f>
        <v>1.046545329</v>
      </c>
      <c r="AD322" s="5">
        <f>[1]Hybrid!AC46</f>
        <v>1.060609819</v>
      </c>
      <c r="AE322" s="5">
        <f>[1]Hybrid!AD46</f>
        <v>1.074374462</v>
      </c>
      <c r="AF322" s="5">
        <f>[1]Hybrid!AE46</f>
        <v>1.0879888289999999</v>
      </c>
      <c r="AG322" s="5">
        <f>[1]Hybrid!AF46</f>
        <v>1.1015517260000001</v>
      </c>
      <c r="AH322" s="5">
        <f>[1]Hybrid!AG46</f>
        <v>1.1150999619999999</v>
      </c>
      <c r="AI322" s="5">
        <f>[1]Hybrid!AH46</f>
        <v>1.1286305160000001</v>
      </c>
      <c r="AJ322" s="5">
        <f>[1]Hybrid!AI46</f>
        <v>1.142133267</v>
      </c>
      <c r="AK322" s="5">
        <f>[1]Hybrid!AJ46</f>
        <v>1.1555949599999999</v>
      </c>
      <c r="AL322" s="5">
        <f>[1]Hybrid!AK46</f>
        <v>1.169003037</v>
      </c>
    </row>
    <row r="323" spans="1:3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0.51185913090000001</v>
      </c>
      <c r="E323" s="5">
        <f>[1]Hybrid!D48</f>
        <v>0.53236494290000003</v>
      </c>
      <c r="F323" s="5">
        <f>[1]Hybrid!E48</f>
        <v>0.55492543989999998</v>
      </c>
      <c r="G323" s="5">
        <f>[1]Hybrid!F48</f>
        <v>0.57909410130000005</v>
      </c>
      <c r="H323" s="5">
        <f>[1]Hybrid!G48</f>
        <v>0.60411808609999995</v>
      </c>
      <c r="I323" s="5">
        <f>[1]Hybrid!H48</f>
        <v>0.6292972403</v>
      </c>
      <c r="J323" s="5">
        <f>[1]Hybrid!I48</f>
        <v>0.65197834290000001</v>
      </c>
      <c r="K323" s="5">
        <f>[1]Hybrid!J48</f>
        <v>0.67363324499999999</v>
      </c>
      <c r="L323" s="5">
        <f>[1]Hybrid!K48</f>
        <v>0.69494023189999998</v>
      </c>
      <c r="M323" s="5">
        <f>[1]Hybrid!L48</f>
        <v>0.71615854999999995</v>
      </c>
      <c r="N323" s="5">
        <f>[1]Hybrid!M48</f>
        <v>0.73789954889999998</v>
      </c>
      <c r="O323" s="5">
        <f>[1]Hybrid!N48</f>
        <v>0.7598605477</v>
      </c>
      <c r="P323" s="5">
        <f>[1]Hybrid!O48</f>
        <v>0.78158191539999999</v>
      </c>
      <c r="Q323" s="5">
        <f>[1]Hybrid!P48</f>
        <v>0.80270179320000001</v>
      </c>
      <c r="R323" s="5">
        <f>[1]Hybrid!Q48</f>
        <v>0.82297544379999998</v>
      </c>
      <c r="S323" s="5">
        <f>[1]Hybrid!R48</f>
        <v>0.84196743669999996</v>
      </c>
      <c r="T323" s="5">
        <f>[1]Hybrid!S48</f>
        <v>0.85975083500000005</v>
      </c>
      <c r="U323" s="5">
        <f>[1]Hybrid!T48</f>
        <v>0.87642419719999998</v>
      </c>
      <c r="V323" s="5">
        <f>[1]Hybrid!U48</f>
        <v>0.89206228070000004</v>
      </c>
      <c r="W323" s="5">
        <f>[1]Hybrid!V48</f>
        <v>0.90664044880000005</v>
      </c>
      <c r="X323" s="5">
        <f>[1]Hybrid!W48</f>
        <v>0.92033848969999998</v>
      </c>
      <c r="Y323" s="5">
        <f>[1]Hybrid!X48</f>
        <v>0.93323508779999997</v>
      </c>
      <c r="Z323" s="5">
        <f>[1]Hybrid!Y48</f>
        <v>0.94542993710000001</v>
      </c>
      <c r="AA323" s="5">
        <f>[1]Hybrid!Z48</f>
        <v>0.95701515260000003</v>
      </c>
      <c r="AB323" s="5">
        <f>[1]Hybrid!AA48</f>
        <v>0.96783139110000005</v>
      </c>
      <c r="AC323" s="5">
        <f>[1]Hybrid!AB48</f>
        <v>0.97812083530000005</v>
      </c>
      <c r="AD323" s="5">
        <f>[1]Hybrid!AC48</f>
        <v>0.98796203890000001</v>
      </c>
      <c r="AE323" s="5">
        <f>[1]Hybrid!AD48</f>
        <v>0.99747109710000004</v>
      </c>
      <c r="AF323" s="5">
        <f>[1]Hybrid!AE48</f>
        <v>1.0067616610000001</v>
      </c>
      <c r="AG323" s="5">
        <f>[1]Hybrid!AF48</f>
        <v>1.0159031629999999</v>
      </c>
      <c r="AH323" s="5">
        <f>[1]Hybrid!AG48</f>
        <v>1.0249108920000001</v>
      </c>
      <c r="AI323" s="5">
        <f>[1]Hybrid!AH48</f>
        <v>1.0337654570000001</v>
      </c>
      <c r="AJ323" s="5">
        <f>[1]Hybrid!AI48</f>
        <v>1.0424421500000001</v>
      </c>
      <c r="AK323" s="5">
        <f>[1]Hybrid!AJ48</f>
        <v>1.0509148660000001</v>
      </c>
      <c r="AL323" s="5">
        <f>[1]Hybrid!AK48</f>
        <v>1.0591591279999999</v>
      </c>
    </row>
    <row r="324" spans="1:3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0.41422794159999998</v>
      </c>
      <c r="E324" s="5">
        <f>[1]Hybrid!D50</f>
        <v>0.42457654649999998</v>
      </c>
      <c r="F324" s="5">
        <f>[1]Hybrid!E50</f>
        <v>0.4365094021</v>
      </c>
      <c r="G324" s="5">
        <f>[1]Hybrid!F50</f>
        <v>0.44969619080000001</v>
      </c>
      <c r="H324" s="5">
        <f>[1]Hybrid!G50</f>
        <v>0.46361108280000002</v>
      </c>
      <c r="I324" s="5">
        <f>[1]Hybrid!H50</f>
        <v>0.47776152150000001</v>
      </c>
      <c r="J324" s="5">
        <f>[1]Hybrid!I50</f>
        <v>0.49028206749999997</v>
      </c>
      <c r="K324" s="5">
        <f>[1]Hybrid!J50</f>
        <v>0.50210322210000002</v>
      </c>
      <c r="L324" s="5">
        <f>[1]Hybrid!K50</f>
        <v>0.5136693766</v>
      </c>
      <c r="M324" s="5">
        <f>[1]Hybrid!L50</f>
        <v>0.52514283859999999</v>
      </c>
      <c r="N324" s="5">
        <f>[1]Hybrid!M50</f>
        <v>0.53694304159999995</v>
      </c>
      <c r="O324" s="5">
        <f>[1]Hybrid!N50</f>
        <v>0.54889981529999998</v>
      </c>
      <c r="P324" s="5">
        <f>[1]Hybrid!O50</f>
        <v>0.56072712849999995</v>
      </c>
      <c r="Q324" s="5">
        <f>[1]Hybrid!P50</f>
        <v>0.57219780070000004</v>
      </c>
      <c r="R324" s="5">
        <f>[1]Hybrid!Q50</f>
        <v>0.58315818269999997</v>
      </c>
      <c r="S324" s="5">
        <f>[1]Hybrid!R50</f>
        <v>0.59331960319999999</v>
      </c>
      <c r="T324" s="5">
        <f>[1]Hybrid!S50</f>
        <v>0.60272367680000005</v>
      </c>
      <c r="U324" s="5">
        <f>[1]Hybrid!T50</f>
        <v>0.61143507009999998</v>
      </c>
      <c r="V324" s="5">
        <f>[1]Hybrid!U50</f>
        <v>0.61950425170000001</v>
      </c>
      <c r="W324" s="5">
        <f>[1]Hybrid!V50</f>
        <v>0.62691572579999999</v>
      </c>
      <c r="X324" s="5">
        <f>[1]Hybrid!W50</f>
        <v>0.63378653409999997</v>
      </c>
      <c r="Y324" s="5">
        <f>[1]Hybrid!X50</f>
        <v>0.64016531669999999</v>
      </c>
      <c r="Z324" s="5">
        <f>[1]Hybrid!Y50</f>
        <v>0.64611274379999994</v>
      </c>
      <c r="AA324" s="5">
        <f>[1]Hybrid!Z50</f>
        <v>0.65168278229999999</v>
      </c>
      <c r="AB324" s="5">
        <f>[1]Hybrid!AA50</f>
        <v>0.65676461490000004</v>
      </c>
      <c r="AC324" s="5">
        <f>[1]Hybrid!AB50</f>
        <v>0.66150618709999998</v>
      </c>
      <c r="AD324" s="5">
        <f>[1]Hybrid!AC50</f>
        <v>0.66594672150000001</v>
      </c>
      <c r="AE324" s="5">
        <f>[1]Hybrid!AD50</f>
        <v>0.6701484432</v>
      </c>
      <c r="AF324" s="5">
        <f>[1]Hybrid!AE50</f>
        <v>0.67417238530000001</v>
      </c>
      <c r="AG324" s="5">
        <f>[1]Hybrid!AF50</f>
        <v>0.67805205670000002</v>
      </c>
      <c r="AH324" s="5">
        <f>[1]Hybrid!AG50</f>
        <v>0.68178709849999997</v>
      </c>
      <c r="AI324" s="5">
        <f>[1]Hybrid!AH50</f>
        <v>0.68535562029999997</v>
      </c>
      <c r="AJ324" s="5">
        <f>[1]Hybrid!AI50</f>
        <v>0.68873324189999996</v>
      </c>
      <c r="AK324" s="5">
        <f>[1]Hybrid!AJ50</f>
        <v>0.69189583850000003</v>
      </c>
      <c r="AL324" s="5">
        <f>[1]Hybrid!AK50</f>
        <v>0.69482125139999995</v>
      </c>
    </row>
    <row r="325" spans="1:3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0.25218263079999997</v>
      </c>
      <c r="E325" s="5">
        <f>[1]Hybrid!D52</f>
        <v>0.25629924729999998</v>
      </c>
      <c r="F325" s="5">
        <f>[1]Hybrid!E52</f>
        <v>0.26123432210000003</v>
      </c>
      <c r="G325" s="5">
        <f>[1]Hybrid!F52</f>
        <v>0.26678418939999998</v>
      </c>
      <c r="H325" s="5">
        <f>[1]Hybrid!G52</f>
        <v>0.27265652480000002</v>
      </c>
      <c r="I325" s="5">
        <f>[1]Hybrid!H52</f>
        <v>0.27857942250000001</v>
      </c>
      <c r="J325" s="5">
        <f>[1]Hybrid!I52</f>
        <v>0.28353309469999999</v>
      </c>
      <c r="K325" s="5">
        <f>[1]Hybrid!J52</f>
        <v>0.2879767855</v>
      </c>
      <c r="L325" s="5">
        <f>[1]Hybrid!K52</f>
        <v>0.29215628760000001</v>
      </c>
      <c r="M325" s="5">
        <f>[1]Hybrid!L52</f>
        <v>0.2961723034</v>
      </c>
      <c r="N325" s="5">
        <f>[1]Hybrid!M52</f>
        <v>0.30026258950000001</v>
      </c>
      <c r="O325" s="5">
        <f>[1]Hybrid!N52</f>
        <v>0.30437242869999998</v>
      </c>
      <c r="P325" s="5">
        <f>[1]Hybrid!O52</f>
        <v>0.30838700730000002</v>
      </c>
      <c r="Q325" s="5">
        <f>[1]Hybrid!P52</f>
        <v>0.3122194808</v>
      </c>
      <c r="R325" s="5">
        <f>[1]Hybrid!Q52</f>
        <v>0.31581704820000001</v>
      </c>
      <c r="S325" s="5">
        <f>[1]Hybrid!R52</f>
        <v>0.31905566270000002</v>
      </c>
      <c r="T325" s="5">
        <f>[1]Hybrid!S52</f>
        <v>0.3219686551</v>
      </c>
      <c r="U325" s="5">
        <f>[1]Hybrid!T52</f>
        <v>0.32460204609999999</v>
      </c>
      <c r="V325" s="5">
        <f>[1]Hybrid!U52</f>
        <v>0.3269931667</v>
      </c>
      <c r="W325" s="5">
        <f>[1]Hybrid!V52</f>
        <v>0.32914366410000001</v>
      </c>
      <c r="X325" s="5">
        <f>[1]Hybrid!W52</f>
        <v>0.33111625919999998</v>
      </c>
      <c r="Y325" s="5">
        <f>[1]Hybrid!X52</f>
        <v>0.33293642969999998</v>
      </c>
      <c r="Z325" s="5">
        <f>[1]Hybrid!Y52</f>
        <v>0.33463256419999998</v>
      </c>
      <c r="AA325" s="5">
        <f>[1]Hybrid!Z52</f>
        <v>0.33622675870000002</v>
      </c>
      <c r="AB325" s="5">
        <f>[1]Hybrid!AA52</f>
        <v>0.33765762910000002</v>
      </c>
      <c r="AC325" s="5">
        <f>[1]Hybrid!AB52</f>
        <v>0.33898694670000001</v>
      </c>
      <c r="AD325" s="5">
        <f>[1]Hybrid!AC52</f>
        <v>0.34021972589999999</v>
      </c>
      <c r="AE325" s="5">
        <f>[1]Hybrid!AD52</f>
        <v>0.34137135010000003</v>
      </c>
      <c r="AF325" s="5">
        <f>[1]Hybrid!AE52</f>
        <v>0.34245940650000001</v>
      </c>
      <c r="AG325" s="5">
        <f>[1]Hybrid!AF52</f>
        <v>0.34349165209999999</v>
      </c>
      <c r="AH325" s="5">
        <f>[1]Hybrid!AG52</f>
        <v>0.34446223790000002</v>
      </c>
      <c r="AI325" s="5">
        <f>[1]Hybrid!AH52</f>
        <v>0.3453568709</v>
      </c>
      <c r="AJ325" s="5">
        <f>[1]Hybrid!AI52</f>
        <v>0.34616251949999999</v>
      </c>
      <c r="AK325" s="5">
        <f>[1]Hybrid!AJ52</f>
        <v>0.34686924120000001</v>
      </c>
      <c r="AL325" s="5">
        <f>[1]Hybrid!AK52</f>
        <v>0.34747070120000001</v>
      </c>
    </row>
    <row r="326" spans="1:3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0.1519863746</v>
      </c>
      <c r="E326" s="5">
        <f>[1]Hybrid!D54</f>
        <v>0.15459716439999999</v>
      </c>
      <c r="F326" s="5">
        <f>[1]Hybrid!E54</f>
        <v>0.15761589140000001</v>
      </c>
      <c r="G326" s="5">
        <f>[1]Hybrid!F54</f>
        <v>0.16091039609999999</v>
      </c>
      <c r="H326" s="5">
        <f>[1]Hybrid!G54</f>
        <v>0.16430585549999999</v>
      </c>
      <c r="I326" s="5">
        <f>[1]Hybrid!H54</f>
        <v>0.1676406419</v>
      </c>
      <c r="J326" s="5">
        <f>[1]Hybrid!I54</f>
        <v>0.17029692439999999</v>
      </c>
      <c r="K326" s="5">
        <f>[1]Hybrid!J54</f>
        <v>0.1725202498</v>
      </c>
      <c r="L326" s="5">
        <f>[1]Hybrid!K54</f>
        <v>0.17445572009999999</v>
      </c>
      <c r="M326" s="5">
        <f>[1]Hybrid!L54</f>
        <v>0.1761637419</v>
      </c>
      <c r="N326" s="5">
        <f>[1]Hybrid!M54</f>
        <v>0.17778898870000001</v>
      </c>
      <c r="O326" s="5">
        <f>[1]Hybrid!N54</f>
        <v>0.1793221508</v>
      </c>
      <c r="P326" s="5">
        <f>[1]Hybrid!O54</f>
        <v>0.18071884490000001</v>
      </c>
      <c r="Q326" s="5">
        <f>[1]Hybrid!P54</f>
        <v>0.18194867479999999</v>
      </c>
      <c r="R326" s="5">
        <f>[1]Hybrid!Q54</f>
        <v>0.1829978941</v>
      </c>
      <c r="S326" s="5">
        <f>[1]Hybrid!R54</f>
        <v>0.18381107329999999</v>
      </c>
      <c r="T326" s="5">
        <f>[1]Hybrid!S54</f>
        <v>0.18441322809999999</v>
      </c>
      <c r="U326" s="5">
        <f>[1]Hybrid!T54</f>
        <v>0.18483657889999999</v>
      </c>
      <c r="V326" s="5">
        <f>[1]Hybrid!U54</f>
        <v>0.1851076072</v>
      </c>
      <c r="W326" s="5">
        <f>[1]Hybrid!V54</f>
        <v>0.18523232009999999</v>
      </c>
      <c r="X326" s="5">
        <f>[1]Hybrid!W54</f>
        <v>0.18524624670000001</v>
      </c>
      <c r="Y326" s="5">
        <f>[1]Hybrid!X54</f>
        <v>0.1851633865</v>
      </c>
      <c r="Z326" s="5">
        <f>[1]Hybrid!Y54</f>
        <v>0.1849974371</v>
      </c>
      <c r="AA326" s="5">
        <f>[1]Hybrid!Z54</f>
        <v>0.18475709400000001</v>
      </c>
      <c r="AB326" s="5">
        <f>[1]Hybrid!AA54</f>
        <v>0.18440777380000001</v>
      </c>
      <c r="AC326" s="5">
        <f>[1]Hybrid!AB54</f>
        <v>0.1839748843</v>
      </c>
      <c r="AD326" s="5">
        <f>[1]Hybrid!AC54</f>
        <v>0.1834536141</v>
      </c>
      <c r="AE326" s="5">
        <f>[1]Hybrid!AD54</f>
        <v>0.18284369310000001</v>
      </c>
      <c r="AF326" s="5">
        <f>[1]Hybrid!AE54</f>
        <v>0.18214685189999999</v>
      </c>
      <c r="AG326" s="5">
        <f>[1]Hybrid!AF54</f>
        <v>0.1813613808</v>
      </c>
      <c r="AH326" s="5">
        <f>[1]Hybrid!AG54</f>
        <v>0.18048024800000001</v>
      </c>
      <c r="AI326" s="5">
        <f>[1]Hybrid!AH54</f>
        <v>0.17949341939999999</v>
      </c>
      <c r="AJ326" s="5">
        <f>[1]Hybrid!AI54</f>
        <v>0.17839261870000001</v>
      </c>
      <c r="AK326" s="5">
        <f>[1]Hybrid!AJ54</f>
        <v>0.1771722707</v>
      </c>
      <c r="AL326" s="5">
        <f>[1]Hybrid!AK54</f>
        <v>0.1758294812</v>
      </c>
    </row>
    <row r="327" spans="1:3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7.5275468799999995E-2</v>
      </c>
      <c r="E327" s="5">
        <f>[1]Hybrid!D56</f>
        <v>7.6237746300000006E-2</v>
      </c>
      <c r="F327" s="5">
        <f>[1]Hybrid!E56</f>
        <v>7.7275136899999999E-2</v>
      </c>
      <c r="G327" s="5">
        <f>[1]Hybrid!F56</f>
        <v>7.8314796800000003E-2</v>
      </c>
      <c r="H327" s="5">
        <f>[1]Hybrid!G56</f>
        <v>7.9279187200000004E-2</v>
      </c>
      <c r="I327" s="5">
        <f>[1]Hybrid!H56</f>
        <v>8.0100754999999996E-2</v>
      </c>
      <c r="J327" s="5">
        <f>[1]Hybrid!I56</f>
        <v>8.0511284899999994E-2</v>
      </c>
      <c r="K327" s="5">
        <f>[1]Hybrid!J56</f>
        <v>8.0601776999999999E-2</v>
      </c>
      <c r="L327" s="5">
        <f>[1]Hybrid!K56</f>
        <v>8.0442433199999996E-2</v>
      </c>
      <c r="M327" s="5">
        <f>[1]Hybrid!L56</f>
        <v>8.0068241100000007E-2</v>
      </c>
      <c r="N327" s="5">
        <f>[1]Hybrid!M56</f>
        <v>7.9548830299999998E-2</v>
      </c>
      <c r="O327" s="5">
        <f>[1]Hybrid!N56</f>
        <v>7.8904959499999996E-2</v>
      </c>
      <c r="P327" s="5">
        <f>[1]Hybrid!O56</f>
        <v>7.8144933E-2</v>
      </c>
      <c r="Q327" s="5">
        <f>[1]Hybrid!P56</f>
        <v>7.72804079E-2</v>
      </c>
      <c r="R327" s="5">
        <f>[1]Hybrid!Q56</f>
        <v>7.6325885999999996E-2</v>
      </c>
      <c r="S327" s="5">
        <f>[1]Hybrid!R56</f>
        <v>7.5279576500000001E-2</v>
      </c>
      <c r="T327" s="5">
        <f>[1]Hybrid!S56</f>
        <v>7.4160443000000006E-2</v>
      </c>
      <c r="U327" s="5">
        <f>[1]Hybrid!T56</f>
        <v>7.2988032199999997E-2</v>
      </c>
      <c r="V327" s="5">
        <f>[1]Hybrid!U56</f>
        <v>7.1777936700000003E-2</v>
      </c>
      <c r="W327" s="5">
        <f>[1]Hybrid!V56</f>
        <v>7.0537487800000007E-2</v>
      </c>
      <c r="X327" s="5">
        <f>[1]Hybrid!W56</f>
        <v>6.9279880599999996E-2</v>
      </c>
      <c r="Y327" s="5">
        <f>[1]Hybrid!X56</f>
        <v>6.8010145899999999E-2</v>
      </c>
      <c r="Z327" s="5">
        <f>[1]Hybrid!Y56</f>
        <v>6.6731631700000002E-2</v>
      </c>
      <c r="AA327" s="5">
        <f>[1]Hybrid!Z56</f>
        <v>6.5444913699999996E-2</v>
      </c>
      <c r="AB327" s="5">
        <f>[1]Hybrid!AA56</f>
        <v>6.41386548E-2</v>
      </c>
      <c r="AC327" s="5">
        <f>[1]Hybrid!AB56</f>
        <v>6.2815583600000002E-2</v>
      </c>
      <c r="AD327" s="5">
        <f>[1]Hybrid!AC56</f>
        <v>6.1469998200000001E-2</v>
      </c>
      <c r="AE327" s="5">
        <f>[1]Hybrid!AD56</f>
        <v>6.0097616200000002E-2</v>
      </c>
      <c r="AF327" s="5">
        <f>[1]Hybrid!AE56</f>
        <v>5.86961545E-2</v>
      </c>
      <c r="AG327" s="5">
        <f>[1]Hybrid!AF56</f>
        <v>5.7264266199999997E-2</v>
      </c>
      <c r="AH327" s="5">
        <f>[1]Hybrid!AG56</f>
        <v>5.5800907199999999E-2</v>
      </c>
      <c r="AI327" s="5">
        <f>[1]Hybrid!AH56</f>
        <v>5.4305589799999998E-2</v>
      </c>
      <c r="AJ327" s="5">
        <f>[1]Hybrid!AI56</f>
        <v>5.2779348699999999E-2</v>
      </c>
      <c r="AK327" s="5">
        <f>[1]Hybrid!AJ56</f>
        <v>5.1224809099999997E-2</v>
      </c>
      <c r="AL327" s="5">
        <f>[1]Hybrid!AK56</f>
        <v>4.9645856799999999E-2</v>
      </c>
    </row>
    <row r="328" spans="1:3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0.13584513670000001</v>
      </c>
      <c r="E328" s="5">
        <f>[1]Hybrid!D58</f>
        <v>0.1376897638</v>
      </c>
      <c r="F328" s="5">
        <f>[1]Hybrid!E58</f>
        <v>0.13945774320000001</v>
      </c>
      <c r="G328" s="5">
        <f>[1]Hybrid!F58</f>
        <v>0.14101039260000001</v>
      </c>
      <c r="H328" s="5">
        <f>[1]Hybrid!G58</f>
        <v>0.142224713</v>
      </c>
      <c r="I328" s="5">
        <f>[1]Hybrid!H58</f>
        <v>0.14300149409999999</v>
      </c>
      <c r="J328" s="5">
        <f>[1]Hybrid!I58</f>
        <v>0.14289621199999999</v>
      </c>
      <c r="K328" s="5">
        <f>[1]Hybrid!J58</f>
        <v>0.14205778120000001</v>
      </c>
      <c r="L328" s="5">
        <f>[1]Hybrid!K58</f>
        <v>0.1406308453</v>
      </c>
      <c r="M328" s="5">
        <f>[1]Hybrid!L58</f>
        <v>0.13870191870000001</v>
      </c>
      <c r="N328" s="5">
        <f>[1]Hybrid!M58</f>
        <v>0.13641192730000001</v>
      </c>
      <c r="O328" s="5">
        <f>[1]Hybrid!N58</f>
        <v>0.13383613059999999</v>
      </c>
      <c r="P328" s="5">
        <f>[1]Hybrid!O58</f>
        <v>0.13102737850000001</v>
      </c>
      <c r="Q328" s="5">
        <f>[1]Hybrid!P58</f>
        <v>0.12803708750000001</v>
      </c>
      <c r="R328" s="5">
        <f>[1]Hybrid!Q58</f>
        <v>0.1249136376</v>
      </c>
      <c r="S328" s="5">
        <f>[1]Hybrid!R58</f>
        <v>0.1216780113</v>
      </c>
      <c r="T328" s="5">
        <f>[1]Hybrid!S58</f>
        <v>0.1183702958</v>
      </c>
      <c r="U328" s="5">
        <f>[1]Hybrid!T58</f>
        <v>0.1150277763</v>
      </c>
      <c r="V328" s="5">
        <f>[1]Hybrid!U58</f>
        <v>0.11167924949999999</v>
      </c>
      <c r="W328" s="5">
        <f>[1]Hybrid!V58</f>
        <v>0.1083404617</v>
      </c>
      <c r="X328" s="5">
        <f>[1]Hybrid!W58</f>
        <v>0.1050306714</v>
      </c>
      <c r="Y328" s="5">
        <f>[1]Hybrid!X58</f>
        <v>0.101757419</v>
      </c>
      <c r="Z328" s="5">
        <f>[1]Hybrid!Y58</f>
        <v>9.8524689100000007E-2</v>
      </c>
      <c r="AA328" s="5">
        <f>[1]Hybrid!Z58</f>
        <v>9.5332177899999995E-2</v>
      </c>
      <c r="AB328" s="5">
        <f>[1]Hybrid!AA58</f>
        <v>9.2166756500000002E-2</v>
      </c>
      <c r="AC328" s="5">
        <f>[1]Hybrid!AB58</f>
        <v>8.9029116399999997E-2</v>
      </c>
      <c r="AD328" s="5">
        <f>[1]Hybrid!AC58</f>
        <v>8.5911338399999995E-2</v>
      </c>
      <c r="AE328" s="5">
        <f>[1]Hybrid!AD58</f>
        <v>8.2807903599999996E-2</v>
      </c>
      <c r="AF328" s="5">
        <f>[1]Hybrid!AE58</f>
        <v>7.9717051400000002E-2</v>
      </c>
      <c r="AG328" s="5">
        <f>[1]Hybrid!AF58</f>
        <v>7.6639658999999999E-2</v>
      </c>
      <c r="AH328" s="5">
        <f>[1]Hybrid!AG58</f>
        <v>7.3578227400000001E-2</v>
      </c>
      <c r="AI328" s="5">
        <f>[1]Hybrid!AH58</f>
        <v>7.0536668600000005E-2</v>
      </c>
      <c r="AJ328" s="5">
        <f>[1]Hybrid!AI58</f>
        <v>6.7520819199999998E-2</v>
      </c>
      <c r="AK328" s="5">
        <f>[1]Hybrid!AJ58</f>
        <v>6.4538124399999994E-2</v>
      </c>
      <c r="AL328" s="5">
        <f>[1]Hybrid!AK58</f>
        <v>6.1596939900000001E-2</v>
      </c>
    </row>
    <row r="330" spans="1:3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</row>
    <row r="331" spans="1:38" x14ac:dyDescent="0.35">
      <c r="A331" t="s">
        <v>39</v>
      </c>
      <c r="B331" t="s">
        <v>96</v>
      </c>
      <c r="C331" s="6">
        <f t="shared" ref="C331:AL331" si="62">C308+C322+C315</f>
        <v>7105.9689965623002</v>
      </c>
      <c r="D331" s="6">
        <f t="shared" si="62"/>
        <v>7152.3092869474003</v>
      </c>
      <c r="E331" s="6">
        <f t="shared" si="62"/>
        <v>7255.4507319373997</v>
      </c>
      <c r="F331" s="6">
        <f t="shared" si="62"/>
        <v>7394.3019234223993</v>
      </c>
      <c r="G331" s="6">
        <f t="shared" si="62"/>
        <v>7562.4358450191003</v>
      </c>
      <c r="H331" s="6">
        <f t="shared" si="62"/>
        <v>7749.3584361777002</v>
      </c>
      <c r="I331" s="6">
        <f t="shared" si="62"/>
        <v>7945.5293902339999</v>
      </c>
      <c r="J331" s="6">
        <f t="shared" si="62"/>
        <v>8117.8473674017005</v>
      </c>
      <c r="K331" s="6">
        <f t="shared" si="62"/>
        <v>8287.4936537410995</v>
      </c>
      <c r="L331" s="6">
        <f t="shared" si="62"/>
        <v>8464.2312868913996</v>
      </c>
      <c r="M331" s="6">
        <f t="shared" si="62"/>
        <v>8652.5977329698999</v>
      </c>
      <c r="N331" s="6">
        <f t="shared" si="62"/>
        <v>8860.9780300771999</v>
      </c>
      <c r="O331" s="6">
        <f t="shared" si="62"/>
        <v>9084.2738269859001</v>
      </c>
      <c r="P331" s="6">
        <f t="shared" si="62"/>
        <v>9315.5283225078001</v>
      </c>
      <c r="Q331" s="6">
        <f t="shared" si="62"/>
        <v>9549.2653950553995</v>
      </c>
      <c r="R331" s="6">
        <f t="shared" si="62"/>
        <v>9781.7239912619007</v>
      </c>
      <c r="S331" s="6">
        <f t="shared" si="62"/>
        <v>10006.8577177115</v>
      </c>
      <c r="T331" s="6">
        <f t="shared" si="62"/>
        <v>10225.986792483302</v>
      </c>
      <c r="U331" s="6">
        <f t="shared" si="62"/>
        <v>10440.585929156101</v>
      </c>
      <c r="V331" s="6">
        <f t="shared" si="62"/>
        <v>10651.727286073501</v>
      </c>
      <c r="W331" s="6">
        <f t="shared" si="62"/>
        <v>10859.0556543986</v>
      </c>
      <c r="X331" s="6">
        <f t="shared" si="62"/>
        <v>11065.2213695593</v>
      </c>
      <c r="Y331" s="6">
        <f t="shared" si="62"/>
        <v>11271.481266033199</v>
      </c>
      <c r="Z331" s="6">
        <f t="shared" si="62"/>
        <v>11479.482434804002</v>
      </c>
      <c r="AA331" s="6">
        <f t="shared" si="62"/>
        <v>11690.852509135002</v>
      </c>
      <c r="AB331" s="6">
        <f t="shared" si="62"/>
        <v>11903.457268521001</v>
      </c>
      <c r="AC331" s="6">
        <f t="shared" si="62"/>
        <v>12121.434496329</v>
      </c>
      <c r="AD331" s="6">
        <f t="shared" si="62"/>
        <v>12346.558792819</v>
      </c>
      <c r="AE331" s="6">
        <f t="shared" si="62"/>
        <v>12581.342785462</v>
      </c>
      <c r="AF331" s="6">
        <f t="shared" si="62"/>
        <v>12828.388455828999</v>
      </c>
      <c r="AG331" s="6">
        <f t="shared" si="62"/>
        <v>13089.702434726001</v>
      </c>
      <c r="AH331" s="6">
        <f t="shared" si="62"/>
        <v>13366.515426962</v>
      </c>
      <c r="AI331" s="6">
        <f t="shared" si="62"/>
        <v>13659.588955515999</v>
      </c>
      <c r="AJ331" s="6">
        <f t="shared" si="62"/>
        <v>13969.697425266999</v>
      </c>
      <c r="AK331" s="6">
        <f t="shared" si="62"/>
        <v>14297.692072960001</v>
      </c>
      <c r="AL331" s="6">
        <f t="shared" si="62"/>
        <v>14644.567050037</v>
      </c>
    </row>
    <row r="332" spans="1:38" x14ac:dyDescent="0.35">
      <c r="B332" t="s">
        <v>97</v>
      </c>
      <c r="C332" s="6">
        <f t="shared" ref="C332:AL332" si="63">C309+C323+C316</f>
        <v>8263.1971436354015</v>
      </c>
      <c r="D332" s="6">
        <f t="shared" si="63"/>
        <v>8194.9441513409001</v>
      </c>
      <c r="E332" s="6">
        <f t="shared" si="63"/>
        <v>8188.9422338429004</v>
      </c>
      <c r="F332" s="6">
        <f t="shared" si="63"/>
        <v>8224.038493699898</v>
      </c>
      <c r="G332" s="6">
        <f t="shared" si="63"/>
        <v>8293.335218321301</v>
      </c>
      <c r="H332" s="6">
        <f t="shared" si="63"/>
        <v>8386.3477863360986</v>
      </c>
      <c r="I332" s="6">
        <f t="shared" si="63"/>
        <v>8493.4774789003004</v>
      </c>
      <c r="J332" s="6">
        <f t="shared" si="63"/>
        <v>8582.1640185428987</v>
      </c>
      <c r="K332" s="6">
        <f t="shared" si="63"/>
        <v>8670.9474764049992</v>
      </c>
      <c r="L332" s="6">
        <f t="shared" si="63"/>
        <v>8768.5452612819008</v>
      </c>
      <c r="M332" s="6">
        <f t="shared" si="63"/>
        <v>8878.7970664699988</v>
      </c>
      <c r="N332" s="6">
        <f t="shared" si="63"/>
        <v>9009.4868208488988</v>
      </c>
      <c r="O332" s="6">
        <f t="shared" si="63"/>
        <v>9156.2617402477008</v>
      </c>
      <c r="P332" s="6">
        <f t="shared" si="63"/>
        <v>9312.8629286153991</v>
      </c>
      <c r="Q332" s="6">
        <f t="shared" si="63"/>
        <v>9474.3026239932005</v>
      </c>
      <c r="R332" s="6">
        <f t="shared" si="63"/>
        <v>9637.1119986438007</v>
      </c>
      <c r="S332" s="6">
        <f t="shared" si="63"/>
        <v>9795.5702652366999</v>
      </c>
      <c r="T332" s="6">
        <f t="shared" si="63"/>
        <v>9950.6303286349994</v>
      </c>
      <c r="U332" s="6">
        <f t="shared" si="63"/>
        <v>10103.5136746972</v>
      </c>
      <c r="V332" s="6">
        <f t="shared" si="63"/>
        <v>10255.109529080701</v>
      </c>
      <c r="W332" s="6">
        <f t="shared" si="63"/>
        <v>10404.995482348801</v>
      </c>
      <c r="X332" s="6">
        <f t="shared" si="63"/>
        <v>10555.470932889699</v>
      </c>
      <c r="Y332" s="6">
        <f t="shared" si="63"/>
        <v>10707.526452987799</v>
      </c>
      <c r="Z332" s="6">
        <f t="shared" si="63"/>
        <v>10862.477845437101</v>
      </c>
      <c r="AA332" s="6">
        <f t="shared" si="63"/>
        <v>11021.589314652601</v>
      </c>
      <c r="AB332" s="6">
        <f t="shared" si="63"/>
        <v>11182.682558391101</v>
      </c>
      <c r="AC332" s="6">
        <f t="shared" si="63"/>
        <v>11349.2190398353</v>
      </c>
      <c r="AD332" s="6">
        <f t="shared" si="63"/>
        <v>11522.4587050389</v>
      </c>
      <c r="AE332" s="6">
        <f t="shared" si="63"/>
        <v>11704.290656097101</v>
      </c>
      <c r="AF332" s="6">
        <f t="shared" si="63"/>
        <v>11896.681183661</v>
      </c>
      <c r="AG332" s="6">
        <f t="shared" si="63"/>
        <v>12101.066723163</v>
      </c>
      <c r="AH332" s="6">
        <f t="shared" si="63"/>
        <v>12318.188052891999</v>
      </c>
      <c r="AI332" s="6">
        <f t="shared" si="63"/>
        <v>12548.357638456999</v>
      </c>
      <c r="AJ332" s="6">
        <f t="shared" si="63"/>
        <v>12791.893746149999</v>
      </c>
      <c r="AK332" s="6">
        <f t="shared" si="63"/>
        <v>13049.180585866001</v>
      </c>
      <c r="AL332" s="6">
        <f t="shared" si="63"/>
        <v>13320.718545128002</v>
      </c>
    </row>
    <row r="333" spans="1:38" x14ac:dyDescent="0.35">
      <c r="B333" t="s">
        <v>98</v>
      </c>
      <c r="C333" s="6">
        <f t="shared" ref="C333:AL333" si="64">C310+C324+C317</f>
        <v>6787.4105911386005</v>
      </c>
      <c r="D333" s="6">
        <f t="shared" si="64"/>
        <v>6656.6716304716001</v>
      </c>
      <c r="E333" s="6">
        <f t="shared" si="64"/>
        <v>6574.7957543665007</v>
      </c>
      <c r="F333" s="6">
        <f t="shared" si="64"/>
        <v>6526.4876621321</v>
      </c>
      <c r="G333" s="6">
        <f t="shared" si="64"/>
        <v>6506.4446242708</v>
      </c>
      <c r="H333" s="6">
        <f t="shared" si="64"/>
        <v>6507.1004000827998</v>
      </c>
      <c r="I333" s="6">
        <f t="shared" si="64"/>
        <v>6521.4842437415</v>
      </c>
      <c r="J333" s="6">
        <f t="shared" si="64"/>
        <v>6526.5066819774993</v>
      </c>
      <c r="K333" s="6">
        <f t="shared" si="64"/>
        <v>6533.7774864221001</v>
      </c>
      <c r="L333" s="6">
        <f t="shared" si="64"/>
        <v>6548.8788496265997</v>
      </c>
      <c r="M333" s="6">
        <f t="shared" si="64"/>
        <v>6574.1156112686003</v>
      </c>
      <c r="N333" s="6">
        <f t="shared" si="64"/>
        <v>6614.6867163216002</v>
      </c>
      <c r="O333" s="6">
        <f t="shared" si="64"/>
        <v>6667.9172240152993</v>
      </c>
      <c r="P333" s="6">
        <f t="shared" si="64"/>
        <v>6729.7316203285</v>
      </c>
      <c r="Q333" s="6">
        <f t="shared" si="64"/>
        <v>6796.8343107007004</v>
      </c>
      <c r="R333" s="6">
        <f t="shared" si="64"/>
        <v>6866.8969132826996</v>
      </c>
      <c r="S333" s="6">
        <f t="shared" si="64"/>
        <v>6935.9967328031998</v>
      </c>
      <c r="T333" s="6">
        <f t="shared" si="64"/>
        <v>7004.5719316768</v>
      </c>
      <c r="U333" s="6">
        <f t="shared" si="64"/>
        <v>7073.3240549701004</v>
      </c>
      <c r="V333" s="6">
        <f t="shared" si="64"/>
        <v>7142.7605147517006</v>
      </c>
      <c r="W333" s="6">
        <f t="shared" si="64"/>
        <v>7212.5203916257997</v>
      </c>
      <c r="X333" s="6">
        <f t="shared" si="64"/>
        <v>7284.0222951341002</v>
      </c>
      <c r="Y333" s="6">
        <f t="shared" si="64"/>
        <v>7357.8002278167005</v>
      </c>
      <c r="Z333" s="6">
        <f t="shared" si="64"/>
        <v>7434.5837928437995</v>
      </c>
      <c r="AA333" s="6">
        <f t="shared" si="64"/>
        <v>7515.0484988823</v>
      </c>
      <c r="AB333" s="6">
        <f t="shared" si="64"/>
        <v>7597.5985387148994</v>
      </c>
      <c r="AC333" s="6">
        <f t="shared" si="64"/>
        <v>7684.3005115871001</v>
      </c>
      <c r="AD333" s="6">
        <f t="shared" si="64"/>
        <v>7775.7453526215004</v>
      </c>
      <c r="AE333" s="6">
        <f t="shared" si="64"/>
        <v>7872.9136080431999</v>
      </c>
      <c r="AF333" s="6">
        <f t="shared" si="64"/>
        <v>7976.8377953853005</v>
      </c>
      <c r="AG333" s="6">
        <f t="shared" si="64"/>
        <v>8088.2141930567004</v>
      </c>
      <c r="AH333" s="6">
        <f t="shared" si="64"/>
        <v>8207.2930420984994</v>
      </c>
      <c r="AI333" s="6">
        <f t="shared" si="64"/>
        <v>8334.0470246203004</v>
      </c>
      <c r="AJ333" s="6">
        <f t="shared" si="64"/>
        <v>8468.4537912419</v>
      </c>
      <c r="AK333" s="6">
        <f t="shared" si="64"/>
        <v>8610.5369948385014</v>
      </c>
      <c r="AL333" s="6">
        <f t="shared" si="64"/>
        <v>8760.3935232513995</v>
      </c>
    </row>
    <row r="334" spans="1:38" x14ac:dyDescent="0.35">
      <c r="B334" t="s">
        <v>99</v>
      </c>
      <c r="C334" s="6">
        <f t="shared" ref="C334:AL334" si="65">C311+C325+C318</f>
        <v>4165.6835237371006</v>
      </c>
      <c r="D334" s="6">
        <f t="shared" si="65"/>
        <v>4060.8380360147994</v>
      </c>
      <c r="E334" s="6">
        <f t="shared" si="65"/>
        <v>3984.0056995333002</v>
      </c>
      <c r="F334" s="6">
        <f t="shared" si="65"/>
        <v>3926.2140836721001</v>
      </c>
      <c r="G334" s="6">
        <f t="shared" si="65"/>
        <v>3884.1704301793998</v>
      </c>
      <c r="H334" s="6">
        <f t="shared" si="65"/>
        <v>3853.5993971647999</v>
      </c>
      <c r="I334" s="6">
        <f t="shared" si="65"/>
        <v>3830.5837445425004</v>
      </c>
      <c r="J334" s="6">
        <f t="shared" si="65"/>
        <v>3802.3696014546999</v>
      </c>
      <c r="K334" s="6">
        <f t="shared" si="65"/>
        <v>3774.3534749855003</v>
      </c>
      <c r="L334" s="6">
        <f t="shared" si="65"/>
        <v>3749.2847310276002</v>
      </c>
      <c r="M334" s="6">
        <f t="shared" si="65"/>
        <v>3728.1760265133998</v>
      </c>
      <c r="N334" s="6">
        <f t="shared" si="65"/>
        <v>3713.6523260195004</v>
      </c>
      <c r="O334" s="6">
        <f t="shared" si="65"/>
        <v>3704.6582056487</v>
      </c>
      <c r="P334" s="6">
        <f t="shared" si="65"/>
        <v>3699.4386711273</v>
      </c>
      <c r="Q334" s="6">
        <f t="shared" si="65"/>
        <v>3696.6196866308005</v>
      </c>
      <c r="R334" s="6">
        <f t="shared" si="65"/>
        <v>3695.2785581082003</v>
      </c>
      <c r="S334" s="6">
        <f t="shared" si="65"/>
        <v>3693.6598421627</v>
      </c>
      <c r="T334" s="6">
        <f t="shared" si="65"/>
        <v>3692.0042199351001</v>
      </c>
      <c r="U334" s="6">
        <f t="shared" si="65"/>
        <v>3690.7118802261002</v>
      </c>
      <c r="V334" s="6">
        <f t="shared" si="65"/>
        <v>3690.0804999367001</v>
      </c>
      <c r="W334" s="6">
        <f t="shared" si="65"/>
        <v>3689.9696637641</v>
      </c>
      <c r="X334" s="6">
        <f t="shared" si="65"/>
        <v>3691.0206673591997</v>
      </c>
      <c r="Y334" s="6">
        <f t="shared" si="65"/>
        <v>3693.4159408297</v>
      </c>
      <c r="Z334" s="6">
        <f t="shared" si="65"/>
        <v>3697.3888434642004</v>
      </c>
      <c r="AA334" s="6">
        <f t="shared" si="65"/>
        <v>3703.1066996587001</v>
      </c>
      <c r="AB334" s="6">
        <f t="shared" si="65"/>
        <v>3709.6776858291</v>
      </c>
      <c r="AC334" s="6">
        <f t="shared" si="65"/>
        <v>3717.8143870467002</v>
      </c>
      <c r="AD334" s="6">
        <f t="shared" si="65"/>
        <v>3727.5080460259001</v>
      </c>
      <c r="AE334" s="6">
        <f t="shared" si="65"/>
        <v>3738.9005772501</v>
      </c>
      <c r="AF334" s="6">
        <f t="shared" si="65"/>
        <v>3752.1785730064998</v>
      </c>
      <c r="AG334" s="6">
        <f t="shared" si="65"/>
        <v>3767.4145850520999</v>
      </c>
      <c r="AH334" s="6">
        <f t="shared" si="65"/>
        <v>3784.5152677379001</v>
      </c>
      <c r="AI334" s="6">
        <f t="shared" si="65"/>
        <v>3803.2878969709</v>
      </c>
      <c r="AJ334" s="6">
        <f t="shared" si="65"/>
        <v>3823.5694387194999</v>
      </c>
      <c r="AK334" s="6">
        <f t="shared" si="65"/>
        <v>3845.2511087411999</v>
      </c>
      <c r="AL334" s="6">
        <f t="shared" si="65"/>
        <v>3868.2858701012001</v>
      </c>
    </row>
    <row r="335" spans="1:38" x14ac:dyDescent="0.35">
      <c r="B335" t="s">
        <v>100</v>
      </c>
      <c r="C335" s="6">
        <f t="shared" ref="C335:AL335" si="66">C312+C326+C319</f>
        <v>2507.3524895615005</v>
      </c>
      <c r="D335" s="6">
        <f t="shared" si="66"/>
        <v>2446.6033170465998</v>
      </c>
      <c r="E335" s="6">
        <f t="shared" si="66"/>
        <v>2401.9268100454001</v>
      </c>
      <c r="F335" s="6">
        <f t="shared" si="66"/>
        <v>2367.6770499353997</v>
      </c>
      <c r="G335" s="6">
        <f t="shared" si="66"/>
        <v>2341.7744701921001</v>
      </c>
      <c r="H335" s="6">
        <f t="shared" si="66"/>
        <v>2321.6754317205</v>
      </c>
      <c r="I335" s="6">
        <f t="shared" si="66"/>
        <v>2305.0612638219</v>
      </c>
      <c r="J335" s="6">
        <f t="shared" si="66"/>
        <v>2284.2222197244</v>
      </c>
      <c r="K335" s="6">
        <f t="shared" si="66"/>
        <v>2262.0511472598005</v>
      </c>
      <c r="L335" s="6">
        <f t="shared" si="66"/>
        <v>2240.1807442201002</v>
      </c>
      <c r="M335" s="6">
        <f t="shared" si="66"/>
        <v>2219.2222521418998</v>
      </c>
      <c r="N335" s="6">
        <f t="shared" si="66"/>
        <v>2200.7758900286995</v>
      </c>
      <c r="O335" s="6">
        <f t="shared" si="66"/>
        <v>2184.4966573308002</v>
      </c>
      <c r="P335" s="6">
        <f t="shared" si="66"/>
        <v>2169.6281826449003</v>
      </c>
      <c r="Q335" s="6">
        <f t="shared" si="66"/>
        <v>2155.6055061247998</v>
      </c>
      <c r="R335" s="6">
        <f t="shared" si="66"/>
        <v>2142.0858843041001</v>
      </c>
      <c r="S335" s="6">
        <f t="shared" si="66"/>
        <v>2128.2363054433004</v>
      </c>
      <c r="T335" s="6">
        <f t="shared" si="66"/>
        <v>2114.2471952481001</v>
      </c>
      <c r="U335" s="6">
        <f t="shared" si="66"/>
        <v>2100.4002114289001</v>
      </c>
      <c r="V335" s="6">
        <f t="shared" si="66"/>
        <v>2086.9091938672</v>
      </c>
      <c r="W335" s="6">
        <f t="shared" si="66"/>
        <v>2073.7364702501</v>
      </c>
      <c r="X335" s="6">
        <f t="shared" si="66"/>
        <v>2061.2248758367</v>
      </c>
      <c r="Y335" s="6">
        <f t="shared" si="66"/>
        <v>2049.4516647965002</v>
      </c>
      <c r="Z335" s="6">
        <f t="shared" si="66"/>
        <v>2038.4984516371001</v>
      </c>
      <c r="AA335" s="6">
        <f t="shared" si="66"/>
        <v>2028.3908840239999</v>
      </c>
      <c r="AB335" s="6">
        <f t="shared" si="66"/>
        <v>2018.6033085338001</v>
      </c>
      <c r="AC335" s="6">
        <f t="shared" si="66"/>
        <v>2009.3952290842999</v>
      </c>
      <c r="AD335" s="6">
        <f t="shared" si="66"/>
        <v>2000.6394140141001</v>
      </c>
      <c r="AE335" s="6">
        <f t="shared" si="66"/>
        <v>1992.2747164931</v>
      </c>
      <c r="AF335" s="6">
        <f t="shared" si="66"/>
        <v>1984.2725220518998</v>
      </c>
      <c r="AG335" s="6">
        <f t="shared" si="66"/>
        <v>1976.5640561808</v>
      </c>
      <c r="AH335" s="6">
        <f t="shared" si="66"/>
        <v>1969.0138796480001</v>
      </c>
      <c r="AI335" s="6">
        <f t="shared" si="66"/>
        <v>1961.4493891193999</v>
      </c>
      <c r="AJ335" s="6">
        <f t="shared" si="66"/>
        <v>1953.7241910186999</v>
      </c>
      <c r="AK335" s="6">
        <f t="shared" si="66"/>
        <v>1945.7306310707002</v>
      </c>
      <c r="AL335" s="6">
        <f t="shared" si="66"/>
        <v>1937.3995156812</v>
      </c>
    </row>
    <row r="336" spans="1:38" x14ac:dyDescent="0.35">
      <c r="B336" t="s">
        <v>101</v>
      </c>
      <c r="C336" s="6">
        <f t="shared" ref="C336:AL336" si="67">C313+C327+C320</f>
        <v>1245.466605953</v>
      </c>
      <c r="D336" s="6">
        <f t="shared" si="67"/>
        <v>1212.6423993738001</v>
      </c>
      <c r="E336" s="6">
        <f t="shared" si="67"/>
        <v>1186.4603410683001</v>
      </c>
      <c r="F336" s="6">
        <f t="shared" si="67"/>
        <v>1163.9737103289001</v>
      </c>
      <c r="G336" s="6">
        <f t="shared" si="67"/>
        <v>1144.0786962748</v>
      </c>
      <c r="H336" s="6">
        <f t="shared" si="67"/>
        <v>1125.6420098402</v>
      </c>
      <c r="I336" s="6">
        <f t="shared" si="67"/>
        <v>1107.6801276190001</v>
      </c>
      <c r="J336" s="6">
        <f t="shared" si="67"/>
        <v>1086.8322087018998</v>
      </c>
      <c r="K336" s="6">
        <f t="shared" si="67"/>
        <v>1064.1323046820003</v>
      </c>
      <c r="L336" s="6">
        <f t="shared" si="67"/>
        <v>1040.3454101771999</v>
      </c>
      <c r="M336" s="6">
        <f t="shared" si="67"/>
        <v>1015.8060579480999</v>
      </c>
      <c r="N336" s="6">
        <f t="shared" si="67"/>
        <v>991.25963997229996</v>
      </c>
      <c r="O336" s="6">
        <f t="shared" si="67"/>
        <v>966.84497690750004</v>
      </c>
      <c r="P336" s="6">
        <f t="shared" si="67"/>
        <v>942.55494022599999</v>
      </c>
      <c r="Q336" s="6">
        <f t="shared" si="67"/>
        <v>918.42984063890003</v>
      </c>
      <c r="R336" s="6">
        <f t="shared" si="67"/>
        <v>894.55057331599994</v>
      </c>
      <c r="S336" s="6">
        <f t="shared" si="67"/>
        <v>870.8060088064999</v>
      </c>
      <c r="T336" s="6">
        <f t="shared" si="67"/>
        <v>847.34704967300001</v>
      </c>
      <c r="U336" s="6">
        <f t="shared" si="67"/>
        <v>824.33443014220006</v>
      </c>
      <c r="V336" s="6">
        <f t="shared" si="67"/>
        <v>801.88334815669998</v>
      </c>
      <c r="W336" s="6">
        <f t="shared" si="67"/>
        <v>780.01085611780002</v>
      </c>
      <c r="X336" s="6">
        <f t="shared" si="67"/>
        <v>758.81095703059998</v>
      </c>
      <c r="Y336" s="6">
        <f t="shared" si="67"/>
        <v>738.28033188589995</v>
      </c>
      <c r="Z336" s="6">
        <f t="shared" si="67"/>
        <v>718.39912260170001</v>
      </c>
      <c r="AA336" s="6">
        <f t="shared" si="67"/>
        <v>699.11713176369994</v>
      </c>
      <c r="AB336" s="6">
        <f t="shared" si="67"/>
        <v>680.23917665479996</v>
      </c>
      <c r="AC336" s="6">
        <f t="shared" si="67"/>
        <v>661.75102602359993</v>
      </c>
      <c r="AD336" s="6">
        <f t="shared" si="67"/>
        <v>643.53538878820007</v>
      </c>
      <c r="AE336" s="6">
        <f t="shared" si="67"/>
        <v>625.49608868619998</v>
      </c>
      <c r="AF336" s="6">
        <f t="shared" si="67"/>
        <v>607.56495228450001</v>
      </c>
      <c r="AG336" s="6">
        <f t="shared" si="67"/>
        <v>589.68790044620005</v>
      </c>
      <c r="AH336" s="6">
        <f t="shared" si="67"/>
        <v>571.81653568720003</v>
      </c>
      <c r="AI336" s="6">
        <f t="shared" si="67"/>
        <v>553.91111588980004</v>
      </c>
      <c r="AJ336" s="6">
        <f t="shared" si="67"/>
        <v>535.9528054287</v>
      </c>
      <c r="AK336" s="6">
        <f t="shared" si="67"/>
        <v>517.94443483910004</v>
      </c>
      <c r="AL336" s="6">
        <f t="shared" si="67"/>
        <v>499.90620036680002</v>
      </c>
    </row>
    <row r="337" spans="1:38" x14ac:dyDescent="0.35">
      <c r="B337" t="s">
        <v>102</v>
      </c>
      <c r="C337" s="6">
        <f t="shared" ref="C337:AL337" si="68">C314+C328+C321</f>
        <v>2242.8616504070001</v>
      </c>
      <c r="D337" s="6">
        <f t="shared" si="68"/>
        <v>2187.2078363297001</v>
      </c>
      <c r="E337" s="6">
        <f t="shared" si="68"/>
        <v>2141.3531434908004</v>
      </c>
      <c r="F337" s="6">
        <f t="shared" si="68"/>
        <v>2099.5926434962003</v>
      </c>
      <c r="G337" s="6">
        <f t="shared" si="68"/>
        <v>2059.8869303546003</v>
      </c>
      <c r="H337" s="6">
        <f t="shared" si="68"/>
        <v>2020.4312457159999</v>
      </c>
      <c r="I337" s="6">
        <f t="shared" si="68"/>
        <v>1979.7546124901</v>
      </c>
      <c r="J337" s="6">
        <f t="shared" si="68"/>
        <v>1932.2908081740002</v>
      </c>
      <c r="K337" s="6">
        <f t="shared" si="68"/>
        <v>1879.7322624112001</v>
      </c>
      <c r="L337" s="6">
        <f t="shared" si="68"/>
        <v>1823.6836604553</v>
      </c>
      <c r="M337" s="6">
        <f t="shared" si="68"/>
        <v>1765.0304893786999</v>
      </c>
      <c r="N337" s="6">
        <f t="shared" si="68"/>
        <v>1705.2984088573</v>
      </c>
      <c r="O337" s="6">
        <f t="shared" si="68"/>
        <v>1645.1931037306001</v>
      </c>
      <c r="P337" s="6">
        <f t="shared" si="68"/>
        <v>1585.1528207884999</v>
      </c>
      <c r="Q337" s="6">
        <f t="shared" si="68"/>
        <v>1525.6062211574999</v>
      </c>
      <c r="R337" s="6">
        <f t="shared" si="68"/>
        <v>1466.9529406476001</v>
      </c>
      <c r="S337" s="6">
        <f t="shared" si="68"/>
        <v>1409.2680440313</v>
      </c>
      <c r="T337" s="6">
        <f t="shared" si="68"/>
        <v>1352.8729202258</v>
      </c>
      <c r="U337" s="6">
        <f t="shared" si="68"/>
        <v>1298.0610918262998</v>
      </c>
      <c r="V337" s="6">
        <f t="shared" si="68"/>
        <v>1245.0290496494999</v>
      </c>
      <c r="W337" s="6">
        <f t="shared" si="68"/>
        <v>1193.8206684716999</v>
      </c>
      <c r="X337" s="6">
        <f t="shared" si="68"/>
        <v>1144.5327567414001</v>
      </c>
      <c r="Y337" s="6">
        <f t="shared" si="68"/>
        <v>1097.125517879</v>
      </c>
      <c r="Z337" s="6">
        <f t="shared" si="68"/>
        <v>1051.5241456591</v>
      </c>
      <c r="AA337" s="6">
        <f t="shared" si="68"/>
        <v>1007.6091663079001</v>
      </c>
      <c r="AB337" s="6">
        <f t="shared" si="68"/>
        <v>965.10875475650005</v>
      </c>
      <c r="AC337" s="6">
        <f t="shared" si="68"/>
        <v>923.93326928639999</v>
      </c>
      <c r="AD337" s="6">
        <f t="shared" si="68"/>
        <v>883.89117296840004</v>
      </c>
      <c r="AE337" s="6">
        <f t="shared" si="68"/>
        <v>844.82777695360005</v>
      </c>
      <c r="AF337" s="6">
        <f t="shared" si="68"/>
        <v>806.64177320140004</v>
      </c>
      <c r="AG337" s="6">
        <f t="shared" si="68"/>
        <v>769.27038896900001</v>
      </c>
      <c r="AH337" s="6">
        <f t="shared" si="68"/>
        <v>732.67599644740005</v>
      </c>
      <c r="AI337" s="6">
        <f t="shared" si="68"/>
        <v>696.84309291859995</v>
      </c>
      <c r="AJ337" s="6">
        <f t="shared" si="68"/>
        <v>661.7847741992</v>
      </c>
      <c r="AK337" s="6">
        <f t="shared" si="68"/>
        <v>627.53859898439998</v>
      </c>
      <c r="AL337" s="6">
        <f t="shared" si="68"/>
        <v>594.15753904990004</v>
      </c>
    </row>
    <row r="339" spans="1:3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7136.757756</v>
      </c>
      <c r="E339" s="6">
        <f>[1]Hybrid!D19</f>
        <v>7234.0597159999998</v>
      </c>
      <c r="F339" s="6">
        <f>[1]Hybrid!E19</f>
        <v>7366.5769819999996</v>
      </c>
      <c r="G339" s="6">
        <f>[1]Hybrid!F19</f>
        <v>7527.8348640000004</v>
      </c>
      <c r="H339" s="6">
        <f>[1]Hybrid!G19</f>
        <v>7707.4421940000002</v>
      </c>
      <c r="I339" s="6">
        <f>[1]Hybrid!H19</f>
        <v>7893.0002000000004</v>
      </c>
      <c r="J339" s="6">
        <f>[1]Hybrid!I19</f>
        <v>8079.3830250000001</v>
      </c>
      <c r="K339" s="6">
        <f>[1]Hybrid!J19</f>
        <v>8265.0137149999991</v>
      </c>
      <c r="L339" s="6">
        <f>[1]Hybrid!K19</f>
        <v>8449.7269090000009</v>
      </c>
      <c r="M339" s="6">
        <f>[1]Hybrid!L19</f>
        <v>8635.2878330000003</v>
      </c>
      <c r="N339" s="6">
        <f>[1]Hybrid!M19</f>
        <v>8820.0406800000001</v>
      </c>
      <c r="O339" s="6">
        <f>[1]Hybrid!N19</f>
        <v>9003.8174220000001</v>
      </c>
      <c r="P339" s="6">
        <f>[1]Hybrid!O19</f>
        <v>9185.2413649999999</v>
      </c>
      <c r="Q339" s="6">
        <f>[1]Hybrid!P19</f>
        <v>9362.6230009999999</v>
      </c>
      <c r="R339" s="6">
        <f>[1]Hybrid!Q19</f>
        <v>9534.5123889999995</v>
      </c>
      <c r="S339" s="6">
        <f>[1]Hybrid!R19</f>
        <v>9704.8144040000006</v>
      </c>
      <c r="T339" s="6">
        <f>[1]Hybrid!S19</f>
        <v>9873.8995520000008</v>
      </c>
      <c r="U339" s="6">
        <f>[1]Hybrid!T19</f>
        <v>10040.582839999999</v>
      </c>
      <c r="V339" s="6">
        <f>[1]Hybrid!U19</f>
        <v>10203.721970000001</v>
      </c>
      <c r="W339" s="6">
        <f>[1]Hybrid!V19</f>
        <v>10361.58815</v>
      </c>
      <c r="X339" s="6">
        <f>[1]Hybrid!W19</f>
        <v>10515.86794</v>
      </c>
      <c r="Y339" s="6">
        <f>[1]Hybrid!X19</f>
        <v>10667.332640000001</v>
      </c>
      <c r="Z339" s="6">
        <f>[1]Hybrid!Y19</f>
        <v>10817.155989999999</v>
      </c>
      <c r="AA339" s="6">
        <f>[1]Hybrid!Z19</f>
        <v>10966.544879999999</v>
      </c>
      <c r="AB339" s="6">
        <f>[1]Hybrid!AA19</f>
        <v>11113.403829999999</v>
      </c>
      <c r="AC339" s="6">
        <f>[1]Hybrid!AB19</f>
        <v>11261.55075</v>
      </c>
      <c r="AD339" s="6">
        <f>[1]Hybrid!AC19</f>
        <v>11412.611849999999</v>
      </c>
      <c r="AE339" s="6">
        <f>[1]Hybrid!AD19</f>
        <v>11568.2583</v>
      </c>
      <c r="AF339" s="6">
        <f>[1]Hybrid!AE19</f>
        <v>11729.95147</v>
      </c>
      <c r="AG339" s="6">
        <f>[1]Hybrid!AF19</f>
        <v>11898.5049</v>
      </c>
      <c r="AH339" s="6">
        <f>[1]Hybrid!AG19</f>
        <v>12074.00138</v>
      </c>
      <c r="AI339" s="6">
        <f>[1]Hybrid!AH19</f>
        <v>12255.891530000001</v>
      </c>
      <c r="AJ339" s="6">
        <f>[1]Hybrid!AI19</f>
        <v>12443.11008</v>
      </c>
      <c r="AK339" s="6">
        <f>[1]Hybrid!AJ19</f>
        <v>12634.18671</v>
      </c>
      <c r="AL339" s="6">
        <f>[1]Hybrid!AK19</f>
        <v>12827.332770000001</v>
      </c>
    </row>
    <row r="340" spans="1:3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8178.0100259999999</v>
      </c>
      <c r="E340" s="6">
        <f>[1]Hybrid!D21</f>
        <v>8166.4715939999996</v>
      </c>
      <c r="F340" s="6">
        <f>[1]Hybrid!E21</f>
        <v>8195.5437340000008</v>
      </c>
      <c r="G340" s="6">
        <f>[1]Hybrid!F21</f>
        <v>8258.2796450000005</v>
      </c>
      <c r="H340" s="6">
        <f>[1]Hybrid!G21</f>
        <v>8344.2947540000005</v>
      </c>
      <c r="I340" s="6">
        <f>[1]Hybrid!H21</f>
        <v>8441.2298520000004</v>
      </c>
      <c r="J340" s="6">
        <f>[1]Hybrid!I21</f>
        <v>8543.5831330000001</v>
      </c>
      <c r="K340" s="6">
        <f>[1]Hybrid!J21</f>
        <v>8649.2735279999997</v>
      </c>
      <c r="L340" s="6">
        <f>[1]Hybrid!K21</f>
        <v>8757.6427199999998</v>
      </c>
      <c r="M340" s="6">
        <f>[1]Hybrid!L21</f>
        <v>8869.9341800000002</v>
      </c>
      <c r="N340" s="6">
        <f>[1]Hybrid!M21</f>
        <v>8984.2524209999992</v>
      </c>
      <c r="O340" s="6">
        <f>[1]Hybrid!N21</f>
        <v>9100.1883710000002</v>
      </c>
      <c r="P340" s="6">
        <f>[1]Hybrid!O21</f>
        <v>9216.271632</v>
      </c>
      <c r="Q340" s="6">
        <f>[1]Hybrid!P21</f>
        <v>9330.7884589999994</v>
      </c>
      <c r="R340" s="6">
        <f>[1]Hybrid!Q21</f>
        <v>9442.2714969999997</v>
      </c>
      <c r="S340" s="6">
        <f>[1]Hybrid!R21</f>
        <v>9554.3172410000006</v>
      </c>
      <c r="T340" s="6">
        <f>[1]Hybrid!S21</f>
        <v>9667.3339120000001</v>
      </c>
      <c r="U340" s="6">
        <f>[1]Hybrid!T21</f>
        <v>9780.2329050000008</v>
      </c>
      <c r="V340" s="6">
        <f>[1]Hybrid!U21</f>
        <v>9891.8728190000002</v>
      </c>
      <c r="W340" s="6">
        <f>[1]Hybrid!V21</f>
        <v>10000.48826</v>
      </c>
      <c r="X340" s="6">
        <f>[1]Hybrid!W21</f>
        <v>10107.40825</v>
      </c>
      <c r="Y340" s="6">
        <f>[1]Hybrid!X21</f>
        <v>10213.076999999999</v>
      </c>
      <c r="Z340" s="6">
        <f>[1]Hybrid!Y21</f>
        <v>10318.28174</v>
      </c>
      <c r="AA340" s="6">
        <f>[1]Hybrid!Z21</f>
        <v>10423.811799999999</v>
      </c>
      <c r="AB340" s="6">
        <f>[1]Hybrid!AA21</f>
        <v>10527.41138</v>
      </c>
      <c r="AC340" s="6">
        <f>[1]Hybrid!AB21</f>
        <v>10632.22251</v>
      </c>
      <c r="AD340" s="6">
        <f>[1]Hybrid!AC21</f>
        <v>10739.364729999999</v>
      </c>
      <c r="AE340" s="6">
        <f>[1]Hybrid!AD21</f>
        <v>10849.987810000001</v>
      </c>
      <c r="AF340" s="6">
        <f>[1]Hybrid!AE21</f>
        <v>10965.05688</v>
      </c>
      <c r="AG340" s="6">
        <f>[1]Hybrid!AF21</f>
        <v>11084.966249999999</v>
      </c>
      <c r="AH340" s="6">
        <f>[1]Hybrid!AG21</f>
        <v>11209.474130000001</v>
      </c>
      <c r="AI340" s="6">
        <f>[1]Hybrid!AH21</f>
        <v>11337.80076</v>
      </c>
      <c r="AJ340" s="6">
        <f>[1]Hybrid!AI21</f>
        <v>11468.74123</v>
      </c>
      <c r="AK340" s="6">
        <f>[1]Hybrid!AJ21</f>
        <v>11600.77297</v>
      </c>
      <c r="AL340" s="6">
        <f>[1]Hybrid!AK21</f>
        <v>11732.14129</v>
      </c>
    </row>
    <row r="341" spans="1:3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6643.4662250000001</v>
      </c>
      <c r="E341" s="6">
        <f>[1]Hybrid!D23</f>
        <v>6557.8114910000004</v>
      </c>
      <c r="F341" s="6">
        <f>[1]Hybrid!E23</f>
        <v>6505.3790019999997</v>
      </c>
      <c r="G341" s="6">
        <f>[1]Hybrid!F23</f>
        <v>6480.8301339999998</v>
      </c>
      <c r="H341" s="6">
        <f>[1]Hybrid!G23</f>
        <v>6476.6687609999999</v>
      </c>
      <c r="I341" s="6">
        <f>[1]Hybrid!H23</f>
        <v>6484.0026589999998</v>
      </c>
      <c r="J341" s="6">
        <f>[1]Hybrid!I23</f>
        <v>6498.6046459999998</v>
      </c>
      <c r="K341" s="6">
        <f>[1]Hybrid!J23</f>
        <v>6518.6277179999997</v>
      </c>
      <c r="L341" s="6">
        <f>[1]Hybrid!K23</f>
        <v>6543.2582069999999</v>
      </c>
      <c r="M341" s="6">
        <f>[1]Hybrid!L23</f>
        <v>6573.0339739999999</v>
      </c>
      <c r="N341" s="6">
        <f>[1]Hybrid!M23</f>
        <v>6606.4196679999995</v>
      </c>
      <c r="O341" s="6">
        <f>[1]Hybrid!N23</f>
        <v>6642.9487159999999</v>
      </c>
      <c r="P341" s="6">
        <f>[1]Hybrid!O23</f>
        <v>6681.4866039999997</v>
      </c>
      <c r="Q341" s="6">
        <f>[1]Hybrid!P23</f>
        <v>6720.7686910000002</v>
      </c>
      <c r="R341" s="6">
        <f>[1]Hybrid!Q23</f>
        <v>6759.7123549999997</v>
      </c>
      <c r="S341" s="6">
        <f>[1]Hybrid!R23</f>
        <v>6800.6883610000004</v>
      </c>
      <c r="T341" s="6">
        <f>[1]Hybrid!S23</f>
        <v>6843.9946019999998</v>
      </c>
      <c r="U341" s="6">
        <f>[1]Hybrid!T23</f>
        <v>6888.8916479999998</v>
      </c>
      <c r="V341" s="6">
        <f>[1]Hybrid!U23</f>
        <v>6934.5439900000001</v>
      </c>
      <c r="W341" s="6">
        <f>[1]Hybrid!V23</f>
        <v>6979.6466440000004</v>
      </c>
      <c r="X341" s="6">
        <f>[1]Hybrid!W23</f>
        <v>7024.9181429999999</v>
      </c>
      <c r="Y341" s="6">
        <f>[1]Hybrid!X23</f>
        <v>7070.463256</v>
      </c>
      <c r="Z341" s="6">
        <f>[1]Hybrid!Y23</f>
        <v>7116.598688</v>
      </c>
      <c r="AA341" s="6">
        <f>[1]Hybrid!Z23</f>
        <v>7163.6265139999996</v>
      </c>
      <c r="AB341" s="6">
        <f>[1]Hybrid!AA23</f>
        <v>7209.8258370000003</v>
      </c>
      <c r="AC341" s="6">
        <f>[1]Hybrid!AB23</f>
        <v>7257.0346680000002</v>
      </c>
      <c r="AD341" s="6">
        <f>[1]Hybrid!AC23</f>
        <v>7305.7485159999997</v>
      </c>
      <c r="AE341" s="6">
        <f>[1]Hybrid!AD23</f>
        <v>7356.4803270000002</v>
      </c>
      <c r="AF341" s="6">
        <f>[1]Hybrid!AE23</f>
        <v>7409.6307269999998</v>
      </c>
      <c r="AG341" s="6">
        <f>[1]Hybrid!AF23</f>
        <v>7465.2425629999998</v>
      </c>
      <c r="AH341" s="6">
        <f>[1]Hybrid!AG23</f>
        <v>7522.9644959999996</v>
      </c>
      <c r="AI341" s="6">
        <f>[1]Hybrid!AH23</f>
        <v>7582.1205490000002</v>
      </c>
      <c r="AJ341" s="6">
        <f>[1]Hybrid!AI23</f>
        <v>7641.7882579999996</v>
      </c>
      <c r="AK341" s="6">
        <f>[1]Hybrid!AJ23</f>
        <v>7700.8728190000002</v>
      </c>
      <c r="AL341" s="6">
        <f>[1]Hybrid!AK23</f>
        <v>7758.1665640000001</v>
      </c>
    </row>
    <row r="342" spans="1:3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4053.0059419999998</v>
      </c>
      <c r="E342" s="6">
        <f>[1]Hybrid!D25</f>
        <v>3974.2091730000002</v>
      </c>
      <c r="F342" s="6">
        <f>[1]Hybrid!E25</f>
        <v>3914.3492809999998</v>
      </c>
      <c r="G342" s="6">
        <f>[1]Hybrid!F25</f>
        <v>3870.1371979999999</v>
      </c>
      <c r="H342" s="6">
        <f>[1]Hybrid!G25</f>
        <v>3837.3329720000002</v>
      </c>
      <c r="I342" s="6">
        <f>[1]Hybrid!H25</f>
        <v>3810.9678450000001</v>
      </c>
      <c r="J342" s="6">
        <f>[1]Hybrid!I25</f>
        <v>3788.5844780000002</v>
      </c>
      <c r="K342" s="6">
        <f>[1]Hybrid!J25</f>
        <v>3769.0527240000001</v>
      </c>
      <c r="L342" s="6">
        <f>[1]Hybrid!K25</f>
        <v>3751.8507479999998</v>
      </c>
      <c r="M342" s="6">
        <f>[1]Hybrid!L25</f>
        <v>3737.2053460000002</v>
      </c>
      <c r="N342" s="6">
        <f>[1]Hybrid!M25</f>
        <v>3724.3364839999999</v>
      </c>
      <c r="O342" s="6">
        <f>[1]Hybrid!N25</f>
        <v>3713.0833170000001</v>
      </c>
      <c r="P342" s="6">
        <f>[1]Hybrid!O25</f>
        <v>3703.0025690000002</v>
      </c>
      <c r="Q342" s="6">
        <f>[1]Hybrid!P25</f>
        <v>3693.6144210000002</v>
      </c>
      <c r="R342" s="6">
        <f>[1]Hybrid!Q25</f>
        <v>3684.5291499999998</v>
      </c>
      <c r="S342" s="6">
        <f>[1]Hybrid!R25</f>
        <v>3677.0858819999999</v>
      </c>
      <c r="T342" s="6">
        <f>[1]Hybrid!S25</f>
        <v>3671.6144220000001</v>
      </c>
      <c r="U342" s="6">
        <f>[1]Hybrid!T25</f>
        <v>3667.8713619999999</v>
      </c>
      <c r="V342" s="6">
        <f>[1]Hybrid!U25</f>
        <v>3665.4850029999998</v>
      </c>
      <c r="W342" s="6">
        <f>[1]Hybrid!V25</f>
        <v>3663.7818590000002</v>
      </c>
      <c r="X342" s="6">
        <f>[1]Hybrid!W25</f>
        <v>3663.0158000000001</v>
      </c>
      <c r="Y342" s="6">
        <f>[1]Hybrid!X25</f>
        <v>3663.1012679999999</v>
      </c>
      <c r="Z342" s="6">
        <f>[1]Hybrid!Y25</f>
        <v>3664.0212040000001</v>
      </c>
      <c r="AA342" s="6">
        <f>[1]Hybrid!Z25</f>
        <v>3665.7134350000001</v>
      </c>
      <c r="AB342" s="6">
        <f>[1]Hybrid!AA25</f>
        <v>3667.1221989999999</v>
      </c>
      <c r="AC342" s="6">
        <f>[1]Hybrid!AB25</f>
        <v>3668.8669159999999</v>
      </c>
      <c r="AD342" s="6">
        <f>[1]Hybrid!AC25</f>
        <v>3670.917962</v>
      </c>
      <c r="AE342" s="6">
        <f>[1]Hybrid!AD25</f>
        <v>3673.2543300000002</v>
      </c>
      <c r="AF342" s="6">
        <f>[1]Hybrid!AE25</f>
        <v>3675.8288590000002</v>
      </c>
      <c r="AG342" s="6">
        <f>[1]Hybrid!AF25</f>
        <v>3678.466805</v>
      </c>
      <c r="AH342" s="6">
        <f>[1]Hybrid!AG25</f>
        <v>3680.8571849999998</v>
      </c>
      <c r="AI342" s="6">
        <f>[1]Hybrid!AH25</f>
        <v>3682.590588</v>
      </c>
      <c r="AJ342" s="6">
        <f>[1]Hybrid!AI25</f>
        <v>3683.1985279999999</v>
      </c>
      <c r="AK342" s="6">
        <f>[1]Hybrid!AJ25</f>
        <v>3682.1897349999999</v>
      </c>
      <c r="AL342" s="6">
        <f>[1]Hybrid!AK25</f>
        <v>3679.0785430000001</v>
      </c>
    </row>
    <row r="343" spans="1:3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2441.8638930000002</v>
      </c>
      <c r="E343" s="6">
        <f>[1]Hybrid!D27</f>
        <v>2395.982638</v>
      </c>
      <c r="F343" s="6">
        <f>[1]Hybrid!E27</f>
        <v>2360.4699649999998</v>
      </c>
      <c r="G343" s="6">
        <f>[1]Hybrid!F27</f>
        <v>2333.2493450000002</v>
      </c>
      <c r="H343" s="6">
        <f>[1]Hybrid!G27</f>
        <v>2311.7996929999999</v>
      </c>
      <c r="I343" s="6">
        <f>[1]Hybrid!H27</f>
        <v>2293.1628700000001</v>
      </c>
      <c r="J343" s="6">
        <f>[1]Hybrid!I27</f>
        <v>2275.8689119999999</v>
      </c>
      <c r="K343" s="6">
        <f>[1]Hybrid!J27</f>
        <v>2259.256159</v>
      </c>
      <c r="L343" s="6">
        <f>[1]Hybrid!K27</f>
        <v>2243.0463300000001</v>
      </c>
      <c r="M343" s="6">
        <f>[1]Hybrid!L27</f>
        <v>2227.412448</v>
      </c>
      <c r="N343" s="6">
        <f>[1]Hybrid!M27</f>
        <v>2211.9754240000002</v>
      </c>
      <c r="O343" s="6">
        <f>[1]Hybrid!N27</f>
        <v>2196.7400830000001</v>
      </c>
      <c r="P343" s="6">
        <f>[1]Hybrid!O27</f>
        <v>2181.5734130000001</v>
      </c>
      <c r="Q343" s="6">
        <f>[1]Hybrid!P27</f>
        <v>2166.3294569999998</v>
      </c>
      <c r="R343" s="6">
        <f>[1]Hybrid!Q27</f>
        <v>2150.904857</v>
      </c>
      <c r="S343" s="6">
        <f>[1]Hybrid!R27</f>
        <v>2136.153769</v>
      </c>
      <c r="T343" s="6">
        <f>[1]Hybrid!S27</f>
        <v>2122.3829479999999</v>
      </c>
      <c r="U343" s="6">
        <f>[1]Hybrid!T27</f>
        <v>2109.5502489999999</v>
      </c>
      <c r="V343" s="6">
        <f>[1]Hybrid!U27</f>
        <v>2097.4980460000002</v>
      </c>
      <c r="W343" s="6">
        <f>[1]Hybrid!V27</f>
        <v>2085.8656000000001</v>
      </c>
      <c r="X343" s="6">
        <f>[1]Hybrid!W27</f>
        <v>2074.7576560000002</v>
      </c>
      <c r="Y343" s="6">
        <f>[1]Hybrid!X27</f>
        <v>2064.0731609999998</v>
      </c>
      <c r="Z343" s="6">
        <f>[1]Hybrid!Y27</f>
        <v>2053.7285109999998</v>
      </c>
      <c r="AA343" s="6">
        <f>[1]Hybrid!Z27</f>
        <v>2043.5966579999999</v>
      </c>
      <c r="AB343" s="6">
        <f>[1]Hybrid!AA27</f>
        <v>2033.020356</v>
      </c>
      <c r="AC343" s="6">
        <f>[1]Hybrid!AB27</f>
        <v>2022.2063519999999</v>
      </c>
      <c r="AD343" s="6">
        <f>[1]Hybrid!AC27</f>
        <v>2011.0214020000001</v>
      </c>
      <c r="AE343" s="6">
        <f>[1]Hybrid!AD27</f>
        <v>1999.3404780000001</v>
      </c>
      <c r="AF343" s="6">
        <f>[1]Hybrid!AE27</f>
        <v>1987.041671</v>
      </c>
      <c r="AG343" s="6">
        <f>[1]Hybrid!AF27</f>
        <v>1973.961501</v>
      </c>
      <c r="AH343" s="6">
        <f>[1]Hybrid!AG27</f>
        <v>1959.894939</v>
      </c>
      <c r="AI343" s="6">
        <f>[1]Hybrid!AH27</f>
        <v>1944.6169580000001</v>
      </c>
      <c r="AJ343" s="6">
        <f>[1]Hybrid!AI27</f>
        <v>1927.9031440000001</v>
      </c>
      <c r="AK343" s="6">
        <f>[1]Hybrid!AJ27</f>
        <v>1909.5476349999999</v>
      </c>
      <c r="AL343" s="6">
        <f>[1]Hybrid!AK27</f>
        <v>1889.376133</v>
      </c>
    </row>
    <row r="344" spans="1:3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1210.317067</v>
      </c>
      <c r="E344" s="6">
        <f>[1]Hybrid!D29</f>
        <v>1183.5843560000001</v>
      </c>
      <c r="F344" s="6">
        <f>[1]Hybrid!E29</f>
        <v>1160.5419850000001</v>
      </c>
      <c r="G344" s="6">
        <f>[1]Hybrid!F29</f>
        <v>1140.091574</v>
      </c>
      <c r="H344" s="6">
        <f>[1]Hybrid!G29</f>
        <v>1121.1101410000001</v>
      </c>
      <c r="I344" s="6">
        <f>[1]Hybrid!H29</f>
        <v>1102.3247349999999</v>
      </c>
      <c r="J344" s="6">
        <f>[1]Hybrid!I29</f>
        <v>1083.1332239999999</v>
      </c>
      <c r="K344" s="6">
        <f>[1]Hybrid!J29</f>
        <v>1063.3184309999999</v>
      </c>
      <c r="L344" s="6">
        <f>[1]Hybrid!K29</f>
        <v>1042.8548370000001</v>
      </c>
      <c r="M344" s="6">
        <f>[1]Hybrid!L29</f>
        <v>1021.911457</v>
      </c>
      <c r="N344" s="6">
        <f>[1]Hybrid!M29</f>
        <v>1000.472649</v>
      </c>
      <c r="O344" s="6">
        <f>[1]Hybrid!N29</f>
        <v>978.69482330000005</v>
      </c>
      <c r="P344" s="6">
        <f>[1]Hybrid!O29</f>
        <v>956.69951979999996</v>
      </c>
      <c r="Q344" s="6">
        <f>[1]Hybrid!P29</f>
        <v>934.60048470000004</v>
      </c>
      <c r="R344" s="6">
        <f>[1]Hybrid!Q29</f>
        <v>912.50619810000001</v>
      </c>
      <c r="S344" s="6">
        <f>[1]Hybrid!R29</f>
        <v>890.82977930000004</v>
      </c>
      <c r="T344" s="6">
        <f>[1]Hybrid!S29</f>
        <v>869.79127540000002</v>
      </c>
      <c r="U344" s="6">
        <f>[1]Hybrid!T29</f>
        <v>849.45650369999998</v>
      </c>
      <c r="V344" s="6">
        <f>[1]Hybrid!U29</f>
        <v>829.80913929999997</v>
      </c>
      <c r="W344" s="6">
        <f>[1]Hybrid!V29</f>
        <v>810.73205140000005</v>
      </c>
      <c r="X344" s="6">
        <f>[1]Hybrid!W29</f>
        <v>792.2206185</v>
      </c>
      <c r="Y344" s="6">
        <f>[1]Hybrid!X29</f>
        <v>774.18792570000005</v>
      </c>
      <c r="Z344" s="6">
        <f>[1]Hybrid!Y29</f>
        <v>756.53787669999997</v>
      </c>
      <c r="AA344" s="6">
        <f>[1]Hybrid!Z29</f>
        <v>739.14843269999994</v>
      </c>
      <c r="AB344" s="6">
        <f>[1]Hybrid!AA29</f>
        <v>721.74679230000004</v>
      </c>
      <c r="AC344" s="6">
        <f>[1]Hybrid!AB29</f>
        <v>704.29975890000003</v>
      </c>
      <c r="AD344" s="6">
        <f>[1]Hybrid!AC29</f>
        <v>686.69031540000003</v>
      </c>
      <c r="AE344" s="6">
        <f>[1]Hybrid!AD29</f>
        <v>668.81974230000003</v>
      </c>
      <c r="AF344" s="6">
        <f>[1]Hybrid!AE29</f>
        <v>650.61686440000005</v>
      </c>
      <c r="AG344" s="6">
        <f>[1]Hybrid!AF29</f>
        <v>632.03009020000002</v>
      </c>
      <c r="AH344" s="6">
        <f>[1]Hybrid!AG29</f>
        <v>613.02750549999996</v>
      </c>
      <c r="AI344" s="6">
        <f>[1]Hybrid!AH29</f>
        <v>593.59997420000002</v>
      </c>
      <c r="AJ344" s="6">
        <f>[1]Hybrid!AI29</f>
        <v>573.76227119999999</v>
      </c>
      <c r="AK344" s="6">
        <f>[1]Hybrid!AJ29</f>
        <v>553.55261529999996</v>
      </c>
      <c r="AL344" s="6">
        <f>[1]Hybrid!AK29</f>
        <v>533.03049350000003</v>
      </c>
    </row>
    <row r="345" spans="1:3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2182.9862680000001</v>
      </c>
      <c r="E345" s="6">
        <f>[1]Hybrid!D31</f>
        <v>2136.1230620000001</v>
      </c>
      <c r="F345" s="6">
        <f>[1]Hybrid!E31</f>
        <v>2093.3667559999999</v>
      </c>
      <c r="G345" s="6">
        <f>[1]Hybrid!F31</f>
        <v>2052.689961</v>
      </c>
      <c r="H345" s="6">
        <f>[1]Hybrid!G31</f>
        <v>2012.30657</v>
      </c>
      <c r="I345" s="6">
        <f>[1]Hybrid!H31</f>
        <v>1970.2347</v>
      </c>
      <c r="J345" s="6">
        <f>[1]Hybrid!I31</f>
        <v>1925.671278</v>
      </c>
      <c r="K345" s="6">
        <f>[1]Hybrid!J31</f>
        <v>1878.510583</v>
      </c>
      <c r="L345" s="6">
        <f>[1]Hybrid!K31</f>
        <v>1828.9947139999999</v>
      </c>
      <c r="M345" s="6">
        <f>[1]Hybrid!L31</f>
        <v>1777.677541</v>
      </c>
      <c r="N345" s="6">
        <f>[1]Hybrid!M31</f>
        <v>1724.8448719999999</v>
      </c>
      <c r="O345" s="6">
        <f>[1]Hybrid!N31</f>
        <v>1671.0489889999999</v>
      </c>
      <c r="P345" s="6">
        <f>[1]Hybrid!O31</f>
        <v>1616.7789990000001</v>
      </c>
      <c r="Q345" s="6">
        <f>[1]Hybrid!P31</f>
        <v>1562.477611</v>
      </c>
      <c r="R345" s="6">
        <f>[1]Hybrid!Q31</f>
        <v>1508.5279419999999</v>
      </c>
      <c r="S345" s="6">
        <f>[1]Hybrid!R31</f>
        <v>1455.680521</v>
      </c>
      <c r="T345" s="6">
        <f>[1]Hybrid!S31</f>
        <v>1404.3914070000001</v>
      </c>
      <c r="U345" s="6">
        <f>[1]Hybrid!T31</f>
        <v>1354.850612</v>
      </c>
      <c r="V345" s="6">
        <f>[1]Hybrid!U31</f>
        <v>1307.0802859999999</v>
      </c>
      <c r="W345" s="6">
        <f>[1]Hybrid!V31</f>
        <v>1260.927729</v>
      </c>
      <c r="X345" s="6">
        <f>[1]Hybrid!W31</f>
        <v>1216.3455919999999</v>
      </c>
      <c r="Y345" s="6">
        <f>[1]Hybrid!X31</f>
        <v>1173.16542</v>
      </c>
      <c r="Z345" s="6">
        <f>[1]Hybrid!Y31</f>
        <v>1131.197128</v>
      </c>
      <c r="AA345" s="6">
        <f>[1]Hybrid!Z31</f>
        <v>1090.2138259999999</v>
      </c>
      <c r="AB345" s="6">
        <f>[1]Hybrid!AA31</f>
        <v>1049.824171</v>
      </c>
      <c r="AC345" s="6">
        <f>[1]Hybrid!AB31</f>
        <v>1009.921181</v>
      </c>
      <c r="AD345" s="6">
        <f>[1]Hybrid!AC31</f>
        <v>970.32615269999997</v>
      </c>
      <c r="AE345" s="6">
        <f>[1]Hybrid!AD31</f>
        <v>930.90877650000004</v>
      </c>
      <c r="AF345" s="6">
        <f>[1]Hybrid!AE31</f>
        <v>891.60295559999997</v>
      </c>
      <c r="AG345" s="6">
        <f>[1]Hybrid!AF31</f>
        <v>852.39590799999996</v>
      </c>
      <c r="AH345" s="6">
        <f>[1]Hybrid!AG31</f>
        <v>813.32189370000003</v>
      </c>
      <c r="AI345" s="6">
        <f>[1]Hybrid!AH31</f>
        <v>774.4569497</v>
      </c>
      <c r="AJ345" s="6">
        <f>[1]Hybrid!AI31</f>
        <v>735.91087240000002</v>
      </c>
      <c r="AK345" s="6">
        <f>[1]Hybrid!AJ31</f>
        <v>697.81798140000001</v>
      </c>
      <c r="AL345" s="6">
        <f>[1]Hybrid!AK31</f>
        <v>660.32724729999995</v>
      </c>
    </row>
    <row r="346" spans="1:3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15.10261468</v>
      </c>
      <c r="E346" s="6">
        <f>[1]Hybrid!D33</f>
        <v>20.915323659999999</v>
      </c>
      <c r="F346" s="6">
        <f>[1]Hybrid!E33</f>
        <v>27.22055202</v>
      </c>
      <c r="G346" s="6">
        <f>[1]Hybrid!F33</f>
        <v>34.066405179999997</v>
      </c>
      <c r="H346" s="6">
        <f>[1]Hybrid!G33</f>
        <v>41.350771590000001</v>
      </c>
      <c r="I346" s="6">
        <f>[1]Hybrid!H33</f>
        <v>48.968228910000001</v>
      </c>
      <c r="J346" s="6">
        <f>[1]Hybrid!I33</f>
        <v>56.946202960000001</v>
      </c>
      <c r="K346" s="6">
        <f>[1]Hybrid!J33</f>
        <v>65.392150580000006</v>
      </c>
      <c r="L346" s="6">
        <f>[1]Hybrid!K33</f>
        <v>74.457781060000002</v>
      </c>
      <c r="M346" s="6">
        <f>[1]Hybrid!L33</f>
        <v>84.341458000000003</v>
      </c>
      <c r="N346" s="6">
        <f>[1]Hybrid!M33</f>
        <v>95.20368947</v>
      </c>
      <c r="O346" s="6">
        <f>[1]Hybrid!N33</f>
        <v>107.22908529999999</v>
      </c>
      <c r="P346" s="6">
        <f>[1]Hybrid!O33</f>
        <v>120.57885539999999</v>
      </c>
      <c r="Q346" s="6">
        <f>[1]Hybrid!P33</f>
        <v>135.40033940000001</v>
      </c>
      <c r="R346" s="6">
        <f>[1]Hybrid!Q33</f>
        <v>151.8381196</v>
      </c>
      <c r="S346" s="6">
        <f>[1]Hybrid!R33</f>
        <v>170.11720170000001</v>
      </c>
      <c r="T346" s="6">
        <f>[1]Hybrid!S33</f>
        <v>190.29855209999999</v>
      </c>
      <c r="U346" s="6">
        <f>[1]Hybrid!T33</f>
        <v>212.3714521</v>
      </c>
      <c r="V346" s="6">
        <f>[1]Hybrid!U33</f>
        <v>236.3262306</v>
      </c>
      <c r="W346" s="6">
        <f>[1]Hybrid!V33</f>
        <v>262.14473629999998</v>
      </c>
      <c r="X346" s="6">
        <f>[1]Hybrid!W33</f>
        <v>289.9545645</v>
      </c>
      <c r="Y346" s="6">
        <f>[1]Hybrid!X33</f>
        <v>319.88697939999997</v>
      </c>
      <c r="Z346" s="6">
        <f>[1]Hybrid!Y33</f>
        <v>352.12495899999999</v>
      </c>
      <c r="AA346" s="6">
        <f>[1]Hybrid!Z33</f>
        <v>386.89126879999998</v>
      </c>
      <c r="AB346" s="6">
        <f>[1]Hybrid!AA33</f>
        <v>424.27426000000003</v>
      </c>
      <c r="AC346" s="6">
        <f>[1]Hybrid!AB33</f>
        <v>464.69433989999999</v>
      </c>
      <c r="AD346" s="6">
        <f>[1]Hybrid!AC33</f>
        <v>508.5183925</v>
      </c>
      <c r="AE346" s="6">
        <f>[1]Hybrid!AD33</f>
        <v>556.17130540000005</v>
      </c>
      <c r="AF346" s="6">
        <f>[1]Hybrid!AE33</f>
        <v>608.12437120000004</v>
      </c>
      <c r="AG346" s="6">
        <f>[1]Hybrid!AF33</f>
        <v>664.86404470000002</v>
      </c>
      <c r="AH346" s="6">
        <f>[1]Hybrid!AG33</f>
        <v>726.87648549999994</v>
      </c>
      <c r="AI346" s="6">
        <f>[1]Hybrid!AH33</f>
        <v>794.643013</v>
      </c>
      <c r="AJ346" s="6">
        <f>[1]Hybrid!AI33</f>
        <v>868.63751730000001</v>
      </c>
      <c r="AK346" s="6">
        <f>[1]Hybrid!AJ33</f>
        <v>949.32441700000004</v>
      </c>
      <c r="AL346" s="6">
        <f>[1]Hybrid!AK33</f>
        <v>1037.15533</v>
      </c>
    </row>
    <row r="347" spans="1:3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16.42226621</v>
      </c>
      <c r="E347" s="6">
        <f>[1]Hybrid!D35</f>
        <v>21.938273899999999</v>
      </c>
      <c r="F347" s="6">
        <f>[1]Hybrid!E35</f>
        <v>27.939833270000001</v>
      </c>
      <c r="G347" s="6">
        <f>[1]Hybrid!F35</f>
        <v>34.476478229999998</v>
      </c>
      <c r="H347" s="6">
        <f>[1]Hybrid!G35</f>
        <v>41.448912280000002</v>
      </c>
      <c r="I347" s="6">
        <f>[1]Hybrid!H35</f>
        <v>48.7549226</v>
      </c>
      <c r="J347" s="6">
        <f>[1]Hybrid!I35</f>
        <v>56.422093060000002</v>
      </c>
      <c r="K347" s="6">
        <f>[1]Hybrid!J35</f>
        <v>64.556606360000004</v>
      </c>
      <c r="L347" s="6">
        <f>[1]Hybrid!K35</f>
        <v>73.30802104</v>
      </c>
      <c r="M347" s="6">
        <f>[1]Hybrid!L35</f>
        <v>82.87106249</v>
      </c>
      <c r="N347" s="6">
        <f>[1]Hybrid!M35</f>
        <v>93.403442780000006</v>
      </c>
      <c r="O347" s="6">
        <f>[1]Hybrid!N35</f>
        <v>105.086001</v>
      </c>
      <c r="P347" s="6">
        <f>[1]Hybrid!O35</f>
        <v>118.07665540000001</v>
      </c>
      <c r="Q347" s="6">
        <f>[1]Hybrid!P35</f>
        <v>132.51957100000001</v>
      </c>
      <c r="R347" s="6">
        <f>[1]Hybrid!Q35</f>
        <v>148.5557795</v>
      </c>
      <c r="S347" s="6">
        <f>[1]Hybrid!R35</f>
        <v>166.40583849999999</v>
      </c>
      <c r="T347" s="6">
        <f>[1]Hybrid!S35</f>
        <v>186.13248859999999</v>
      </c>
      <c r="U347" s="6">
        <f>[1]Hybrid!T35</f>
        <v>207.72779180000001</v>
      </c>
      <c r="V347" s="6">
        <f>[1]Hybrid!U35</f>
        <v>231.182534</v>
      </c>
      <c r="W347" s="6">
        <f>[1]Hybrid!V35</f>
        <v>256.47617689999998</v>
      </c>
      <c r="X347" s="6">
        <f>[1]Hybrid!W35</f>
        <v>283.72784080000002</v>
      </c>
      <c r="Y347" s="6">
        <f>[1]Hybrid!X35</f>
        <v>313.0571923</v>
      </c>
      <c r="Z347" s="6">
        <f>[1]Hybrid!Y35</f>
        <v>344.63113879999997</v>
      </c>
      <c r="AA347" s="6">
        <f>[1]Hybrid!Z35</f>
        <v>378.65122120000001</v>
      </c>
      <c r="AB347" s="6">
        <f>[1]Hybrid!AA35</f>
        <v>415.18240880000002</v>
      </c>
      <c r="AC347" s="6">
        <f>[1]Hybrid!AB35</f>
        <v>454.60855759999998</v>
      </c>
      <c r="AD347" s="6">
        <f>[1]Hybrid!AC35</f>
        <v>497.25429969999999</v>
      </c>
      <c r="AE347" s="6">
        <f>[1]Hybrid!AD35</f>
        <v>543.49303139999995</v>
      </c>
      <c r="AF347" s="6">
        <f>[1]Hybrid!AE35</f>
        <v>593.73538510000003</v>
      </c>
      <c r="AG347" s="6">
        <f>[1]Hybrid!AF35</f>
        <v>648.39834880000001</v>
      </c>
      <c r="AH347" s="6">
        <f>[1]Hybrid!AG35</f>
        <v>707.88976309999998</v>
      </c>
      <c r="AI347" s="6">
        <f>[1]Hybrid!AH35</f>
        <v>772.60353610000004</v>
      </c>
      <c r="AJ347" s="6">
        <f>[1]Hybrid!AI35</f>
        <v>842.91688920000001</v>
      </c>
      <c r="AK347" s="6">
        <f>[1]Hybrid!AJ35</f>
        <v>919.18837970000004</v>
      </c>
      <c r="AL347" s="6">
        <f>[1]Hybrid!AK35</f>
        <v>1001.755</v>
      </c>
    </row>
    <row r="348" spans="1:3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12.79117754</v>
      </c>
      <c r="E348" s="6">
        <f>[1]Hybrid!D37</f>
        <v>16.55968682</v>
      </c>
      <c r="F348" s="6">
        <f>[1]Hybrid!E37</f>
        <v>20.672149739999998</v>
      </c>
      <c r="G348" s="6">
        <f>[1]Hybrid!F37</f>
        <v>25.16479309</v>
      </c>
      <c r="H348" s="6">
        <f>[1]Hybrid!G37</f>
        <v>29.968027029999998</v>
      </c>
      <c r="I348" s="6">
        <f>[1]Hybrid!H37</f>
        <v>35.010357079999999</v>
      </c>
      <c r="J348" s="6">
        <f>[1]Hybrid!I37</f>
        <v>40.311397720000002</v>
      </c>
      <c r="K348" s="6">
        <f>[1]Hybrid!J37</f>
        <v>45.946151499999999</v>
      </c>
      <c r="L348" s="6">
        <f>[1]Hybrid!K37</f>
        <v>52.020082899999998</v>
      </c>
      <c r="M348" s="6">
        <f>[1]Hybrid!L37</f>
        <v>58.670013570000002</v>
      </c>
      <c r="N348" s="6">
        <f>[1]Hybrid!M37</f>
        <v>66.006663090000004</v>
      </c>
      <c r="O348" s="6">
        <f>[1]Hybrid!N37</f>
        <v>74.156677419999994</v>
      </c>
      <c r="P348" s="6">
        <f>[1]Hybrid!O37</f>
        <v>83.230556539999995</v>
      </c>
      <c r="Q348" s="6">
        <f>[1]Hybrid!P37</f>
        <v>93.329018160000004</v>
      </c>
      <c r="R348" s="6">
        <f>[1]Hybrid!Q37</f>
        <v>104.5502919</v>
      </c>
      <c r="S348" s="6">
        <f>[1]Hybrid!R37</f>
        <v>117.04913670000001</v>
      </c>
      <c r="T348" s="6">
        <f>[1]Hybrid!S37</f>
        <v>130.87151309999999</v>
      </c>
      <c r="U348" s="6">
        <f>[1]Hybrid!T37</f>
        <v>146.01347910000001</v>
      </c>
      <c r="V348" s="6">
        <f>[1]Hybrid!U37</f>
        <v>162.46862859999999</v>
      </c>
      <c r="W348" s="6">
        <f>[1]Hybrid!V37</f>
        <v>180.22050350000001</v>
      </c>
      <c r="X348" s="6">
        <f>[1]Hybrid!W37</f>
        <v>199.3485407</v>
      </c>
      <c r="Y348" s="6">
        <f>[1]Hybrid!X37</f>
        <v>219.93039730000001</v>
      </c>
      <c r="Z348" s="6">
        <f>[1]Hybrid!Y37</f>
        <v>242.0744962</v>
      </c>
      <c r="AA348" s="6">
        <f>[1]Hybrid!Z37</f>
        <v>265.91055130000001</v>
      </c>
      <c r="AB348" s="6">
        <f>[1]Hybrid!AA37</f>
        <v>291.4690665</v>
      </c>
      <c r="AC348" s="6">
        <f>[1]Hybrid!AB37</f>
        <v>319.00000720000003</v>
      </c>
      <c r="AD348" s="6">
        <f>[1]Hybrid!AC37</f>
        <v>348.70721529999997</v>
      </c>
      <c r="AE348" s="6">
        <f>[1]Hybrid!AD37</f>
        <v>380.82343020000002</v>
      </c>
      <c r="AF348" s="6">
        <f>[1]Hybrid!AE37</f>
        <v>415.60220600000002</v>
      </c>
      <c r="AG348" s="6">
        <f>[1]Hybrid!AF37</f>
        <v>453.29620560000001</v>
      </c>
      <c r="AH348" s="6">
        <f>[1]Hybrid!AG37</f>
        <v>494.14624650000002</v>
      </c>
      <c r="AI348" s="6">
        <f>[1]Hybrid!AH37</f>
        <v>538.37790140000004</v>
      </c>
      <c r="AJ348" s="6">
        <f>[1]Hybrid!AI37</f>
        <v>586.19961439999997</v>
      </c>
      <c r="AK348" s="6">
        <f>[1]Hybrid!AJ37</f>
        <v>637.80153189999999</v>
      </c>
      <c r="AL348" s="6">
        <f>[1]Hybrid!AK37</f>
        <v>693.35391019999997</v>
      </c>
    </row>
    <row r="349" spans="1:3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7.5799113839999999</v>
      </c>
      <c r="E349" s="6">
        <f>[1]Hybrid!D39</f>
        <v>9.5402272850000003</v>
      </c>
      <c r="F349" s="6">
        <f>[1]Hybrid!E39</f>
        <v>11.603567350000001</v>
      </c>
      <c r="G349" s="6">
        <f>[1]Hybrid!F39</f>
        <v>13.76644699</v>
      </c>
      <c r="H349" s="6">
        <f>[1]Hybrid!G39</f>
        <v>15.993767650000001</v>
      </c>
      <c r="I349" s="6">
        <f>[1]Hybrid!H39</f>
        <v>18.245263170000001</v>
      </c>
      <c r="J349" s="6">
        <f>[1]Hybrid!I39</f>
        <v>20.514340489999999</v>
      </c>
      <c r="K349" s="6">
        <f>[1]Hybrid!J39</f>
        <v>22.813588129999999</v>
      </c>
      <c r="L349" s="6">
        <f>[1]Hybrid!K39</f>
        <v>25.1650314</v>
      </c>
      <c r="M349" s="6">
        <f>[1]Hybrid!L39</f>
        <v>27.600869429999999</v>
      </c>
      <c r="N349" s="6">
        <f>[1]Hybrid!M39</f>
        <v>30.141342659999999</v>
      </c>
      <c r="O349" s="6">
        <f>[1]Hybrid!N39</f>
        <v>32.812832880000002</v>
      </c>
      <c r="P349" s="6">
        <f>[1]Hybrid!O39</f>
        <v>35.63617309</v>
      </c>
      <c r="Q349" s="6">
        <f>[1]Hybrid!P39</f>
        <v>38.62937934</v>
      </c>
      <c r="R349" s="6">
        <f>[1]Hybrid!Q39</f>
        <v>41.809866550000002</v>
      </c>
      <c r="S349" s="6">
        <f>[1]Hybrid!R39</f>
        <v>45.216672490000001</v>
      </c>
      <c r="T349" s="6">
        <f>[1]Hybrid!S39</f>
        <v>48.861233730000002</v>
      </c>
      <c r="U349" s="6">
        <f>[1]Hybrid!T39</f>
        <v>52.741183800000002</v>
      </c>
      <c r="V349" s="6">
        <f>[1]Hybrid!U39</f>
        <v>56.852127189999997</v>
      </c>
      <c r="W349" s="6">
        <f>[1]Hybrid!V39</f>
        <v>61.18480314</v>
      </c>
      <c r="X349" s="6">
        <f>[1]Hybrid!W39</f>
        <v>65.753774780000001</v>
      </c>
      <c r="Y349" s="6">
        <f>[1]Hybrid!X39</f>
        <v>70.570145839999995</v>
      </c>
      <c r="Z349" s="6">
        <f>[1]Hybrid!Y39</f>
        <v>75.650293329999997</v>
      </c>
      <c r="AA349" s="6">
        <f>[1]Hybrid!Z39</f>
        <v>81.012821979999998</v>
      </c>
      <c r="AB349" s="6">
        <f>[1]Hybrid!AA39</f>
        <v>86.648693600000001</v>
      </c>
      <c r="AC349" s="6">
        <f>[1]Hybrid!AB39</f>
        <v>92.600014819999998</v>
      </c>
      <c r="AD349" s="6">
        <f>[1]Hybrid!AC39</f>
        <v>98.893567860000005</v>
      </c>
      <c r="AE349" s="6">
        <f>[1]Hybrid!AD39</f>
        <v>105.5593138</v>
      </c>
      <c r="AF349" s="6">
        <f>[1]Hybrid!AE39</f>
        <v>112.6290127</v>
      </c>
      <c r="AG349" s="6">
        <f>[1]Hybrid!AF39</f>
        <v>120.1316606</v>
      </c>
      <c r="AH349" s="6">
        <f>[1]Hybrid!AG39</f>
        <v>128.09156329999999</v>
      </c>
      <c r="AI349" s="6">
        <f>[1]Hybrid!AH39</f>
        <v>136.5281957</v>
      </c>
      <c r="AJ349" s="6">
        <f>[1]Hybrid!AI39</f>
        <v>145.45641749999999</v>
      </c>
      <c r="AK349" s="6">
        <f>[1]Hybrid!AJ39</f>
        <v>154.88690740000001</v>
      </c>
      <c r="AL349" s="6">
        <f>[1]Hybrid!AK39</f>
        <v>164.82657829999999</v>
      </c>
    </row>
    <row r="350" spans="1:3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4.5874376720000001</v>
      </c>
      <c r="E350" s="6">
        <f>[1]Hybrid!D41</f>
        <v>5.7895748810000001</v>
      </c>
      <c r="F350" s="6">
        <f>[1]Hybrid!E41</f>
        <v>7.0494690450000004</v>
      </c>
      <c r="G350" s="6">
        <f>[1]Hybrid!F41</f>
        <v>8.3642147970000007</v>
      </c>
      <c r="H350" s="6">
        <f>[1]Hybrid!G41</f>
        <v>9.7114328679999993</v>
      </c>
      <c r="I350" s="6">
        <f>[1]Hybrid!H41</f>
        <v>11.06589039</v>
      </c>
      <c r="J350" s="6">
        <f>[1]Hybrid!I41</f>
        <v>12.423105530000001</v>
      </c>
      <c r="K350" s="6">
        <f>[1]Hybrid!J41</f>
        <v>13.790413170000001</v>
      </c>
      <c r="L350" s="6">
        <f>[1]Hybrid!K41</f>
        <v>15.1808142</v>
      </c>
      <c r="M350" s="6">
        <f>[1]Hybrid!L41</f>
        <v>16.61316287</v>
      </c>
      <c r="N350" s="6">
        <f>[1]Hybrid!M41</f>
        <v>18.099100629999999</v>
      </c>
      <c r="O350" s="6">
        <f>[1]Hybrid!N41</f>
        <v>19.653894430000001</v>
      </c>
      <c r="P350" s="6">
        <f>[1]Hybrid!O41</f>
        <v>21.28960189</v>
      </c>
      <c r="Q350" s="6">
        <f>[1]Hybrid!P41</f>
        <v>23.01662718</v>
      </c>
      <c r="R350" s="6">
        <f>[1]Hybrid!Q41</f>
        <v>24.84489516</v>
      </c>
      <c r="S350" s="6">
        <f>[1]Hybrid!R41</f>
        <v>26.797086239999999</v>
      </c>
      <c r="T350" s="6">
        <f>[1]Hybrid!S41</f>
        <v>28.880283890000001</v>
      </c>
      <c r="U350" s="6">
        <f>[1]Hybrid!T41</f>
        <v>31.093282389999999</v>
      </c>
      <c r="V350" s="6">
        <f>[1]Hybrid!U41</f>
        <v>33.433021340000003</v>
      </c>
      <c r="W350" s="6">
        <f>[1]Hybrid!V41</f>
        <v>35.892798089999999</v>
      </c>
      <c r="X350" s="6">
        <f>[1]Hybrid!W41</f>
        <v>38.478764380000001</v>
      </c>
      <c r="Y350" s="6">
        <f>[1]Hybrid!X41</f>
        <v>41.194199900000001</v>
      </c>
      <c r="Z350" s="6">
        <f>[1]Hybrid!Y41</f>
        <v>44.044427980000002</v>
      </c>
      <c r="AA350" s="6">
        <f>[1]Hybrid!Z41</f>
        <v>47.034803609999997</v>
      </c>
      <c r="AB350" s="6">
        <f>[1]Hybrid!AA41</f>
        <v>50.15372704</v>
      </c>
      <c r="AC350" s="6">
        <f>[1]Hybrid!AB41</f>
        <v>53.41709822</v>
      </c>
      <c r="AD350" s="6">
        <f>[1]Hybrid!AC41</f>
        <v>56.830694880000003</v>
      </c>
      <c r="AE350" s="6">
        <f>[1]Hybrid!AD41</f>
        <v>60.400608429999998</v>
      </c>
      <c r="AF350" s="6">
        <f>[1]Hybrid!AE41</f>
        <v>64.132792159999994</v>
      </c>
      <c r="AG350" s="6">
        <f>[1]Hybrid!AF41</f>
        <v>68.030743779999995</v>
      </c>
      <c r="AH350" s="6">
        <f>[1]Hybrid!AG41</f>
        <v>72.094649889999999</v>
      </c>
      <c r="AI350" s="6">
        <f>[1]Hybrid!AH41</f>
        <v>76.321528240000006</v>
      </c>
      <c r="AJ350" s="6">
        <f>[1]Hybrid!AI41</f>
        <v>80.705573920000006</v>
      </c>
      <c r="AK350" s="6">
        <f>[1]Hybrid!AJ41</f>
        <v>85.23864734</v>
      </c>
      <c r="AL350" s="6">
        <f>[1]Hybrid!AK41</f>
        <v>89.910773640000002</v>
      </c>
    </row>
    <row r="351" spans="1:3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2.2500569050000001</v>
      </c>
      <c r="E351" s="6">
        <f>[1]Hybrid!D43</f>
        <v>2.799747322</v>
      </c>
      <c r="F351" s="6">
        <f>[1]Hybrid!E43</f>
        <v>3.3544501919999998</v>
      </c>
      <c r="G351" s="6">
        <f>[1]Hybrid!F43</f>
        <v>3.9088074779999999</v>
      </c>
      <c r="H351" s="6">
        <f>[1]Hybrid!G43</f>
        <v>4.4525896539999996</v>
      </c>
      <c r="I351" s="6">
        <f>[1]Hybrid!H43</f>
        <v>4.9743937850000002</v>
      </c>
      <c r="J351" s="6">
        <f>[1]Hybrid!I43</f>
        <v>5.4706762419999997</v>
      </c>
      <c r="K351" s="6">
        <f>[1]Hybrid!J43</f>
        <v>5.9423054999999998</v>
      </c>
      <c r="L351" s="6">
        <f>[1]Hybrid!K43</f>
        <v>6.3921483940000003</v>
      </c>
      <c r="M351" s="6">
        <f>[1]Hybrid!L43</f>
        <v>6.8249692819999996</v>
      </c>
      <c r="N351" s="6">
        <f>[1]Hybrid!M43</f>
        <v>7.2431187919999998</v>
      </c>
      <c r="O351" s="6">
        <f>[1]Hybrid!N43</f>
        <v>7.650425072</v>
      </c>
      <c r="P351" s="6">
        <f>[1]Hybrid!O43</f>
        <v>8.0499559680000008</v>
      </c>
      <c r="Q351" s="6">
        <f>[1]Hybrid!P43</f>
        <v>8.4444142549999999</v>
      </c>
      <c r="R351" s="6">
        <f>[1]Hybrid!Q43</f>
        <v>8.836297837</v>
      </c>
      <c r="S351" s="6">
        <f>[1]Hybrid!R43</f>
        <v>9.2318149129999991</v>
      </c>
      <c r="T351" s="6">
        <f>[1]Hybrid!S43</f>
        <v>9.6336494239999997</v>
      </c>
      <c r="U351" s="6">
        <f>[1]Hybrid!T43</f>
        <v>10.042170219999999</v>
      </c>
      <c r="V351" s="6">
        <f>[1]Hybrid!U43</f>
        <v>10.4567227</v>
      </c>
      <c r="W351" s="6">
        <f>[1]Hybrid!V43</f>
        <v>10.87518375</v>
      </c>
      <c r="X351" s="6">
        <f>[1]Hybrid!W43</f>
        <v>11.297677520000001</v>
      </c>
      <c r="Y351" s="6">
        <f>[1]Hybrid!X43</f>
        <v>11.72307365</v>
      </c>
      <c r="Z351" s="6">
        <f>[1]Hybrid!Y43</f>
        <v>12.15010328</v>
      </c>
      <c r="AA351" s="6">
        <f>[1]Hybrid!Z43</f>
        <v>12.57687114</v>
      </c>
      <c r="AB351" s="6">
        <f>[1]Hybrid!AA43</f>
        <v>12.997767319999999</v>
      </c>
      <c r="AC351" s="6">
        <f>[1]Hybrid!AB43</f>
        <v>13.411976340000001</v>
      </c>
      <c r="AD351" s="6">
        <f>[1]Hybrid!AC43</f>
        <v>13.81645163</v>
      </c>
      <c r="AE351" s="6">
        <f>[1]Hybrid!AD43</f>
        <v>14.20805053</v>
      </c>
      <c r="AF351" s="6">
        <f>[1]Hybrid!AE43</f>
        <v>14.58376629</v>
      </c>
      <c r="AG351" s="6">
        <f>[1]Hybrid!AF43</f>
        <v>14.94054905</v>
      </c>
      <c r="AH351" s="6">
        <f>[1]Hybrid!AG43</f>
        <v>15.275338359999999</v>
      </c>
      <c r="AI351" s="6">
        <f>[1]Hybrid!AH43</f>
        <v>15.58521768</v>
      </c>
      <c r="AJ351" s="6">
        <f>[1]Hybrid!AI43</f>
        <v>15.86755735</v>
      </c>
      <c r="AK351" s="6">
        <f>[1]Hybrid!AJ43</f>
        <v>16.120143760000001</v>
      </c>
      <c r="AL351" s="6">
        <f>[1]Hybrid!AK43</f>
        <v>16.341276319999999</v>
      </c>
    </row>
    <row r="352" spans="1:3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4.0857231929999998</v>
      </c>
      <c r="E352" s="6">
        <f>[1]Hybrid!D45</f>
        <v>5.092391728</v>
      </c>
      <c r="F352" s="6">
        <f>[1]Hybrid!E45</f>
        <v>6.0864297540000001</v>
      </c>
      <c r="G352" s="6">
        <f>[1]Hybrid!F45</f>
        <v>7.0559589650000003</v>
      </c>
      <c r="H352" s="6">
        <f>[1]Hybrid!G45</f>
        <v>7.9824510069999999</v>
      </c>
      <c r="I352" s="6">
        <f>[1]Hybrid!H45</f>
        <v>8.8463231489999998</v>
      </c>
      <c r="J352" s="6">
        <f>[1]Hybrid!I45</f>
        <v>9.6421381939999993</v>
      </c>
      <c r="K352" s="6">
        <f>[1]Hybrid!J45</f>
        <v>10.37239537</v>
      </c>
      <c r="L352" s="6">
        <f>[1]Hybrid!K45</f>
        <v>11.04305991</v>
      </c>
      <c r="M352" s="6">
        <f>[1]Hybrid!L45</f>
        <v>11.662992089999999</v>
      </c>
      <c r="N352" s="6">
        <f>[1]Hybrid!M45</f>
        <v>12.237342099999999</v>
      </c>
      <c r="O352" s="6">
        <f>[1]Hybrid!N45</f>
        <v>12.77366215</v>
      </c>
      <c r="P352" s="6">
        <f>[1]Hybrid!O45</f>
        <v>13.27843919</v>
      </c>
      <c r="Q352" s="6">
        <f>[1]Hybrid!P45</f>
        <v>13.757521179999999</v>
      </c>
      <c r="R352" s="6">
        <f>[1]Hybrid!Q45</f>
        <v>14.216160289999999</v>
      </c>
      <c r="S352" s="6">
        <f>[1]Hybrid!R45</f>
        <v>14.664604779999999</v>
      </c>
      <c r="T352" s="6">
        <f>[1]Hybrid!S45</f>
        <v>15.10823001</v>
      </c>
      <c r="U352" s="6">
        <f>[1]Hybrid!T45</f>
        <v>15.54878708</v>
      </c>
      <c r="V352" s="6">
        <f>[1]Hybrid!U45</f>
        <v>15.985996009999999</v>
      </c>
      <c r="W352" s="6">
        <f>[1]Hybrid!V45</f>
        <v>16.417001540000001</v>
      </c>
      <c r="X352" s="6">
        <f>[1]Hybrid!W45</f>
        <v>16.84127621</v>
      </c>
      <c r="Y352" s="6">
        <f>[1]Hybrid!X45</f>
        <v>17.256210889999998</v>
      </c>
      <c r="Z352" s="6">
        <f>[1]Hybrid!Y45</f>
        <v>17.658626420000001</v>
      </c>
      <c r="AA352" s="6">
        <f>[1]Hybrid!Z45</f>
        <v>18.044169010000001</v>
      </c>
      <c r="AB352" s="6">
        <f>[1]Hybrid!AA45</f>
        <v>18.403844459999998</v>
      </c>
      <c r="AC352" s="6">
        <f>[1]Hybrid!AB45</f>
        <v>18.73432674</v>
      </c>
      <c r="AD352" s="6">
        <f>[1]Hybrid!AC45</f>
        <v>19.029846620000001</v>
      </c>
      <c r="AE352" s="6">
        <f>[1]Hybrid!AD45</f>
        <v>19.284953940000001</v>
      </c>
      <c r="AF352" s="6">
        <f>[1]Hybrid!AE45</f>
        <v>19.49509797</v>
      </c>
      <c r="AG352" s="6">
        <f>[1]Hybrid!AF45</f>
        <v>19.656575610000001</v>
      </c>
      <c r="AH352" s="6">
        <f>[1]Hybrid!AG45</f>
        <v>19.7666182</v>
      </c>
      <c r="AI352" s="6">
        <f>[1]Hybrid!AH45</f>
        <v>19.823531169999999</v>
      </c>
      <c r="AJ352" s="6">
        <f>[1]Hybrid!AI45</f>
        <v>19.826755810000002</v>
      </c>
      <c r="AK352" s="6">
        <f>[1]Hybrid!AJ45</f>
        <v>19.77687044</v>
      </c>
      <c r="AL352" s="6">
        <f>[1]Hybrid!AK45</f>
        <v>19.67552607</v>
      </c>
    </row>
    <row r="353" spans="1:3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0.44891626740000001</v>
      </c>
      <c r="E353" s="6">
        <f>[1]Hybrid!D47</f>
        <v>0.47569227739999997</v>
      </c>
      <c r="F353" s="6">
        <f>[1]Hybrid!E47</f>
        <v>0.50438940239999996</v>
      </c>
      <c r="G353" s="6">
        <f>[1]Hybrid!F47</f>
        <v>0.53457385899999998</v>
      </c>
      <c r="H353" s="6">
        <f>[1]Hybrid!G47</f>
        <v>0.56546761759999997</v>
      </c>
      <c r="I353" s="6">
        <f>[1]Hybrid!H47</f>
        <v>0.59610467879999995</v>
      </c>
      <c r="J353" s="6">
        <f>[1]Hybrid!I47</f>
        <v>0.62610936279999996</v>
      </c>
      <c r="K353" s="6">
        <f>[1]Hybrid!J47</f>
        <v>0.65539410369999995</v>
      </c>
      <c r="L353" s="6">
        <f>[1]Hybrid!K47</f>
        <v>0.68398508879999997</v>
      </c>
      <c r="M353" s="6">
        <f>[1]Hybrid!L47</f>
        <v>0.71206797769999997</v>
      </c>
      <c r="N353" s="6">
        <f>[1]Hybrid!M47</f>
        <v>0.73954096260000002</v>
      </c>
      <c r="O353" s="6">
        <f>[1]Hybrid!N47</f>
        <v>0.76642276359999995</v>
      </c>
      <c r="P353" s="6">
        <f>[1]Hybrid!O47</f>
        <v>0.79262829020000003</v>
      </c>
      <c r="Q353" s="6">
        <f>[1]Hybrid!P47</f>
        <v>0.8180424905</v>
      </c>
      <c r="R353" s="6">
        <f>[1]Hybrid!Q47</f>
        <v>0.84256658340000001</v>
      </c>
      <c r="S353" s="6">
        <f>[1]Hybrid!R47</f>
        <v>0.86654834560000005</v>
      </c>
      <c r="T353" s="6">
        <f>[1]Hybrid!S47</f>
        <v>0.89004242150000001</v>
      </c>
      <c r="U353" s="6">
        <f>[1]Hybrid!T47</f>
        <v>0.91297178379999999</v>
      </c>
      <c r="V353" s="6">
        <f>[1]Hybrid!U47</f>
        <v>0.93526005729999995</v>
      </c>
      <c r="W353" s="6">
        <f>[1]Hybrid!V47</f>
        <v>0.95677890290000001</v>
      </c>
      <c r="X353" s="6">
        <f>[1]Hybrid!W47</f>
        <v>0.97768362470000003</v>
      </c>
      <c r="Y353" s="6">
        <f>[1]Hybrid!X47</f>
        <v>0.99805395730000002</v>
      </c>
      <c r="Z353" s="6">
        <f>[1]Hybrid!Y47</f>
        <v>1.0180035009999999</v>
      </c>
      <c r="AA353" s="6">
        <f>[1]Hybrid!Z47</f>
        <v>1.037649217</v>
      </c>
      <c r="AB353" s="6">
        <f>[1]Hybrid!AA47</f>
        <v>1.0568312120000001</v>
      </c>
      <c r="AC353" s="6">
        <f>[1]Hybrid!AB47</f>
        <v>1.0758826720000001</v>
      </c>
      <c r="AD353" s="6">
        <f>[1]Hybrid!AC47</f>
        <v>1.094956797</v>
      </c>
      <c r="AE353" s="6">
        <f>[1]Hybrid!AD47</f>
        <v>1.1142116200000001</v>
      </c>
      <c r="AF353" s="6">
        <f>[1]Hybrid!AE47</f>
        <v>1.133788596</v>
      </c>
      <c r="AG353" s="6">
        <f>[1]Hybrid!AF47</f>
        <v>1.1537754689999999</v>
      </c>
      <c r="AH353" s="6">
        <f>[1]Hybrid!AG47</f>
        <v>1.1741984270000001</v>
      </c>
      <c r="AI353" s="6">
        <f>[1]Hybrid!AH47</f>
        <v>1.1950294530000001</v>
      </c>
      <c r="AJ353" s="6">
        <f>[1]Hybrid!AI47</f>
        <v>1.21619535</v>
      </c>
      <c r="AK353" s="6">
        <f>[1]Hybrid!AJ47</f>
        <v>1.2375864999999999</v>
      </c>
      <c r="AL353" s="6">
        <f>[1]Hybrid!AK47</f>
        <v>1.2590637840000001</v>
      </c>
    </row>
    <row r="354" spans="1:3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0.51185913090000001</v>
      </c>
      <c r="E354" s="6">
        <f>[1]Hybrid!D49</f>
        <v>0.53236494280000002</v>
      </c>
      <c r="F354" s="6">
        <f>[1]Hybrid!E49</f>
        <v>0.55492543989999998</v>
      </c>
      <c r="G354" s="6">
        <f>[1]Hybrid!F49</f>
        <v>0.57909410120000004</v>
      </c>
      <c r="H354" s="6">
        <f>[1]Hybrid!G49</f>
        <v>0.60411808590000005</v>
      </c>
      <c r="I354" s="6">
        <f>[1]Hybrid!H49</f>
        <v>0.62905782219999995</v>
      </c>
      <c r="J354" s="6">
        <f>[1]Hybrid!I49</f>
        <v>0.65352775610000002</v>
      </c>
      <c r="K354" s="6">
        <f>[1]Hybrid!J49</f>
        <v>0.6774178407</v>
      </c>
      <c r="L354" s="6">
        <f>[1]Hybrid!K49</f>
        <v>0.70073082840000001</v>
      </c>
      <c r="M354" s="6">
        <f>[1]Hybrid!L49</f>
        <v>0.72362476630000006</v>
      </c>
      <c r="N354" s="6">
        <f>[1]Hybrid!M49</f>
        <v>0.74599224639999995</v>
      </c>
      <c r="O354" s="6">
        <f>[1]Hybrid!N49</f>
        <v>0.76784505650000001</v>
      </c>
      <c r="P354" s="6">
        <f>[1]Hybrid!O49</f>
        <v>0.78910241020000005</v>
      </c>
      <c r="Q354" s="6">
        <f>[1]Hybrid!P49</f>
        <v>0.80965851300000002</v>
      </c>
      <c r="R354" s="6">
        <f>[1]Hybrid!Q49</f>
        <v>0.82942367839999998</v>
      </c>
      <c r="S354" s="6">
        <f>[1]Hybrid!R49</f>
        <v>0.84872965040000004</v>
      </c>
      <c r="T354" s="6">
        <f>[1]Hybrid!S49</f>
        <v>0.86764310280000001</v>
      </c>
      <c r="U354" s="6">
        <f>[1]Hybrid!T49</f>
        <v>0.88610346090000003</v>
      </c>
      <c r="V354" s="6">
        <f>[1]Hybrid!U49</f>
        <v>0.90404238349999999</v>
      </c>
      <c r="W354" s="6">
        <f>[1]Hybrid!V49</f>
        <v>0.92133591579999996</v>
      </c>
      <c r="X354" s="6">
        <f>[1]Hybrid!W49</f>
        <v>0.93811627460000002</v>
      </c>
      <c r="Y354" s="6">
        <f>[1]Hybrid!X49</f>
        <v>0.95444176709999995</v>
      </c>
      <c r="Z354" s="6">
        <f>[1]Hybrid!Y49</f>
        <v>0.97039877689999998</v>
      </c>
      <c r="AA354" s="6">
        <f>[1]Hybrid!Z49</f>
        <v>0.98607361419999995</v>
      </c>
      <c r="AB354" s="6">
        <f>[1]Hybrid!AA49</f>
        <v>1.001296529</v>
      </c>
      <c r="AC354" s="6">
        <f>[1]Hybrid!AB49</f>
        <v>1.016347111</v>
      </c>
      <c r="AD354" s="6">
        <f>[1]Hybrid!AC49</f>
        <v>1.0313381049999999</v>
      </c>
      <c r="AE354" s="6">
        <f>[1]Hybrid!AD49</f>
        <v>1.0463850690000001</v>
      </c>
      <c r="AF354" s="6">
        <f>[1]Hybrid!AE49</f>
        <v>1.0615883429999999</v>
      </c>
      <c r="AG354" s="6">
        <f>[1]Hybrid!AF49</f>
        <v>1.077000352</v>
      </c>
      <c r="AH354" s="6">
        <f>[1]Hybrid!AG49</f>
        <v>1.0926193829999999</v>
      </c>
      <c r="AI354" s="6">
        <f>[1]Hybrid!AH49</f>
        <v>1.1083970510000001</v>
      </c>
      <c r="AJ354" s="6">
        <f>[1]Hybrid!AI49</f>
        <v>1.124247182</v>
      </c>
      <c r="AK354" s="6">
        <f>[1]Hybrid!AJ49</f>
        <v>1.1400544239999999</v>
      </c>
      <c r="AL354" s="6">
        <f>[1]Hybrid!AK49</f>
        <v>1.1556811789999999</v>
      </c>
    </row>
    <row r="355" spans="1:3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0.41422794159999998</v>
      </c>
      <c r="E355" s="6">
        <f>[1]Hybrid!D51</f>
        <v>0.42457654639999998</v>
      </c>
      <c r="F355" s="6">
        <f>[1]Hybrid!E51</f>
        <v>0.4365094021</v>
      </c>
      <c r="G355" s="6">
        <f>[1]Hybrid!F51</f>
        <v>0.4496961907</v>
      </c>
      <c r="H355" s="6">
        <f>[1]Hybrid!G51</f>
        <v>0.46361108270000001</v>
      </c>
      <c r="I355" s="6">
        <f>[1]Hybrid!H51</f>
        <v>0.4775948169</v>
      </c>
      <c r="J355" s="6">
        <f>[1]Hybrid!I51</f>
        <v>0.49136311469999999</v>
      </c>
      <c r="K355" s="6">
        <f>[1]Hybrid!J51</f>
        <v>0.50482178990000004</v>
      </c>
      <c r="L355" s="6">
        <f>[1]Hybrid!K51</f>
        <v>0.51795727869999997</v>
      </c>
      <c r="M355" s="6">
        <f>[1]Hybrid!L51</f>
        <v>0.53086508919999997</v>
      </c>
      <c r="N355" s="6">
        <f>[1]Hybrid!M51</f>
        <v>0.54346410379999999</v>
      </c>
      <c r="O355" s="6">
        <f>[1]Hybrid!N51</f>
        <v>0.55575802590000001</v>
      </c>
      <c r="P355" s="6">
        <f>[1]Hybrid!O51</f>
        <v>0.56769116279999998</v>
      </c>
      <c r="Q355" s="6">
        <f>[1]Hybrid!P51</f>
        <v>0.57919295339999999</v>
      </c>
      <c r="R355" s="6">
        <f>[1]Hybrid!Q51</f>
        <v>0.59020426999999998</v>
      </c>
      <c r="S355" s="6">
        <f>[1]Hybrid!R51</f>
        <v>0.60095272529999999</v>
      </c>
      <c r="T355" s="6">
        <f>[1]Hybrid!S51</f>
        <v>0.611493061</v>
      </c>
      <c r="U355" s="6">
        <f>[1]Hybrid!T51</f>
        <v>0.62179139940000006</v>
      </c>
      <c r="V355" s="6">
        <f>[1]Hybrid!U51</f>
        <v>0.6318030737</v>
      </c>
      <c r="W355" s="6">
        <f>[1]Hybrid!V51</f>
        <v>0.64144130529999999</v>
      </c>
      <c r="X355" s="6">
        <f>[1]Hybrid!W51</f>
        <v>0.65078620529999998</v>
      </c>
      <c r="Y355" s="6">
        <f>[1]Hybrid!X51</f>
        <v>0.6598660127</v>
      </c>
      <c r="Z355" s="6">
        <f>[1]Hybrid!Y51</f>
        <v>0.66872569100000001</v>
      </c>
      <c r="AA355" s="6">
        <f>[1]Hybrid!Z51</f>
        <v>0.67740823559999996</v>
      </c>
      <c r="AB355" s="6">
        <f>[1]Hybrid!AA51</f>
        <v>0.68578597730000002</v>
      </c>
      <c r="AC355" s="6">
        <f>[1]Hybrid!AB51</f>
        <v>0.69402696279999998</v>
      </c>
      <c r="AD355" s="6">
        <f>[1]Hybrid!AC51</f>
        <v>0.70218796760000002</v>
      </c>
      <c r="AE355" s="6">
        <f>[1]Hybrid!AD51</f>
        <v>0.710326923</v>
      </c>
      <c r="AF355" s="6">
        <f>[1]Hybrid!AE51</f>
        <v>0.71849205729999999</v>
      </c>
      <c r="AG355" s="6">
        <f>[1]Hybrid!AF51</f>
        <v>0.72670114610000003</v>
      </c>
      <c r="AH355" s="6">
        <f>[1]Hybrid!AG51</f>
        <v>0.73493801839999995</v>
      </c>
      <c r="AI355" s="6">
        <f>[1]Hybrid!AH51</f>
        <v>0.7431579438</v>
      </c>
      <c r="AJ355" s="6">
        <f>[1]Hybrid!AI51</f>
        <v>0.75129386009999999</v>
      </c>
      <c r="AK355" s="6">
        <f>[1]Hybrid!AJ51</f>
        <v>0.75926238769999999</v>
      </c>
      <c r="AL355" s="6">
        <f>[1]Hybrid!AK51</f>
        <v>0.76696871830000002</v>
      </c>
    </row>
    <row r="356" spans="1:3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0.25218263079999997</v>
      </c>
      <c r="E356" s="6">
        <f>[1]Hybrid!D53</f>
        <v>0.25629924729999998</v>
      </c>
      <c r="F356" s="6">
        <f>[1]Hybrid!E53</f>
        <v>0.26123432200000002</v>
      </c>
      <c r="G356" s="6">
        <f>[1]Hybrid!F53</f>
        <v>0.26678418929999997</v>
      </c>
      <c r="H356" s="6">
        <f>[1]Hybrid!G53</f>
        <v>0.27265652470000001</v>
      </c>
      <c r="I356" s="6">
        <f>[1]Hybrid!H53</f>
        <v>0.27848832610000002</v>
      </c>
      <c r="J356" s="6">
        <f>[1]Hybrid!I53</f>
        <v>0.28411778090000001</v>
      </c>
      <c r="K356" s="6">
        <f>[1]Hybrid!J53</f>
        <v>0.28948862339999998</v>
      </c>
      <c r="L356" s="6">
        <f>[1]Hybrid!K53</f>
        <v>0.29459182</v>
      </c>
      <c r="M356" s="6">
        <f>[1]Hybrid!L53</f>
        <v>0.29947838370000002</v>
      </c>
      <c r="N356" s="6">
        <f>[1]Hybrid!M53</f>
        <v>0.30411303709999998</v>
      </c>
      <c r="O356" s="6">
        <f>[1]Hybrid!N53</f>
        <v>0.30850962650000002</v>
      </c>
      <c r="P356" s="6">
        <f>[1]Hybrid!O53</f>
        <v>0.31265635390000002</v>
      </c>
      <c r="Q356" s="6">
        <f>[1]Hybrid!P53</f>
        <v>0.31653619080000001</v>
      </c>
      <c r="R356" s="6">
        <f>[1]Hybrid!Q53</f>
        <v>0.32013760479999998</v>
      </c>
      <c r="S356" s="6">
        <f>[1]Hybrid!R53</f>
        <v>0.32359247889999998</v>
      </c>
      <c r="T356" s="6">
        <f>[1]Hybrid!S53</f>
        <v>0.32694841419999998</v>
      </c>
      <c r="U356" s="6">
        <f>[1]Hybrid!T53</f>
        <v>0.33020403669999998</v>
      </c>
      <c r="V356" s="6">
        <f>[1]Hybrid!U53</f>
        <v>0.33334568910000001</v>
      </c>
      <c r="W356" s="6">
        <f>[1]Hybrid!V53</f>
        <v>0.33633278420000001</v>
      </c>
      <c r="X356" s="6">
        <f>[1]Hybrid!W53</f>
        <v>0.33920077640000001</v>
      </c>
      <c r="Y356" s="6">
        <f>[1]Hybrid!X53</f>
        <v>0.34195604860000001</v>
      </c>
      <c r="Z356" s="6">
        <f>[1]Hybrid!Y53</f>
        <v>0.34460977929999997</v>
      </c>
      <c r="AA356" s="6">
        <f>[1]Hybrid!Z53</f>
        <v>0.34716854759999999</v>
      </c>
      <c r="AB356" s="6">
        <f>[1]Hybrid!AA53</f>
        <v>0.34955464200000003</v>
      </c>
      <c r="AC356" s="6">
        <f>[1]Hybrid!AB53</f>
        <v>0.3518290395</v>
      </c>
      <c r="AD356" s="6">
        <f>[1]Hybrid!AC53</f>
        <v>0.35399842879999999</v>
      </c>
      <c r="AE356" s="6">
        <f>[1]Hybrid!AD53</f>
        <v>0.35606961079999999</v>
      </c>
      <c r="AF356" s="6">
        <f>[1]Hybrid!AE53</f>
        <v>0.3580466269</v>
      </c>
      <c r="AG356" s="6">
        <f>[1]Hybrid!AF53</f>
        <v>0.35992223899999998</v>
      </c>
      <c r="AH356" s="6">
        <f>[1]Hybrid!AG53</f>
        <v>0.3616770735</v>
      </c>
      <c r="AI356" s="6">
        <f>[1]Hybrid!AH53</f>
        <v>0.36328266539999998</v>
      </c>
      <c r="AJ356" s="6">
        <f>[1]Hybrid!AI53</f>
        <v>0.36470468919999999</v>
      </c>
      <c r="AK356" s="6">
        <f>[1]Hybrid!AJ53</f>
        <v>0.3659059878</v>
      </c>
      <c r="AL356" s="6">
        <f>[1]Hybrid!AK53</f>
        <v>0.36684898529999999</v>
      </c>
    </row>
    <row r="357" spans="1:3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0.1519863746</v>
      </c>
      <c r="E357" s="6">
        <f>[1]Hybrid!D55</f>
        <v>0.15459716439999999</v>
      </c>
      <c r="F357" s="6">
        <f>[1]Hybrid!E55</f>
        <v>0.15761589140000001</v>
      </c>
      <c r="G357" s="6">
        <f>[1]Hybrid!F55</f>
        <v>0.16091039600000001</v>
      </c>
      <c r="H357" s="6">
        <f>[1]Hybrid!G55</f>
        <v>0.16430585540000001</v>
      </c>
      <c r="I357" s="6">
        <f>[1]Hybrid!H55</f>
        <v>0.16758517319999999</v>
      </c>
      <c r="J357" s="6">
        <f>[1]Hybrid!I55</f>
        <v>0.17065050479999999</v>
      </c>
      <c r="K357" s="6">
        <f>[1]Hybrid!J55</f>
        <v>0.17346841709999999</v>
      </c>
      <c r="L357" s="6">
        <f>[1]Hybrid!K55</f>
        <v>0.17603544870000001</v>
      </c>
      <c r="M357" s="6">
        <f>[1]Hybrid!L55</f>
        <v>0.17838444980000001</v>
      </c>
      <c r="N357" s="6">
        <f>[1]Hybrid!M55</f>
        <v>0.18050096500000001</v>
      </c>
      <c r="O357" s="6">
        <f>[1]Hybrid!N55</f>
        <v>0.18240121710000001</v>
      </c>
      <c r="P357" s="6">
        <f>[1]Hybrid!O55</f>
        <v>0.18408886669999999</v>
      </c>
      <c r="Q357" s="6">
        <f>[1]Hybrid!P55</f>
        <v>0.18556538829999999</v>
      </c>
      <c r="R357" s="6">
        <f>[1]Hybrid!Q55</f>
        <v>0.186834789</v>
      </c>
      <c r="S357" s="6">
        <f>[1]Hybrid!R55</f>
        <v>0.18798059119999999</v>
      </c>
      <c r="T357" s="6">
        <f>[1]Hybrid!S55</f>
        <v>0.18904069409999999</v>
      </c>
      <c r="U357" s="6">
        <f>[1]Hybrid!T55</f>
        <v>0.19002332199999999</v>
      </c>
      <c r="V357" s="6">
        <f>[1]Hybrid!U55</f>
        <v>0.19092620799999999</v>
      </c>
      <c r="W357" s="6">
        <f>[1]Hybrid!V55</f>
        <v>0.19172913259999999</v>
      </c>
      <c r="X357" s="6">
        <f>[1]Hybrid!W55</f>
        <v>0.19244988760000001</v>
      </c>
      <c r="Y357" s="6">
        <f>[1]Hybrid!X55</f>
        <v>0.19308854789999999</v>
      </c>
      <c r="Z357" s="6">
        <f>[1]Hybrid!Y55</f>
        <v>0.1936459895</v>
      </c>
      <c r="AA357" s="6">
        <f>[1]Hybrid!Z55</f>
        <v>0.1941188368</v>
      </c>
      <c r="AB357" s="6">
        <f>[1]Hybrid!AA55</f>
        <v>0.1944585522</v>
      </c>
      <c r="AC357" s="6">
        <f>[1]Hybrid!AB55</f>
        <v>0.19468791990000001</v>
      </c>
      <c r="AD357" s="6">
        <f>[1]Hybrid!AC55</f>
        <v>0.19480108860000001</v>
      </c>
      <c r="AE357" s="6">
        <f>[1]Hybrid!AD55</f>
        <v>0.19479239179999999</v>
      </c>
      <c r="AF357" s="6">
        <f>[1]Hybrid!AE55</f>
        <v>0.19465596169999999</v>
      </c>
      <c r="AG357" s="6">
        <f>[1]Hybrid!AF55</f>
        <v>0.1943820081</v>
      </c>
      <c r="AH357" s="6">
        <f>[1]Hybrid!AG55</f>
        <v>0.19395679290000001</v>
      </c>
      <c r="AI357" s="6">
        <f>[1]Hybrid!AH55</f>
        <v>0.1933644165</v>
      </c>
      <c r="AJ357" s="6">
        <f>[1]Hybrid!AI55</f>
        <v>0.19258855329999999</v>
      </c>
      <c r="AK357" s="6">
        <f>[1]Hybrid!AJ55</f>
        <v>0.19161398909999999</v>
      </c>
      <c r="AL357" s="6">
        <f>[1]Hybrid!AK55</f>
        <v>0.1904277667</v>
      </c>
    </row>
    <row r="358" spans="1:3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7.5275468799999995E-2</v>
      </c>
      <c r="E358" s="6">
        <f>[1]Hybrid!D57</f>
        <v>7.6237746300000006E-2</v>
      </c>
      <c r="F358" s="6">
        <f>[1]Hybrid!E57</f>
        <v>7.7275136899999999E-2</v>
      </c>
      <c r="G358" s="6">
        <f>[1]Hybrid!F57</f>
        <v>7.8314796800000003E-2</v>
      </c>
      <c r="H358" s="6">
        <f>[1]Hybrid!G57</f>
        <v>7.9279187200000004E-2</v>
      </c>
      <c r="I358" s="6">
        <f>[1]Hybrid!H57</f>
        <v>8.0075674299999997E-2</v>
      </c>
      <c r="J358" s="6">
        <f>[1]Hybrid!I57</f>
        <v>8.0665448099999995E-2</v>
      </c>
      <c r="K358" s="6">
        <f>[1]Hybrid!J57</f>
        <v>8.1040527900000006E-2</v>
      </c>
      <c r="L358" s="6">
        <f>[1]Hybrid!K57</f>
        <v>8.1208113200000001E-2</v>
      </c>
      <c r="M358" s="6">
        <f>[1]Hybrid!L57</f>
        <v>8.1191129799999998E-2</v>
      </c>
      <c r="N358" s="6">
        <f>[1]Hybrid!M57</f>
        <v>8.0996662400000002E-2</v>
      </c>
      <c r="O358" s="6">
        <f>[1]Hybrid!N57</f>
        <v>8.0645704900000004E-2</v>
      </c>
      <c r="P358" s="6">
        <f>[1]Hybrid!O57</f>
        <v>8.0156032299999999E-2</v>
      </c>
      <c r="Q358" s="6">
        <f>[1]Hybrid!P57</f>
        <v>7.9544448200000006E-2</v>
      </c>
      <c r="R358" s="6">
        <f>[1]Hybrid!Q57</f>
        <v>7.8827007500000004E-2</v>
      </c>
      <c r="S358" s="6">
        <f>[1]Hybrid!R57</f>
        <v>7.8045063900000003E-2</v>
      </c>
      <c r="T358" s="6">
        <f>[1]Hybrid!S57</f>
        <v>7.7223867099999996E-2</v>
      </c>
      <c r="U358" s="6">
        <f>[1]Hybrid!T57</f>
        <v>7.6375570300000001E-2</v>
      </c>
      <c r="V358" s="6">
        <f>[1]Hybrid!U57</f>
        <v>7.5505096800000004E-2</v>
      </c>
      <c r="W358" s="6">
        <f>[1]Hybrid!V57</f>
        <v>7.4608486399999993E-2</v>
      </c>
      <c r="X358" s="6">
        <f>[1]Hybrid!W57</f>
        <v>7.3690712899999997E-2</v>
      </c>
      <c r="Y358" s="6">
        <f>[1]Hybrid!X57</f>
        <v>7.2749495100000006E-2</v>
      </c>
      <c r="Z358" s="6">
        <f>[1]Hybrid!Y57</f>
        <v>7.1781355300000002E-2</v>
      </c>
      <c r="AA358" s="6">
        <f>[1]Hybrid!Z57</f>
        <v>7.0780225099999997E-2</v>
      </c>
      <c r="AB358" s="6">
        <f>[1]Hybrid!AA57</f>
        <v>6.9726951800000006E-2</v>
      </c>
      <c r="AC358" s="6">
        <f>[1]Hybrid!AB57</f>
        <v>6.8621925700000003E-2</v>
      </c>
      <c r="AD358" s="6">
        <f>[1]Hybrid!AC57</f>
        <v>6.7458253999999995E-2</v>
      </c>
      <c r="AE358" s="6">
        <f>[1]Hybrid!AD57</f>
        <v>6.6230246600000001E-2</v>
      </c>
      <c r="AF358" s="6">
        <f>[1]Hybrid!AE57</f>
        <v>6.4934237800000003E-2</v>
      </c>
      <c r="AG358" s="6">
        <f>[1]Hybrid!AF57</f>
        <v>6.3567970900000006E-2</v>
      </c>
      <c r="AH358" s="6">
        <f>[1]Hybrid!AG57</f>
        <v>6.2130646099999999E-2</v>
      </c>
      <c r="AI358" s="6">
        <f>[1]Hybrid!AH57</f>
        <v>6.0623218299999997E-2</v>
      </c>
      <c r="AJ358" s="6">
        <f>[1]Hybrid!AI57</f>
        <v>5.9048532200000003E-2</v>
      </c>
      <c r="AK358" s="6">
        <f>[1]Hybrid!AJ57</f>
        <v>5.74113204E-2</v>
      </c>
      <c r="AL358" s="6">
        <f>[1]Hybrid!AK57</f>
        <v>5.5718056699999997E-2</v>
      </c>
    </row>
    <row r="359" spans="1:3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0.13584513670000001</v>
      </c>
      <c r="E359" s="6">
        <f>[1]Hybrid!D59</f>
        <v>0.1376897638</v>
      </c>
      <c r="F359" s="6">
        <f>[1]Hybrid!E59</f>
        <v>0.13945774320000001</v>
      </c>
      <c r="G359" s="6">
        <f>[1]Hybrid!F59</f>
        <v>0.14101039260000001</v>
      </c>
      <c r="H359" s="6">
        <f>[1]Hybrid!G59</f>
        <v>0.142224713</v>
      </c>
      <c r="I359" s="6">
        <f>[1]Hybrid!H59</f>
        <v>0.14295726819999999</v>
      </c>
      <c r="J359" s="6">
        <f>[1]Hybrid!I59</f>
        <v>0.14315966259999999</v>
      </c>
      <c r="K359" s="6">
        <f>[1]Hybrid!J59</f>
        <v>0.1428398602</v>
      </c>
      <c r="L359" s="6">
        <f>[1]Hybrid!K59</f>
        <v>0.14203385669999999</v>
      </c>
      <c r="M359" s="6">
        <f>[1]Hybrid!L59</f>
        <v>0.1408031733</v>
      </c>
      <c r="N359" s="6">
        <f>[1]Hybrid!M59</f>
        <v>0.13918658680000001</v>
      </c>
      <c r="O359" s="6">
        <f>[1]Hybrid!N59</f>
        <v>0.13724470590000001</v>
      </c>
      <c r="P359" s="6">
        <f>[1]Hybrid!O59</f>
        <v>0.13503265440000001</v>
      </c>
      <c r="Q359" s="6">
        <f>[1]Hybrid!P59</f>
        <v>0.132601411</v>
      </c>
      <c r="R359" s="6">
        <f>[1]Hybrid!Q59</f>
        <v>0.1299966558</v>
      </c>
      <c r="S359" s="6">
        <f>[1]Hybrid!R59</f>
        <v>0.1272945855</v>
      </c>
      <c r="T359" s="6">
        <f>[1]Hybrid!S59</f>
        <v>0.1245468025</v>
      </c>
      <c r="U359" s="6">
        <f>[1]Hybrid!T59</f>
        <v>0.121782315</v>
      </c>
      <c r="V359" s="6">
        <f>[1]Hybrid!U59</f>
        <v>0.119015458</v>
      </c>
      <c r="W359" s="6">
        <f>[1]Hybrid!V59</f>
        <v>0.1162451261</v>
      </c>
      <c r="X359" s="6">
        <f>[1]Hybrid!W59</f>
        <v>0.1134781354</v>
      </c>
      <c r="Y359" s="6">
        <f>[1]Hybrid!X59</f>
        <v>0.110710392</v>
      </c>
      <c r="Z359" s="6">
        <f>[1]Hybrid!Y59</f>
        <v>0.10793513959999999</v>
      </c>
      <c r="AA359" s="6">
        <f>[1]Hybrid!Z59</f>
        <v>0.1051417093</v>
      </c>
      <c r="AB359" s="6">
        <f>[1]Hybrid!AA59</f>
        <v>0.10230479990000001</v>
      </c>
      <c r="AC359" s="6">
        <f>[1]Hybrid!AB59</f>
        <v>9.9422022099999993E-2</v>
      </c>
      <c r="AD359" s="6">
        <f>[1]Hybrid!AC59</f>
        <v>9.6484411500000006E-2</v>
      </c>
      <c r="AE359" s="6">
        <f>[1]Hybrid!AD59</f>
        <v>9.3486461199999996E-2</v>
      </c>
      <c r="AF359" s="6">
        <f>[1]Hybrid!AE59</f>
        <v>9.0427550800000006E-2</v>
      </c>
      <c r="AG359" s="6">
        <f>[1]Hybrid!AF59</f>
        <v>8.7311146000000006E-2</v>
      </c>
      <c r="AH359" s="6">
        <f>[1]Hybrid!AG59</f>
        <v>8.4144364099999994E-2</v>
      </c>
      <c r="AI359" s="6">
        <f>[1]Hybrid!AH59</f>
        <v>8.0937611399999998E-2</v>
      </c>
      <c r="AJ359" s="6">
        <f>[1]Hybrid!AI59</f>
        <v>7.7703976999999994E-2</v>
      </c>
      <c r="AK359" s="6">
        <f>[1]Hybrid!AJ59</f>
        <v>7.44585101E-2</v>
      </c>
      <c r="AL359" s="6">
        <f>[1]Hybrid!AK59</f>
        <v>7.1217428099999994E-2</v>
      </c>
    </row>
    <row r="361" spans="1:3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</row>
    <row r="362" spans="1:3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69">D339+D346+D353</f>
        <v>7152.3092869474003</v>
      </c>
      <c r="E362" s="6">
        <f t="shared" si="69"/>
        <v>7255.4507319373997</v>
      </c>
      <c r="F362" s="6">
        <f t="shared" si="69"/>
        <v>7394.3019234223993</v>
      </c>
      <c r="G362" s="6">
        <f t="shared" si="69"/>
        <v>7562.4358430390012</v>
      </c>
      <c r="H362" s="6">
        <f t="shared" si="69"/>
        <v>7749.3584332075998</v>
      </c>
      <c r="I362" s="6">
        <f t="shared" si="69"/>
        <v>7942.5645335888003</v>
      </c>
      <c r="J362" s="6">
        <f t="shared" si="69"/>
        <v>8136.9553373228</v>
      </c>
      <c r="K362" s="6">
        <f t="shared" si="69"/>
        <v>8331.0612596837</v>
      </c>
      <c r="L362" s="6">
        <f t="shared" si="69"/>
        <v>8524.8686751488021</v>
      </c>
      <c r="M362" s="6">
        <f t="shared" si="69"/>
        <v>8720.341358977701</v>
      </c>
      <c r="N362" s="6">
        <f t="shared" si="69"/>
        <v>8915.9839104326002</v>
      </c>
      <c r="O362" s="6">
        <f t="shared" si="69"/>
        <v>9111.8129300635992</v>
      </c>
      <c r="P362" s="6">
        <f t="shared" si="69"/>
        <v>9306.6128486901998</v>
      </c>
      <c r="Q362" s="6">
        <f t="shared" si="69"/>
        <v>9498.8413828904995</v>
      </c>
      <c r="R362" s="6">
        <f t="shared" si="69"/>
        <v>9687.1930751833988</v>
      </c>
      <c r="S362" s="6">
        <f t="shared" si="69"/>
        <v>9875.7981540456021</v>
      </c>
      <c r="T362" s="6">
        <f t="shared" si="69"/>
        <v>10065.088146521501</v>
      </c>
      <c r="U362" s="6">
        <f t="shared" si="69"/>
        <v>10253.8672638838</v>
      </c>
      <c r="V362" s="6">
        <f t="shared" si="69"/>
        <v>10440.9834606573</v>
      </c>
      <c r="W362" s="6">
        <f t="shared" si="69"/>
        <v>10624.689665202901</v>
      </c>
      <c r="X362" s="6">
        <f t="shared" si="69"/>
        <v>10806.8001881247</v>
      </c>
      <c r="Y362" s="6">
        <f t="shared" si="69"/>
        <v>10988.217673357301</v>
      </c>
      <c r="Z362" s="6">
        <f t="shared" si="69"/>
        <v>11170.298952501</v>
      </c>
      <c r="AA362" s="6">
        <f t="shared" si="69"/>
        <v>11354.473798016999</v>
      </c>
      <c r="AB362" s="6">
        <f t="shared" si="69"/>
        <v>11538.734921211999</v>
      </c>
      <c r="AC362" s="6">
        <f t="shared" si="69"/>
        <v>11727.320972571999</v>
      </c>
      <c r="AD362" s="6">
        <f t="shared" si="69"/>
        <v>11922.225199297</v>
      </c>
      <c r="AE362" s="6">
        <f t="shared" si="69"/>
        <v>12125.54381702</v>
      </c>
      <c r="AF362" s="6">
        <f t="shared" si="69"/>
        <v>12339.209629796</v>
      </c>
      <c r="AG362" s="6">
        <f t="shared" si="69"/>
        <v>12564.522720169</v>
      </c>
      <c r="AH362" s="6">
        <f t="shared" si="69"/>
        <v>12802.052063926998</v>
      </c>
      <c r="AI362" s="6">
        <f t="shared" si="69"/>
        <v>13051.729572453001</v>
      </c>
      <c r="AJ362" s="6">
        <f t="shared" si="69"/>
        <v>13312.96379265</v>
      </c>
      <c r="AK362" s="6">
        <f t="shared" si="69"/>
        <v>13584.748713499999</v>
      </c>
      <c r="AL362" s="6">
        <f t="shared" si="69"/>
        <v>13865.747163784001</v>
      </c>
    </row>
    <row r="363" spans="1:38" x14ac:dyDescent="0.35">
      <c r="B363" t="s">
        <v>97</v>
      </c>
      <c r="C363" s="6">
        <f t="shared" ref="C363:AL363" si="70">C340+C347+C354</f>
        <v>8263.1971436354015</v>
      </c>
      <c r="D363" s="6">
        <f t="shared" si="70"/>
        <v>8194.9441513409001</v>
      </c>
      <c r="E363" s="6">
        <f t="shared" si="70"/>
        <v>8188.9422328428</v>
      </c>
      <c r="F363" s="6">
        <f t="shared" si="70"/>
        <v>8224.0384927099003</v>
      </c>
      <c r="G363" s="6">
        <f t="shared" si="70"/>
        <v>8293.3352173312014</v>
      </c>
      <c r="H363" s="6">
        <f t="shared" si="70"/>
        <v>8386.3477843659002</v>
      </c>
      <c r="I363" s="6">
        <f t="shared" si="70"/>
        <v>8490.6138324221993</v>
      </c>
      <c r="J363" s="6">
        <f t="shared" si="70"/>
        <v>8600.6587538161002</v>
      </c>
      <c r="K363" s="6">
        <f t="shared" si="70"/>
        <v>8714.5075522006991</v>
      </c>
      <c r="L363" s="6">
        <f t="shared" si="70"/>
        <v>8831.6514718683993</v>
      </c>
      <c r="M363" s="6">
        <f t="shared" si="70"/>
        <v>8953.5288672563001</v>
      </c>
      <c r="N363" s="6">
        <f t="shared" si="70"/>
        <v>9078.4018560263994</v>
      </c>
      <c r="O363" s="6">
        <f t="shared" si="70"/>
        <v>9206.0422170564998</v>
      </c>
      <c r="P363" s="6">
        <f t="shared" si="70"/>
        <v>9335.1373898101992</v>
      </c>
      <c r="Q363" s="6">
        <f t="shared" si="70"/>
        <v>9464.1176885130008</v>
      </c>
      <c r="R363" s="6">
        <f t="shared" si="70"/>
        <v>9591.6567001784006</v>
      </c>
      <c r="S363" s="6">
        <f t="shared" si="70"/>
        <v>9721.5718091504023</v>
      </c>
      <c r="T363" s="6">
        <f t="shared" si="70"/>
        <v>9854.3340437028</v>
      </c>
      <c r="U363" s="6">
        <f t="shared" si="70"/>
        <v>9988.8468002609006</v>
      </c>
      <c r="V363" s="6">
        <f t="shared" si="70"/>
        <v>10123.959395383499</v>
      </c>
      <c r="W363" s="6">
        <f t="shared" si="70"/>
        <v>10257.8857728158</v>
      </c>
      <c r="X363" s="6">
        <f t="shared" si="70"/>
        <v>10392.0742070746</v>
      </c>
      <c r="Y363" s="6">
        <f t="shared" si="70"/>
        <v>10527.0886340671</v>
      </c>
      <c r="Z363" s="6">
        <f t="shared" si="70"/>
        <v>10663.883277576901</v>
      </c>
      <c r="AA363" s="6">
        <f t="shared" si="70"/>
        <v>10803.449094814199</v>
      </c>
      <c r="AB363" s="6">
        <f t="shared" si="70"/>
        <v>10943.595085329</v>
      </c>
      <c r="AC363" s="6">
        <f t="shared" si="70"/>
        <v>11087.847414711001</v>
      </c>
      <c r="AD363" s="6">
        <f t="shared" si="70"/>
        <v>11237.650367804999</v>
      </c>
      <c r="AE363" s="6">
        <f t="shared" si="70"/>
        <v>11394.527226468999</v>
      </c>
      <c r="AF363" s="6">
        <f t="shared" si="70"/>
        <v>11559.853853443001</v>
      </c>
      <c r="AG363" s="6">
        <f t="shared" si="70"/>
        <v>11734.441599151998</v>
      </c>
      <c r="AH363" s="6">
        <f t="shared" si="70"/>
        <v>11918.456512483001</v>
      </c>
      <c r="AI363" s="6">
        <f t="shared" si="70"/>
        <v>12111.512693151</v>
      </c>
      <c r="AJ363" s="6">
        <f t="shared" si="70"/>
        <v>12312.782366382</v>
      </c>
      <c r="AK363" s="6">
        <f t="shared" si="70"/>
        <v>12521.101404124</v>
      </c>
      <c r="AL363" s="6">
        <f t="shared" si="70"/>
        <v>12735.051971178998</v>
      </c>
    </row>
    <row r="364" spans="1:38" x14ac:dyDescent="0.35">
      <c r="B364" t="s">
        <v>98</v>
      </c>
      <c r="C364" s="6">
        <f t="shared" ref="C364:AL364" si="71">C341+C348+C355</f>
        <v>6787.4105911386005</v>
      </c>
      <c r="D364" s="6">
        <f t="shared" si="71"/>
        <v>6656.6716304816</v>
      </c>
      <c r="E364" s="6">
        <f t="shared" si="71"/>
        <v>6574.7957543664006</v>
      </c>
      <c r="F364" s="6">
        <f t="shared" si="71"/>
        <v>6526.4876611420996</v>
      </c>
      <c r="G364" s="6">
        <f t="shared" si="71"/>
        <v>6506.4446232806995</v>
      </c>
      <c r="H364" s="6">
        <f t="shared" si="71"/>
        <v>6507.1003991126991</v>
      </c>
      <c r="I364" s="6">
        <f t="shared" si="71"/>
        <v>6519.4906108968999</v>
      </c>
      <c r="J364" s="6">
        <f t="shared" si="71"/>
        <v>6539.4074068346999</v>
      </c>
      <c r="K364" s="6">
        <f t="shared" si="71"/>
        <v>6565.0786912899002</v>
      </c>
      <c r="L364" s="6">
        <f t="shared" si="71"/>
        <v>6595.7962471786996</v>
      </c>
      <c r="M364" s="6">
        <f t="shared" si="71"/>
        <v>6632.2348526592004</v>
      </c>
      <c r="N364" s="6">
        <f t="shared" si="71"/>
        <v>6672.9697951937997</v>
      </c>
      <c r="O364" s="6">
        <f t="shared" si="71"/>
        <v>6717.6611514459</v>
      </c>
      <c r="P364" s="6">
        <f t="shared" si="71"/>
        <v>6765.2848517027996</v>
      </c>
      <c r="Q364" s="6">
        <f t="shared" si="71"/>
        <v>6814.6769021133996</v>
      </c>
      <c r="R364" s="6">
        <f t="shared" si="71"/>
        <v>6864.8528511699997</v>
      </c>
      <c r="S364" s="6">
        <f t="shared" si="71"/>
        <v>6918.3384504253008</v>
      </c>
      <c r="T364" s="6">
        <f t="shared" si="71"/>
        <v>6975.4776081609998</v>
      </c>
      <c r="U364" s="6">
        <f t="shared" si="71"/>
        <v>7035.5269184993995</v>
      </c>
      <c r="V364" s="6">
        <f t="shared" si="71"/>
        <v>7097.6444216737</v>
      </c>
      <c r="W364" s="6">
        <f t="shared" si="71"/>
        <v>7160.5085888053</v>
      </c>
      <c r="X364" s="6">
        <f t="shared" si="71"/>
        <v>7224.9174699053001</v>
      </c>
      <c r="Y364" s="6">
        <f t="shared" si="71"/>
        <v>7291.0535193126998</v>
      </c>
      <c r="Z364" s="6">
        <f t="shared" si="71"/>
        <v>7359.3419098909999</v>
      </c>
      <c r="AA364" s="6">
        <f t="shared" si="71"/>
        <v>7430.2144735355996</v>
      </c>
      <c r="AB364" s="6">
        <f t="shared" si="71"/>
        <v>7501.9806894773001</v>
      </c>
      <c r="AC364" s="6">
        <f t="shared" si="71"/>
        <v>7576.7287021628008</v>
      </c>
      <c r="AD364" s="6">
        <f t="shared" si="71"/>
        <v>7655.1579192675999</v>
      </c>
      <c r="AE364" s="6">
        <f t="shared" si="71"/>
        <v>7738.0140841230004</v>
      </c>
      <c r="AF364" s="6">
        <f t="shared" si="71"/>
        <v>7825.9514250572993</v>
      </c>
      <c r="AG364" s="6">
        <f t="shared" si="71"/>
        <v>7919.2654697460994</v>
      </c>
      <c r="AH364" s="6">
        <f t="shared" si="71"/>
        <v>8017.8456805183996</v>
      </c>
      <c r="AI364" s="6">
        <f t="shared" si="71"/>
        <v>8121.2416083438002</v>
      </c>
      <c r="AJ364" s="6">
        <f t="shared" si="71"/>
        <v>8228.7391662600985</v>
      </c>
      <c r="AK364" s="6">
        <f t="shared" si="71"/>
        <v>8339.4336132877015</v>
      </c>
      <c r="AL364" s="6">
        <f t="shared" si="71"/>
        <v>8452.2874429183012</v>
      </c>
    </row>
    <row r="365" spans="1:38" x14ac:dyDescent="0.35">
      <c r="B365" t="s">
        <v>99</v>
      </c>
      <c r="C365" s="6">
        <f t="shared" ref="C365:AL365" si="72">C342+C349+C356</f>
        <v>4165.6835237371006</v>
      </c>
      <c r="D365" s="6">
        <f t="shared" si="72"/>
        <v>4060.8380360147994</v>
      </c>
      <c r="E365" s="6">
        <f t="shared" si="72"/>
        <v>3984.0056995323002</v>
      </c>
      <c r="F365" s="6">
        <f t="shared" si="72"/>
        <v>3926.2140826719997</v>
      </c>
      <c r="G365" s="6">
        <f t="shared" si="72"/>
        <v>3884.1704291792998</v>
      </c>
      <c r="H365" s="6">
        <f t="shared" si="72"/>
        <v>3853.5993961746999</v>
      </c>
      <c r="I365" s="6">
        <f t="shared" si="72"/>
        <v>3829.4915964961001</v>
      </c>
      <c r="J365" s="6">
        <f t="shared" si="72"/>
        <v>3809.3829362709002</v>
      </c>
      <c r="K365" s="6">
        <f t="shared" si="72"/>
        <v>3792.1558007533999</v>
      </c>
      <c r="L365" s="6">
        <f t="shared" si="72"/>
        <v>3777.3103712199995</v>
      </c>
      <c r="M365" s="6">
        <f t="shared" si="72"/>
        <v>3765.1056938136999</v>
      </c>
      <c r="N365" s="6">
        <f t="shared" si="72"/>
        <v>3754.7819396970999</v>
      </c>
      <c r="O365" s="6">
        <f t="shared" si="72"/>
        <v>3746.2046595064999</v>
      </c>
      <c r="P365" s="6">
        <f t="shared" si="72"/>
        <v>3738.9513984439</v>
      </c>
      <c r="Q365" s="6">
        <f t="shared" si="72"/>
        <v>3732.5603365308002</v>
      </c>
      <c r="R365" s="6">
        <f t="shared" si="72"/>
        <v>3726.6591541548</v>
      </c>
      <c r="S365" s="6">
        <f t="shared" si="72"/>
        <v>3722.6261469688998</v>
      </c>
      <c r="T365" s="6">
        <f t="shared" si="72"/>
        <v>3720.8026041442004</v>
      </c>
      <c r="U365" s="6">
        <f t="shared" si="72"/>
        <v>3720.9427498366995</v>
      </c>
      <c r="V365" s="6">
        <f t="shared" si="72"/>
        <v>3722.6704758790997</v>
      </c>
      <c r="W365" s="6">
        <f t="shared" si="72"/>
        <v>3725.3029949242</v>
      </c>
      <c r="X365" s="6">
        <f t="shared" si="72"/>
        <v>3729.1087755564004</v>
      </c>
      <c r="Y365" s="6">
        <f t="shared" si="72"/>
        <v>3734.0133698885998</v>
      </c>
      <c r="Z365" s="6">
        <f t="shared" si="72"/>
        <v>3740.0161071092998</v>
      </c>
      <c r="AA365" s="6">
        <f t="shared" si="72"/>
        <v>3747.0734255276002</v>
      </c>
      <c r="AB365" s="6">
        <f t="shared" si="72"/>
        <v>3754.120447242</v>
      </c>
      <c r="AC365" s="6">
        <f t="shared" si="72"/>
        <v>3761.8187598595</v>
      </c>
      <c r="AD365" s="6">
        <f t="shared" si="72"/>
        <v>3770.1655282888</v>
      </c>
      <c r="AE365" s="6">
        <f t="shared" si="72"/>
        <v>3779.1697134108003</v>
      </c>
      <c r="AF365" s="6">
        <f t="shared" si="72"/>
        <v>3788.8159183269004</v>
      </c>
      <c r="AG365" s="6">
        <f t="shared" si="72"/>
        <v>3798.9583878389999</v>
      </c>
      <c r="AH365" s="6">
        <f t="shared" si="72"/>
        <v>3809.3104253734996</v>
      </c>
      <c r="AI365" s="6">
        <f t="shared" si="72"/>
        <v>3819.4820663654004</v>
      </c>
      <c r="AJ365" s="6">
        <f t="shared" si="72"/>
        <v>3829.0196501892001</v>
      </c>
      <c r="AK365" s="6">
        <f t="shared" si="72"/>
        <v>3837.4425483877999</v>
      </c>
      <c r="AL365" s="6">
        <f t="shared" si="72"/>
        <v>3844.2719702853001</v>
      </c>
    </row>
    <row r="366" spans="1:38" x14ac:dyDescent="0.35">
      <c r="B366" t="s">
        <v>100</v>
      </c>
      <c r="C366" s="6">
        <f t="shared" ref="C366:AL366" si="73">C343+C350+C357</f>
        <v>2507.3524895615005</v>
      </c>
      <c r="D366" s="6">
        <f t="shared" si="73"/>
        <v>2446.6033170465998</v>
      </c>
      <c r="E366" s="6">
        <f t="shared" si="73"/>
        <v>2401.9268100454001</v>
      </c>
      <c r="F366" s="6">
        <f t="shared" si="73"/>
        <v>2367.6770499363997</v>
      </c>
      <c r="G366" s="6">
        <f t="shared" si="73"/>
        <v>2341.7744701930001</v>
      </c>
      <c r="H366" s="6">
        <f t="shared" si="73"/>
        <v>2321.6754317233999</v>
      </c>
      <c r="I366" s="6">
        <f t="shared" si="73"/>
        <v>2304.3963455632002</v>
      </c>
      <c r="J366" s="6">
        <f t="shared" si="73"/>
        <v>2288.4626680348001</v>
      </c>
      <c r="K366" s="6">
        <f t="shared" si="73"/>
        <v>2273.2200405871004</v>
      </c>
      <c r="L366" s="6">
        <f t="shared" si="73"/>
        <v>2258.4031796487002</v>
      </c>
      <c r="M366" s="6">
        <f t="shared" si="73"/>
        <v>2244.2039953198</v>
      </c>
      <c r="N366" s="6">
        <f t="shared" si="73"/>
        <v>2230.2550255950005</v>
      </c>
      <c r="O366" s="6">
        <f t="shared" si="73"/>
        <v>2216.5763786471002</v>
      </c>
      <c r="P366" s="6">
        <f t="shared" si="73"/>
        <v>2203.0471037567004</v>
      </c>
      <c r="Q366" s="6">
        <f t="shared" si="73"/>
        <v>2189.5316495682996</v>
      </c>
      <c r="R366" s="6">
        <f t="shared" si="73"/>
        <v>2175.9365869489998</v>
      </c>
      <c r="S366" s="6">
        <f t="shared" si="73"/>
        <v>2163.1388358312001</v>
      </c>
      <c r="T366" s="6">
        <f t="shared" si="73"/>
        <v>2151.4522725841002</v>
      </c>
      <c r="U366" s="6">
        <f t="shared" si="73"/>
        <v>2140.8335547119996</v>
      </c>
      <c r="V366" s="6">
        <f t="shared" si="73"/>
        <v>2131.1219935479999</v>
      </c>
      <c r="W366" s="6">
        <f t="shared" si="73"/>
        <v>2121.9501272225998</v>
      </c>
      <c r="X366" s="6">
        <f t="shared" si="73"/>
        <v>2113.4288702676004</v>
      </c>
      <c r="Y366" s="6">
        <f t="shared" si="73"/>
        <v>2105.4604494478999</v>
      </c>
      <c r="Z366" s="6">
        <f t="shared" si="73"/>
        <v>2097.9665849694998</v>
      </c>
      <c r="AA366" s="6">
        <f t="shared" si="73"/>
        <v>2090.8255804467999</v>
      </c>
      <c r="AB366" s="6">
        <f t="shared" si="73"/>
        <v>2083.3685415922</v>
      </c>
      <c r="AC366" s="6">
        <f t="shared" si="73"/>
        <v>2075.8181381398999</v>
      </c>
      <c r="AD366" s="6">
        <f t="shared" si="73"/>
        <v>2068.0468979685998</v>
      </c>
      <c r="AE366" s="6">
        <f t="shared" si="73"/>
        <v>2059.9358788218001</v>
      </c>
      <c r="AF366" s="6">
        <f t="shared" si="73"/>
        <v>2051.3691191216999</v>
      </c>
      <c r="AG366" s="6">
        <f t="shared" si="73"/>
        <v>2042.1866267881001</v>
      </c>
      <c r="AH366" s="6">
        <f t="shared" si="73"/>
        <v>2032.1835456829001</v>
      </c>
      <c r="AI366" s="6">
        <f t="shared" si="73"/>
        <v>2021.1318506564999</v>
      </c>
      <c r="AJ366" s="6">
        <f t="shared" si="73"/>
        <v>2008.8013064733002</v>
      </c>
      <c r="AK366" s="6">
        <f t="shared" si="73"/>
        <v>1994.9778963290998</v>
      </c>
      <c r="AL366" s="6">
        <f t="shared" si="73"/>
        <v>1979.4773344066998</v>
      </c>
    </row>
    <row r="367" spans="1:38" x14ac:dyDescent="0.35">
      <c r="B367" t="s">
        <v>101</v>
      </c>
      <c r="C367" s="6">
        <f t="shared" ref="C367:AL367" si="74">C344+C351+C358</f>
        <v>1245.466605953</v>
      </c>
      <c r="D367" s="6">
        <f t="shared" si="74"/>
        <v>1212.6423993738001</v>
      </c>
      <c r="E367" s="6">
        <f t="shared" si="74"/>
        <v>1186.4603410683001</v>
      </c>
      <c r="F367" s="6">
        <f t="shared" si="74"/>
        <v>1163.9737103289001</v>
      </c>
      <c r="G367" s="6">
        <f t="shared" si="74"/>
        <v>1144.0786962748</v>
      </c>
      <c r="H367" s="6">
        <f t="shared" si="74"/>
        <v>1125.6420098412</v>
      </c>
      <c r="I367" s="6">
        <f t="shared" si="74"/>
        <v>1107.3792044592999</v>
      </c>
      <c r="J367" s="6">
        <f t="shared" si="74"/>
        <v>1088.6845656901</v>
      </c>
      <c r="K367" s="6">
        <f t="shared" si="74"/>
        <v>1069.3417770279</v>
      </c>
      <c r="L367" s="6">
        <f t="shared" si="74"/>
        <v>1049.3281935072002</v>
      </c>
      <c r="M367" s="6">
        <f t="shared" si="74"/>
        <v>1028.8176174118</v>
      </c>
      <c r="N367" s="6">
        <f t="shared" si="74"/>
        <v>1007.7967644544001</v>
      </c>
      <c r="O367" s="6">
        <f t="shared" si="74"/>
        <v>986.42589407690002</v>
      </c>
      <c r="P367" s="6">
        <f t="shared" si="74"/>
        <v>964.82963180029992</v>
      </c>
      <c r="Q367" s="6">
        <f t="shared" si="74"/>
        <v>943.12444340319996</v>
      </c>
      <c r="R367" s="6">
        <f t="shared" si="74"/>
        <v>921.42132294449993</v>
      </c>
      <c r="S367" s="6">
        <f t="shared" si="74"/>
        <v>900.13963927690008</v>
      </c>
      <c r="T367" s="6">
        <f t="shared" si="74"/>
        <v>879.50214869110005</v>
      </c>
      <c r="U367" s="6">
        <f t="shared" si="74"/>
        <v>859.57504949029999</v>
      </c>
      <c r="V367" s="6">
        <f t="shared" si="74"/>
        <v>840.34136709680001</v>
      </c>
      <c r="W367" s="6">
        <f t="shared" si="74"/>
        <v>821.68184363640012</v>
      </c>
      <c r="X367" s="6">
        <f t="shared" si="74"/>
        <v>803.59198673289995</v>
      </c>
      <c r="Y367" s="6">
        <f t="shared" si="74"/>
        <v>785.98374884509997</v>
      </c>
      <c r="Z367" s="6">
        <f t="shared" si="74"/>
        <v>768.75976133530003</v>
      </c>
      <c r="AA367" s="6">
        <f t="shared" si="74"/>
        <v>751.79608406509988</v>
      </c>
      <c r="AB367" s="6">
        <f t="shared" si="74"/>
        <v>734.81428657180004</v>
      </c>
      <c r="AC367" s="6">
        <f t="shared" si="74"/>
        <v>717.78035716570002</v>
      </c>
      <c r="AD367" s="6">
        <f t="shared" si="74"/>
        <v>700.57422528400002</v>
      </c>
      <c r="AE367" s="6">
        <f t="shared" si="74"/>
        <v>683.09402307660002</v>
      </c>
      <c r="AF367" s="6">
        <f t="shared" si="74"/>
        <v>665.26556492780003</v>
      </c>
      <c r="AG367" s="6">
        <f t="shared" si="74"/>
        <v>647.03420722089993</v>
      </c>
      <c r="AH367" s="6">
        <f t="shared" si="74"/>
        <v>628.36497450609988</v>
      </c>
      <c r="AI367" s="6">
        <f t="shared" si="74"/>
        <v>609.2458150983</v>
      </c>
      <c r="AJ367" s="6">
        <f t="shared" si="74"/>
        <v>589.68887708219995</v>
      </c>
      <c r="AK367" s="6">
        <f t="shared" si="74"/>
        <v>569.73017038039995</v>
      </c>
      <c r="AL367" s="6">
        <f t="shared" si="74"/>
        <v>549.42748787670007</v>
      </c>
    </row>
    <row r="368" spans="1:38" x14ac:dyDescent="0.35">
      <c r="B368" t="s">
        <v>102</v>
      </c>
      <c r="C368" s="6">
        <f t="shared" ref="C368:AL368" si="75">C345+C352+C359</f>
        <v>2242.8616504070001</v>
      </c>
      <c r="D368" s="6">
        <f t="shared" si="75"/>
        <v>2187.2078363297001</v>
      </c>
      <c r="E368" s="6">
        <f t="shared" si="75"/>
        <v>2141.3531434918004</v>
      </c>
      <c r="F368" s="6">
        <f t="shared" si="75"/>
        <v>2099.5926434972002</v>
      </c>
      <c r="G368" s="6">
        <f t="shared" si="75"/>
        <v>2059.8869303576002</v>
      </c>
      <c r="H368" s="6">
        <f t="shared" si="75"/>
        <v>2020.4312457199999</v>
      </c>
      <c r="I368" s="6">
        <f t="shared" si="75"/>
        <v>1979.2239804172</v>
      </c>
      <c r="J368" s="6">
        <f t="shared" si="75"/>
        <v>1935.4565758566</v>
      </c>
      <c r="K368" s="6">
        <f t="shared" si="75"/>
        <v>1889.0258182302</v>
      </c>
      <c r="L368" s="6">
        <f t="shared" si="75"/>
        <v>1840.1798077666999</v>
      </c>
      <c r="M368" s="6">
        <f t="shared" si="75"/>
        <v>1789.4813362632999</v>
      </c>
      <c r="N368" s="6">
        <f t="shared" si="75"/>
        <v>1737.2214006867998</v>
      </c>
      <c r="O368" s="6">
        <f t="shared" si="75"/>
        <v>1683.9598958559</v>
      </c>
      <c r="P368" s="6">
        <f t="shared" si="75"/>
        <v>1630.1924708444001</v>
      </c>
      <c r="Q368" s="6">
        <f t="shared" si="75"/>
        <v>1576.3677335909999</v>
      </c>
      <c r="R368" s="6">
        <f t="shared" si="75"/>
        <v>1522.8740989457999</v>
      </c>
      <c r="S368" s="6">
        <f t="shared" si="75"/>
        <v>1470.4724203655001</v>
      </c>
      <c r="T368" s="6">
        <f t="shared" si="75"/>
        <v>1419.6241838125</v>
      </c>
      <c r="U368" s="6">
        <f t="shared" si="75"/>
        <v>1370.521181395</v>
      </c>
      <c r="V368" s="6">
        <f t="shared" si="75"/>
        <v>1323.1852974679998</v>
      </c>
      <c r="W368" s="6">
        <f t="shared" si="75"/>
        <v>1277.4609756661</v>
      </c>
      <c r="X368" s="6">
        <f t="shared" si="75"/>
        <v>1233.3003463453999</v>
      </c>
      <c r="Y368" s="6">
        <f t="shared" si="75"/>
        <v>1190.5323412820001</v>
      </c>
      <c r="Z368" s="6">
        <f t="shared" si="75"/>
        <v>1148.9636895596</v>
      </c>
      <c r="AA368" s="6">
        <f t="shared" si="75"/>
        <v>1108.3631367192997</v>
      </c>
      <c r="AB368" s="6">
        <f t="shared" si="75"/>
        <v>1068.3303202599</v>
      </c>
      <c r="AC368" s="6">
        <f t="shared" si="75"/>
        <v>1028.7549297621001</v>
      </c>
      <c r="AD368" s="6">
        <f t="shared" si="75"/>
        <v>989.45248373149991</v>
      </c>
      <c r="AE368" s="6">
        <f t="shared" si="75"/>
        <v>950.28721690120005</v>
      </c>
      <c r="AF368" s="6">
        <f t="shared" si="75"/>
        <v>911.18848112079991</v>
      </c>
      <c r="AG368" s="6">
        <f t="shared" si="75"/>
        <v>872.13979475600001</v>
      </c>
      <c r="AH368" s="6">
        <f t="shared" si="75"/>
        <v>833.17265626410006</v>
      </c>
      <c r="AI368" s="6">
        <f t="shared" si="75"/>
        <v>794.36141848140005</v>
      </c>
      <c r="AJ368" s="6">
        <f t="shared" si="75"/>
        <v>755.81533218700008</v>
      </c>
      <c r="AK368" s="6">
        <f t="shared" si="75"/>
        <v>717.66931035010009</v>
      </c>
      <c r="AL368" s="6">
        <f t="shared" si="75"/>
        <v>680.0739907981</v>
      </c>
    </row>
    <row r="370" spans="1:3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</row>
    <row r="371" spans="1:3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8.5373483500000003</v>
      </c>
      <c r="E371" s="6">
        <f>[1]Results!H104</f>
        <v>14.69205107</v>
      </c>
      <c r="F371" s="6">
        <f>[1]Results!I104</f>
        <v>21.391993660000001</v>
      </c>
      <c r="G371" s="6">
        <f>[1]Results!J104</f>
        <v>28.503846119999999</v>
      </c>
      <c r="H371" s="6">
        <f>[1]Results!K104</f>
        <v>35.432174349999997</v>
      </c>
      <c r="I371" s="6">
        <f>[1]Results!L104</f>
        <v>41.982731899999997</v>
      </c>
      <c r="J371" s="6">
        <f>[1]Results!M104</f>
        <v>48.793801909999999</v>
      </c>
      <c r="K371" s="6">
        <f>[1]Results!N104</f>
        <v>61.06705367</v>
      </c>
      <c r="L371" s="6">
        <f>[1]Results!O104</f>
        <v>80.353474160000005</v>
      </c>
      <c r="M371" s="6">
        <f>[1]Results!P104</f>
        <v>107.3697387</v>
      </c>
      <c r="N371" s="6">
        <f>[1]Results!Q104</f>
        <v>140.68911869999999</v>
      </c>
      <c r="O371" s="6">
        <f>[1]Results!R104</f>
        <v>175.22674839999999</v>
      </c>
      <c r="P371" s="6">
        <f>[1]Results!S104</f>
        <v>208.3850683</v>
      </c>
      <c r="Q371" s="6">
        <f>[1]Results!T104</f>
        <v>239.09270979999999</v>
      </c>
      <c r="R371" s="6">
        <f>[1]Results!U104</f>
        <v>267.09817409999999</v>
      </c>
      <c r="S371" s="6">
        <f>[1]Results!V104</f>
        <v>292.95611760000003</v>
      </c>
      <c r="T371" s="6">
        <f>[1]Results!W104</f>
        <v>318.23906529999999</v>
      </c>
      <c r="U371" s="6">
        <f>[1]Results!X104</f>
        <v>343.5208677</v>
      </c>
      <c r="V371" s="6">
        <f>[1]Results!Y104</f>
        <v>368.86657639999999</v>
      </c>
      <c r="W371" s="6">
        <f>[1]Results!Z104</f>
        <v>394.05935169999998</v>
      </c>
      <c r="X371" s="6">
        <f>[1]Results!AA104</f>
        <v>418.8507275</v>
      </c>
      <c r="Y371" s="6">
        <f>[1]Results!AB104</f>
        <v>442.88857510000003</v>
      </c>
      <c r="Z371" s="6">
        <f>[1]Results!AC104</f>
        <v>465.86060950000001</v>
      </c>
      <c r="AA371" s="6">
        <f>[1]Results!AD104</f>
        <v>487.51352709999998</v>
      </c>
      <c r="AB371" s="6">
        <f>[1]Results!AE104</f>
        <v>507.59572029999998</v>
      </c>
      <c r="AC371" s="6">
        <f>[1]Results!AF104</f>
        <v>526.11339169999997</v>
      </c>
      <c r="AD371" s="6">
        <f>[1]Results!AG104</f>
        <v>543.00086739999995</v>
      </c>
      <c r="AE371" s="6">
        <f>[1]Results!AH104</f>
        <v>558.30284919999997</v>
      </c>
      <c r="AF371" s="6">
        <f>[1]Results!AI104</f>
        <v>572.12537810000003</v>
      </c>
      <c r="AG371" s="6">
        <f>[1]Results!AJ104</f>
        <v>584.60849410000003</v>
      </c>
      <c r="AH371" s="6">
        <f>[1]Results!AK104</f>
        <v>595.90173519999996</v>
      </c>
      <c r="AI371" s="6">
        <f>[1]Results!AL104</f>
        <v>606.1495688</v>
      </c>
      <c r="AJ371" s="6">
        <f>[1]Results!AM104</f>
        <v>615.48671460000003</v>
      </c>
      <c r="AK371" s="6">
        <f>[1]Results!AN104</f>
        <v>624.03703410000003</v>
      </c>
      <c r="AL371" s="6">
        <f>[1]Results!AO104</f>
        <v>631.91072910000003</v>
      </c>
    </row>
    <row r="372" spans="1:38" x14ac:dyDescent="0.35">
      <c r="B372" t="s">
        <v>58</v>
      </c>
      <c r="C372" s="6">
        <f>[1]Results!F105</f>
        <v>68.80476281</v>
      </c>
      <c r="D372" s="6">
        <f>[1]Results!G105</f>
        <v>75.130066929999998</v>
      </c>
      <c r="E372" s="6">
        <f>[1]Results!H105</f>
        <v>80.746061499999996</v>
      </c>
      <c r="F372" s="6">
        <f>[1]Results!I105</f>
        <v>85.701617639999995</v>
      </c>
      <c r="G372" s="6">
        <f>[1]Results!J105</f>
        <v>90.337252530000001</v>
      </c>
      <c r="H372" s="6">
        <f>[1]Results!K105</f>
        <v>94.77873597</v>
      </c>
      <c r="I372" s="6">
        <f>[1]Results!L105</f>
        <v>98.501493730000007</v>
      </c>
      <c r="J372" s="6">
        <f>[1]Results!M105</f>
        <v>102.1508388</v>
      </c>
      <c r="K372" s="6">
        <f>[1]Results!N105</f>
        <v>106.29103379999999</v>
      </c>
      <c r="L372" s="6">
        <f>[1]Results!O105</f>
        <v>110.9436041</v>
      </c>
      <c r="M372" s="6">
        <f>[1]Results!P105</f>
        <v>117.2289174</v>
      </c>
      <c r="N372" s="6">
        <f>[1]Results!Q105</f>
        <v>123.01618449999999</v>
      </c>
      <c r="O372" s="6">
        <f>[1]Results!R105</f>
        <v>128.8126446</v>
      </c>
      <c r="P372" s="6">
        <f>[1]Results!S105</f>
        <v>134.3792938</v>
      </c>
      <c r="Q372" s="6">
        <f>[1]Results!T105</f>
        <v>139.63404209999999</v>
      </c>
      <c r="R372" s="6">
        <f>[1]Results!U105</f>
        <v>144.57455469999999</v>
      </c>
      <c r="S372" s="6">
        <f>[1]Results!V105</f>
        <v>149.271545</v>
      </c>
      <c r="T372" s="6">
        <f>[1]Results!W105</f>
        <v>153.88735980000001</v>
      </c>
      <c r="U372" s="6">
        <f>[1]Results!X105</f>
        <v>158.49073469999999</v>
      </c>
      <c r="V372" s="6">
        <f>[1]Results!Y105</f>
        <v>163.0994681</v>
      </c>
      <c r="W372" s="6">
        <f>[1]Results!Z105</f>
        <v>167.0170492</v>
      </c>
      <c r="X372" s="6">
        <f>[1]Results!AA105</f>
        <v>171.59035729999999</v>
      </c>
      <c r="Y372" s="6">
        <f>[1]Results!AB105</f>
        <v>176.11053029999999</v>
      </c>
      <c r="Z372" s="6">
        <f>[1]Results!AC105</f>
        <v>180.55079939999999</v>
      </c>
      <c r="AA372" s="6">
        <f>[1]Results!AD105</f>
        <v>184.8885659</v>
      </c>
      <c r="AB372" s="6">
        <f>[1]Results!AE105</f>
        <v>187.23143569999999</v>
      </c>
      <c r="AC372" s="6">
        <f>[1]Results!AF105</f>
        <v>190.42747979999999</v>
      </c>
      <c r="AD372" s="6">
        <f>[1]Results!AG105</f>
        <v>193.48282589999999</v>
      </c>
      <c r="AE372" s="6">
        <f>[1]Results!AH105</f>
        <v>196.3999839</v>
      </c>
      <c r="AF372" s="6">
        <f>[1]Results!AI105</f>
        <v>199.1866</v>
      </c>
      <c r="AG372" s="6">
        <f>[1]Results!AJ105</f>
        <v>201.85326090000001</v>
      </c>
      <c r="AH372" s="6">
        <f>[1]Results!AK105</f>
        <v>204.4116239</v>
      </c>
      <c r="AI372" s="6">
        <f>[1]Results!AL105</f>
        <v>206.87327619999999</v>
      </c>
      <c r="AJ372" s="6">
        <f>[1]Results!AM105</f>
        <v>209.2492647</v>
      </c>
      <c r="AK372" s="6">
        <f>[1]Results!AN105</f>
        <v>211.5501333</v>
      </c>
      <c r="AL372" s="6">
        <f>[1]Results!AO105</f>
        <v>213.78586000000001</v>
      </c>
    </row>
    <row r="373" spans="1:38" x14ac:dyDescent="0.35">
      <c r="B373" t="s">
        <v>59</v>
      </c>
      <c r="C373" s="6">
        <f>[1]Results!F106</f>
        <v>408.28039699999999</v>
      </c>
      <c r="D373" s="6">
        <f>[1]Results!G106</f>
        <v>422.13433900000001</v>
      </c>
      <c r="E373" s="6">
        <f>[1]Results!H106</f>
        <v>435.39236940000001</v>
      </c>
      <c r="F373" s="6">
        <f>[1]Results!I106</f>
        <v>447.44191310000002</v>
      </c>
      <c r="G373" s="6">
        <f>[1]Results!J106</f>
        <v>458.88957169999998</v>
      </c>
      <c r="H373" s="6">
        <f>[1]Results!K106</f>
        <v>469.94269850000001</v>
      </c>
      <c r="I373" s="6">
        <f>[1]Results!L106</f>
        <v>479.0531009</v>
      </c>
      <c r="J373" s="6">
        <f>[1]Results!M106</f>
        <v>488.02614080000001</v>
      </c>
      <c r="K373" s="6">
        <f>[1]Results!N106</f>
        <v>497.90821549999998</v>
      </c>
      <c r="L373" s="6">
        <f>[1]Results!O106</f>
        <v>508.00506100000001</v>
      </c>
      <c r="M373" s="6">
        <f>[1]Results!P106</f>
        <v>520.63793310000005</v>
      </c>
      <c r="N373" s="6">
        <f>[1]Results!Q106</f>
        <v>529.69444139999996</v>
      </c>
      <c r="O373" s="6">
        <f>[1]Results!R106</f>
        <v>538.24935270000003</v>
      </c>
      <c r="P373" s="6">
        <f>[1]Results!S106</f>
        <v>546.51797339999996</v>
      </c>
      <c r="Q373" s="6">
        <f>[1]Results!T106</f>
        <v>554.6337284</v>
      </c>
      <c r="R373" s="6">
        <f>[1]Results!U106</f>
        <v>562.66224980000004</v>
      </c>
      <c r="S373" s="6">
        <f>[1]Results!V106</f>
        <v>570.62171090000004</v>
      </c>
      <c r="T373" s="6">
        <f>[1]Results!W106</f>
        <v>578.47892730000001</v>
      </c>
      <c r="U373" s="6">
        <f>[1]Results!X106</f>
        <v>586.20415349999996</v>
      </c>
      <c r="V373" s="6">
        <f>[1]Results!Y106</f>
        <v>593.78542230000005</v>
      </c>
      <c r="W373" s="6">
        <f>[1]Results!Z106</f>
        <v>599.2987723</v>
      </c>
      <c r="X373" s="6">
        <f>[1]Results!AA106</f>
        <v>606.61614340000006</v>
      </c>
      <c r="Y373" s="6">
        <f>[1]Results!AB106</f>
        <v>613.83507669999995</v>
      </c>
      <c r="Z373" s="6">
        <f>[1]Results!AC106</f>
        <v>620.98152640000001</v>
      </c>
      <c r="AA373" s="6">
        <f>[1]Results!AD106</f>
        <v>628.08066329999997</v>
      </c>
      <c r="AB373" s="6">
        <f>[1]Results!AE106</f>
        <v>629.88913339999999</v>
      </c>
      <c r="AC373" s="6">
        <f>[1]Results!AF106</f>
        <v>634.47425269999997</v>
      </c>
      <c r="AD373" s="6">
        <f>[1]Results!AG106</f>
        <v>639.05758279999998</v>
      </c>
      <c r="AE373" s="6">
        <f>[1]Results!AH106</f>
        <v>643.64924229999997</v>
      </c>
      <c r="AF373" s="6">
        <f>[1]Results!AI106</f>
        <v>648.25558079999996</v>
      </c>
      <c r="AG373" s="6">
        <f>[1]Results!AJ106</f>
        <v>652.88035560000003</v>
      </c>
      <c r="AH373" s="6">
        <f>[1]Results!AK106</f>
        <v>657.52575049999996</v>
      </c>
      <c r="AI373" s="6">
        <f>[1]Results!AL106</f>
        <v>662.19308530000001</v>
      </c>
      <c r="AJ373" s="6">
        <f>[1]Results!AM106</f>
        <v>666.88326519999998</v>
      </c>
      <c r="AK373" s="6">
        <f>[1]Results!AN106</f>
        <v>671.5968355</v>
      </c>
      <c r="AL373" s="6">
        <f>[1]Results!AO106</f>
        <v>676.33414779999998</v>
      </c>
    </row>
    <row r="374" spans="1:38" x14ac:dyDescent="0.35">
      <c r="B374" t="s">
        <v>60</v>
      </c>
      <c r="C374" s="6">
        <f>[1]Results!F107</f>
        <v>954.38155940000001</v>
      </c>
      <c r="D374" s="6">
        <f>[1]Results!G107</f>
        <v>951.24267320000001</v>
      </c>
      <c r="E374" s="6">
        <f>[1]Results!H107</f>
        <v>950.1526265</v>
      </c>
      <c r="F374" s="6">
        <f>[1]Results!I107</f>
        <v>950.18990880000001</v>
      </c>
      <c r="G374" s="6">
        <f>[1]Results!J107</f>
        <v>950.96815049999998</v>
      </c>
      <c r="H374" s="6">
        <f>[1]Results!K107</f>
        <v>951.42001000000005</v>
      </c>
      <c r="I374" s="6">
        <f>[1]Results!L107</f>
        <v>951.35751170000003</v>
      </c>
      <c r="J374" s="6">
        <f>[1]Results!M107</f>
        <v>951.95562259999997</v>
      </c>
      <c r="K374" s="6">
        <f>[1]Results!N107</f>
        <v>963.35311160000003</v>
      </c>
      <c r="L374" s="6">
        <f>[1]Results!O107</f>
        <v>985.73959279999997</v>
      </c>
      <c r="M374" s="6">
        <f>[1]Results!P107</f>
        <v>1013.916782</v>
      </c>
      <c r="N374" s="6">
        <f>[1]Results!Q107</f>
        <v>1041.477545</v>
      </c>
      <c r="O374" s="6">
        <f>[1]Results!R107</f>
        <v>1065.1625039999999</v>
      </c>
      <c r="P374" s="6">
        <f>[1]Results!S107</f>
        <v>1084.774175</v>
      </c>
      <c r="Q374" s="6">
        <f>[1]Results!T107</f>
        <v>1101.020156</v>
      </c>
      <c r="R374" s="6">
        <f>[1]Results!U107</f>
        <v>1114.63049</v>
      </c>
      <c r="S374" s="6">
        <f>[1]Results!V107</f>
        <v>1126.1636920000001</v>
      </c>
      <c r="T374" s="6">
        <f>[1]Results!W107</f>
        <v>1135.7427769999999</v>
      </c>
      <c r="U374" s="6">
        <f>[1]Results!X107</f>
        <v>1143.004342</v>
      </c>
      <c r="V374" s="6">
        <f>[1]Results!Y107</f>
        <v>1147.7328580000001</v>
      </c>
      <c r="W374" s="6">
        <f>[1]Results!Z107</f>
        <v>1149.983467</v>
      </c>
      <c r="X374" s="6">
        <f>[1]Results!AA107</f>
        <v>1150.0290419999999</v>
      </c>
      <c r="Y374" s="6">
        <f>[1]Results!AB107</f>
        <v>1148.2700339999999</v>
      </c>
      <c r="Z374" s="6">
        <f>[1]Results!AC107</f>
        <v>1145.1639929999999</v>
      </c>
      <c r="AA374" s="6">
        <f>[1]Results!AD107</f>
        <v>1141.1523420000001</v>
      </c>
      <c r="AB374" s="6">
        <f>[1]Results!AE107</f>
        <v>1136.620122</v>
      </c>
      <c r="AC374" s="6">
        <f>[1]Results!AF107</f>
        <v>1131.8765550000001</v>
      </c>
      <c r="AD374" s="6">
        <f>[1]Results!AG107</f>
        <v>1127.1482860000001</v>
      </c>
      <c r="AE374" s="6">
        <f>[1]Results!AH107</f>
        <v>1122.577509</v>
      </c>
      <c r="AF374" s="6">
        <f>[1]Results!AI107</f>
        <v>1118.2322859999999</v>
      </c>
      <c r="AG374" s="6">
        <f>[1]Results!AJ107</f>
        <v>1114.13049</v>
      </c>
      <c r="AH374" s="6">
        <f>[1]Results!AK107</f>
        <v>1110.26223</v>
      </c>
      <c r="AI374" s="6">
        <f>[1]Results!AL107</f>
        <v>1106.6045260000001</v>
      </c>
      <c r="AJ374" s="6">
        <f>[1]Results!AM107</f>
        <v>1103.128297</v>
      </c>
      <c r="AK374" s="6">
        <f>[1]Results!AN107</f>
        <v>1099.801479</v>
      </c>
      <c r="AL374" s="6">
        <f>[1]Results!AO107</f>
        <v>1096.5925070000001</v>
      </c>
    </row>
    <row r="375" spans="1:38" x14ac:dyDescent="0.35">
      <c r="B375" t="s">
        <v>61</v>
      </c>
      <c r="C375" s="6">
        <f>[1]Results!F108</f>
        <v>878.79999729999997</v>
      </c>
      <c r="D375" s="6">
        <f>[1]Results!G108</f>
        <v>866.98908919999997</v>
      </c>
      <c r="E375" s="6">
        <f>[1]Results!H108</f>
        <v>855.83697519999998</v>
      </c>
      <c r="F375" s="6">
        <f>[1]Results!I108</f>
        <v>844.89793910000003</v>
      </c>
      <c r="G375" s="6">
        <f>[1]Results!J108</f>
        <v>833.74052659999995</v>
      </c>
      <c r="H375" s="6">
        <f>[1]Results!K108</f>
        <v>823.70473819999995</v>
      </c>
      <c r="I375" s="6">
        <f>[1]Results!L108</f>
        <v>814.84197359999996</v>
      </c>
      <c r="J375" s="6">
        <f>[1]Results!M108</f>
        <v>805.25567320000005</v>
      </c>
      <c r="K375" s="6">
        <f>[1]Results!N108</f>
        <v>777.94036040000003</v>
      </c>
      <c r="L375" s="6">
        <f>[1]Results!O108</f>
        <v>731.86710879999998</v>
      </c>
      <c r="M375" s="6">
        <f>[1]Results!P108</f>
        <v>672.10026549999998</v>
      </c>
      <c r="N375" s="6">
        <f>[1]Results!Q108</f>
        <v>606.77343499999995</v>
      </c>
      <c r="O375" s="6">
        <f>[1]Results!R108</f>
        <v>544.65994130000001</v>
      </c>
      <c r="P375" s="6">
        <f>[1]Results!S108</f>
        <v>488.58014159999999</v>
      </c>
      <c r="Q375" s="6">
        <f>[1]Results!T108</f>
        <v>438.83650569999998</v>
      </c>
      <c r="R375" s="6">
        <f>[1]Results!U108</f>
        <v>394.87512020000003</v>
      </c>
      <c r="S375" s="6">
        <f>[1]Results!V108</f>
        <v>355.48250480000002</v>
      </c>
      <c r="T375" s="6">
        <f>[1]Results!W108</f>
        <v>318.82309070000002</v>
      </c>
      <c r="U375" s="6">
        <f>[1]Results!X108</f>
        <v>284.64504099999999</v>
      </c>
      <c r="V375" s="6">
        <f>[1]Results!Y108</f>
        <v>253.09280749999999</v>
      </c>
      <c r="W375" s="6">
        <f>[1]Results!Z108</f>
        <v>224.30516180000001</v>
      </c>
      <c r="X375" s="6">
        <f>[1]Results!AA108</f>
        <v>198.31310350000001</v>
      </c>
      <c r="Y375" s="6">
        <f>[1]Results!AB108</f>
        <v>175.04332690000001</v>
      </c>
      <c r="Z375" s="6">
        <f>[1]Results!AC108</f>
        <v>154.3489573</v>
      </c>
      <c r="AA375" s="6">
        <f>[1]Results!AD108</f>
        <v>136.0375047</v>
      </c>
      <c r="AB375" s="6">
        <f>[1]Results!AE108</f>
        <v>119.89633379999999</v>
      </c>
      <c r="AC375" s="6">
        <f>[1]Results!AF108</f>
        <v>105.7085469</v>
      </c>
      <c r="AD375" s="6">
        <f>[1]Results!AG108</f>
        <v>93.264616270000005</v>
      </c>
      <c r="AE375" s="6">
        <f>[1]Results!AH108</f>
        <v>82.364934059999996</v>
      </c>
      <c r="AF375" s="6">
        <f>[1]Results!AI108</f>
        <v>72.822835999999995</v>
      </c>
      <c r="AG375" s="6">
        <f>[1]Results!AJ108</f>
        <v>64.468741989999998</v>
      </c>
      <c r="AH375" s="6">
        <f>[1]Results!AK108</f>
        <v>57.15238145</v>
      </c>
      <c r="AI375" s="6">
        <f>[1]Results!AL108</f>
        <v>50.74251142</v>
      </c>
      <c r="AJ375" s="6">
        <f>[1]Results!AM108</f>
        <v>45.1246206</v>
      </c>
      <c r="AK375" s="6">
        <f>[1]Results!AN108</f>
        <v>40.199088629999999</v>
      </c>
      <c r="AL375" s="6">
        <f>[1]Results!AO108</f>
        <v>35.880311140000003</v>
      </c>
    </row>
    <row r="376" spans="1:38" x14ac:dyDescent="0.35">
      <c r="B376" t="s">
        <v>62</v>
      </c>
      <c r="C376" s="6">
        <f>[1]Results!F109</f>
        <v>139.85209269999999</v>
      </c>
      <c r="D376" s="6">
        <f>[1]Results!G109</f>
        <v>137.96769699999999</v>
      </c>
      <c r="E376" s="6">
        <f>[1]Results!H109</f>
        <v>136.10651730000001</v>
      </c>
      <c r="F376" s="6">
        <f>[1]Results!I109</f>
        <v>134.27016879999999</v>
      </c>
      <c r="G376" s="6">
        <f>[1]Results!J109</f>
        <v>132.4628103</v>
      </c>
      <c r="H376" s="6">
        <f>[1]Results!K109</f>
        <v>130.67505320000001</v>
      </c>
      <c r="I376" s="6">
        <f>[1]Results!L109</f>
        <v>128.90884740000001</v>
      </c>
      <c r="J376" s="6">
        <f>[1]Results!M109</f>
        <v>127.1793322</v>
      </c>
      <c r="K376" s="6">
        <f>[1]Results!N109</f>
        <v>125.5384652</v>
      </c>
      <c r="L376" s="6">
        <f>[1]Results!O109</f>
        <v>123.9503089</v>
      </c>
      <c r="M376" s="6">
        <f>[1]Results!P109</f>
        <v>122.38476900000001</v>
      </c>
      <c r="N376" s="6">
        <f>[1]Results!Q109</f>
        <v>120.8158707</v>
      </c>
      <c r="O376" s="6">
        <f>[1]Results!R109</f>
        <v>119.2126281</v>
      </c>
      <c r="P376" s="6">
        <f>[1]Results!S109</f>
        <v>117.5731242</v>
      </c>
      <c r="Q376" s="6">
        <f>[1]Results!T109</f>
        <v>115.9066128</v>
      </c>
      <c r="R376" s="6">
        <f>[1]Results!U109</f>
        <v>114.22456270000001</v>
      </c>
      <c r="S376" s="6">
        <f>[1]Results!V109</f>
        <v>112.5379423</v>
      </c>
      <c r="T376" s="6">
        <f>[1]Results!W109</f>
        <v>110.85720600000001</v>
      </c>
      <c r="U376" s="6">
        <f>[1]Results!X109</f>
        <v>109.1848755</v>
      </c>
      <c r="V376" s="6">
        <f>[1]Results!Y109</f>
        <v>107.5214265</v>
      </c>
      <c r="W376" s="6">
        <f>[1]Results!Z109</f>
        <v>105.867923</v>
      </c>
      <c r="X376" s="6">
        <f>[1]Results!AA109</f>
        <v>104.2265726</v>
      </c>
      <c r="Y376" s="6">
        <f>[1]Results!AB109</f>
        <v>102.60026190000001</v>
      </c>
      <c r="Z376" s="6">
        <f>[1]Results!AC109</f>
        <v>100.99161290000001</v>
      </c>
      <c r="AA376" s="6">
        <f>[1]Results!AD109</f>
        <v>99.402635360000005</v>
      </c>
      <c r="AB376" s="6">
        <f>[1]Results!AE109</f>
        <v>97.834840959999994</v>
      </c>
      <c r="AC376" s="6">
        <f>[1]Results!AF109</f>
        <v>96.289364090000007</v>
      </c>
      <c r="AD376" s="6">
        <f>[1]Results!AG109</f>
        <v>94.767174760000003</v>
      </c>
      <c r="AE376" s="6">
        <f>[1]Results!AH109</f>
        <v>93.268515339999993</v>
      </c>
      <c r="AF376" s="6">
        <f>[1]Results!AI109</f>
        <v>91.792150179999993</v>
      </c>
      <c r="AG376" s="6">
        <f>[1]Results!AJ109</f>
        <v>90.33562603</v>
      </c>
      <c r="AH376" s="6">
        <f>[1]Results!AK109</f>
        <v>88.895952309999998</v>
      </c>
      <c r="AI376" s="6">
        <f>[1]Results!AL109</f>
        <v>87.470187240000001</v>
      </c>
      <c r="AJ376" s="6">
        <f>[1]Results!AM109</f>
        <v>86.055443949999997</v>
      </c>
      <c r="AK376" s="6">
        <f>[1]Results!AN109</f>
        <v>84.648643919999998</v>
      </c>
      <c r="AL376" s="6">
        <f>[1]Results!AO109</f>
        <v>83.246598890000001</v>
      </c>
    </row>
    <row r="377" spans="1:38" x14ac:dyDescent="0.35">
      <c r="B377" t="s">
        <v>63</v>
      </c>
      <c r="C377" s="6">
        <f>[1]Results!F110</f>
        <v>3.874567114</v>
      </c>
      <c r="D377" s="6">
        <f>[1]Results!G110</f>
        <v>3.7251598189999999</v>
      </c>
      <c r="E377" s="6">
        <f>[1]Results!H110</f>
        <v>3.5815059109999998</v>
      </c>
      <c r="F377" s="6">
        <f>[1]Results!I110</f>
        <v>3.4434435909999999</v>
      </c>
      <c r="G377" s="6">
        <f>[1]Results!J110</f>
        <v>3.311055664</v>
      </c>
      <c r="H377" s="6">
        <f>[1]Results!K110</f>
        <v>3.1835897630000001</v>
      </c>
      <c r="I377" s="6">
        <f>[1]Results!L110</f>
        <v>3.0611304750000001</v>
      </c>
      <c r="J377" s="6">
        <f>[1]Results!M110</f>
        <v>2.944439284</v>
      </c>
      <c r="K377" s="6">
        <f>[1]Results!N110</f>
        <v>2.8360374429999999</v>
      </c>
      <c r="L377" s="6">
        <f>[1]Results!O110</f>
        <v>2.7330260009999998</v>
      </c>
      <c r="M377" s="6">
        <f>[1]Results!P110</f>
        <v>2.6334755689999998</v>
      </c>
      <c r="N377" s="6">
        <f>[1]Results!Q110</f>
        <v>2.536061218</v>
      </c>
      <c r="O377" s="6">
        <f>[1]Results!R110</f>
        <v>2.439433298</v>
      </c>
      <c r="P377" s="6">
        <f>[1]Results!S110</f>
        <v>2.3439921130000001</v>
      </c>
      <c r="Q377" s="6">
        <f>[1]Results!T110</f>
        <v>2.250553338</v>
      </c>
      <c r="R377" s="6">
        <f>[1]Results!U110</f>
        <v>2.159822449</v>
      </c>
      <c r="S377" s="6">
        <f>[1]Results!V110</f>
        <v>2.0723550400000001</v>
      </c>
      <c r="T377" s="6">
        <f>[1]Results!W110</f>
        <v>1.988668307</v>
      </c>
      <c r="U377" s="6">
        <f>[1]Results!X110</f>
        <v>1.908742916</v>
      </c>
      <c r="V377" s="6">
        <f>[1]Results!Y110</f>
        <v>1.832399973</v>
      </c>
      <c r="W377" s="6">
        <f>[1]Results!Z110</f>
        <v>1.759465711</v>
      </c>
      <c r="X377" s="6">
        <f>[1]Results!AA110</f>
        <v>1.6898126449999999</v>
      </c>
      <c r="Y377" s="6">
        <f>[1]Results!AB110</f>
        <v>1.6233461119999999</v>
      </c>
      <c r="Z377" s="6">
        <f>[1]Results!AC110</f>
        <v>1.5599721719999999</v>
      </c>
      <c r="AA377" s="6">
        <f>[1]Results!AD110</f>
        <v>1.4995857669999999</v>
      </c>
      <c r="AB377" s="6">
        <f>[1]Results!AE110</f>
        <v>1.4420754570000001</v>
      </c>
      <c r="AC377" s="6">
        <f>[1]Results!AF110</f>
        <v>1.387326885</v>
      </c>
      <c r="AD377" s="6">
        <f>[1]Results!AG110</f>
        <v>1.3352271330000001</v>
      </c>
      <c r="AE377" s="6">
        <f>[1]Results!AH110</f>
        <v>1.28564477</v>
      </c>
      <c r="AF377" s="6">
        <f>[1]Results!AI110</f>
        <v>1.2384082620000001</v>
      </c>
      <c r="AG377" s="6">
        <f>[1]Results!AJ110</f>
        <v>1.1933196230000001</v>
      </c>
      <c r="AH377" s="6">
        <f>[1]Results!AK110</f>
        <v>1.15017952</v>
      </c>
      <c r="AI377" s="6">
        <f>[1]Results!AL110</f>
        <v>1.1088056449999999</v>
      </c>
      <c r="AJ377" s="6">
        <f>[1]Results!AM110</f>
        <v>1.069031397</v>
      </c>
      <c r="AK377" s="6">
        <f>[1]Results!AN110</f>
        <v>1.0306977980000001</v>
      </c>
      <c r="AL377" s="6">
        <f>[1]Results!AO110</f>
        <v>0.99365589170000002</v>
      </c>
    </row>
    <row r="379" spans="1:3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</row>
    <row r="380" spans="1:3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8.5373482410000001</v>
      </c>
      <c r="E380" s="6">
        <f>[1]Results!H112</f>
        <v>14.69205081</v>
      </c>
      <c r="F380" s="6">
        <f>[1]Results!I112</f>
        <v>21.391993230000001</v>
      </c>
      <c r="G380" s="6">
        <f>[1]Results!J112</f>
        <v>28.50384549</v>
      </c>
      <c r="H380" s="6">
        <f>[1]Results!K112</f>
        <v>35.432173519999999</v>
      </c>
      <c r="I380" s="6">
        <f>[1]Results!L112</f>
        <v>42.026715369999998</v>
      </c>
      <c r="J380" s="6">
        <f>[1]Results!M112</f>
        <v>48.455513850000003</v>
      </c>
      <c r="K380" s="6">
        <f>[1]Results!N112</f>
        <v>54.885775889999998</v>
      </c>
      <c r="L380" s="6">
        <f>[1]Results!O112</f>
        <v>61.465849230000003</v>
      </c>
      <c r="M380" s="6">
        <f>[1]Results!P112</f>
        <v>68.36174939</v>
      </c>
      <c r="N380" s="6">
        <f>[1]Results!Q112</f>
        <v>75.609314670000003</v>
      </c>
      <c r="O380" s="6">
        <f>[1]Results!R112</f>
        <v>83.345109789999995</v>
      </c>
      <c r="P380" s="6">
        <f>[1]Results!S112</f>
        <v>91.280268480000004</v>
      </c>
      <c r="Q380" s="6">
        <f>[1]Results!T112</f>
        <v>99.270168630000001</v>
      </c>
      <c r="R380" s="6">
        <f>[1]Results!U112</f>
        <v>107.24626499999999</v>
      </c>
      <c r="S380" s="6">
        <f>[1]Results!V112</f>
        <v>115.17981229999999</v>
      </c>
      <c r="T380" s="6">
        <f>[1]Results!W112</f>
        <v>123.0446321</v>
      </c>
      <c r="U380" s="6">
        <f>[1]Results!X112</f>
        <v>130.79547099999999</v>
      </c>
      <c r="V380" s="6">
        <f>[1]Results!Y112</f>
        <v>138.383701</v>
      </c>
      <c r="W380" s="6">
        <f>[1]Results!Z112</f>
        <v>145.74041399999999</v>
      </c>
      <c r="X380" s="6">
        <f>[1]Results!AA112</f>
        <v>152.87494530000001</v>
      </c>
      <c r="Y380" s="6">
        <f>[1]Results!AB112</f>
        <v>159.3717815</v>
      </c>
      <c r="Z380" s="6">
        <f>[1]Results!AC112</f>
        <v>164.9566604</v>
      </c>
      <c r="AA380" s="6">
        <f>[1]Results!AD112</f>
        <v>169.805262</v>
      </c>
      <c r="AB380" s="6">
        <f>[1]Results!AE112</f>
        <v>174.0917728</v>
      </c>
      <c r="AC380" s="6">
        <f>[1]Results!AF112</f>
        <v>178.10063629999999</v>
      </c>
      <c r="AD380" s="6">
        <f>[1]Results!AG112</f>
        <v>181.89811309999999</v>
      </c>
      <c r="AE380" s="6">
        <f>[1]Results!AH112</f>
        <v>185.54526849999999</v>
      </c>
      <c r="AF380" s="6">
        <f>[1]Results!AI112</f>
        <v>189.0804851</v>
      </c>
      <c r="AG380" s="6">
        <f>[1]Results!AJ112</f>
        <v>192.53231940000001</v>
      </c>
      <c r="AH380" s="6">
        <f>[1]Results!AK112</f>
        <v>195.9251089</v>
      </c>
      <c r="AI380" s="6">
        <f>[1]Results!AL112</f>
        <v>199.28097099999999</v>
      </c>
      <c r="AJ380" s="6">
        <f>[1]Results!AM112</f>
        <v>202.62055789999999</v>
      </c>
      <c r="AK380" s="6">
        <f>[1]Results!AN112</f>
        <v>205.96333920000001</v>
      </c>
      <c r="AL380" s="6">
        <f>[1]Results!AO112</f>
        <v>209.32762579999999</v>
      </c>
    </row>
    <row r="381" spans="1:38" x14ac:dyDescent="0.35">
      <c r="B381" t="s">
        <v>58</v>
      </c>
      <c r="C381" s="6">
        <f>[1]Results!F113</f>
        <v>68.80476281</v>
      </c>
      <c r="D381" s="6">
        <f>[1]Results!G113</f>
        <v>75.130066909999996</v>
      </c>
      <c r="E381" s="6">
        <f>[1]Results!H113</f>
        <v>80.746061440000005</v>
      </c>
      <c r="F381" s="6">
        <f>[1]Results!I113</f>
        <v>85.701617549999995</v>
      </c>
      <c r="G381" s="6">
        <f>[1]Results!J113</f>
        <v>90.337252410000005</v>
      </c>
      <c r="H381" s="6">
        <f>[1]Results!K113</f>
        <v>94.778735800000007</v>
      </c>
      <c r="I381" s="6">
        <f>[1]Results!L113</f>
        <v>98.504765480000003</v>
      </c>
      <c r="J381" s="6">
        <f>[1]Results!M113</f>
        <v>102.20557549999999</v>
      </c>
      <c r="K381" s="6">
        <f>[1]Results!N113</f>
        <v>105.92260760000001</v>
      </c>
      <c r="L381" s="6">
        <f>[1]Results!O113</f>
        <v>109.68460090000001</v>
      </c>
      <c r="M381" s="6">
        <f>[1]Results!P113</f>
        <v>114.55535930000001</v>
      </c>
      <c r="N381" s="6">
        <f>[1]Results!Q113</f>
        <v>118.48853130000001</v>
      </c>
      <c r="O381" s="6">
        <f>[1]Results!R113</f>
        <v>122.5418722</v>
      </c>
      <c r="P381" s="6">
        <f>[1]Results!S113</f>
        <v>126.6341358</v>
      </c>
      <c r="Q381" s="6">
        <f>[1]Results!T113</f>
        <v>130.72461440000001</v>
      </c>
      <c r="R381" s="6">
        <f>[1]Results!U113</f>
        <v>134.79531940000001</v>
      </c>
      <c r="S381" s="6">
        <f>[1]Results!V113</f>
        <v>138.84792959999999</v>
      </c>
      <c r="T381" s="6">
        <f>[1]Results!W113</f>
        <v>142.90222410000001</v>
      </c>
      <c r="U381" s="6">
        <f>[1]Results!X113</f>
        <v>146.9695777</v>
      </c>
      <c r="V381" s="6">
        <f>[1]Results!Y113</f>
        <v>151.05602619999999</v>
      </c>
      <c r="W381" s="6">
        <f>[1]Results!Z113</f>
        <v>154.47776189999999</v>
      </c>
      <c r="X381" s="6">
        <f>[1]Results!AA113</f>
        <v>158.60515459999999</v>
      </c>
      <c r="Y381" s="6">
        <f>[1]Results!AB113</f>
        <v>162.6288174</v>
      </c>
      <c r="Z381" s="6">
        <f>[1]Results!AC113</f>
        <v>166.43884639999999</v>
      </c>
      <c r="AA381" s="6">
        <f>[1]Results!AD113</f>
        <v>170.0745421</v>
      </c>
      <c r="AB381" s="6">
        <f>[1]Results!AE113</f>
        <v>171.7334869</v>
      </c>
      <c r="AC381" s="6">
        <f>[1]Results!AF113</f>
        <v>174.33577880000001</v>
      </c>
      <c r="AD381" s="6">
        <f>[1]Results!AG113</f>
        <v>176.92210449999999</v>
      </c>
      <c r="AE381" s="6">
        <f>[1]Results!AH113</f>
        <v>179.51154389999999</v>
      </c>
      <c r="AF381" s="6">
        <f>[1]Results!AI113</f>
        <v>182.11359770000001</v>
      </c>
      <c r="AG381" s="6">
        <f>[1]Results!AJ113</f>
        <v>184.7312526</v>
      </c>
      <c r="AH381" s="6">
        <f>[1]Results!AK113</f>
        <v>187.3630114</v>
      </c>
      <c r="AI381" s="6">
        <f>[1]Results!AL113</f>
        <v>190.0045983</v>
      </c>
      <c r="AJ381" s="6">
        <f>[1]Results!AM113</f>
        <v>192.650305</v>
      </c>
      <c r="AK381" s="6">
        <f>[1]Results!AN113</f>
        <v>195.29412740000001</v>
      </c>
      <c r="AL381" s="6">
        <f>[1]Results!AO113</f>
        <v>197.93084339999999</v>
      </c>
    </row>
    <row r="382" spans="1:38" x14ac:dyDescent="0.35">
      <c r="B382" t="s">
        <v>59</v>
      </c>
      <c r="C382" s="6">
        <f>[1]Results!F114</f>
        <v>408.28039699999999</v>
      </c>
      <c r="D382" s="6">
        <f>[1]Results!G114</f>
        <v>422.13433900000001</v>
      </c>
      <c r="E382" s="6">
        <f>[1]Results!H114</f>
        <v>435.39236929999998</v>
      </c>
      <c r="F382" s="6">
        <f>[1]Results!I114</f>
        <v>447.441913</v>
      </c>
      <c r="G382" s="6">
        <f>[1]Results!J114</f>
        <v>458.88957149999999</v>
      </c>
      <c r="H382" s="6">
        <f>[1]Results!K114</f>
        <v>469.94269839999998</v>
      </c>
      <c r="I382" s="6">
        <f>[1]Results!L114</f>
        <v>479.05933110000001</v>
      </c>
      <c r="J382" s="6">
        <f>[1]Results!M114</f>
        <v>488.1260097</v>
      </c>
      <c r="K382" s="6">
        <f>[1]Results!N114</f>
        <v>497.23102770000003</v>
      </c>
      <c r="L382" s="6">
        <f>[1]Results!O114</f>
        <v>506.43719709999999</v>
      </c>
      <c r="M382" s="6">
        <f>[1]Results!P114</f>
        <v>518.71588380000003</v>
      </c>
      <c r="N382" s="6">
        <f>[1]Results!Q114</f>
        <v>528.3058906</v>
      </c>
      <c r="O382" s="6">
        <f>[1]Results!R114</f>
        <v>538.16179829999999</v>
      </c>
      <c r="P382" s="6">
        <f>[1]Results!S114</f>
        <v>548.0918451</v>
      </c>
      <c r="Q382" s="6">
        <f>[1]Results!T114</f>
        <v>558.00247039999999</v>
      </c>
      <c r="R382" s="6">
        <f>[1]Results!U114</f>
        <v>567.85416959999998</v>
      </c>
      <c r="S382" s="6">
        <f>[1]Results!V114</f>
        <v>577.65909450000004</v>
      </c>
      <c r="T382" s="6">
        <f>[1]Results!W114</f>
        <v>587.48683310000001</v>
      </c>
      <c r="U382" s="6">
        <f>[1]Results!X114</f>
        <v>597.37869609999996</v>
      </c>
      <c r="V382" s="6">
        <f>[1]Results!Y114</f>
        <v>607.35416610000004</v>
      </c>
      <c r="W382" s="6">
        <f>[1]Results!Z114</f>
        <v>615.49039440000001</v>
      </c>
      <c r="X382" s="6">
        <f>[1]Results!AA114</f>
        <v>625.62904579999997</v>
      </c>
      <c r="Y382" s="6">
        <f>[1]Results!AB114</f>
        <v>635.52436160000002</v>
      </c>
      <c r="Z382" s="6">
        <f>[1]Results!AC114</f>
        <v>644.87844299999995</v>
      </c>
      <c r="AA382" s="6">
        <f>[1]Results!AD114</f>
        <v>653.77078559999995</v>
      </c>
      <c r="AB382" s="6">
        <f>[1]Results!AE114</f>
        <v>657.10752909999997</v>
      </c>
      <c r="AC382" s="6">
        <f>[1]Results!AF114</f>
        <v>663.06372260000001</v>
      </c>
      <c r="AD382" s="6">
        <f>[1]Results!AG114</f>
        <v>668.93310459999998</v>
      </c>
      <c r="AE382" s="6">
        <f>[1]Results!AH114</f>
        <v>674.76330929999995</v>
      </c>
      <c r="AF382" s="6">
        <f>[1]Results!AI114</f>
        <v>680.58081849999996</v>
      </c>
      <c r="AG382" s="6">
        <f>[1]Results!AJ114</f>
        <v>686.39942599999995</v>
      </c>
      <c r="AH382" s="6">
        <f>[1]Results!AK114</f>
        <v>692.22501390000002</v>
      </c>
      <c r="AI382" s="6">
        <f>[1]Results!AL114</f>
        <v>698.05875140000001</v>
      </c>
      <c r="AJ382" s="6">
        <f>[1]Results!AM114</f>
        <v>703.89930370000002</v>
      </c>
      <c r="AK382" s="6">
        <f>[1]Results!AN114</f>
        <v>709.74456599999996</v>
      </c>
      <c r="AL382" s="6">
        <f>[1]Results!AO114</f>
        <v>715.59327470000005</v>
      </c>
    </row>
    <row r="383" spans="1:38" x14ac:dyDescent="0.35">
      <c r="B383" t="s">
        <v>60</v>
      </c>
      <c r="C383" s="6">
        <f>[1]Results!F115</f>
        <v>954.38155940000001</v>
      </c>
      <c r="D383" s="6">
        <f>[1]Results!G115</f>
        <v>951.24267350000002</v>
      </c>
      <c r="E383" s="6">
        <f>[1]Results!H115</f>
        <v>950.15262700000005</v>
      </c>
      <c r="F383" s="6">
        <f>[1]Results!I115</f>
        <v>950.18990989999998</v>
      </c>
      <c r="G383" s="6">
        <f>[1]Results!J115</f>
        <v>950.9681521</v>
      </c>
      <c r="H383" s="6">
        <f>[1]Results!K115</f>
        <v>951.42001219999997</v>
      </c>
      <c r="I383" s="6">
        <f>[1]Results!L115</f>
        <v>951.28782590000003</v>
      </c>
      <c r="J383" s="6">
        <f>[1]Results!M115</f>
        <v>950.46086530000002</v>
      </c>
      <c r="K383" s="6">
        <f>[1]Results!N115</f>
        <v>948.97830999999996</v>
      </c>
      <c r="L383" s="6">
        <f>[1]Results!O115</f>
        <v>946.8772937</v>
      </c>
      <c r="M383" s="6">
        <f>[1]Results!P115</f>
        <v>944.15133820000005</v>
      </c>
      <c r="N383" s="6">
        <f>[1]Results!Q115</f>
        <v>940.75105150000002</v>
      </c>
      <c r="O383" s="6">
        <f>[1]Results!R115</f>
        <v>936.61526830000003</v>
      </c>
      <c r="P383" s="6">
        <f>[1]Results!S115</f>
        <v>932.25176380000005</v>
      </c>
      <c r="Q383" s="6">
        <f>[1]Results!T115</f>
        <v>927.87090000000001</v>
      </c>
      <c r="R383" s="6">
        <f>[1]Results!U115</f>
        <v>923.54761380000002</v>
      </c>
      <c r="S383" s="6">
        <f>[1]Results!V115</f>
        <v>919.26486850000003</v>
      </c>
      <c r="T383" s="6">
        <f>[1]Results!W115</f>
        <v>914.94023240000001</v>
      </c>
      <c r="U383" s="6">
        <f>[1]Results!X115</f>
        <v>910.54951510000001</v>
      </c>
      <c r="V383" s="6">
        <f>[1]Results!Y115</f>
        <v>906.09887730000003</v>
      </c>
      <c r="W383" s="6">
        <f>[1]Results!Z115</f>
        <v>901.61007900000004</v>
      </c>
      <c r="X383" s="6">
        <f>[1]Results!AA115</f>
        <v>897.13155589999997</v>
      </c>
      <c r="Y383" s="6">
        <f>[1]Results!AB115</f>
        <v>893.37638300000003</v>
      </c>
      <c r="Z383" s="6">
        <f>[1]Results!AC115</f>
        <v>890.84594000000004</v>
      </c>
      <c r="AA383" s="6">
        <f>[1]Results!AD115</f>
        <v>889.18772239999998</v>
      </c>
      <c r="AB383" s="6">
        <f>[1]Results!AE115</f>
        <v>887.96656700000005</v>
      </c>
      <c r="AC383" s="6">
        <f>[1]Results!AF115</f>
        <v>886.92074579999996</v>
      </c>
      <c r="AD383" s="6">
        <f>[1]Results!AG115</f>
        <v>885.92886469999996</v>
      </c>
      <c r="AE383" s="6">
        <f>[1]Results!AH115</f>
        <v>884.94155179999996</v>
      </c>
      <c r="AF383" s="6">
        <f>[1]Results!AI115</f>
        <v>883.94050990000005</v>
      </c>
      <c r="AG383" s="6">
        <f>[1]Results!AJ115</f>
        <v>882.91931390000002</v>
      </c>
      <c r="AH383" s="6">
        <f>[1]Results!AK115</f>
        <v>881.87607939999998</v>
      </c>
      <c r="AI383" s="6">
        <f>[1]Results!AL115</f>
        <v>880.81064490000006</v>
      </c>
      <c r="AJ383" s="6">
        <f>[1]Results!AM115</f>
        <v>879.72322510000004</v>
      </c>
      <c r="AK383" s="6">
        <f>[1]Results!AN115</f>
        <v>878.61340600000005</v>
      </c>
      <c r="AL383" s="6">
        <f>[1]Results!AO115</f>
        <v>877.47905920000005</v>
      </c>
    </row>
    <row r="384" spans="1:38" x14ac:dyDescent="0.35">
      <c r="B384" t="s">
        <v>61</v>
      </c>
      <c r="C384" s="6">
        <f>[1]Results!F116</f>
        <v>878.79999729999997</v>
      </c>
      <c r="D384" s="6">
        <f>[1]Results!G116</f>
        <v>866.9890891</v>
      </c>
      <c r="E384" s="6">
        <f>[1]Results!H116</f>
        <v>855.83697510000002</v>
      </c>
      <c r="F384" s="6">
        <f>[1]Results!I116</f>
        <v>844.89793870000005</v>
      </c>
      <c r="G384" s="6">
        <f>[1]Results!J116</f>
        <v>833.74052589999997</v>
      </c>
      <c r="H384" s="6">
        <f>[1]Results!K116</f>
        <v>823.70473730000003</v>
      </c>
      <c r="I384" s="6">
        <f>[1]Results!L116</f>
        <v>814.85592999999994</v>
      </c>
      <c r="J384" s="6">
        <f>[1]Results!M116</f>
        <v>806.93246620000002</v>
      </c>
      <c r="K384" s="6">
        <f>[1]Results!N116</f>
        <v>799.59545360000004</v>
      </c>
      <c r="L384" s="6">
        <f>[1]Results!O116</f>
        <v>792.56999059999998</v>
      </c>
      <c r="M384" s="6">
        <f>[1]Results!P116</f>
        <v>785.65769799999998</v>
      </c>
      <c r="N384" s="6">
        <f>[1]Results!Q116</f>
        <v>778.71304220000002</v>
      </c>
      <c r="O384" s="6">
        <f>[1]Results!R116</f>
        <v>771.63083080000001</v>
      </c>
      <c r="P384" s="6">
        <f>[1]Results!S116</f>
        <v>764.46838760000003</v>
      </c>
      <c r="Q384" s="6">
        <f>[1]Results!T116</f>
        <v>757.29645410000001</v>
      </c>
      <c r="R384" s="6">
        <f>[1]Results!U116</f>
        <v>750.1670752</v>
      </c>
      <c r="S384" s="6">
        <f>[1]Results!V116</f>
        <v>743.11364549999996</v>
      </c>
      <c r="T384" s="6">
        <f>[1]Results!W116</f>
        <v>736.15938189999997</v>
      </c>
      <c r="U384" s="6">
        <f>[1]Results!X116</f>
        <v>729.320108</v>
      </c>
      <c r="V384" s="6">
        <f>[1]Results!Y116</f>
        <v>722.60971789999996</v>
      </c>
      <c r="W384" s="6">
        <f>[1]Results!Z116</f>
        <v>716.03604099999995</v>
      </c>
      <c r="X384" s="6">
        <f>[1]Results!AA116</f>
        <v>709.60277259999998</v>
      </c>
      <c r="Y384" s="6">
        <f>[1]Results!AB116</f>
        <v>703.4322545</v>
      </c>
      <c r="Z384" s="6">
        <f>[1]Results!AC116</f>
        <v>697.70457080000006</v>
      </c>
      <c r="AA384" s="6">
        <f>[1]Results!AD116</f>
        <v>692.47796760000006</v>
      </c>
      <c r="AB384" s="6">
        <f>[1]Results!AE116</f>
        <v>687.69686109999998</v>
      </c>
      <c r="AC384" s="6">
        <f>[1]Results!AF116</f>
        <v>683.25961059999997</v>
      </c>
      <c r="AD384" s="6">
        <f>[1]Results!AG116</f>
        <v>679.06876399999999</v>
      </c>
      <c r="AE384" s="6">
        <f>[1]Results!AH116</f>
        <v>675.0482121</v>
      </c>
      <c r="AF384" s="6">
        <f>[1]Results!AI116</f>
        <v>671.14450820000002</v>
      </c>
      <c r="AG384" s="6">
        <f>[1]Results!AJ116</f>
        <v>667.3216496</v>
      </c>
      <c r="AH384" s="6">
        <f>[1]Results!AK116</f>
        <v>663.55573709999999</v>
      </c>
      <c r="AI384" s="6">
        <f>[1]Results!AL116</f>
        <v>659.83069120000005</v>
      </c>
      <c r="AJ384" s="6">
        <f>[1]Results!AM116</f>
        <v>656.13513409999996</v>
      </c>
      <c r="AK384" s="6">
        <f>[1]Results!AN116</f>
        <v>652.46013689999995</v>
      </c>
      <c r="AL384" s="6">
        <f>[1]Results!AO116</f>
        <v>648.79755050000006</v>
      </c>
    </row>
    <row r="385" spans="1:38" x14ac:dyDescent="0.35">
      <c r="B385" t="s">
        <v>62</v>
      </c>
      <c r="C385" s="6">
        <f>[1]Results!F117</f>
        <v>139.85209269999999</v>
      </c>
      <c r="D385" s="6">
        <f>[1]Results!G117</f>
        <v>137.96769699999999</v>
      </c>
      <c r="E385" s="6">
        <f>[1]Results!H117</f>
        <v>136.10651720000001</v>
      </c>
      <c r="F385" s="6">
        <f>[1]Results!I117</f>
        <v>134.27016879999999</v>
      </c>
      <c r="G385" s="6">
        <f>[1]Results!J117</f>
        <v>132.4628103</v>
      </c>
      <c r="H385" s="6">
        <f>[1]Results!K117</f>
        <v>130.67505310000001</v>
      </c>
      <c r="I385" s="6">
        <f>[1]Results!L117</f>
        <v>128.91107120000001</v>
      </c>
      <c r="J385" s="6">
        <f>[1]Results!M117</f>
        <v>127.1815747</v>
      </c>
      <c r="K385" s="6">
        <f>[1]Results!N117</f>
        <v>125.4897055</v>
      </c>
      <c r="L385" s="6">
        <f>[1]Results!O117</f>
        <v>123.8338332</v>
      </c>
      <c r="M385" s="6">
        <f>[1]Results!P117</f>
        <v>122.2103398</v>
      </c>
      <c r="N385" s="6">
        <f>[1]Results!Q117</f>
        <v>120.6154051</v>
      </c>
      <c r="O385" s="6">
        <f>[1]Results!R117</f>
        <v>119.045445</v>
      </c>
      <c r="P385" s="6">
        <f>[1]Results!S117</f>
        <v>117.4974864</v>
      </c>
      <c r="Q385" s="6">
        <f>[1]Results!T117</f>
        <v>115.96951660000001</v>
      </c>
      <c r="R385" s="6">
        <f>[1]Results!U117</f>
        <v>114.46074299999999</v>
      </c>
      <c r="S385" s="6">
        <f>[1]Results!V117</f>
        <v>112.96982939999999</v>
      </c>
      <c r="T385" s="6">
        <f>[1]Results!W117</f>
        <v>111.49284350000001</v>
      </c>
      <c r="U385" s="6">
        <f>[1]Results!X117</f>
        <v>110.03066990000001</v>
      </c>
      <c r="V385" s="6">
        <f>[1]Results!Y117</f>
        <v>108.5863676</v>
      </c>
      <c r="W385" s="6">
        <f>[1]Results!Z117</f>
        <v>107.1633945</v>
      </c>
      <c r="X385" s="6">
        <f>[1]Results!AA117</f>
        <v>105.7646396</v>
      </c>
      <c r="Y385" s="6">
        <f>[1]Results!AB117</f>
        <v>104.39198210000001</v>
      </c>
      <c r="Z385" s="6">
        <f>[1]Results!AC117</f>
        <v>103.0463178</v>
      </c>
      <c r="AA385" s="6">
        <f>[1]Results!AD117</f>
        <v>101.72773979999999</v>
      </c>
      <c r="AB385" s="6">
        <f>[1]Results!AE117</f>
        <v>100.43574460000001</v>
      </c>
      <c r="AC385" s="6">
        <f>[1]Results!AF117</f>
        <v>99.169250570000003</v>
      </c>
      <c r="AD385" s="6">
        <f>[1]Results!AG117</f>
        <v>97.926618110000007</v>
      </c>
      <c r="AE385" s="6">
        <f>[1]Results!AH117</f>
        <v>96.705781459999997</v>
      </c>
      <c r="AF385" s="6">
        <f>[1]Results!AI117</f>
        <v>95.504345580000006</v>
      </c>
      <c r="AG385" s="6">
        <f>[1]Results!AJ117</f>
        <v>94.319620799999996</v>
      </c>
      <c r="AH385" s="6">
        <f>[1]Results!AK117</f>
        <v>93.148873929999993</v>
      </c>
      <c r="AI385" s="6">
        <f>[1]Results!AL117</f>
        <v>91.989519490000006</v>
      </c>
      <c r="AJ385" s="6">
        <f>[1]Results!AM117</f>
        <v>90.839272510000001</v>
      </c>
      <c r="AK385" s="6">
        <f>[1]Results!AN117</f>
        <v>89.696251360000005</v>
      </c>
      <c r="AL385" s="6">
        <f>[1]Results!AO117</f>
        <v>88.559021259999994</v>
      </c>
    </row>
    <row r="386" spans="1:38" x14ac:dyDescent="0.35">
      <c r="B386" t="s">
        <v>63</v>
      </c>
      <c r="C386" s="6">
        <f>[1]Results!F118</f>
        <v>3.874567114</v>
      </c>
      <c r="D386" s="6">
        <f>[1]Results!G118</f>
        <v>3.7251598189999999</v>
      </c>
      <c r="E386" s="6">
        <f>[1]Results!H118</f>
        <v>3.5815059109999998</v>
      </c>
      <c r="F386" s="6">
        <f>[1]Results!I118</f>
        <v>3.4434435900000002</v>
      </c>
      <c r="G386" s="6">
        <f>[1]Results!J118</f>
        <v>3.3110556619999998</v>
      </c>
      <c r="H386" s="6">
        <f>[1]Results!K118</f>
        <v>3.1835897609999999</v>
      </c>
      <c r="I386" s="6">
        <f>[1]Results!L118</f>
        <v>3.0611505449999998</v>
      </c>
      <c r="J386" s="6">
        <f>[1]Results!M118</f>
        <v>2.9438434870000001</v>
      </c>
      <c r="K386" s="6">
        <f>[1]Results!N118</f>
        <v>2.8313970639999999</v>
      </c>
      <c r="L386" s="6">
        <f>[1]Results!O118</f>
        <v>2.7234110949999999</v>
      </c>
      <c r="M386" s="6">
        <f>[1]Results!P118</f>
        <v>2.619513172</v>
      </c>
      <c r="N386" s="6">
        <f>[1]Results!Q118</f>
        <v>2.519421876</v>
      </c>
      <c r="O386" s="6">
        <f>[1]Results!R118</f>
        <v>2.4229280059999998</v>
      </c>
      <c r="P386" s="6">
        <f>[1]Results!S118</f>
        <v>2.3298813439999999</v>
      </c>
      <c r="Q386" s="6">
        <f>[1]Results!T118</f>
        <v>2.2401839350000001</v>
      </c>
      <c r="R386" s="6">
        <f>[1]Results!U118</f>
        <v>2.1537876919999999</v>
      </c>
      <c r="S386" s="6">
        <f>[1]Results!V118</f>
        <v>2.0706883290000002</v>
      </c>
      <c r="T386" s="6">
        <f>[1]Results!W118</f>
        <v>1.990947713</v>
      </c>
      <c r="U386" s="6">
        <f>[1]Results!X118</f>
        <v>1.914719284</v>
      </c>
      <c r="V386" s="6">
        <f>[1]Results!Y118</f>
        <v>1.8421029760000001</v>
      </c>
      <c r="W386" s="6">
        <f>[1]Results!Z118</f>
        <v>1.7731060320000001</v>
      </c>
      <c r="X386" s="6">
        <f>[1]Results!AA118</f>
        <v>1.7076457140000001</v>
      </c>
      <c r="Y386" s="6">
        <f>[1]Results!AB118</f>
        <v>1.6455709140000001</v>
      </c>
      <c r="Z386" s="6">
        <f>[1]Results!AC118</f>
        <v>1.5866923989999999</v>
      </c>
      <c r="AA386" s="6">
        <f>[1]Results!AD118</f>
        <v>1.530804716</v>
      </c>
      <c r="AB386" s="6">
        <f>[1]Results!AE118</f>
        <v>1.4777005219999999</v>
      </c>
      <c r="AC386" s="6">
        <f>[1]Results!AF118</f>
        <v>1.4271722570000001</v>
      </c>
      <c r="AD386" s="6">
        <f>[1]Results!AG118</f>
        <v>1.3790110900000001</v>
      </c>
      <c r="AE386" s="6">
        <f>[1]Results!AH118</f>
        <v>1.3330115140000001</v>
      </c>
      <c r="AF386" s="6">
        <f>[1]Results!AI118</f>
        <v>1.28897416</v>
      </c>
      <c r="AG386" s="6">
        <f>[1]Results!AJ118</f>
        <v>1.246705945</v>
      </c>
      <c r="AH386" s="6">
        <f>[1]Results!AK118</f>
        <v>1.206028694</v>
      </c>
      <c r="AI386" s="6">
        <f>[1]Results!AL118</f>
        <v>1.1667846690000001</v>
      </c>
      <c r="AJ386" s="6">
        <f>[1]Results!AM118</f>
        <v>1.1288398500000001</v>
      </c>
      <c r="AK386" s="6">
        <f>[1]Results!AN118</f>
        <v>1.092084979</v>
      </c>
      <c r="AL386" s="6">
        <f>[1]Results!AO118</f>
        <v>1.056434614</v>
      </c>
    </row>
    <row r="388" spans="1:38" x14ac:dyDescent="0.35">
      <c r="A388" s="12" t="s">
        <v>92</v>
      </c>
      <c r="B388" s="6" t="str">
        <f>[1]Emissions!A830</f>
        <v>ems_ci_co2_sagr_2</v>
      </c>
      <c r="C388" s="6">
        <f>[1]Emissions!B830</f>
        <v>14.16949179</v>
      </c>
      <c r="D388" s="6">
        <f>[1]Emissions!C830</f>
        <v>14.231524609999999</v>
      </c>
      <c r="E388" s="6">
        <f>[1]Emissions!D830</f>
        <v>14.29617243</v>
      </c>
      <c r="F388" s="6">
        <f>[1]Emissions!E830</f>
        <v>14.35328851</v>
      </c>
      <c r="G388" s="6">
        <f>[1]Emissions!F830</f>
        <v>14.4696351</v>
      </c>
      <c r="H388" s="6">
        <f>[1]Emissions!G830</f>
        <v>14.637243310000001</v>
      </c>
      <c r="I388" s="6">
        <f>[1]Emissions!H830</f>
        <v>14.839119050000001</v>
      </c>
      <c r="J388" s="6">
        <f>[1]Emissions!I830</f>
        <v>14.28952962</v>
      </c>
      <c r="K388" s="6">
        <f>[1]Emissions!J830</f>
        <v>13.686056560000001</v>
      </c>
      <c r="L388" s="6">
        <f>[1]Emissions!K830</f>
        <v>13.12865568</v>
      </c>
      <c r="M388" s="6">
        <f>[1]Emissions!L830</f>
        <v>12.596649920000001</v>
      </c>
      <c r="N388" s="6">
        <f>[1]Emissions!M830</f>
        <v>12.12246036</v>
      </c>
      <c r="O388" s="6">
        <f>[1]Emissions!N830</f>
        <v>11.685177810000001</v>
      </c>
      <c r="P388" s="6">
        <f>[1]Emissions!O830</f>
        <v>11.265071880000001</v>
      </c>
      <c r="Q388" s="6">
        <f>[1]Emissions!P830</f>
        <v>10.85848157</v>
      </c>
      <c r="R388" s="6">
        <f>[1]Emissions!Q830</f>
        <v>10.462498480000001</v>
      </c>
      <c r="S388" s="6">
        <f>[1]Emissions!R830</f>
        <v>10.060588660000001</v>
      </c>
      <c r="T388" s="6">
        <f>[1]Emissions!S830</f>
        <v>9.6567937819999994</v>
      </c>
      <c r="U388" s="6">
        <f>[1]Emissions!T830</f>
        <v>9.2555006859999995</v>
      </c>
      <c r="V388" s="6">
        <f>[1]Emissions!U830</f>
        <v>8.8591623639999995</v>
      </c>
      <c r="W388" s="6">
        <f>[1]Emissions!V830</f>
        <v>8.4672453959999991</v>
      </c>
      <c r="X388" s="6">
        <f>[1]Emissions!W830</f>
        <v>8.082039945</v>
      </c>
      <c r="Y388" s="6">
        <f>[1]Emissions!X830</f>
        <v>7.7032081720000001</v>
      </c>
      <c r="Z388" s="6">
        <f>[1]Emissions!Y830</f>
        <v>7.3289490260000001</v>
      </c>
      <c r="AA388" s="6">
        <f>[1]Emissions!Z830</f>
        <v>6.9562247690000003</v>
      </c>
      <c r="AB388" s="6">
        <f>[1]Emissions!AA830</f>
        <v>6.5779556780000004</v>
      </c>
      <c r="AC388" s="6">
        <f>[1]Emissions!AB830</f>
        <v>6.1926096729999998</v>
      </c>
      <c r="AD388" s="6">
        <f>[1]Emissions!AC830</f>
        <v>5.7981276900000003</v>
      </c>
      <c r="AE388" s="6">
        <f>[1]Emissions!AD830</f>
        <v>5.3899026689999996</v>
      </c>
      <c r="AF388" s="6">
        <f>[1]Emissions!AE830</f>
        <v>4.9613295199999996</v>
      </c>
      <c r="AG388" s="6">
        <f>[1]Emissions!AF830</f>
        <v>4.5048428219999996</v>
      </c>
      <c r="AH388" s="6">
        <f>[1]Emissions!AG830</f>
        <v>4.0126793120000004</v>
      </c>
      <c r="AI388" s="6">
        <f>[1]Emissions!AH830</f>
        <v>3.4767695289999998</v>
      </c>
      <c r="AJ388" s="6">
        <f>[1]Emissions!AI830</f>
        <v>2.888256567</v>
      </c>
      <c r="AK388" s="6">
        <f>[1]Emissions!AJ830</f>
        <v>2.237022074</v>
      </c>
      <c r="AL388" s="6">
        <f>[1]Emissions!AK830</f>
        <v>1.5108841159999999</v>
      </c>
    </row>
    <row r="389" spans="1:38" x14ac:dyDescent="0.35">
      <c r="A389" t="s">
        <v>39</v>
      </c>
      <c r="B389" s="6" t="str">
        <f>[1]Emissions!A832</f>
        <v>ems_ci_co2_sfor_2</v>
      </c>
      <c r="C389" s="6">
        <f>[1]Emissions!B832</f>
        <v>0.53965023629999997</v>
      </c>
      <c r="D389" s="6">
        <f>[1]Emissions!C832</f>
        <v>0.53044265879999997</v>
      </c>
      <c r="E389" s="6">
        <f>[1]Emissions!D832</f>
        <v>0.5197009574</v>
      </c>
      <c r="F389" s="6">
        <f>[1]Emissions!E832</f>
        <v>0.50759111099999998</v>
      </c>
      <c r="G389" s="6">
        <f>[1]Emissions!F832</f>
        <v>0.49969876219999998</v>
      </c>
      <c r="H389" s="6">
        <f>[1]Emissions!G832</f>
        <v>0.49501827409999999</v>
      </c>
      <c r="I389" s="6">
        <f>[1]Emissions!H832</f>
        <v>0.4923326871</v>
      </c>
      <c r="J389" s="6">
        <f>[1]Emissions!I832</f>
        <v>0.46003178500000003</v>
      </c>
      <c r="K389" s="6">
        <f>[1]Emissions!J832</f>
        <v>0.42589400820000001</v>
      </c>
      <c r="L389" s="6">
        <f>[1]Emissions!K832</f>
        <v>0.39301448430000002</v>
      </c>
      <c r="M389" s="6">
        <f>[1]Emissions!L832</f>
        <v>0.36134336690000002</v>
      </c>
      <c r="N389" s="6">
        <f>[1]Emissions!M832</f>
        <v>0.33383036049999998</v>
      </c>
      <c r="O389" s="6">
        <f>[1]Emissions!N832</f>
        <v>0.30975977339999999</v>
      </c>
      <c r="P389" s="6">
        <f>[1]Emissions!O832</f>
        <v>0.28852252649999999</v>
      </c>
      <c r="Q389" s="6">
        <f>[1]Emissions!P832</f>
        <v>0.2698483545</v>
      </c>
      <c r="R389" s="6">
        <f>[1]Emissions!Q832</f>
        <v>0.25338842890000002</v>
      </c>
      <c r="S389" s="6">
        <f>[1]Emissions!R832</f>
        <v>0.23744544009999999</v>
      </c>
      <c r="T389" s="6">
        <f>[1]Emissions!S832</f>
        <v>0.22251779860000001</v>
      </c>
      <c r="U389" s="6">
        <f>[1]Emissions!T832</f>
        <v>0.20867055470000001</v>
      </c>
      <c r="V389" s="6">
        <f>[1]Emissions!U832</f>
        <v>0.19587423000000001</v>
      </c>
      <c r="W389" s="6">
        <f>[1]Emissions!V832</f>
        <v>0.1840220186</v>
      </c>
      <c r="X389" s="6">
        <f>[1]Emissions!W832</f>
        <v>0.1731405758</v>
      </c>
      <c r="Y389" s="6">
        <f>[1]Emissions!X832</f>
        <v>0.16314875619999999</v>
      </c>
      <c r="Z389" s="6">
        <f>[1]Emissions!Y832</f>
        <v>0.1539455907</v>
      </c>
      <c r="AA389" s="6">
        <f>[1]Emissions!Z832</f>
        <v>0.14542194559999999</v>
      </c>
      <c r="AB389" s="6">
        <f>[1]Emissions!AA832</f>
        <v>0.13735637040000001</v>
      </c>
      <c r="AC389" s="6">
        <f>[1]Emissions!AB832</f>
        <v>0.12986402359999999</v>
      </c>
      <c r="AD389" s="6">
        <f>[1]Emissions!AC832</f>
        <v>0.12278692870000001</v>
      </c>
      <c r="AE389" s="6">
        <f>[1]Emissions!AD832</f>
        <v>0.11599673200000001</v>
      </c>
      <c r="AF389" s="6">
        <f>[1]Emissions!AE832</f>
        <v>0.10934686759999999</v>
      </c>
      <c r="AG389" s="6">
        <f>[1]Emissions!AF832</f>
        <v>0.102686417</v>
      </c>
      <c r="AH389" s="6">
        <f>[1]Emissions!AG832</f>
        <v>9.5873179200000005E-2</v>
      </c>
      <c r="AI389" s="6">
        <f>[1]Emissions!AH832</f>
        <v>8.8763795100000001E-2</v>
      </c>
      <c r="AJ389" s="6">
        <f>[1]Emissions!AI832</f>
        <v>8.1193979099999994E-2</v>
      </c>
      <c r="AK389" s="6">
        <f>[1]Emissions!AJ832</f>
        <v>7.2962460399999998E-2</v>
      </c>
      <c r="AL389" s="6">
        <f>[1]Emissions!AK832</f>
        <v>6.3800413200000003E-2</v>
      </c>
    </row>
    <row r="390" spans="1:38" x14ac:dyDescent="0.35">
      <c r="B390" s="6" t="str">
        <f>[1]Emissions!A834</f>
        <v>ems_ci_co2_sfoo_2</v>
      </c>
      <c r="C390" s="6">
        <f>[1]Emissions!B834</f>
        <v>8.6183733500000006</v>
      </c>
      <c r="D390" s="6">
        <f>[1]Emissions!C834</f>
        <v>8.5640454179999992</v>
      </c>
      <c r="E390" s="6">
        <f>[1]Emissions!D834</f>
        <v>8.5042083480000006</v>
      </c>
      <c r="F390" s="6">
        <f>[1]Emissions!E834</f>
        <v>8.4237236909999993</v>
      </c>
      <c r="G390" s="6">
        <f>[1]Emissions!F834</f>
        <v>8.4083141959999992</v>
      </c>
      <c r="H390" s="6">
        <f>[1]Emissions!G834</f>
        <v>8.4438744089999993</v>
      </c>
      <c r="I390" s="6">
        <f>[1]Emissions!H834</f>
        <v>8.5225389299999996</v>
      </c>
      <c r="J390" s="6">
        <f>[1]Emissions!I834</f>
        <v>8.1257382549999999</v>
      </c>
      <c r="K390" s="6">
        <f>[1]Emissions!J834</f>
        <v>7.6988976530000004</v>
      </c>
      <c r="L390" s="6">
        <f>[1]Emissions!K834</f>
        <v>7.3047689279999997</v>
      </c>
      <c r="M390" s="6">
        <f>[1]Emissions!L834</f>
        <v>6.9432916459999996</v>
      </c>
      <c r="N390" s="6">
        <f>[1]Emissions!M834</f>
        <v>6.6514410939999999</v>
      </c>
      <c r="O390" s="6">
        <f>[1]Emissions!N834</f>
        <v>6.40694754</v>
      </c>
      <c r="P390" s="6">
        <f>[1]Emissions!O834</f>
        <v>6.1911001749999999</v>
      </c>
      <c r="Q390" s="6">
        <f>[1]Emissions!P834</f>
        <v>5.9952467389999997</v>
      </c>
      <c r="R390" s="6">
        <f>[1]Emissions!Q834</f>
        <v>5.813724391</v>
      </c>
      <c r="S390" s="6">
        <f>[1]Emissions!R834</f>
        <v>5.6258713519999999</v>
      </c>
      <c r="T390" s="6">
        <f>[1]Emissions!S834</f>
        <v>5.4362032429999996</v>
      </c>
      <c r="U390" s="6">
        <f>[1]Emissions!T834</f>
        <v>5.249196617</v>
      </c>
      <c r="V390" s="6">
        <f>[1]Emissions!U834</f>
        <v>5.0679026939999998</v>
      </c>
      <c r="W390" s="6">
        <f>[1]Emissions!V834</f>
        <v>4.8930773380000003</v>
      </c>
      <c r="X390" s="6">
        <f>[1]Emissions!W834</f>
        <v>4.7273514209999998</v>
      </c>
      <c r="Y390" s="6">
        <f>[1]Emissions!X834</f>
        <v>4.5711604919999997</v>
      </c>
      <c r="Z390" s="6">
        <f>[1]Emissions!Y834</f>
        <v>4.4240860279999996</v>
      </c>
      <c r="AA390" s="6">
        <f>[1]Emissions!Z834</f>
        <v>4.2850493180000004</v>
      </c>
      <c r="AB390" s="6">
        <f>[1]Emissions!AA834</f>
        <v>4.1499484549999996</v>
      </c>
      <c r="AC390" s="6">
        <f>[1]Emissions!AB834</f>
        <v>4.0190245090000003</v>
      </c>
      <c r="AD390" s="6">
        <f>[1]Emissions!AC834</f>
        <v>3.8917183180000001</v>
      </c>
      <c r="AE390" s="6">
        <f>[1]Emissions!AD834</f>
        <v>3.7658118819999999</v>
      </c>
      <c r="AF390" s="6">
        <f>[1]Emissions!AE834</f>
        <v>3.637867054</v>
      </c>
      <c r="AG390" s="6">
        <f>[1]Emissions!AF834</f>
        <v>3.5036885710000001</v>
      </c>
      <c r="AH390" s="6">
        <f>[1]Emissions!AG834</f>
        <v>3.3587346949999999</v>
      </c>
      <c r="AI390" s="6">
        <f>[1]Emissions!AH834</f>
        <v>3.1980081829999998</v>
      </c>
      <c r="AJ390" s="6">
        <f>[1]Emissions!AI834</f>
        <v>3.0156398059999998</v>
      </c>
      <c r="AK390" s="6">
        <f>[1]Emissions!AJ834</f>
        <v>2.8045494789999998</v>
      </c>
      <c r="AL390" s="6">
        <f>[1]Emissions!AK834</f>
        <v>2.555740031</v>
      </c>
    </row>
    <row r="391" spans="1:38" x14ac:dyDescent="0.35">
      <c r="B391" s="6" t="str">
        <f>[1]Emissions!A836</f>
        <v>ems_ci_co2_sveh_2</v>
      </c>
      <c r="C391" s="6">
        <f>[1]Emissions!B836</f>
        <v>1.1119214820000001</v>
      </c>
      <c r="D391" s="6">
        <f>[1]Emissions!C836</f>
        <v>1.0972393739999999</v>
      </c>
      <c r="E391" s="6">
        <f>[1]Emissions!D836</f>
        <v>1.073355287</v>
      </c>
      <c r="F391" s="6">
        <f>[1]Emissions!E836</f>
        <v>1.0388343870000001</v>
      </c>
      <c r="G391" s="6">
        <f>[1]Emissions!F836</f>
        <v>1.0119011099999999</v>
      </c>
      <c r="H391" s="6">
        <f>[1]Emissions!G836</f>
        <v>0.99367972689999995</v>
      </c>
      <c r="I391" s="6">
        <f>[1]Emissions!H836</f>
        <v>0.98538283459999998</v>
      </c>
      <c r="J391" s="6">
        <f>[1]Emissions!I836</f>
        <v>0.90154812910000004</v>
      </c>
      <c r="K391" s="6">
        <f>[1]Emissions!J836</f>
        <v>0.80917929580000003</v>
      </c>
      <c r="L391" s="6">
        <f>[1]Emissions!K836</f>
        <v>0.72507432689999995</v>
      </c>
      <c r="M391" s="6">
        <f>[1]Emissions!L836</f>
        <v>0.64579303789999998</v>
      </c>
      <c r="N391" s="6">
        <f>[1]Emissions!M836</f>
        <v>0.57833209659999996</v>
      </c>
      <c r="O391" s="6">
        <f>[1]Emissions!N836</f>
        <v>0.51979973980000005</v>
      </c>
      <c r="P391" s="6">
        <f>[1]Emissions!O836</f>
        <v>0.46788456579999999</v>
      </c>
      <c r="Q391" s="6">
        <f>[1]Emissions!P836</f>
        <v>0.42224759789999999</v>
      </c>
      <c r="R391" s="6">
        <f>[1]Emissions!Q836</f>
        <v>0.38228215589999998</v>
      </c>
      <c r="S391" s="6">
        <f>[1]Emissions!R836</f>
        <v>0.34478295060000003</v>
      </c>
      <c r="T391" s="6">
        <f>[1]Emissions!S836</f>
        <v>0.3105660294</v>
      </c>
      <c r="U391" s="6">
        <f>[1]Emissions!T836</f>
        <v>0.27989145770000001</v>
      </c>
      <c r="V391" s="6">
        <f>[1]Emissions!U836</f>
        <v>0.2528216331</v>
      </c>
      <c r="W391" s="6">
        <f>[1]Emissions!V836</f>
        <v>0.2293030918</v>
      </c>
      <c r="X391" s="6">
        <f>[1]Emissions!W836</f>
        <v>0.2091894936</v>
      </c>
      <c r="Y391" s="6">
        <f>[1]Emissions!X836</f>
        <v>0.19221352689999999</v>
      </c>
      <c r="Z391" s="6">
        <f>[1]Emissions!Y836</f>
        <v>0.1779891887</v>
      </c>
      <c r="AA391" s="6">
        <f>[1]Emissions!Z836</f>
        <v>0.1661235469</v>
      </c>
      <c r="AB391" s="6">
        <f>[1]Emissions!AA836</f>
        <v>0.15625166639999999</v>
      </c>
      <c r="AC391" s="6">
        <f>[1]Emissions!AB836</f>
        <v>0.14825339900000001</v>
      </c>
      <c r="AD391" s="6">
        <f>[1]Emissions!AC836</f>
        <v>0.1417781075</v>
      </c>
      <c r="AE391" s="6">
        <f>[1]Emissions!AD836</f>
        <v>0.13637289969999999</v>
      </c>
      <c r="AF391" s="6">
        <f>[1]Emissions!AE836</f>
        <v>0.1314619484</v>
      </c>
      <c r="AG391" s="6">
        <f>[1]Emissions!AF836</f>
        <v>0.12644502320000001</v>
      </c>
      <c r="AH391" s="6">
        <f>[1]Emissions!AG836</f>
        <v>0.1207510103</v>
      </c>
      <c r="AI391" s="6">
        <f>[1]Emissions!AH836</f>
        <v>0.11376345359999999</v>
      </c>
      <c r="AJ391" s="6">
        <f>[1]Emissions!AI836</f>
        <v>0.104697948</v>
      </c>
      <c r="AK391" s="6">
        <f>[1]Emissions!AJ836</f>
        <v>9.2555536800000004E-2</v>
      </c>
      <c r="AL391" s="6">
        <f>[1]Emissions!AK836</f>
        <v>7.6008816500000007E-2</v>
      </c>
    </row>
    <row r="392" spans="1:38" x14ac:dyDescent="0.35">
      <c r="B392" s="6" t="str">
        <f>[1]Emissions!A838</f>
        <v>ems_ci_co2_sgla_2</v>
      </c>
      <c r="C392" s="6">
        <f>[1]Emissions!B838</f>
        <v>7.7695963629999998</v>
      </c>
      <c r="D392" s="6">
        <f>[1]Emissions!C838</f>
        <v>7.8041702339999999</v>
      </c>
      <c r="E392" s="6">
        <f>[1]Emissions!D838</f>
        <v>7.8369769480000002</v>
      </c>
      <c r="F392" s="6">
        <f>[1]Emissions!E838</f>
        <v>7.8555806989999999</v>
      </c>
      <c r="G392" s="6">
        <f>[1]Emissions!F838</f>
        <v>7.9083378250000003</v>
      </c>
      <c r="H392" s="6">
        <f>[1]Emissions!G838</f>
        <v>7.9917844139999996</v>
      </c>
      <c r="I392" s="6">
        <f>[1]Emissions!H838</f>
        <v>8.1003171250000001</v>
      </c>
      <c r="J392" s="6">
        <f>[1]Emissions!I838</f>
        <v>7.9122876929999997</v>
      </c>
      <c r="K392" s="6">
        <f>[1]Emissions!J838</f>
        <v>7.6885352859999996</v>
      </c>
      <c r="L392" s="6">
        <f>[1]Emissions!K838</f>
        <v>7.4839440799999997</v>
      </c>
      <c r="M392" s="6">
        <f>[1]Emissions!L838</f>
        <v>7.294490089</v>
      </c>
      <c r="N392" s="6">
        <f>[1]Emissions!M838</f>
        <v>7.1459496470000001</v>
      </c>
      <c r="O392" s="6">
        <f>[1]Emissions!N838</f>
        <v>7.0270825779999999</v>
      </c>
      <c r="P392" s="6">
        <f>[1]Emissions!O838</f>
        <v>6.9264499239999999</v>
      </c>
      <c r="Q392" s="6">
        <f>[1]Emissions!P838</f>
        <v>6.8408462500000002</v>
      </c>
      <c r="R392" s="6">
        <f>[1]Emissions!Q838</f>
        <v>6.7681411699999998</v>
      </c>
      <c r="S392" s="6">
        <f>[1]Emissions!R838</f>
        <v>6.6955688169999998</v>
      </c>
      <c r="T392" s="6">
        <f>[1]Emissions!S838</f>
        <v>6.6233024059999996</v>
      </c>
      <c r="U392" s="6">
        <f>[1]Emissions!T838</f>
        <v>6.5546893739999996</v>
      </c>
      <c r="V392" s="6">
        <f>[1]Emissions!U838</f>
        <v>6.4924519570000001</v>
      </c>
      <c r="W392" s="6">
        <f>[1]Emissions!V838</f>
        <v>6.4375453079999998</v>
      </c>
      <c r="X392" s="6">
        <f>[1]Emissions!W838</f>
        <v>6.3927997080000001</v>
      </c>
      <c r="Y392" s="6">
        <f>[1]Emissions!X838</f>
        <v>6.3595393729999996</v>
      </c>
      <c r="Z392" s="6">
        <f>[1]Emissions!Y838</f>
        <v>6.3381463399999998</v>
      </c>
      <c r="AA392" s="6">
        <f>[1]Emissions!Z838</f>
        <v>6.3283381729999997</v>
      </c>
      <c r="AB392" s="6">
        <f>[1]Emissions!AA838</f>
        <v>6.3267629129999996</v>
      </c>
      <c r="AC392" s="6">
        <f>[1]Emissions!AB838</f>
        <v>6.3343881639999999</v>
      </c>
      <c r="AD392" s="6">
        <f>[1]Emissions!AC838</f>
        <v>6.3531479400000004</v>
      </c>
      <c r="AE392" s="6">
        <f>[1]Emissions!AD838</f>
        <v>6.3827596179999997</v>
      </c>
      <c r="AF392" s="6">
        <f>[1]Emissions!AE838</f>
        <v>6.421679149</v>
      </c>
      <c r="AG392" s="6">
        <f>[1]Emissions!AF838</f>
        <v>6.4680194889999996</v>
      </c>
      <c r="AH392" s="6">
        <f>[1]Emissions!AG838</f>
        <v>6.5205243719999997</v>
      </c>
      <c r="AI392" s="6">
        <f>[1]Emissions!AH838</f>
        <v>6.5786379449999997</v>
      </c>
      <c r="AJ392" s="6">
        <f>[1]Emissions!AI838</f>
        <v>6.642114286</v>
      </c>
      <c r="AK392" s="6">
        <f>[1]Emissions!AJ838</f>
        <v>6.711448216</v>
      </c>
      <c r="AL392" s="6">
        <f>[1]Emissions!AK838</f>
        <v>6.7883560579999997</v>
      </c>
    </row>
    <row r="393" spans="1:38" x14ac:dyDescent="0.35">
      <c r="B393" s="6" t="str">
        <f>[1]Emissions!A840</f>
        <v>ems_ci_co2_spap_2</v>
      </c>
      <c r="C393" s="6">
        <f>[1]Emissions!B840</f>
        <v>2.533610962</v>
      </c>
      <c r="D393" s="6">
        <f>[1]Emissions!C840</f>
        <v>2.5420970760000001</v>
      </c>
      <c r="E393" s="6">
        <f>[1]Emissions!D840</f>
        <v>2.5493387940000001</v>
      </c>
      <c r="F393" s="6">
        <f>[1]Emissions!E840</f>
        <v>2.5500985489999999</v>
      </c>
      <c r="G393" s="6">
        <f>[1]Emissions!F840</f>
        <v>2.5642887550000002</v>
      </c>
      <c r="H393" s="6">
        <f>[1]Emissions!G840</f>
        <v>2.5885817649999998</v>
      </c>
      <c r="I393" s="6">
        <f>[1]Emissions!H840</f>
        <v>2.6217561539999998</v>
      </c>
      <c r="J393" s="6">
        <f>[1]Emissions!I840</f>
        <v>2.5364473009999999</v>
      </c>
      <c r="K393" s="6">
        <f>[1]Emissions!J840</f>
        <v>2.4449506269999999</v>
      </c>
      <c r="L393" s="6">
        <f>[1]Emissions!K840</f>
        <v>2.370332232</v>
      </c>
      <c r="M393" s="6">
        <f>[1]Emissions!L840</f>
        <v>2.302240624</v>
      </c>
      <c r="N393" s="6">
        <f>[1]Emissions!M840</f>
        <v>2.2483065569999998</v>
      </c>
      <c r="O393" s="6">
        <f>[1]Emissions!N840</f>
        <v>2.2019922780000001</v>
      </c>
      <c r="P393" s="6">
        <f>[1]Emissions!O840</f>
        <v>2.1585343930000001</v>
      </c>
      <c r="Q393" s="6">
        <f>[1]Emissions!P840</f>
        <v>2.1181915870000001</v>
      </c>
      <c r="R393" s="6">
        <f>[1]Emissions!Q840</f>
        <v>2.081043491</v>
      </c>
      <c r="S393" s="6">
        <f>[1]Emissions!R840</f>
        <v>2.0409214279999999</v>
      </c>
      <c r="T393" s="6">
        <f>[1]Emissions!S840</f>
        <v>2.000648789</v>
      </c>
      <c r="U393" s="6">
        <f>[1]Emissions!T840</f>
        <v>1.961901136</v>
      </c>
      <c r="V393" s="6">
        <f>[1]Emissions!U840</f>
        <v>1.9255355510000001</v>
      </c>
      <c r="W393" s="6">
        <f>[1]Emissions!V840</f>
        <v>1.8917316749999999</v>
      </c>
      <c r="X393" s="6">
        <f>[1]Emissions!W840</f>
        <v>1.861171192</v>
      </c>
      <c r="Y393" s="6">
        <f>[1]Emissions!X840</f>
        <v>1.834029401</v>
      </c>
      <c r="Z393" s="6">
        <f>[1]Emissions!Y840</f>
        <v>1.8101651110000001</v>
      </c>
      <c r="AA393" s="6">
        <f>[1]Emissions!Z840</f>
        <v>1.7891472690000001</v>
      </c>
      <c r="AB393" s="6">
        <f>[1]Emissions!AA840</f>
        <v>1.769726956</v>
      </c>
      <c r="AC393" s="6">
        <f>[1]Emissions!AB840</f>
        <v>1.752343888</v>
      </c>
      <c r="AD393" s="6">
        <f>[1]Emissions!AC840</f>
        <v>1.736877633</v>
      </c>
      <c r="AE393" s="6">
        <f>[1]Emissions!AD840</f>
        <v>1.7227947020000001</v>
      </c>
      <c r="AF393" s="6">
        <f>[1]Emissions!AE840</f>
        <v>1.7089951839999999</v>
      </c>
      <c r="AG393" s="6">
        <f>[1]Emissions!AF840</f>
        <v>1.6941825020000001</v>
      </c>
      <c r="AH393" s="6">
        <f>[1]Emissions!AG840</f>
        <v>1.6772340960000001</v>
      </c>
      <c r="AI393" s="6">
        <f>[1]Emissions!AH840</f>
        <v>1.657185406</v>
      </c>
      <c r="AJ393" s="6">
        <f>[1]Emissions!AI840</f>
        <v>1.6330374480000001</v>
      </c>
      <c r="AK393" s="6">
        <f>[1]Emissions!AJ840</f>
        <v>1.603730943</v>
      </c>
      <c r="AL393" s="6">
        <f>[1]Emissions!AK840</f>
        <v>1.56810301</v>
      </c>
    </row>
    <row r="394" spans="1:38" x14ac:dyDescent="0.35">
      <c r="B394" s="6" t="str">
        <f>[1]Emissions!A842</f>
        <v>ems_ci_co2_sche_2</v>
      </c>
      <c r="C394" s="6">
        <f>[1]Emissions!B842</f>
        <v>13.59787135</v>
      </c>
      <c r="D394" s="6">
        <f>[1]Emissions!C842</f>
        <v>13.7968312</v>
      </c>
      <c r="E394" s="6">
        <f>[1]Emissions!D842</f>
        <v>14.00395033</v>
      </c>
      <c r="F394" s="6">
        <f>[1]Emissions!E842</f>
        <v>14.209287079999999</v>
      </c>
      <c r="G394" s="6">
        <f>[1]Emissions!F842</f>
        <v>14.430439700000001</v>
      </c>
      <c r="H394" s="6">
        <f>[1]Emissions!G842</f>
        <v>14.667756539999999</v>
      </c>
      <c r="I394" s="6">
        <f>[1]Emissions!H842</f>
        <v>14.91731878</v>
      </c>
      <c r="J394" s="6">
        <f>[1]Emissions!I842</f>
        <v>14.83553895</v>
      </c>
      <c r="K394" s="6">
        <f>[1]Emissions!J842</f>
        <v>14.73041439</v>
      </c>
      <c r="L394" s="6">
        <f>[1]Emissions!K842</f>
        <v>14.72509065</v>
      </c>
      <c r="M394" s="6">
        <f>[1]Emissions!L842</f>
        <v>14.721477869999999</v>
      </c>
      <c r="N394" s="6">
        <f>[1]Emissions!M842</f>
        <v>14.7091525</v>
      </c>
      <c r="O394" s="6">
        <f>[1]Emissions!N842</f>
        <v>14.67283978</v>
      </c>
      <c r="P394" s="6">
        <f>[1]Emissions!O842</f>
        <v>14.601793280000001</v>
      </c>
      <c r="Q394" s="6">
        <f>[1]Emissions!P842</f>
        <v>14.51813978</v>
      </c>
      <c r="R394" s="6">
        <f>[1]Emissions!Q842</f>
        <v>14.435484369999999</v>
      </c>
      <c r="S394" s="6">
        <f>[1]Emissions!R842</f>
        <v>14.36187893</v>
      </c>
      <c r="T394" s="6">
        <f>[1]Emissions!S842</f>
        <v>14.300248910000001</v>
      </c>
      <c r="U394" s="6">
        <f>[1]Emissions!T842</f>
        <v>14.25630307</v>
      </c>
      <c r="V394" s="6">
        <f>[1]Emissions!U842</f>
        <v>14.232211830000001</v>
      </c>
      <c r="W394" s="6">
        <f>[1]Emissions!V842</f>
        <v>14.22777537</v>
      </c>
      <c r="X394" s="6">
        <f>[1]Emissions!W842</f>
        <v>14.246744489999999</v>
      </c>
      <c r="Y394" s="6">
        <f>[1]Emissions!X842</f>
        <v>14.29098125</v>
      </c>
      <c r="Z394" s="6">
        <f>[1]Emissions!Y842</f>
        <v>14.36010415</v>
      </c>
      <c r="AA394" s="6">
        <f>[1]Emissions!Z842</f>
        <v>14.451283330000001</v>
      </c>
      <c r="AB394" s="6">
        <f>[1]Emissions!AA842</f>
        <v>14.55742994</v>
      </c>
      <c r="AC394" s="6">
        <f>[1]Emissions!AB842</f>
        <v>14.68144932</v>
      </c>
      <c r="AD394" s="6">
        <f>[1]Emissions!AC842</f>
        <v>14.82783777</v>
      </c>
      <c r="AE394" s="6">
        <f>[1]Emissions!AD842</f>
        <v>14.994724959999999</v>
      </c>
      <c r="AF394" s="6">
        <f>[1]Emissions!AE842</f>
        <v>15.173731500000001</v>
      </c>
      <c r="AG394" s="6">
        <f>[1]Emissions!AF842</f>
        <v>15.354708499999999</v>
      </c>
      <c r="AH394" s="6">
        <f>[1]Emissions!AG842</f>
        <v>15.530471179999999</v>
      </c>
      <c r="AI394" s="6">
        <f>[1]Emissions!AH842</f>
        <v>15.696521369999999</v>
      </c>
      <c r="AJ394" s="6">
        <f>[1]Emissions!AI842</f>
        <v>15.848369030000001</v>
      </c>
      <c r="AK394" s="6">
        <f>[1]Emissions!AJ842</f>
        <v>15.98168134</v>
      </c>
      <c r="AL394" s="6">
        <f>[1]Emissions!AK842</f>
        <v>16.09247697</v>
      </c>
    </row>
    <row r="395" spans="1:38" x14ac:dyDescent="0.35">
      <c r="B395" s="6" t="str">
        <f>[1]Emissions!A844</f>
        <v>ems_ci_co2_spla_2</v>
      </c>
      <c r="C395" s="6">
        <f>[1]Emissions!B844</f>
        <v>1.4824302970000001</v>
      </c>
      <c r="D395" s="6">
        <f>[1]Emissions!C844</f>
        <v>1.4772242259999999</v>
      </c>
      <c r="E395" s="6">
        <f>[1]Emissions!D844</f>
        <v>1.469830312</v>
      </c>
      <c r="F395" s="6">
        <f>[1]Emissions!E844</f>
        <v>1.456122589</v>
      </c>
      <c r="G395" s="6">
        <f>[1]Emissions!F844</f>
        <v>1.4533507919999999</v>
      </c>
      <c r="H395" s="6">
        <f>[1]Emissions!G844</f>
        <v>1.459400375</v>
      </c>
      <c r="I395" s="6">
        <f>[1]Emissions!H844</f>
        <v>1.4726699080000001</v>
      </c>
      <c r="J395" s="6">
        <f>[1]Emissions!I844</f>
        <v>1.385907437</v>
      </c>
      <c r="K395" s="6">
        <f>[1]Emissions!J844</f>
        <v>1.296295551</v>
      </c>
      <c r="L395" s="6">
        <f>[1]Emissions!K844</f>
        <v>1.219850959</v>
      </c>
      <c r="M395" s="6">
        <f>[1]Emissions!L844</f>
        <v>1.1497502900000001</v>
      </c>
      <c r="N395" s="6">
        <f>[1]Emissions!M844</f>
        <v>1.0906391310000001</v>
      </c>
      <c r="O395" s="6">
        <f>[1]Emissions!N844</f>
        <v>1.0383919859999999</v>
      </c>
      <c r="P395" s="6">
        <f>[1]Emissions!O844</f>
        <v>0.98995516210000001</v>
      </c>
      <c r="Q395" s="6">
        <f>[1]Emissions!P844</f>
        <v>0.94516227620000004</v>
      </c>
      <c r="R395" s="6">
        <f>[1]Emissions!Q844</f>
        <v>0.90369303420000002</v>
      </c>
      <c r="S395" s="6">
        <f>[1]Emissions!R844</f>
        <v>0.8621464727</v>
      </c>
      <c r="T395" s="6">
        <f>[1]Emissions!S844</f>
        <v>0.82154417390000001</v>
      </c>
      <c r="U395" s="6">
        <f>[1]Emissions!T844</f>
        <v>0.78247843149999996</v>
      </c>
      <c r="V395" s="6">
        <f>[1]Emissions!U844</f>
        <v>0.74517062850000004</v>
      </c>
      <c r="W395" s="6">
        <f>[1]Emissions!V844</f>
        <v>0.70960565740000003</v>
      </c>
      <c r="X395" s="6">
        <f>[1]Emissions!W844</f>
        <v>0.67580389730000001</v>
      </c>
      <c r="Y395" s="6">
        <f>[1]Emissions!X844</f>
        <v>0.64363633239999996</v>
      </c>
      <c r="Z395" s="6">
        <f>[1]Emissions!Y844</f>
        <v>0.61279410820000002</v>
      </c>
      <c r="AA395" s="6">
        <f>[1]Emissions!Z844</f>
        <v>0.58284249899999996</v>
      </c>
      <c r="AB395" s="6">
        <f>[1]Emissions!AA844</f>
        <v>0.55318510939999999</v>
      </c>
      <c r="AC395" s="6">
        <f>[1]Emissions!AB844</f>
        <v>0.52357542560000003</v>
      </c>
      <c r="AD395" s="6">
        <f>[1]Emissions!AC844</f>
        <v>0.49364064410000003</v>
      </c>
      <c r="AE395" s="6">
        <f>[1]Emissions!AD844</f>
        <v>0.46278055229999998</v>
      </c>
      <c r="AF395" s="6">
        <f>[1]Emissions!AE844</f>
        <v>0.43018134549999998</v>
      </c>
      <c r="AG395" s="6">
        <f>[1]Emissions!AF844</f>
        <v>0.3949869594</v>
      </c>
      <c r="AH395" s="6">
        <f>[1]Emissions!AG844</f>
        <v>0.35640108700000001</v>
      </c>
      <c r="AI395" s="6">
        <f>[1]Emissions!AH844</f>
        <v>0.31362103460000001</v>
      </c>
      <c r="AJ395" s="6">
        <f>[1]Emissions!AI844</f>
        <v>0.26571739389999999</v>
      </c>
      <c r="AK395" s="6">
        <f>[1]Emissions!AJ844</f>
        <v>0.21154715269999999</v>
      </c>
      <c r="AL395" s="6">
        <f>[1]Emissions!AK844</f>
        <v>0.1495835002</v>
      </c>
    </row>
    <row r="396" spans="1:38" x14ac:dyDescent="0.35">
      <c r="B396" s="6" t="str">
        <f>[1]Emissions!A846</f>
        <v>ems_ci_co2_smet_2</v>
      </c>
      <c r="C396" s="6">
        <f>[1]Emissions!B846</f>
        <v>19.467183080000002</v>
      </c>
      <c r="D396" s="6">
        <f>[1]Emissions!C846</f>
        <v>19.469516500000001</v>
      </c>
      <c r="E396" s="6">
        <f>[1]Emissions!D846</f>
        <v>19.45654906</v>
      </c>
      <c r="F396" s="6">
        <f>[1]Emissions!E846</f>
        <v>19.363420489999999</v>
      </c>
      <c r="G396" s="6">
        <f>[1]Emissions!F846</f>
        <v>19.401941709999999</v>
      </c>
      <c r="H396" s="6">
        <f>[1]Emissions!G846</f>
        <v>19.541721160000002</v>
      </c>
      <c r="I396" s="6">
        <f>[1]Emissions!H846</f>
        <v>19.749482480000001</v>
      </c>
      <c r="J396" s="6">
        <f>[1]Emissions!I846</f>
        <v>19.065061440000001</v>
      </c>
      <c r="K396" s="6">
        <f>[1]Emissions!J846</f>
        <v>18.289874990000001</v>
      </c>
      <c r="L396" s="6">
        <f>[1]Emissions!K846</f>
        <v>17.648842670000001</v>
      </c>
      <c r="M396" s="6">
        <f>[1]Emissions!L846</f>
        <v>17.064566939999999</v>
      </c>
      <c r="N396" s="6">
        <f>[1]Emissions!M846</f>
        <v>16.631335709999998</v>
      </c>
      <c r="O396" s="6">
        <f>[1]Emissions!N846</f>
        <v>16.286954860000002</v>
      </c>
      <c r="P396" s="6">
        <f>[1]Emissions!O846</f>
        <v>15.987323050000001</v>
      </c>
      <c r="Q396" s="6">
        <f>[1]Emissions!P846</f>
        <v>15.732629940000001</v>
      </c>
      <c r="R396" s="6">
        <f>[1]Emissions!Q846</f>
        <v>15.52252315</v>
      </c>
      <c r="S396" s="6">
        <f>[1]Emissions!R846</f>
        <v>15.30312994</v>
      </c>
      <c r="T396" s="6">
        <f>[1]Emissions!S846</f>
        <v>15.093944159999999</v>
      </c>
      <c r="U396" s="6">
        <f>[1]Emissions!T846</f>
        <v>14.908651020000001</v>
      </c>
      <c r="V396" s="6">
        <f>[1]Emissions!U846</f>
        <v>14.753597879999999</v>
      </c>
      <c r="W396" s="6">
        <f>[1]Emissions!V846</f>
        <v>14.63092136</v>
      </c>
      <c r="X396" s="6">
        <f>[1]Emissions!W846</f>
        <v>14.54424987</v>
      </c>
      <c r="Y396" s="6">
        <f>[1]Emissions!X846</f>
        <v>14.49579437</v>
      </c>
      <c r="Z396" s="6">
        <f>[1]Emissions!Y846</f>
        <v>14.485106</v>
      </c>
      <c r="AA396" s="6">
        <f>[1]Emissions!Z846</f>
        <v>14.50952961</v>
      </c>
      <c r="AB396" s="6">
        <f>[1]Emissions!AA846</f>
        <v>14.56302062</v>
      </c>
      <c r="AC396" s="6">
        <f>[1]Emissions!AB846</f>
        <v>14.647092560000001</v>
      </c>
      <c r="AD396" s="6">
        <f>[1]Emissions!AC846</f>
        <v>14.76530612</v>
      </c>
      <c r="AE396" s="6">
        <f>[1]Emissions!AD846</f>
        <v>14.9157587</v>
      </c>
      <c r="AF396" s="6">
        <f>[1]Emissions!AE846</f>
        <v>15.09141397</v>
      </c>
      <c r="AG396" s="6">
        <f>[1]Emissions!AF846</f>
        <v>15.28407754</v>
      </c>
      <c r="AH396" s="6">
        <f>[1]Emissions!AG846</f>
        <v>15.488438739999999</v>
      </c>
      <c r="AI396" s="6">
        <f>[1]Emissions!AH846</f>
        <v>15.70190229</v>
      </c>
      <c r="AJ396" s="6">
        <f>[1]Emissions!AI846</f>
        <v>15.922468840000001</v>
      </c>
      <c r="AK396" s="6">
        <f>[1]Emissions!AJ846</f>
        <v>16.149281599999998</v>
      </c>
      <c r="AL396" s="6">
        <f>[1]Emissions!AK846</f>
        <v>16.383259349999999</v>
      </c>
    </row>
    <row r="397" spans="1:38" x14ac:dyDescent="0.35">
      <c r="B397" s="6" t="str">
        <f>[1]Emissions!A848</f>
        <v>ems_ci_co2_sigo_2</v>
      </c>
      <c r="C397" s="6">
        <f>[1]Emissions!B848</f>
        <v>1.216511809</v>
      </c>
      <c r="D397" s="6">
        <f>[1]Emissions!C848</f>
        <v>1.2243790939999999</v>
      </c>
      <c r="E397" s="6">
        <f>[1]Emissions!D848</f>
        <v>1.2290529189999999</v>
      </c>
      <c r="F397" s="6">
        <f>[1]Emissions!E848</f>
        <v>1.2282209340000001</v>
      </c>
      <c r="G397" s="6">
        <f>[1]Emissions!F848</f>
        <v>1.2327343770000001</v>
      </c>
      <c r="H397" s="6">
        <f>[1]Emissions!G848</f>
        <v>1.242035376</v>
      </c>
      <c r="I397" s="6">
        <f>[1]Emissions!H848</f>
        <v>1.256172042</v>
      </c>
      <c r="J397" s="6">
        <f>[1]Emissions!I848</f>
        <v>1.1935368129999999</v>
      </c>
      <c r="K397" s="6">
        <f>[1]Emissions!J848</f>
        <v>1.1280397579999999</v>
      </c>
      <c r="L397" s="6">
        <f>[1]Emissions!K848</f>
        <v>1.0742222459999999</v>
      </c>
      <c r="M397" s="6">
        <f>[1]Emissions!L848</f>
        <v>1.0230526259999999</v>
      </c>
      <c r="N397" s="6">
        <f>[1]Emissions!M848</f>
        <v>0.97883596640000003</v>
      </c>
      <c r="O397" s="6">
        <f>[1]Emissions!N848</f>
        <v>0.93765619379999998</v>
      </c>
      <c r="P397" s="6">
        <f>[1]Emissions!O848</f>
        <v>0.89721583130000004</v>
      </c>
      <c r="Q397" s="6">
        <f>[1]Emissions!P848</f>
        <v>0.85847121459999998</v>
      </c>
      <c r="R397" s="6">
        <f>[1]Emissions!Q848</f>
        <v>0.82179807100000002</v>
      </c>
      <c r="S397" s="6">
        <f>[1]Emissions!R848</f>
        <v>0.78467744510000004</v>
      </c>
      <c r="T397" s="6">
        <f>[1]Emissions!S848</f>
        <v>0.74860145379999998</v>
      </c>
      <c r="U397" s="6">
        <f>[1]Emissions!T848</f>
        <v>0.71425726499999997</v>
      </c>
      <c r="V397" s="6">
        <f>[1]Emissions!U848</f>
        <v>0.6818528425</v>
      </c>
      <c r="W397" s="6">
        <f>[1]Emissions!V848</f>
        <v>0.6514388646</v>
      </c>
      <c r="X397" s="6">
        <f>[1]Emissions!W848</f>
        <v>0.62302822889999998</v>
      </c>
      <c r="Y397" s="6">
        <f>[1]Emissions!X848</f>
        <v>0.59656269920000005</v>
      </c>
      <c r="Z397" s="6">
        <f>[1]Emissions!Y848</f>
        <v>0.5717256355</v>
      </c>
      <c r="AA397" s="6">
        <f>[1]Emissions!Z848</f>
        <v>0.54805442859999998</v>
      </c>
      <c r="AB397" s="6">
        <f>[1]Emissions!AA848</f>
        <v>0.52506498440000005</v>
      </c>
      <c r="AC397" s="6">
        <f>[1]Emissions!AB848</f>
        <v>0.5024134978</v>
      </c>
      <c r="AD397" s="6">
        <f>[1]Emissions!AC848</f>
        <v>0.48000748139999999</v>
      </c>
      <c r="AE397" s="6">
        <f>[1]Emissions!AD848</f>
        <v>0.45718332179999999</v>
      </c>
      <c r="AF397" s="6">
        <f>[1]Emissions!AE848</f>
        <v>0.43294347059999999</v>
      </c>
      <c r="AG397" s="6">
        <f>[1]Emissions!AF848</f>
        <v>0.4062396325</v>
      </c>
      <c r="AH397" s="6">
        <f>[1]Emissions!AG848</f>
        <v>0.37614987830000002</v>
      </c>
      <c r="AI397" s="6">
        <f>[1]Emissions!AH848</f>
        <v>0.34175874880000001</v>
      </c>
      <c r="AJ397" s="6">
        <f>[1]Emissions!AI848</f>
        <v>0.30195237660000002</v>
      </c>
      <c r="AK397" s="6">
        <f>[1]Emissions!AJ848</f>
        <v>0.25538810779999999</v>
      </c>
      <c r="AL397" s="6">
        <f>[1]Emissions!AK848</f>
        <v>0.2003970772</v>
      </c>
    </row>
    <row r="398" spans="1:38" x14ac:dyDescent="0.35">
      <c r="B398" s="6" t="str">
        <f>[1]Emissions!A850</f>
        <v>ems_ci_co2_scgo_2</v>
      </c>
      <c r="C398" s="6">
        <f>[1]Emissions!B850</f>
        <v>2.2734885010000001</v>
      </c>
      <c r="D398" s="6">
        <f>[1]Emissions!C850</f>
        <v>2.2757720840000002</v>
      </c>
      <c r="E398" s="6">
        <f>[1]Emissions!D850</f>
        <v>2.27582672</v>
      </c>
      <c r="F398" s="6">
        <f>[1]Emissions!E850</f>
        <v>2.2699336309999998</v>
      </c>
      <c r="G398" s="6">
        <f>[1]Emissions!F850</f>
        <v>2.2759608309999999</v>
      </c>
      <c r="H398" s="6">
        <f>[1]Emissions!G850</f>
        <v>2.2923219750000001</v>
      </c>
      <c r="I398" s="6">
        <f>[1]Emissions!H850</f>
        <v>2.317292927</v>
      </c>
      <c r="J398" s="6">
        <f>[1]Emissions!I850</f>
        <v>2.226878879</v>
      </c>
      <c r="K398" s="6">
        <f>[1]Emissions!J850</f>
        <v>2.125320592</v>
      </c>
      <c r="L398" s="6">
        <f>[1]Emissions!K850</f>
        <v>2.0338469259999998</v>
      </c>
      <c r="M398" s="6">
        <f>[1]Emissions!L850</f>
        <v>1.9475582760000001</v>
      </c>
      <c r="N398" s="6">
        <f>[1]Emissions!M850</f>
        <v>1.87541508</v>
      </c>
      <c r="O398" s="6">
        <f>[1]Emissions!N850</f>
        <v>1.8123982380000001</v>
      </c>
      <c r="P398" s="6">
        <f>[1]Emissions!O850</f>
        <v>1.754324716</v>
      </c>
      <c r="Q398" s="6">
        <f>[1]Emissions!P850</f>
        <v>1.7007300409999999</v>
      </c>
      <c r="R398" s="6">
        <f>[1]Emissions!Q850</f>
        <v>1.651284443</v>
      </c>
      <c r="S398" s="6">
        <f>[1]Emissions!R850</f>
        <v>1.6000526310000001</v>
      </c>
      <c r="T398" s="6">
        <f>[1]Emissions!S850</f>
        <v>1.549349506</v>
      </c>
      <c r="U398" s="6">
        <f>[1]Emissions!T850</f>
        <v>1.5005843219999999</v>
      </c>
      <c r="V398" s="6">
        <f>[1]Emissions!U850</f>
        <v>1.4545776399999999</v>
      </c>
      <c r="W398" s="6">
        <f>[1]Emissions!V850</f>
        <v>1.4116118520000001</v>
      </c>
      <c r="X398" s="6">
        <f>[1]Emissions!W850</f>
        <v>1.372311864</v>
      </c>
      <c r="Y398" s="6">
        <f>[1]Emissions!X850</f>
        <v>1.33682787</v>
      </c>
      <c r="Z398" s="6">
        <f>[1]Emissions!Y850</f>
        <v>1.305033297</v>
      </c>
      <c r="AA398" s="6">
        <f>[1]Emissions!Z850</f>
        <v>1.276608851</v>
      </c>
      <c r="AB398" s="6">
        <f>[1]Emissions!AA850</f>
        <v>1.250623281</v>
      </c>
      <c r="AC398" s="6">
        <f>[1]Emissions!AB850</f>
        <v>1.227600402</v>
      </c>
      <c r="AD398" s="6">
        <f>[1]Emissions!AC850</f>
        <v>1.2071368849999999</v>
      </c>
      <c r="AE398" s="6">
        <f>[1]Emissions!AD850</f>
        <v>1.1886129809999999</v>
      </c>
      <c r="AF398" s="6">
        <f>[1]Emissions!AE850</f>
        <v>1.171018584</v>
      </c>
      <c r="AG398" s="6">
        <f>[1]Emissions!AF850</f>
        <v>1.1532067239999999</v>
      </c>
      <c r="AH398" s="6">
        <f>[1]Emissions!AG850</f>
        <v>1.1341446340000001</v>
      </c>
      <c r="AI398" s="6">
        <f>[1]Emissions!AH850</f>
        <v>1.112878255</v>
      </c>
      <c r="AJ398" s="6">
        <f>[1]Emissions!AI850</f>
        <v>1.0883657769999999</v>
      </c>
      <c r="AK398" s="6">
        <f>[1]Emissions!AJ850</f>
        <v>1.059478433</v>
      </c>
      <c r="AL398" s="6">
        <f>[1]Emissions!AK850</f>
        <v>1.0249526630000001</v>
      </c>
    </row>
    <row r="399" spans="1:38" x14ac:dyDescent="0.35">
      <c r="B399" s="6" t="str">
        <f>[1]Emissions!A852</f>
        <v>ems_ci_co2_scon_2</v>
      </c>
      <c r="C399" s="6">
        <f>[1]Emissions!B852</f>
        <v>7.427060129</v>
      </c>
      <c r="D399" s="6">
        <f>[1]Emissions!C852</f>
        <v>7.079006798</v>
      </c>
      <c r="E399" s="6">
        <f>[1]Emissions!D852</f>
        <v>6.6877687549999996</v>
      </c>
      <c r="F399" s="6">
        <f>[1]Emissions!E852</f>
        <v>6.2285106079999997</v>
      </c>
      <c r="G399" s="6">
        <f>[1]Emissions!F852</f>
        <v>5.9320445060000004</v>
      </c>
      <c r="H399" s="6">
        <f>[1]Emissions!G852</f>
        <v>5.7696294479999999</v>
      </c>
      <c r="I399" s="6">
        <f>[1]Emissions!H852</f>
        <v>5.7000984600000004</v>
      </c>
      <c r="J399" s="6">
        <f>[1]Emissions!I852</f>
        <v>4.9332416549999998</v>
      </c>
      <c r="K399" s="6">
        <f>[1]Emissions!J852</f>
        <v>4.1479383460000001</v>
      </c>
      <c r="L399" s="6">
        <f>[1]Emissions!K852</f>
        <v>3.4662780020000001</v>
      </c>
      <c r="M399" s="6">
        <f>[1]Emissions!L852</f>
        <v>2.910158413</v>
      </c>
      <c r="N399" s="6">
        <f>[1]Emissions!M852</f>
        <v>2.5188632590000002</v>
      </c>
      <c r="O399" s="6">
        <f>[1]Emissions!N852</f>
        <v>2.2365670789999998</v>
      </c>
      <c r="P399" s="6">
        <f>[1]Emissions!O852</f>
        <v>2.0238875470000002</v>
      </c>
      <c r="Q399" s="6">
        <f>[1]Emissions!P852</f>
        <v>1.857379903</v>
      </c>
      <c r="R399" s="6">
        <f>[1]Emissions!Q852</f>
        <v>1.722877821</v>
      </c>
      <c r="S399" s="6">
        <f>[1]Emissions!R852</f>
        <v>1.5961176020000001</v>
      </c>
      <c r="T399" s="6">
        <f>[1]Emissions!S852</f>
        <v>1.4786008020000001</v>
      </c>
      <c r="U399" s="6">
        <f>[1]Emissions!T852</f>
        <v>1.3722665169999999</v>
      </c>
      <c r="V399" s="6">
        <f>[1]Emissions!U852</f>
        <v>1.278097587</v>
      </c>
      <c r="W399" s="6">
        <f>[1]Emissions!V852</f>
        <v>1.196135921</v>
      </c>
      <c r="X399" s="6">
        <f>[1]Emissions!W852</f>
        <v>1.1263546250000001</v>
      </c>
      <c r="Y399" s="6">
        <f>[1]Emissions!X852</f>
        <v>1.068126927</v>
      </c>
      <c r="Z399" s="6">
        <f>[1]Emissions!Y852</f>
        <v>1.020497582</v>
      </c>
      <c r="AA399" s="6">
        <f>[1]Emissions!Z852</f>
        <v>0.98255114269999999</v>
      </c>
      <c r="AB399" s="6">
        <f>[1]Emissions!AA852</f>
        <v>0.95301095130000002</v>
      </c>
      <c r="AC399" s="6">
        <f>[1]Emissions!AB852</f>
        <v>0.93158846110000004</v>
      </c>
      <c r="AD399" s="6">
        <f>[1]Emissions!AC852</f>
        <v>0.91758446859999998</v>
      </c>
      <c r="AE399" s="6">
        <f>[1]Emissions!AD852</f>
        <v>0.90951075339999998</v>
      </c>
      <c r="AF399" s="6">
        <f>[1]Emissions!AE852</f>
        <v>0.90520658359999995</v>
      </c>
      <c r="AG399" s="6">
        <f>[1]Emissions!AF852</f>
        <v>0.90183067989999999</v>
      </c>
      <c r="AH399" s="6">
        <f>[1]Emissions!AG852</f>
        <v>0.89556376510000002</v>
      </c>
      <c r="AI399" s="6">
        <f>[1]Emissions!AH852</f>
        <v>0.88059846909999995</v>
      </c>
      <c r="AJ399" s="6">
        <f>[1]Emissions!AI852</f>
        <v>0.84722729669999997</v>
      </c>
      <c r="AK399" s="6">
        <f>[1]Emissions!AJ852</f>
        <v>0.77870015640000001</v>
      </c>
      <c r="AL399" s="6">
        <f>[1]Emissions!AK852</f>
        <v>0.64429227710000003</v>
      </c>
    </row>
    <row r="400" spans="1:38" x14ac:dyDescent="0.35">
      <c r="B400" s="6" t="str">
        <f>[1]Emissions!A854</f>
        <v>ems_ci_co2_srai_2</v>
      </c>
      <c r="C400" s="6">
        <f>[1]Emissions!B854</f>
        <v>1.7345464589999999</v>
      </c>
      <c r="D400" s="6">
        <f>[1]Emissions!C854</f>
        <v>1.7543117399999999</v>
      </c>
      <c r="E400" s="6">
        <f>[1]Emissions!D854</f>
        <v>1.7749610060000001</v>
      </c>
      <c r="F400" s="6">
        <f>[1]Emissions!E854</f>
        <v>1.79611159</v>
      </c>
      <c r="G400" s="6">
        <f>[1]Emissions!F854</f>
        <v>1.8194784610000001</v>
      </c>
      <c r="H400" s="6">
        <f>[1]Emissions!G854</f>
        <v>1.8449109400000001</v>
      </c>
      <c r="I400" s="6">
        <f>[1]Emissions!H854</f>
        <v>1.8713534890000001</v>
      </c>
      <c r="J400" s="6">
        <f>[1]Emissions!I854</f>
        <v>1.8247849110000001</v>
      </c>
      <c r="K400" s="6">
        <f>[1]Emissions!J854</f>
        <v>1.7744793459999999</v>
      </c>
      <c r="L400" s="6">
        <f>[1]Emissions!K854</f>
        <v>1.7286614149999999</v>
      </c>
      <c r="M400" s="6">
        <f>[1]Emissions!L854</f>
        <v>1.6833876480000001</v>
      </c>
      <c r="N400" s="6">
        <f>[1]Emissions!M854</f>
        <v>1.638023376</v>
      </c>
      <c r="O400" s="6">
        <f>[1]Emissions!N854</f>
        <v>1.5916040739999999</v>
      </c>
      <c r="P400" s="6">
        <f>[1]Emissions!O854</f>
        <v>1.5431342770000001</v>
      </c>
      <c r="Q400" s="6">
        <f>[1]Emissions!P854</f>
        <v>1.4933154289999999</v>
      </c>
      <c r="R400" s="6">
        <f>[1]Emissions!Q854</f>
        <v>1.442654275</v>
      </c>
      <c r="S400" s="6">
        <f>[1]Emissions!R854</f>
        <v>1.3908602619999999</v>
      </c>
      <c r="T400" s="6">
        <f>[1]Emissions!S854</f>
        <v>1.3384238479999999</v>
      </c>
      <c r="U400" s="6">
        <f>[1]Emissions!T854</f>
        <v>1.2857112879999999</v>
      </c>
      <c r="V400" s="6">
        <f>[1]Emissions!U854</f>
        <v>1.232849675</v>
      </c>
      <c r="W400" s="6">
        <f>[1]Emissions!V854</f>
        <v>1.1795724030000001</v>
      </c>
      <c r="X400" s="6">
        <f>[1]Emissions!W854</f>
        <v>1.126247048</v>
      </c>
      <c r="Y400" s="6">
        <f>[1]Emissions!X854</f>
        <v>1.0727155779999999</v>
      </c>
      <c r="Z400" s="6">
        <f>[1]Emissions!Y854</f>
        <v>1.018755802</v>
      </c>
      <c r="AA400" s="6">
        <f>[1]Emissions!Z854</f>
        <v>0.96403515799999995</v>
      </c>
      <c r="AB400" s="6">
        <f>[1]Emissions!AA854</f>
        <v>0.90760670369999996</v>
      </c>
      <c r="AC400" s="6">
        <f>[1]Emissions!AB854</f>
        <v>0.84977618659999998</v>
      </c>
      <c r="AD400" s="6">
        <f>[1]Emissions!AC854</f>
        <v>0.79019288480000005</v>
      </c>
      <c r="AE400" s="6">
        <f>[1]Emissions!AD854</f>
        <v>0.72841986859999996</v>
      </c>
      <c r="AF400" s="6">
        <f>[1]Emissions!AE854</f>
        <v>0.66386001640000003</v>
      </c>
      <c r="AG400" s="6">
        <f>[1]Emissions!AF854</f>
        <v>0.59586910530000003</v>
      </c>
      <c r="AH400" s="6">
        <f>[1]Emissions!AG854</f>
        <v>0.52385572930000002</v>
      </c>
      <c r="AI400" s="6">
        <f>[1]Emissions!AH854</f>
        <v>0.44728260710000001</v>
      </c>
      <c r="AJ400" s="6">
        <f>[1]Emissions!AI854</f>
        <v>0.3656289163</v>
      </c>
      <c r="AK400" s="6">
        <f>[1]Emissions!AJ854</f>
        <v>0.27836215139999998</v>
      </c>
      <c r="AL400" s="6">
        <f>[1]Emissions!AK854</f>
        <v>0.1849015011</v>
      </c>
    </row>
    <row r="401" spans="2:38" x14ac:dyDescent="0.35">
      <c r="B401" s="6" t="str">
        <f>[1]Emissions!A856</f>
        <v>ems_ci_co2_sroa_2</v>
      </c>
      <c r="C401" s="6">
        <f>[1]Emissions!B856</f>
        <v>17.318265199999999</v>
      </c>
      <c r="D401" s="6">
        <f>[1]Emissions!C856</f>
        <v>17.51881727</v>
      </c>
      <c r="E401" s="6">
        <f>[1]Emissions!D856</f>
        <v>17.72938508</v>
      </c>
      <c r="F401" s="6">
        <f>[1]Emissions!E856</f>
        <v>17.945910120000001</v>
      </c>
      <c r="G401" s="6">
        <f>[1]Emissions!F856</f>
        <v>18.184103390000001</v>
      </c>
      <c r="H401" s="6">
        <f>[1]Emissions!G856</f>
        <v>18.44205977</v>
      </c>
      <c r="I401" s="6">
        <f>[1]Emissions!H856</f>
        <v>18.709431290000001</v>
      </c>
      <c r="J401" s="6">
        <f>[1]Emissions!I856</f>
        <v>18.250536870000001</v>
      </c>
      <c r="K401" s="6">
        <f>[1]Emissions!J856</f>
        <v>17.756643669999999</v>
      </c>
      <c r="L401" s="6">
        <f>[1]Emissions!K856</f>
        <v>17.308952949999998</v>
      </c>
      <c r="M401" s="6">
        <f>[1]Emissions!L856</f>
        <v>16.86712103</v>
      </c>
      <c r="N401" s="6">
        <f>[1]Emissions!M856</f>
        <v>16.423236360000001</v>
      </c>
      <c r="O401" s="6">
        <f>[1]Emissions!N856</f>
        <v>15.96740726</v>
      </c>
      <c r="P401" s="6">
        <f>[1]Emissions!O856</f>
        <v>15.489681839999999</v>
      </c>
      <c r="Q401" s="6">
        <f>[1]Emissions!P856</f>
        <v>14.99718771</v>
      </c>
      <c r="R401" s="6">
        <f>[1]Emissions!Q856</f>
        <v>14.49511193</v>
      </c>
      <c r="S401" s="6">
        <f>[1]Emissions!R856</f>
        <v>13.980889919999999</v>
      </c>
      <c r="T401" s="6">
        <f>[1]Emissions!S856</f>
        <v>13.45944263</v>
      </c>
      <c r="U401" s="6">
        <f>[1]Emissions!T856</f>
        <v>12.93443201</v>
      </c>
      <c r="V401" s="6">
        <f>[1]Emissions!U856</f>
        <v>12.40709461</v>
      </c>
      <c r="W401" s="6">
        <f>[1]Emissions!V856</f>
        <v>11.8746904</v>
      </c>
      <c r="X401" s="6">
        <f>[1]Emissions!W856</f>
        <v>11.340881400000001</v>
      </c>
      <c r="Y401" s="6">
        <f>[1]Emissions!X856</f>
        <v>10.804065169999999</v>
      </c>
      <c r="Z401" s="6">
        <f>[1]Emissions!Y856</f>
        <v>10.26202953</v>
      </c>
      <c r="AA401" s="6">
        <f>[1]Emissions!Z856</f>
        <v>9.7114629939999997</v>
      </c>
      <c r="AB401" s="6">
        <f>[1]Emissions!AA856</f>
        <v>9.142874291</v>
      </c>
      <c r="AC401" s="6">
        <f>[1]Emissions!AB856</f>
        <v>8.5594099910000008</v>
      </c>
      <c r="AD401" s="6">
        <f>[1]Emissions!AC856</f>
        <v>7.9576479920000001</v>
      </c>
      <c r="AE401" s="6">
        <f>[1]Emissions!AD856</f>
        <v>7.3333763479999998</v>
      </c>
      <c r="AF401" s="6">
        <f>[1]Emissions!AE856</f>
        <v>6.6808131460000002</v>
      </c>
      <c r="AG401" s="6">
        <f>[1]Emissions!AF856</f>
        <v>5.9937157140000004</v>
      </c>
      <c r="AH401" s="6">
        <f>[1]Emissions!AG856</f>
        <v>5.2663765629999997</v>
      </c>
      <c r="AI401" s="6">
        <f>[1]Emissions!AH856</f>
        <v>4.4936519209999997</v>
      </c>
      <c r="AJ401" s="6">
        <f>[1]Emissions!AI856</f>
        <v>3.670600785</v>
      </c>
      <c r="AK401" s="6">
        <f>[1]Emissions!AJ856</f>
        <v>2.7922008150000002</v>
      </c>
      <c r="AL401" s="6">
        <f>[1]Emissions!AK856</f>
        <v>1.852994823</v>
      </c>
    </row>
    <row r="402" spans="2:38" x14ac:dyDescent="0.35">
      <c r="B402" s="6" t="str">
        <f>[1]Emissions!A858</f>
        <v>ems_ci_co2_swat_2</v>
      </c>
      <c r="C402" s="6">
        <f>[1]Emissions!B858</f>
        <v>3.8248369960000002</v>
      </c>
      <c r="D402" s="6">
        <f>[1]Emissions!C858</f>
        <v>3.899514033</v>
      </c>
      <c r="E402" s="6">
        <f>[1]Emissions!D858</f>
        <v>3.973476571</v>
      </c>
      <c r="F402" s="6">
        <f>[1]Emissions!E858</f>
        <v>4.0427389229999999</v>
      </c>
      <c r="G402" s="6">
        <f>[1]Emissions!F858</f>
        <v>4.1134656400000003</v>
      </c>
      <c r="H402" s="6">
        <f>[1]Emissions!G858</f>
        <v>4.1877258099999999</v>
      </c>
      <c r="I402" s="6">
        <f>[1]Emissions!H858</f>
        <v>4.26501894</v>
      </c>
      <c r="J402" s="6">
        <f>[1]Emissions!I858</f>
        <v>4.1859811770000004</v>
      </c>
      <c r="K402" s="6">
        <f>[1]Emissions!J858</f>
        <v>4.1187459180000001</v>
      </c>
      <c r="L402" s="6">
        <f>[1]Emissions!K858</f>
        <v>4.1059072969999999</v>
      </c>
      <c r="M402" s="6">
        <f>[1]Emissions!L858</f>
        <v>4.099259129</v>
      </c>
      <c r="N402" s="6">
        <f>[1]Emissions!M858</f>
        <v>4.0850069629999997</v>
      </c>
      <c r="O402" s="6">
        <f>[1]Emissions!N858</f>
        <v>4.0471585809999997</v>
      </c>
      <c r="P402" s="6">
        <f>[1]Emissions!O858</f>
        <v>3.9797553479999999</v>
      </c>
      <c r="Q402" s="6">
        <f>[1]Emissions!P858</f>
        <v>3.8933920739999999</v>
      </c>
      <c r="R402" s="6">
        <f>[1]Emissions!Q858</f>
        <v>3.795185043</v>
      </c>
      <c r="S402" s="6">
        <f>[1]Emissions!R858</f>
        <v>3.6933091020000002</v>
      </c>
      <c r="T402" s="6">
        <f>[1]Emissions!S858</f>
        <v>3.5918941360000001</v>
      </c>
      <c r="U402" s="6">
        <f>[1]Emissions!T858</f>
        <v>3.4930759760000001</v>
      </c>
      <c r="V402" s="6">
        <f>[1]Emissions!U858</f>
        <v>3.3965731090000002</v>
      </c>
      <c r="W402" s="6">
        <f>[1]Emissions!V858</f>
        <v>3.3017623679999999</v>
      </c>
      <c r="X402" s="6">
        <f>[1]Emissions!W858</f>
        <v>3.2083626810000001</v>
      </c>
      <c r="Y402" s="6">
        <f>[1]Emissions!X858</f>
        <v>3.1162883670000001</v>
      </c>
      <c r="Z402" s="6">
        <f>[1]Emissions!Y858</f>
        <v>3.0236481390000001</v>
      </c>
      <c r="AA402" s="6">
        <f>[1]Emissions!Z858</f>
        <v>2.9277292209999999</v>
      </c>
      <c r="AB402" s="6">
        <f>[1]Emissions!AA858</f>
        <v>2.8263699959999999</v>
      </c>
      <c r="AC402" s="6">
        <f>[1]Emissions!AB858</f>
        <v>2.7200737620000002</v>
      </c>
      <c r="AD402" s="6">
        <f>[1]Emissions!AC858</f>
        <v>2.6102015120000002</v>
      </c>
      <c r="AE402" s="6">
        <f>[1]Emissions!AD858</f>
        <v>2.4942855239999999</v>
      </c>
      <c r="AF402" s="6">
        <f>[1]Emissions!AE858</f>
        <v>2.3679596369999998</v>
      </c>
      <c r="AG402" s="6">
        <f>[1]Emissions!AF858</f>
        <v>2.2270791069999998</v>
      </c>
      <c r="AH402" s="6">
        <f>[1]Emissions!AG858</f>
        <v>2.0693406840000002</v>
      </c>
      <c r="AI402" s="6">
        <f>[1]Emissions!AH858</f>
        <v>1.8933374329999999</v>
      </c>
      <c r="AJ402" s="6">
        <f>[1]Emissions!AI858</f>
        <v>1.6969105120000001</v>
      </c>
      <c r="AK402" s="6">
        <f>[1]Emissions!AJ858</f>
        <v>1.477642675</v>
      </c>
      <c r="AL402" s="6">
        <f>[1]Emissions!AK858</f>
        <v>1.2330502759999999</v>
      </c>
    </row>
    <row r="403" spans="2:38" x14ac:dyDescent="0.35">
      <c r="B403" s="6" t="str">
        <f>[1]Emissions!A860</f>
        <v>ems_ci_co2_sair_2</v>
      </c>
      <c r="C403" s="6">
        <f>[1]Emissions!B860</f>
        <v>19.2035819</v>
      </c>
      <c r="D403" s="6">
        <f>[1]Emissions!C860</f>
        <v>19.467197209999998</v>
      </c>
      <c r="E403" s="6">
        <f>[1]Emissions!D860</f>
        <v>19.7449528</v>
      </c>
      <c r="F403" s="6">
        <f>[1]Emissions!E860</f>
        <v>20.00261927</v>
      </c>
      <c r="G403" s="6">
        <f>[1]Emissions!F860</f>
        <v>20.300133370000001</v>
      </c>
      <c r="H403" s="6">
        <f>[1]Emissions!G860</f>
        <v>20.650154860000001</v>
      </c>
      <c r="I403" s="6">
        <f>[1]Emissions!H860</f>
        <v>21.043385690000001</v>
      </c>
      <c r="J403" s="6">
        <f>[1]Emissions!I860</f>
        <v>20.545384899999998</v>
      </c>
      <c r="K403" s="6">
        <f>[1]Emissions!J860</f>
        <v>19.973264790000002</v>
      </c>
      <c r="L403" s="6">
        <f>[1]Emissions!K860</f>
        <v>19.526680540000001</v>
      </c>
      <c r="M403" s="6">
        <f>[1]Emissions!L860</f>
        <v>19.117945039999999</v>
      </c>
      <c r="N403" s="6">
        <f>[1]Emissions!M860</f>
        <v>18.76012167</v>
      </c>
      <c r="O403" s="6">
        <f>[1]Emissions!N860</f>
        <v>18.420394850000001</v>
      </c>
      <c r="P403" s="6">
        <f>[1]Emissions!O860</f>
        <v>18.061445729999999</v>
      </c>
      <c r="Q403" s="6">
        <f>[1]Emissions!P860</f>
        <v>17.686362620000001</v>
      </c>
      <c r="R403" s="6">
        <f>[1]Emissions!Q860</f>
        <v>17.29555628</v>
      </c>
      <c r="S403" s="6">
        <f>[1]Emissions!R860</f>
        <v>16.865777179999998</v>
      </c>
      <c r="T403" s="6">
        <f>[1]Emissions!S860</f>
        <v>16.409995510000002</v>
      </c>
      <c r="U403" s="6">
        <f>[1]Emissions!T860</f>
        <v>15.941115549999999</v>
      </c>
      <c r="V403" s="6">
        <f>[1]Emissions!U860</f>
        <v>15.46742925</v>
      </c>
      <c r="W403" s="6">
        <f>[1]Emissions!V860</f>
        <v>14.991105060000001</v>
      </c>
      <c r="X403" s="6">
        <f>[1]Emissions!W860</f>
        <v>14.519921569999999</v>
      </c>
      <c r="Y403" s="6">
        <f>[1]Emissions!X860</f>
        <v>14.055924360000001</v>
      </c>
      <c r="Z403" s="6">
        <f>[1]Emissions!Y860</f>
        <v>13.59599034</v>
      </c>
      <c r="AA403" s="6">
        <f>[1]Emissions!Z860</f>
        <v>13.133367399999999</v>
      </c>
      <c r="AB403" s="6">
        <f>[1]Emissions!AA860</f>
        <v>12.65373851</v>
      </c>
      <c r="AC403" s="6">
        <f>[1]Emissions!AB860</f>
        <v>12.16171039</v>
      </c>
      <c r="AD403" s="6">
        <f>[1]Emissions!AC860</f>
        <v>11.65607041</v>
      </c>
      <c r="AE403" s="6">
        <f>[1]Emissions!AD860</f>
        <v>11.12916617</v>
      </c>
      <c r="AF403" s="6">
        <f>[1]Emissions!AE860</f>
        <v>10.56775691</v>
      </c>
      <c r="AG403" s="6">
        <f>[1]Emissions!AF860</f>
        <v>9.9568797920000005</v>
      </c>
      <c r="AH403" s="6">
        <f>[1]Emissions!AG860</f>
        <v>9.2835464969999997</v>
      </c>
      <c r="AI403" s="6">
        <f>[1]Emissions!AH860</f>
        <v>8.5356820120000005</v>
      </c>
      <c r="AJ403" s="6">
        <f>[1]Emissions!AI860</f>
        <v>7.6990257900000003</v>
      </c>
      <c r="AK403" s="6">
        <f>[1]Emissions!AJ860</f>
        <v>6.756935769</v>
      </c>
      <c r="AL403" s="6">
        <f>[1]Emissions!AK860</f>
        <v>5.6894440680000002</v>
      </c>
    </row>
    <row r="404" spans="2:38" x14ac:dyDescent="0.35">
      <c r="B404" s="6" t="str">
        <f>[1]Emissions!A862</f>
        <v>ems_ci_co2_spri_2</v>
      </c>
      <c r="C404" s="6">
        <f>[1]Emissions!B862</f>
        <v>30.586880539999999</v>
      </c>
      <c r="D404" s="6">
        <f>[1]Emissions!C862</f>
        <v>30.170129490000001</v>
      </c>
      <c r="E404" s="6">
        <f>[1]Emissions!D862</f>
        <v>29.692683209999998</v>
      </c>
      <c r="F404" s="6">
        <f>[1]Emissions!E862</f>
        <v>29.050074500000001</v>
      </c>
      <c r="G404" s="6">
        <f>[1]Emissions!F862</f>
        <v>28.751326809999998</v>
      </c>
      <c r="H404" s="6">
        <f>[1]Emissions!G862</f>
        <v>28.70716685</v>
      </c>
      <c r="I404" s="6">
        <f>[1]Emissions!H862</f>
        <v>28.85284489</v>
      </c>
      <c r="J404" s="6">
        <f>[1]Emissions!I862</f>
        <v>26.712902</v>
      </c>
      <c r="K404" s="6">
        <f>[1]Emissions!J862</f>
        <v>24.53779127</v>
      </c>
      <c r="L404" s="6">
        <f>[1]Emissions!K862</f>
        <v>22.591528360000002</v>
      </c>
      <c r="M404" s="6">
        <f>[1]Emissions!L862</f>
        <v>20.874554409999998</v>
      </c>
      <c r="N404" s="6">
        <f>[1]Emissions!M862</f>
        <v>19.53409409</v>
      </c>
      <c r="O404" s="6">
        <f>[1]Emissions!N862</f>
        <v>18.440654210000002</v>
      </c>
      <c r="P404" s="6">
        <f>[1]Emissions!O862</f>
        <v>17.503170820000001</v>
      </c>
      <c r="Q404" s="6">
        <f>[1]Emissions!P862</f>
        <v>16.676118710000001</v>
      </c>
      <c r="R404" s="6">
        <f>[1]Emissions!Q862</f>
        <v>15.930513319999999</v>
      </c>
      <c r="S404" s="6">
        <f>[1]Emissions!R862</f>
        <v>15.17664214</v>
      </c>
      <c r="T404" s="6">
        <f>[1]Emissions!S862</f>
        <v>14.43689794</v>
      </c>
      <c r="U404" s="6">
        <f>[1]Emissions!T862</f>
        <v>13.72528891</v>
      </c>
      <c r="V404" s="6">
        <f>[1]Emissions!U862</f>
        <v>13.049000469999999</v>
      </c>
      <c r="W404" s="6">
        <f>[1]Emissions!V862</f>
        <v>12.40770264</v>
      </c>
      <c r="X404" s="6">
        <f>[1]Emissions!W862</f>
        <v>11.80617436</v>
      </c>
      <c r="Y404" s="6">
        <f>[1]Emissions!X862</f>
        <v>11.24193423</v>
      </c>
      <c r="Z404" s="6">
        <f>[1]Emissions!Y862</f>
        <v>10.710548470000001</v>
      </c>
      <c r="AA404" s="6">
        <f>[1]Emissions!Z862</f>
        <v>10.20609299</v>
      </c>
      <c r="AB404" s="6">
        <f>[1]Emissions!AA862</f>
        <v>9.7150815989999995</v>
      </c>
      <c r="AC404" s="6">
        <f>[1]Emissions!AB862</f>
        <v>9.2382073099999999</v>
      </c>
      <c r="AD404" s="6">
        <f>[1]Emissions!AC862</f>
        <v>8.7682509750000008</v>
      </c>
      <c r="AE404" s="6">
        <f>[1]Emissions!AD862</f>
        <v>8.2953780419999994</v>
      </c>
      <c r="AF404" s="6">
        <f>[1]Emissions!AE862</f>
        <v>7.8066862690000001</v>
      </c>
      <c r="AG404" s="6">
        <f>[1]Emissions!AF862</f>
        <v>7.2871153059999996</v>
      </c>
      <c r="AH404" s="6">
        <f>[1]Emissions!AG862</f>
        <v>6.7200175299999998</v>
      </c>
      <c r="AI404" s="6">
        <f>[1]Emissions!AH862</f>
        <v>6.0860431650000004</v>
      </c>
      <c r="AJ404" s="6">
        <f>[1]Emissions!AI862</f>
        <v>5.3608935070000001</v>
      </c>
      <c r="AK404" s="6">
        <f>[1]Emissions!AJ862</f>
        <v>4.5124736170000004</v>
      </c>
      <c r="AL404" s="6">
        <f>[1]Emissions!AK862</f>
        <v>3.4952843100000002</v>
      </c>
    </row>
    <row r="405" spans="2:38" x14ac:dyDescent="0.35">
      <c r="B405" s="6" t="str">
        <f>[1]Emissions!A864</f>
        <v>ems_ci_co2_spub_2</v>
      </c>
      <c r="C405" s="6">
        <f>[1]Emissions!B864</f>
        <v>13.794241100000001</v>
      </c>
      <c r="D405" s="6">
        <f>[1]Emissions!C864</f>
        <v>13.398834300000001</v>
      </c>
      <c r="E405" s="6">
        <f>[1]Emissions!D864</f>
        <v>13.000766990000001</v>
      </c>
      <c r="F405" s="6">
        <f>[1]Emissions!E864</f>
        <v>12.533167730000001</v>
      </c>
      <c r="G405" s="6">
        <f>[1]Emissions!F864</f>
        <v>12.279326429999999</v>
      </c>
      <c r="H405" s="6">
        <f>[1]Emissions!G864</f>
        <v>12.17077638</v>
      </c>
      <c r="I405" s="6">
        <f>[1]Emissions!H864</f>
        <v>12.16077329</v>
      </c>
      <c r="J405" s="6">
        <f>[1]Emissions!I864</f>
        <v>11.12265522</v>
      </c>
      <c r="K405" s="6">
        <f>[1]Emissions!J864</f>
        <v>10.135356720000001</v>
      </c>
      <c r="L405" s="6">
        <f>[1]Emissions!K864</f>
        <v>9.266839225</v>
      </c>
      <c r="M405" s="6">
        <f>[1]Emissions!L864</f>
        <v>8.5284722199999994</v>
      </c>
      <c r="N405" s="6">
        <f>[1]Emissions!M864</f>
        <v>7.9596783679999996</v>
      </c>
      <c r="O405" s="6">
        <f>[1]Emissions!N864</f>
        <v>7.5072168509999999</v>
      </c>
      <c r="P405" s="6">
        <f>[1]Emissions!O864</f>
        <v>7.1311654720000002</v>
      </c>
      <c r="Q405" s="6">
        <f>[1]Emissions!P864</f>
        <v>6.8067274629999996</v>
      </c>
      <c r="R405" s="6">
        <f>[1]Emissions!Q864</f>
        <v>6.518015289</v>
      </c>
      <c r="S405" s="6">
        <f>[1]Emissions!R864</f>
        <v>6.2259229850000004</v>
      </c>
      <c r="T405" s="6">
        <f>[1]Emissions!S864</f>
        <v>5.9375879520000003</v>
      </c>
      <c r="U405" s="6">
        <f>[1]Emissions!T864</f>
        <v>5.6576539060000002</v>
      </c>
      <c r="V405" s="6">
        <f>[1]Emissions!U864</f>
        <v>5.3884639439999997</v>
      </c>
      <c r="W405" s="6">
        <f>[1]Emissions!V864</f>
        <v>5.1269362430000003</v>
      </c>
      <c r="X405" s="6">
        <f>[1]Emissions!W864</f>
        <v>4.8802805950000003</v>
      </c>
      <c r="Y405" s="6">
        <f>[1]Emissions!X864</f>
        <v>4.6444647549999996</v>
      </c>
      <c r="Z405" s="6">
        <f>[1]Emissions!Y864</f>
        <v>4.4176071910000001</v>
      </c>
      <c r="AA405" s="6">
        <f>[1]Emissions!Z864</f>
        <v>4.1978325249999999</v>
      </c>
      <c r="AB405" s="6">
        <f>[1]Emissions!AA864</f>
        <v>3.9749814080000001</v>
      </c>
      <c r="AC405" s="6">
        <f>[1]Emissions!AB864</f>
        <v>3.7588677339999998</v>
      </c>
      <c r="AD405" s="6">
        <f>[1]Emissions!AC864</f>
        <v>3.544053871</v>
      </c>
      <c r="AE405" s="6">
        <f>[1]Emissions!AD864</f>
        <v>3.3270989310000001</v>
      </c>
      <c r="AF405" s="6">
        <f>[1]Emissions!AE864</f>
        <v>3.1042759979999999</v>
      </c>
      <c r="AG405" s="6">
        <f>[1]Emissions!AF864</f>
        <v>2.87137522</v>
      </c>
      <c r="AH405" s="6">
        <f>[1]Emissions!AG864</f>
        <v>2.623603422</v>
      </c>
      <c r="AI405" s="6">
        <f>[1]Emissions!AH864</f>
        <v>2.3551828989999999</v>
      </c>
      <c r="AJ405" s="6">
        <f>[1]Emissions!AI864</f>
        <v>2.0586818230000001</v>
      </c>
      <c r="AK405" s="6">
        <f>[1]Emissions!AJ864</f>
        <v>1.7240079349999999</v>
      </c>
      <c r="AL405" s="6">
        <f>[1]Emissions!AK864</f>
        <v>1.3362263459999999</v>
      </c>
    </row>
    <row r="406" spans="2:38" x14ac:dyDescent="0.35">
      <c r="B406" s="6" t="str">
        <f>[1]Emissions!A866</f>
        <v>ems_ci_co2_smin_2</v>
      </c>
      <c r="C406" s="6">
        <f>[1]Emissions!B866</f>
        <v>1.049167145</v>
      </c>
      <c r="D406" s="6">
        <f>[1]Emissions!C866</f>
        <v>1.059908227</v>
      </c>
      <c r="E406" s="6">
        <f>[1]Emissions!D866</f>
        <v>1.071305376</v>
      </c>
      <c r="F406" s="6">
        <f>[1]Emissions!E866</f>
        <v>1.0830416780000001</v>
      </c>
      <c r="G406" s="6">
        <f>[1]Emissions!F866</f>
        <v>1.096514454</v>
      </c>
      <c r="H406" s="6">
        <f>[1]Emissions!G866</f>
        <v>1.111776511</v>
      </c>
      <c r="I406" s="6">
        <f>[1]Emissions!H866</f>
        <v>1.128291181</v>
      </c>
      <c r="J406" s="6">
        <f>[1]Emissions!I866</f>
        <v>1.096998181</v>
      </c>
      <c r="K406" s="6">
        <f>[1]Emissions!J866</f>
        <v>1.0629206309999999</v>
      </c>
      <c r="L406" s="6">
        <f>[1]Emissions!K866</f>
        <v>1.0317542609999999</v>
      </c>
      <c r="M406" s="6">
        <f>[1]Emissions!L866</f>
        <v>1.0015128280000001</v>
      </c>
      <c r="N406" s="6">
        <f>[1]Emissions!M866</f>
        <v>0.97157356250000004</v>
      </c>
      <c r="O406" s="6">
        <f>[1]Emissions!N866</f>
        <v>0.94100238709999995</v>
      </c>
      <c r="P406" s="6">
        <f>[1]Emissions!O866</f>
        <v>0.90916322829999996</v>
      </c>
      <c r="Q406" s="6">
        <f>[1]Emissions!P866</f>
        <v>0.8765107164</v>
      </c>
      <c r="R406" s="6">
        <f>[1]Emissions!Q866</f>
        <v>0.84346197349999996</v>
      </c>
      <c r="S406" s="6">
        <f>[1]Emissions!R866</f>
        <v>0.81167375470000003</v>
      </c>
      <c r="T406" s="6">
        <f>[1]Emissions!S866</f>
        <v>0.77987548579999999</v>
      </c>
      <c r="U406" s="6">
        <f>[1]Emissions!T866</f>
        <v>0.74816942600000003</v>
      </c>
      <c r="V406" s="6">
        <f>[1]Emissions!U866</f>
        <v>0.71663451300000003</v>
      </c>
      <c r="W406" s="6">
        <f>[1]Emissions!V866</f>
        <v>0.68516360450000002</v>
      </c>
      <c r="X406" s="6">
        <f>[1]Emissions!W866</f>
        <v>0.65388194700000002</v>
      </c>
      <c r="Y406" s="6">
        <f>[1]Emissions!X866</f>
        <v>0.62273139379999998</v>
      </c>
      <c r="Z406" s="6">
        <f>[1]Emissions!Y866</f>
        <v>0.5915217639</v>
      </c>
      <c r="AA406" s="6">
        <f>[1]Emissions!Z866</f>
        <v>0.55997413100000004</v>
      </c>
      <c r="AB406" s="6">
        <f>[1]Emissions!AA866</f>
        <v>0.52755376379999996</v>
      </c>
      <c r="AC406" s="6">
        <f>[1]Emissions!AB866</f>
        <v>0.49403552090000002</v>
      </c>
      <c r="AD406" s="6">
        <f>[1]Emissions!AC866</f>
        <v>0.45954291429999999</v>
      </c>
      <c r="AE406" s="6">
        <f>[1]Emissions!AD866</f>
        <v>0.42379004889999999</v>
      </c>
      <c r="AF406" s="6">
        <f>[1]Emissions!AE866</f>
        <v>0.38634346609999998</v>
      </c>
      <c r="AG406" s="6">
        <f>[1]Emissions!AF866</f>
        <v>0.3467693932</v>
      </c>
      <c r="AH406" s="6">
        <f>[1]Emissions!AG866</f>
        <v>0.30472806180000001</v>
      </c>
      <c r="AI406" s="6">
        <f>[1]Emissions!AH866</f>
        <v>0.25994687230000002</v>
      </c>
      <c r="AJ406" s="6">
        <f>[1]Emissions!AI866</f>
        <v>0.21216128670000001</v>
      </c>
      <c r="AK406" s="6">
        <f>[1]Emissions!AJ866</f>
        <v>0.16111508199999999</v>
      </c>
      <c r="AL406" s="6">
        <f>[1]Emissions!AK866</f>
        <v>0.10654596650000001</v>
      </c>
    </row>
    <row r="407" spans="2:38" x14ac:dyDescent="0.35">
      <c r="B407" s="6" t="str">
        <f>[1]Emissions!A868</f>
        <v>ems_ci_co2_soil_2</v>
      </c>
      <c r="C407" s="6">
        <f>[1]Emissions!B868</f>
        <v>16.59683708</v>
      </c>
      <c r="D407" s="6">
        <f>[1]Emissions!C868</f>
        <v>16.687072149999999</v>
      </c>
      <c r="E407" s="6">
        <f>[1]Emissions!D868</f>
        <v>16.758992989999999</v>
      </c>
      <c r="F407" s="6">
        <f>[1]Emissions!E868</f>
        <v>16.830642640000001</v>
      </c>
      <c r="G407" s="6">
        <f>[1]Emissions!F868</f>
        <v>16.942896480000002</v>
      </c>
      <c r="H407" s="6">
        <f>[1]Emissions!G868</f>
        <v>17.095099560000001</v>
      </c>
      <c r="I407" s="6">
        <f>[1]Emissions!H868</f>
        <v>17.27659903</v>
      </c>
      <c r="J407" s="6">
        <f>[1]Emissions!I868</f>
        <v>17.008111629999998</v>
      </c>
      <c r="K407" s="6">
        <f>[1]Emissions!J868</f>
        <v>16.695500289999998</v>
      </c>
      <c r="L407" s="6">
        <f>[1]Emissions!K868</f>
        <v>16.43525138</v>
      </c>
      <c r="M407" s="6">
        <f>[1]Emissions!L868</f>
        <v>16.185277760000002</v>
      </c>
      <c r="N407" s="6">
        <f>[1]Emissions!M868</f>
        <v>15.94925742</v>
      </c>
      <c r="O407" s="6">
        <f>[1]Emissions!N868</f>
        <v>15.715928999999999</v>
      </c>
      <c r="P407" s="6">
        <f>[1]Emissions!O868</f>
        <v>15.473429729999999</v>
      </c>
      <c r="Q407" s="6">
        <f>[1]Emissions!P868</f>
        <v>15.228198989999999</v>
      </c>
      <c r="R407" s="6">
        <f>[1]Emissions!Q868</f>
        <v>14.98425039</v>
      </c>
      <c r="S407" s="6">
        <f>[1]Emissions!R868</f>
        <v>14.71867177</v>
      </c>
      <c r="T407" s="6">
        <f>[1]Emissions!S868</f>
        <v>14.44856495</v>
      </c>
      <c r="U407" s="6">
        <f>[1]Emissions!T868</f>
        <v>14.1791052</v>
      </c>
      <c r="V407" s="6">
        <f>[1]Emissions!U868</f>
        <v>13.912337429999999</v>
      </c>
      <c r="W407" s="6">
        <f>[1]Emissions!V868</f>
        <v>13.648143449999999</v>
      </c>
      <c r="X407" s="6">
        <f>[1]Emissions!W868</f>
        <v>13.38942726</v>
      </c>
      <c r="Y407" s="6">
        <f>[1]Emissions!X868</f>
        <v>13.13731224</v>
      </c>
      <c r="Z407" s="6">
        <f>[1]Emissions!Y868</f>
        <v>12.891668960000001</v>
      </c>
      <c r="AA407" s="6">
        <f>[1]Emissions!Z868</f>
        <v>12.65103118</v>
      </c>
      <c r="AB407" s="6">
        <f>[1]Emissions!AA868</f>
        <v>12.41025265</v>
      </c>
      <c r="AC407" s="6">
        <f>[1]Emissions!AB868</f>
        <v>12.17650572</v>
      </c>
      <c r="AD407" s="6">
        <f>[1]Emissions!AC868</f>
        <v>11.947223660000001</v>
      </c>
      <c r="AE407" s="6">
        <f>[1]Emissions!AD868</f>
        <v>11.72079656</v>
      </c>
      <c r="AF407" s="6">
        <f>[1]Emissions!AE868</f>
        <v>11.49277331</v>
      </c>
      <c r="AG407" s="6">
        <f>[1]Emissions!AF868</f>
        <v>11.2575202</v>
      </c>
      <c r="AH407" s="6">
        <f>[1]Emissions!AG868</f>
        <v>11.01050822</v>
      </c>
      <c r="AI407" s="6">
        <f>[1]Emissions!AH868</f>
        <v>10.74851483</v>
      </c>
      <c r="AJ407" s="6">
        <f>[1]Emissions!AI868</f>
        <v>10.468683</v>
      </c>
      <c r="AK407" s="6">
        <f>[1]Emissions!AJ868</f>
        <v>10.16857521</v>
      </c>
      <c r="AL407" s="6">
        <f>[1]Emissions!AK868</f>
        <v>9.8464657869999996</v>
      </c>
    </row>
    <row r="408" spans="2:38" x14ac:dyDescent="0.35">
      <c r="B408" s="6" t="str">
        <f>[1]Emissions!A870</f>
        <v>ems_ci_co2_sbfu_2</v>
      </c>
      <c r="C408" s="6">
        <f>[1]Emissions!B870</f>
        <v>3.8672089619999999</v>
      </c>
      <c r="D408" s="6">
        <f>[1]Emissions!C870</f>
        <v>3.878708579</v>
      </c>
      <c r="E408" s="6">
        <f>[1]Emissions!D870</f>
        <v>3.8837627100000001</v>
      </c>
      <c r="F408" s="6">
        <f>[1]Emissions!E870</f>
        <v>3.8906592180000001</v>
      </c>
      <c r="G408" s="6">
        <f>[1]Emissions!F870</f>
        <v>3.9080039439999998</v>
      </c>
      <c r="H408" s="6">
        <f>[1]Emissions!G870</f>
        <v>3.9355389810000001</v>
      </c>
      <c r="I408" s="6">
        <f>[1]Emissions!H870</f>
        <v>3.970344007</v>
      </c>
      <c r="J408" s="6">
        <f>[1]Emissions!I870</f>
        <v>4.6192617279999997</v>
      </c>
      <c r="K408" s="6">
        <f>[1]Emissions!J870</f>
        <v>5.3262775390000003</v>
      </c>
      <c r="L408" s="6">
        <f>[1]Emissions!K870</f>
        <v>6.0132367230000003</v>
      </c>
      <c r="M408" s="6">
        <f>[1]Emissions!L870</f>
        <v>6.666463974</v>
      </c>
      <c r="N408" s="6">
        <f>[1]Emissions!M870</f>
        <v>7.2891214240000002</v>
      </c>
      <c r="O408" s="6">
        <f>[1]Emissions!N870</f>
        <v>7.8790210849999998</v>
      </c>
      <c r="P408" s="6">
        <f>[1]Emissions!O870</f>
        <v>8.4312725939999993</v>
      </c>
      <c r="Q408" s="6">
        <f>[1]Emissions!P870</f>
        <v>8.9433771190000009</v>
      </c>
      <c r="R408" s="6">
        <f>[1]Emissions!Q870</f>
        <v>9.4128253649999998</v>
      </c>
      <c r="S408" s="6">
        <f>[1]Emissions!R870</f>
        <v>9.8328939139999996</v>
      </c>
      <c r="T408" s="6">
        <f>[1]Emissions!S870</f>
        <v>10.2016236</v>
      </c>
      <c r="U408" s="6">
        <f>[1]Emissions!T870</f>
        <v>10.51783466</v>
      </c>
      <c r="V408" s="6">
        <f>[1]Emissions!U870</f>
        <v>10.779836599999999</v>
      </c>
      <c r="W408" s="6">
        <f>[1]Emissions!V870</f>
        <v>10.984577249999999</v>
      </c>
      <c r="X408" s="6">
        <f>[1]Emissions!W870</f>
        <v>11.130353879999999</v>
      </c>
      <c r="Y408" s="6">
        <f>[1]Emissions!X870</f>
        <v>11.214333030000001</v>
      </c>
      <c r="Z408" s="6">
        <f>[1]Emissions!Y870</f>
        <v>11.232559269999999</v>
      </c>
      <c r="AA408" s="6">
        <f>[1]Emissions!Z870</f>
        <v>11.179887620000001</v>
      </c>
      <c r="AB408" s="6">
        <f>[1]Emissions!AA870</f>
        <v>11.0479971</v>
      </c>
      <c r="AC408" s="6">
        <f>[1]Emissions!AB870</f>
        <v>10.832205460000001</v>
      </c>
      <c r="AD408" s="6">
        <f>[1]Emissions!AC870</f>
        <v>10.526267089999999</v>
      </c>
      <c r="AE408" s="6">
        <f>[1]Emissions!AD870</f>
        <v>10.121654850000001</v>
      </c>
      <c r="AF408" s="6">
        <f>[1]Emissions!AE870</f>
        <v>9.6072968890000006</v>
      </c>
      <c r="AG408" s="6">
        <f>[1]Emissions!AF870</f>
        <v>8.9700869520000008</v>
      </c>
      <c r="AH408" s="6">
        <f>[1]Emissions!AG870</f>
        <v>8.1955625679999997</v>
      </c>
      <c r="AI408" s="6">
        <f>[1]Emissions!AH870</f>
        <v>7.2676617820000002</v>
      </c>
      <c r="AJ408" s="6">
        <f>[1]Emissions!AI870</f>
        <v>6.1678269290000003</v>
      </c>
      <c r="AK408" s="6">
        <f>[1]Emissions!AJ870</f>
        <v>4.8742697609999999</v>
      </c>
      <c r="AL408" s="6">
        <f>[1]Emissions!AK870</f>
        <v>3.3605467249999998</v>
      </c>
    </row>
    <row r="409" spans="2:38" x14ac:dyDescent="0.35">
      <c r="B409" s="6" t="str">
        <f>[1]Emissions!A872</f>
        <v>ems_ci_co2_seoi_2</v>
      </c>
      <c r="C409" s="6">
        <f>[1]Emissions!B872</f>
        <v>3.0530849629999999</v>
      </c>
      <c r="D409" s="6">
        <f>[1]Emissions!C872</f>
        <v>3.0888713939999999</v>
      </c>
      <c r="E409" s="6">
        <f>[1]Emissions!D872</f>
        <v>3.119199686</v>
      </c>
      <c r="F409" s="6">
        <f>[1]Emissions!E872</f>
        <v>3.1508401309999998</v>
      </c>
      <c r="G409" s="6">
        <f>[1]Emissions!F872</f>
        <v>3.1777059520000002</v>
      </c>
      <c r="H409" s="6">
        <f>[1]Emissions!G872</f>
        <v>3.203980687</v>
      </c>
      <c r="I409" s="6">
        <f>[1]Emissions!H872</f>
        <v>3.2313849819999998</v>
      </c>
      <c r="J409" s="6">
        <f>[1]Emissions!I872</f>
        <v>3.1595113459999999</v>
      </c>
      <c r="K409" s="6">
        <f>[1]Emissions!J872</f>
        <v>3.0922769739999998</v>
      </c>
      <c r="L409" s="6">
        <f>[1]Emissions!K872</f>
        <v>3.0281287830000001</v>
      </c>
      <c r="M409" s="6">
        <f>[1]Emissions!L872</f>
        <v>2.9566866369999998</v>
      </c>
      <c r="N409" s="6">
        <f>[1]Emissions!M872</f>
        <v>2.8685472609999998</v>
      </c>
      <c r="O409" s="6">
        <f>[1]Emissions!N872</f>
        <v>2.7690878859999999</v>
      </c>
      <c r="P409" s="6">
        <f>[1]Emissions!O872</f>
        <v>2.6622502880000001</v>
      </c>
      <c r="Q409" s="6">
        <f>[1]Emissions!P872</f>
        <v>2.5523414350000002</v>
      </c>
      <c r="R409" s="6">
        <f>[1]Emissions!Q872</f>
        <v>2.441687918</v>
      </c>
      <c r="S409" s="6">
        <f>[1]Emissions!R872</f>
        <v>2.3309324999999999</v>
      </c>
      <c r="T409" s="6">
        <f>[1]Emissions!S872</f>
        <v>2.220905922</v>
      </c>
      <c r="U409" s="6">
        <f>[1]Emissions!T872</f>
        <v>2.111217151</v>
      </c>
      <c r="V409" s="6">
        <f>[1]Emissions!U872</f>
        <v>2.0016969360000001</v>
      </c>
      <c r="W409" s="6">
        <f>[1]Emissions!V872</f>
        <v>1.892010347</v>
      </c>
      <c r="X409" s="6">
        <f>[1]Emissions!W872</f>
        <v>1.782868033</v>
      </c>
      <c r="Y409" s="6">
        <f>[1]Emissions!X872</f>
        <v>1.674311477</v>
      </c>
      <c r="Z409" s="6">
        <f>[1]Emissions!Y872</f>
        <v>1.566060126</v>
      </c>
      <c r="AA409" s="6">
        <f>[1]Emissions!Z872</f>
        <v>1.4576270609999999</v>
      </c>
      <c r="AB409" s="6">
        <f>[1]Emissions!AA872</f>
        <v>1.347744855</v>
      </c>
      <c r="AC409" s="6">
        <f>[1]Emissions!AB872</f>
        <v>1.237074569</v>
      </c>
      <c r="AD409" s="6">
        <f>[1]Emissions!AC872</f>
        <v>1.1252484169999999</v>
      </c>
      <c r="AE409" s="6">
        <f>[1]Emissions!AD872</f>
        <v>1.0117257260000001</v>
      </c>
      <c r="AF409" s="6">
        <f>[1]Emissions!AE872</f>
        <v>0.89586585730000001</v>
      </c>
      <c r="AG409" s="6">
        <f>[1]Emissions!AF872</f>
        <v>0.77723941880000003</v>
      </c>
      <c r="AH409" s="6">
        <f>[1]Emissions!AG872</f>
        <v>0.65592802039999998</v>
      </c>
      <c r="AI409" s="6">
        <f>[1]Emissions!AH872</f>
        <v>0.53265235359999996</v>
      </c>
      <c r="AJ409" s="6">
        <f>[1]Emissions!AI872</f>
        <v>0.4089227741</v>
      </c>
      <c r="AK409" s="6">
        <f>[1]Emissions!AJ872</f>
        <v>0.2874888873</v>
      </c>
      <c r="AL409" s="6">
        <f>[1]Emissions!AK872</f>
        <v>0.17316372860000001</v>
      </c>
    </row>
    <row r="410" spans="2:38" x14ac:dyDescent="0.35">
      <c r="B410" s="6" t="str">
        <f>[1]Emissions!A874</f>
        <v>ems_ci_co2_sega_2</v>
      </c>
      <c r="C410" s="6">
        <f>[1]Emissions!B874</f>
        <v>3.6124779720000002</v>
      </c>
      <c r="D410" s="6">
        <f>[1]Emissions!C874</f>
        <v>3.6549739219999999</v>
      </c>
      <c r="E410" s="6">
        <f>[1]Emissions!D874</f>
        <v>3.6910198250000001</v>
      </c>
      <c r="F410" s="6">
        <f>[1]Emissions!E874</f>
        <v>3.72864861</v>
      </c>
      <c r="G410" s="6">
        <f>[1]Emissions!F874</f>
        <v>3.7605656569999999</v>
      </c>
      <c r="H410" s="6">
        <f>[1]Emissions!G874</f>
        <v>3.791739932</v>
      </c>
      <c r="I410" s="6">
        <f>[1]Emissions!H874</f>
        <v>3.8242157799999998</v>
      </c>
      <c r="J410" s="6">
        <f>[1]Emissions!I874</f>
        <v>3.7279763610000001</v>
      </c>
      <c r="K410" s="6">
        <f>[1]Emissions!J874</f>
        <v>3.6363314579999999</v>
      </c>
      <c r="L410" s="6">
        <f>[1]Emissions!K874</f>
        <v>3.547915111</v>
      </c>
      <c r="M410" s="6">
        <f>[1]Emissions!L874</f>
        <v>3.4506094979999999</v>
      </c>
      <c r="N410" s="6">
        <f>[1]Emissions!M874</f>
        <v>3.3335742320000001</v>
      </c>
      <c r="O410" s="6">
        <f>[1]Emissions!N874</f>
        <v>3.2032860470000002</v>
      </c>
      <c r="P410" s="6">
        <f>[1]Emissions!O874</f>
        <v>3.0644747250000002</v>
      </c>
      <c r="Q410" s="6">
        <f>[1]Emissions!P874</f>
        <v>2.9222140429999999</v>
      </c>
      <c r="R410" s="6">
        <f>[1]Emissions!Q874</f>
        <v>2.779227143</v>
      </c>
      <c r="S410" s="6">
        <f>[1]Emissions!R874</f>
        <v>2.6362745759999999</v>
      </c>
      <c r="T410" s="6">
        <f>[1]Emissions!S874</f>
        <v>2.494310451</v>
      </c>
      <c r="U410" s="6">
        <f>[1]Emissions!T874</f>
        <v>2.3529019500000001</v>
      </c>
      <c r="V410" s="6">
        <f>[1]Emissions!U874</f>
        <v>2.2118761390000001</v>
      </c>
      <c r="W410" s="6">
        <f>[1]Emissions!V874</f>
        <v>2.0708877960000001</v>
      </c>
      <c r="X410" s="6">
        <f>[1]Emissions!W874</f>
        <v>1.930742958</v>
      </c>
      <c r="Y410" s="6">
        <f>[1]Emissions!X874</f>
        <v>1.791501843</v>
      </c>
      <c r="Z410" s="6">
        <f>[1]Emissions!Y874</f>
        <v>1.6528846960000001</v>
      </c>
      <c r="AA410" s="6">
        <f>[1]Emissions!Z874</f>
        <v>1.514418365</v>
      </c>
      <c r="AB410" s="6">
        <f>[1]Emissions!AA874</f>
        <v>1.3748774399999999</v>
      </c>
      <c r="AC410" s="6">
        <f>[1]Emissions!AB874</f>
        <v>1.235090362</v>
      </c>
      <c r="AD410" s="6">
        <f>[1]Emissions!AC874</f>
        <v>1.0948711609999999</v>
      </c>
      <c r="AE410" s="6">
        <f>[1]Emissions!AD874</f>
        <v>0.95397560950000004</v>
      </c>
      <c r="AF410" s="6">
        <f>[1]Emissions!AE874</f>
        <v>0.81225214899999998</v>
      </c>
      <c r="AG410" s="6">
        <f>[1]Emissions!AF874</f>
        <v>0.6700383647</v>
      </c>
      <c r="AH410" s="6">
        <f>[1]Emissions!AG874</f>
        <v>0.52854603410000001</v>
      </c>
      <c r="AI410" s="6">
        <f>[1]Emissions!AH874</f>
        <v>0.390124833</v>
      </c>
      <c r="AJ410" s="6">
        <f>[1]Emissions!AI874</f>
        <v>0.25865916329999999</v>
      </c>
      <c r="AK410" s="6">
        <f>[1]Emissions!AJ874</f>
        <v>0.1404088486</v>
      </c>
      <c r="AL410" s="6">
        <f>[1]Emissions!AK874</f>
        <v>4.5441081799999998E-2</v>
      </c>
    </row>
    <row r="411" spans="2:38" x14ac:dyDescent="0.35">
      <c r="B411" s="6" t="str">
        <f>[1]Emissions!A876</f>
        <v>ems_ci_co2_seco_2</v>
      </c>
      <c r="C411" s="6">
        <f>[1]Emissions!B876</f>
        <v>7.4463073450000001</v>
      </c>
      <c r="D411" s="6">
        <f>[1]Emissions!C876</f>
        <v>7.5339031470000002</v>
      </c>
      <c r="E411" s="6">
        <f>[1]Emissions!D876</f>
        <v>7.6082036329999996</v>
      </c>
      <c r="F411" s="6">
        <f>[1]Emissions!E876</f>
        <v>7.6857668730000004</v>
      </c>
      <c r="G411" s="6">
        <f>[1]Emissions!F876</f>
        <v>7.7515566570000001</v>
      </c>
      <c r="H411" s="6">
        <f>[1]Emissions!G876</f>
        <v>7.8158153820000003</v>
      </c>
      <c r="I411" s="6">
        <f>[1]Emissions!H876</f>
        <v>7.8827570089999996</v>
      </c>
      <c r="J411" s="6">
        <f>[1]Emissions!I876</f>
        <v>7.9423763799999998</v>
      </c>
      <c r="K411" s="6">
        <f>[1]Emissions!J876</f>
        <v>8.0163336610000009</v>
      </c>
      <c r="L411" s="6">
        <f>[1]Emissions!K876</f>
        <v>8.1029938910000006</v>
      </c>
      <c r="M411" s="6">
        <f>[1]Emissions!L876</f>
        <v>8.1750655959999996</v>
      </c>
      <c r="N411" s="6">
        <f>[1]Emissions!M876</f>
        <v>8.2041728119999995</v>
      </c>
      <c r="O411" s="6">
        <f>[1]Emissions!N876</f>
        <v>8.2016978599999995</v>
      </c>
      <c r="P411" s="6">
        <f>[1]Emissions!O876</f>
        <v>8.1762766370000008</v>
      </c>
      <c r="Q411" s="6">
        <f>[1]Emissions!P876</f>
        <v>8.1390195320000007</v>
      </c>
      <c r="R411" s="6">
        <f>[1]Emissions!Q876</f>
        <v>8.0962298690000001</v>
      </c>
      <c r="S411" s="6">
        <f>[1]Emissions!R876</f>
        <v>8.0494320429999995</v>
      </c>
      <c r="T411" s="6">
        <f>[1]Emissions!S876</f>
        <v>8.0010796979999999</v>
      </c>
      <c r="U411" s="6">
        <f>[1]Emissions!T876</f>
        <v>7.9494635159999998</v>
      </c>
      <c r="V411" s="6">
        <f>[1]Emissions!U876</f>
        <v>7.8934171949999996</v>
      </c>
      <c r="W411" s="6">
        <f>[1]Emissions!V876</f>
        <v>7.8308452070000003</v>
      </c>
      <c r="X411" s="6">
        <f>[1]Emissions!W876</f>
        <v>7.763750484</v>
      </c>
      <c r="Y411" s="6">
        <f>[1]Emissions!X876</f>
        <v>7.6914769789999999</v>
      </c>
      <c r="Z411" s="6">
        <f>[1]Emissions!Y876</f>
        <v>7.6116136589999996</v>
      </c>
      <c r="AA411" s="6">
        <f>[1]Emissions!Z876</f>
        <v>7.520035773</v>
      </c>
      <c r="AB411" s="6">
        <f>[1]Emissions!AA876</f>
        <v>7.4071666619999998</v>
      </c>
      <c r="AC411" s="6">
        <f>[1]Emissions!AB876</f>
        <v>7.2719692919999996</v>
      </c>
      <c r="AD411" s="6">
        <f>[1]Emissions!AC876</f>
        <v>7.1064039479999996</v>
      </c>
      <c r="AE411" s="6">
        <f>[1]Emissions!AD876</f>
        <v>6.8983518269999999</v>
      </c>
      <c r="AF411" s="6">
        <f>[1]Emissions!AE876</f>
        <v>6.630225416</v>
      </c>
      <c r="AG411" s="6">
        <f>[1]Emissions!AF876</f>
        <v>6.2786490410000004</v>
      </c>
      <c r="AH411" s="6">
        <f>[1]Emissions!AG876</f>
        <v>5.8136859809999999</v>
      </c>
      <c r="AI411" s="6">
        <f>[1]Emissions!AH876</f>
        <v>5.1954900080000002</v>
      </c>
      <c r="AJ411" s="6">
        <f>[1]Emissions!AI876</f>
        <v>4.3678922020000002</v>
      </c>
      <c r="AK411" s="6">
        <f>[1]Emissions!AJ876</f>
        <v>3.2483455330000002</v>
      </c>
      <c r="AL411" s="6">
        <f>[1]Emissions!AK876</f>
        <v>1.706019248</v>
      </c>
    </row>
    <row r="412" spans="2:38" x14ac:dyDescent="0.35">
      <c r="B412" s="6" t="str">
        <f>[1]Emissions!A878</f>
        <v>ems_ci_co2_sech_2</v>
      </c>
      <c r="C412" s="6">
        <f>[1]Emissions!B878</f>
        <v>9.6588429310000006</v>
      </c>
      <c r="D412" s="6">
        <f>[1]Emissions!C878</f>
        <v>9.7598489199999996</v>
      </c>
      <c r="E412" s="6">
        <f>[1]Emissions!D878</f>
        <v>9.8502590380000008</v>
      </c>
      <c r="F412" s="6">
        <f>[1]Emissions!E878</f>
        <v>9.9402046219999995</v>
      </c>
      <c r="G412" s="6">
        <f>[1]Emissions!F878</f>
        <v>10.02255703</v>
      </c>
      <c r="H412" s="6">
        <f>[1]Emissions!G878</f>
        <v>10.109312020000001</v>
      </c>
      <c r="I412" s="6">
        <f>[1]Emissions!H878</f>
        <v>10.19978691</v>
      </c>
      <c r="J412" s="6">
        <f>[1]Emissions!I878</f>
        <v>10.227679159999999</v>
      </c>
      <c r="K412" s="6">
        <f>[1]Emissions!J878</f>
        <v>10.27672143</v>
      </c>
      <c r="L412" s="6">
        <f>[1]Emissions!K878</f>
        <v>10.355594010000001</v>
      </c>
      <c r="M412" s="6">
        <f>[1]Emissions!L878</f>
        <v>10.45397069</v>
      </c>
      <c r="N412" s="6">
        <f>[1]Emissions!M878</f>
        <v>10.536794390000001</v>
      </c>
      <c r="O412" s="6">
        <f>[1]Emissions!N878</f>
        <v>10.6091066</v>
      </c>
      <c r="P412" s="6">
        <f>[1]Emissions!O878</f>
        <v>10.671684219999999</v>
      </c>
      <c r="Q412" s="6">
        <f>[1]Emissions!P878</f>
        <v>10.729456900000001</v>
      </c>
      <c r="R412" s="6">
        <f>[1]Emissions!Q878</f>
        <v>10.7864016</v>
      </c>
      <c r="S412" s="6">
        <f>[1]Emissions!R878</f>
        <v>10.844084090000001</v>
      </c>
      <c r="T412" s="6">
        <f>[1]Emissions!S878</f>
        <v>10.9038229</v>
      </c>
      <c r="U412" s="6">
        <f>[1]Emissions!T878</f>
        <v>10.96720264</v>
      </c>
      <c r="V412" s="6">
        <f>[1]Emissions!U878</f>
        <v>11.037545059999999</v>
      </c>
      <c r="W412" s="6">
        <f>[1]Emissions!V878</f>
        <v>11.11464466</v>
      </c>
      <c r="X412" s="6">
        <f>[1]Emissions!W878</f>
        <v>11.21048021</v>
      </c>
      <c r="Y412" s="6">
        <f>[1]Emissions!X878</f>
        <v>11.330009759999999</v>
      </c>
      <c r="Z412" s="6">
        <f>[1]Emissions!Y878</f>
        <v>11.477722460000001</v>
      </c>
      <c r="AA412" s="6">
        <f>[1]Emissions!Z878</f>
        <v>11.65812523</v>
      </c>
      <c r="AB412" s="6">
        <f>[1]Emissions!AA878</f>
        <v>11.86428585</v>
      </c>
      <c r="AC412" s="6">
        <f>[1]Emissions!AB878</f>
        <v>12.11660915</v>
      </c>
      <c r="AD412" s="6">
        <f>[1]Emissions!AC878</f>
        <v>12.42430641</v>
      </c>
      <c r="AE412" s="6">
        <f>[1]Emissions!AD878</f>
        <v>12.796364410000001</v>
      </c>
      <c r="AF412" s="6">
        <f>[1]Emissions!AE878</f>
        <v>13.241851329999999</v>
      </c>
      <c r="AG412" s="6">
        <f>[1]Emissions!AF878</f>
        <v>13.77174991</v>
      </c>
      <c r="AH412" s="6">
        <f>[1]Emissions!AG878</f>
        <v>14.40216607</v>
      </c>
      <c r="AI412" s="6">
        <f>[1]Emissions!AH878</f>
        <v>15.15671281</v>
      </c>
      <c r="AJ412" s="6">
        <f>[1]Emissions!AI878</f>
        <v>16.06916348</v>
      </c>
      <c r="AK412" s="6">
        <f>[1]Emissions!AJ878</f>
        <v>17.189282980000002</v>
      </c>
      <c r="AL412" s="6">
        <f>[1]Emissions!AK878</f>
        <v>18.59285779</v>
      </c>
    </row>
    <row r="413" spans="2:38" x14ac:dyDescent="0.35">
      <c r="B413" s="6" t="str">
        <f>[1]Emissions!A880</f>
        <v>ems_ci_co2_seot_2</v>
      </c>
      <c r="C413" s="6">
        <f>[1]Emissions!B880</f>
        <v>1.3202878659999999</v>
      </c>
      <c r="D413" s="6">
        <f>[1]Emissions!C880</f>
        <v>1.330655862</v>
      </c>
      <c r="E413" s="6">
        <f>[1]Emissions!D880</f>
        <v>1.337962995</v>
      </c>
      <c r="F413" s="6">
        <f>[1]Emissions!E880</f>
        <v>1.344078085</v>
      </c>
      <c r="G413" s="6">
        <f>[1]Emissions!F880</f>
        <v>1.3505038060000001</v>
      </c>
      <c r="H413" s="6">
        <f>[1]Emissions!G880</f>
        <v>1.3582849429999999</v>
      </c>
      <c r="I413" s="6">
        <f>[1]Emissions!H880</f>
        <v>1.367391252</v>
      </c>
      <c r="J413" s="6">
        <f>[1]Emissions!I880</f>
        <v>1.37376871</v>
      </c>
      <c r="K413" s="6">
        <f>[1]Emissions!J880</f>
        <v>1.3824845560000001</v>
      </c>
      <c r="L413" s="6">
        <f>[1]Emissions!K880</f>
        <v>1.3938393710000001</v>
      </c>
      <c r="M413" s="6">
        <f>[1]Emissions!L880</f>
        <v>1.403993112</v>
      </c>
      <c r="N413" s="6">
        <f>[1]Emissions!M880</f>
        <v>1.411458933</v>
      </c>
      <c r="O413" s="6">
        <f>[1]Emissions!N880</f>
        <v>1.417281139</v>
      </c>
      <c r="P413" s="6">
        <f>[1]Emissions!O880</f>
        <v>1.4223068679999999</v>
      </c>
      <c r="Q413" s="6">
        <f>[1]Emissions!P880</f>
        <v>1.4280786190000001</v>
      </c>
      <c r="R413" s="6">
        <f>[1]Emissions!Q880</f>
        <v>1.435523492</v>
      </c>
      <c r="S413" s="6">
        <f>[1]Emissions!R880</f>
        <v>1.4436321700000001</v>
      </c>
      <c r="T413" s="6">
        <f>[1]Emissions!S880</f>
        <v>1.4535330900000001</v>
      </c>
      <c r="U413" s="6">
        <f>[1]Emissions!T880</f>
        <v>1.465472696</v>
      </c>
      <c r="V413" s="6">
        <f>[1]Emissions!U880</f>
        <v>1.479743246</v>
      </c>
      <c r="W413" s="6">
        <f>[1]Emissions!V880</f>
        <v>1.4964860600000001</v>
      </c>
      <c r="X413" s="6">
        <f>[1]Emissions!W880</f>
        <v>1.516709884</v>
      </c>
      <c r="Y413" s="6">
        <f>[1]Emissions!X880</f>
        <v>1.541090938</v>
      </c>
      <c r="Z413" s="6">
        <f>[1]Emissions!Y880</f>
        <v>1.5701741739999999</v>
      </c>
      <c r="AA413" s="6">
        <f>[1]Emissions!Z880</f>
        <v>1.6044223179999999</v>
      </c>
      <c r="AB413" s="6">
        <f>[1]Emissions!AA880</f>
        <v>1.643442928</v>
      </c>
      <c r="AC413" s="6">
        <f>[1]Emissions!AB880</f>
        <v>1.6891248640000001</v>
      </c>
      <c r="AD413" s="6">
        <f>[1]Emissions!AC880</f>
        <v>1.7425343929999999</v>
      </c>
      <c r="AE413" s="6">
        <f>[1]Emissions!AD880</f>
        <v>1.804679111</v>
      </c>
      <c r="AF413" s="6">
        <f>[1]Emissions!AE880</f>
        <v>1.8764101310000001</v>
      </c>
      <c r="AG413" s="6">
        <f>[1]Emissions!AF880</f>
        <v>1.9586957920000001</v>
      </c>
      <c r="AH413" s="6">
        <f>[1]Emissions!AG880</f>
        <v>2.053111441</v>
      </c>
      <c r="AI413" s="6">
        <f>[1]Emissions!AH880</f>
        <v>2.1621513409999999</v>
      </c>
      <c r="AJ413" s="6">
        <f>[1]Emissions!AI880</f>
        <v>2.2894062220000002</v>
      </c>
      <c r="AK413" s="6">
        <f>[1]Emissions!AJ880</f>
        <v>2.4401851450000001</v>
      </c>
      <c r="AL413" s="6">
        <f>[1]Emissions!AK880</f>
        <v>2.6226089049999999</v>
      </c>
    </row>
    <row r="414" spans="2:38" x14ac:dyDescent="0.35">
      <c r="B414" s="6" t="str">
        <f>[1]Emissions!A882</f>
        <v>ems_y_co2_sagr_2</v>
      </c>
      <c r="C414" s="6">
        <f>[1]Emissions!B882</f>
        <v>2.7534944400000001E-2</v>
      </c>
      <c r="D414" s="6">
        <f>[1]Emissions!C882</f>
        <v>2.7853943799999999E-2</v>
      </c>
      <c r="E414" s="6">
        <f>[1]Emissions!D882</f>
        <v>2.82198756E-2</v>
      </c>
      <c r="F414" s="6">
        <f>[1]Emissions!E882</f>
        <v>2.8637517899999999E-2</v>
      </c>
      <c r="G414" s="6">
        <f>[1]Emissions!F882</f>
        <v>2.9095658699999999E-2</v>
      </c>
      <c r="H414" s="6">
        <f>[1]Emissions!G882</f>
        <v>2.9591995199999999E-2</v>
      </c>
      <c r="I414" s="6">
        <f>[1]Emissions!H882</f>
        <v>3.0113441099999999E-2</v>
      </c>
      <c r="J414" s="6">
        <f>[1]Emissions!I882</f>
        <v>3.0540488300000002E-2</v>
      </c>
      <c r="K414" s="6">
        <f>[1]Emissions!J882</f>
        <v>3.0955726199999999E-2</v>
      </c>
      <c r="L414" s="6">
        <f>[1]Emissions!K882</f>
        <v>3.1506444500000001E-2</v>
      </c>
      <c r="M414" s="6">
        <f>[1]Emissions!L882</f>
        <v>3.2091050199999999E-2</v>
      </c>
      <c r="N414" s="6">
        <f>[1]Emissions!M882</f>
        <v>3.2674880900000002E-2</v>
      </c>
      <c r="O414" s="6">
        <f>[1]Emissions!N882</f>
        <v>3.3247895499999999E-2</v>
      </c>
      <c r="P414" s="6">
        <f>[1]Emissions!O882</f>
        <v>3.3791045700000001E-2</v>
      </c>
      <c r="Q414" s="6">
        <f>[1]Emissions!P882</f>
        <v>3.4323328600000001E-2</v>
      </c>
      <c r="R414" s="6">
        <f>[1]Emissions!Q882</f>
        <v>3.4855724099999999E-2</v>
      </c>
      <c r="S414" s="6">
        <f>[1]Emissions!R882</f>
        <v>3.5400889099999999E-2</v>
      </c>
      <c r="T414" s="6">
        <f>[1]Emissions!S882</f>
        <v>3.5960884300000003E-2</v>
      </c>
      <c r="U414" s="6">
        <f>[1]Emissions!T882</f>
        <v>3.6546032300000003E-2</v>
      </c>
      <c r="V414" s="6">
        <f>[1]Emissions!U882</f>
        <v>3.7164840800000001E-2</v>
      </c>
      <c r="W414" s="6">
        <f>[1]Emissions!V882</f>
        <v>3.7817068600000003E-2</v>
      </c>
      <c r="X414" s="6">
        <f>[1]Emissions!W882</f>
        <v>3.8521383200000002E-2</v>
      </c>
      <c r="Y414" s="6">
        <f>[1]Emissions!X882</f>
        <v>3.9287235099999998E-2</v>
      </c>
      <c r="Z414" s="6">
        <f>[1]Emissions!Y882</f>
        <v>4.0121490599999997E-2</v>
      </c>
      <c r="AA414" s="6">
        <f>[1]Emissions!Z882</f>
        <v>4.1026845899999997E-2</v>
      </c>
      <c r="AB414" s="6">
        <f>[1]Emissions!AA882</f>
        <v>4.1980126299999997E-2</v>
      </c>
      <c r="AC414" s="6">
        <f>[1]Emissions!AB882</f>
        <v>4.2997305399999998E-2</v>
      </c>
      <c r="AD414" s="6">
        <f>[1]Emissions!AC882</f>
        <v>4.4094951100000002E-2</v>
      </c>
      <c r="AE414" s="6">
        <f>[1]Emissions!AD882</f>
        <v>4.5279679400000002E-2</v>
      </c>
      <c r="AF414" s="6">
        <f>[1]Emissions!AE882</f>
        <v>4.6548380200000003E-2</v>
      </c>
      <c r="AG414" s="6">
        <f>[1]Emissions!AF882</f>
        <v>4.7892315300000002E-2</v>
      </c>
      <c r="AH414" s="6">
        <f>[1]Emissions!AG882</f>
        <v>4.9302952099999998E-2</v>
      </c>
      <c r="AI414" s="6">
        <f>[1]Emissions!AH882</f>
        <v>5.07735359E-2</v>
      </c>
      <c r="AJ414" s="6">
        <f>[1]Emissions!AI882</f>
        <v>5.2298311799999997E-2</v>
      </c>
      <c r="AK414" s="6">
        <f>[1]Emissions!AJ882</f>
        <v>5.38726619E-2</v>
      </c>
      <c r="AL414" s="6">
        <f>[1]Emissions!AK882</f>
        <v>5.54936626E-2</v>
      </c>
    </row>
    <row r="415" spans="2:38" x14ac:dyDescent="0.35">
      <c r="B415" s="6" t="str">
        <f>[1]Emissions!A883</f>
        <v>ems_mat_co2_spub_2</v>
      </c>
      <c r="C415" s="6">
        <f>[1]Emissions!B883</f>
        <v>4.2805170859999997</v>
      </c>
      <c r="D415" s="6">
        <f>[1]Emissions!C883</f>
        <v>4.3400538729999996</v>
      </c>
      <c r="E415" s="6">
        <f>[1]Emissions!D883</f>
        <v>4.4053963019999998</v>
      </c>
      <c r="F415" s="6">
        <f>[1]Emissions!E883</f>
        <v>4.473613018</v>
      </c>
      <c r="G415" s="6">
        <f>[1]Emissions!F883</f>
        <v>4.5440708680000004</v>
      </c>
      <c r="H415" s="6">
        <f>[1]Emissions!G883</f>
        <v>4.6165966559999996</v>
      </c>
      <c r="I415" s="6">
        <f>[1]Emissions!H883</f>
        <v>4.687804152</v>
      </c>
      <c r="J415" s="6">
        <f>[1]Emissions!I883</f>
        <v>4.7591992840000001</v>
      </c>
      <c r="K415" s="6">
        <f>[1]Emissions!J883</f>
        <v>4.8317331039999996</v>
      </c>
      <c r="L415" s="6">
        <f>[1]Emissions!K883</f>
        <v>4.9089306940000004</v>
      </c>
      <c r="M415" s="6">
        <f>[1]Emissions!L883</f>
        <v>4.995142714</v>
      </c>
      <c r="N415" s="6">
        <f>[1]Emissions!M883</f>
        <v>5.0782150809999997</v>
      </c>
      <c r="O415" s="6">
        <f>[1]Emissions!N883</f>
        <v>5.1619909640000001</v>
      </c>
      <c r="P415" s="6">
        <f>[1]Emissions!O883</f>
        <v>5.2463555030000002</v>
      </c>
      <c r="Q415" s="6">
        <f>[1]Emissions!P883</f>
        <v>5.3316048309999999</v>
      </c>
      <c r="R415" s="6">
        <f>[1]Emissions!Q883</f>
        <v>5.4180877140000003</v>
      </c>
      <c r="S415" s="6">
        <f>[1]Emissions!R883</f>
        <v>5.5061301619999998</v>
      </c>
      <c r="T415" s="6">
        <f>[1]Emissions!S883</f>
        <v>5.5961633009999998</v>
      </c>
      <c r="U415" s="6">
        <f>[1]Emissions!T883</f>
        <v>5.6886362610000001</v>
      </c>
      <c r="V415" s="6">
        <f>[1]Emissions!U883</f>
        <v>5.7839353820000001</v>
      </c>
      <c r="W415" s="6">
        <f>[1]Emissions!V883</f>
        <v>5.8778974460000004</v>
      </c>
      <c r="X415" s="6">
        <f>[1]Emissions!W883</f>
        <v>5.9790974339999998</v>
      </c>
      <c r="Y415" s="6">
        <f>[1]Emissions!X883</f>
        <v>6.0846768549999997</v>
      </c>
      <c r="Z415" s="6">
        <f>[1]Emissions!Y883</f>
        <v>6.1945635240000003</v>
      </c>
      <c r="AA415" s="6">
        <f>[1]Emissions!Z883</f>
        <v>6.3089349099999996</v>
      </c>
      <c r="AB415" s="6">
        <f>[1]Emissions!AA883</f>
        <v>6.4147460179999998</v>
      </c>
      <c r="AC415" s="6">
        <f>[1]Emissions!AB883</f>
        <v>6.529999932</v>
      </c>
      <c r="AD415" s="6">
        <f>[1]Emissions!AC883</f>
        <v>6.6506566920000001</v>
      </c>
      <c r="AE415" s="6">
        <f>[1]Emissions!AD883</f>
        <v>6.7765364689999998</v>
      </c>
      <c r="AF415" s="6">
        <f>[1]Emissions!AE883</f>
        <v>6.9077503250000003</v>
      </c>
      <c r="AG415" s="6">
        <f>[1]Emissions!AF883</f>
        <v>7.0443041769999999</v>
      </c>
      <c r="AH415" s="6">
        <f>[1]Emissions!AG883</f>
        <v>7.1861756999999997</v>
      </c>
      <c r="AI415" s="6">
        <f>[1]Emissions!AH883</f>
        <v>7.3334091519999998</v>
      </c>
      <c r="AJ415" s="6">
        <f>[1]Emissions!AI883</f>
        <v>7.4861850429999999</v>
      </c>
      <c r="AK415" s="6">
        <f>[1]Emissions!AJ883</f>
        <v>7.6448732369999997</v>
      </c>
      <c r="AL415" s="6">
        <f>[1]Emissions!AK883</f>
        <v>7.810123302</v>
      </c>
    </row>
    <row r="416" spans="2:38" x14ac:dyDescent="0.35">
      <c r="B416" s="6" t="str">
        <f>[1]Emissions!A884</f>
        <v>ems_mat_co2_sgla_2</v>
      </c>
      <c r="C416" s="6">
        <f>[1]Emissions!B884</f>
        <v>10.94636216</v>
      </c>
      <c r="D416" s="6">
        <f>[1]Emissions!C884</f>
        <v>11.09220142</v>
      </c>
      <c r="E416" s="6">
        <f>[1]Emissions!D884</f>
        <v>11.25239629</v>
      </c>
      <c r="F416" s="6">
        <f>[1]Emissions!E884</f>
        <v>11.42215493</v>
      </c>
      <c r="G416" s="6">
        <f>[1]Emissions!F884</f>
        <v>11.60599584</v>
      </c>
      <c r="H416" s="6">
        <f>[1]Emissions!G884</f>
        <v>11.805773329999999</v>
      </c>
      <c r="I416" s="6">
        <f>[1]Emissions!H884</f>
        <v>12.018504099999999</v>
      </c>
      <c r="J416" s="6">
        <f>[1]Emissions!I884</f>
        <v>12.174593460000001</v>
      </c>
      <c r="K416" s="6">
        <f>[1]Emissions!J884</f>
        <v>12.30787239</v>
      </c>
      <c r="L416" s="6">
        <f>[1]Emissions!K884</f>
        <v>12.47121585</v>
      </c>
      <c r="M416" s="6">
        <f>[1]Emissions!L884</f>
        <v>12.645632790000001</v>
      </c>
      <c r="N416" s="6">
        <f>[1]Emissions!M884</f>
        <v>12.829745969999999</v>
      </c>
      <c r="O416" s="6">
        <f>[1]Emissions!N884</f>
        <v>13.02101028</v>
      </c>
      <c r="P416" s="6">
        <f>[1]Emissions!O884</f>
        <v>13.21397243</v>
      </c>
      <c r="Q416" s="6">
        <f>[1]Emissions!P884</f>
        <v>13.41379549</v>
      </c>
      <c r="R416" s="6">
        <f>[1]Emissions!Q884</f>
        <v>13.624650600000001</v>
      </c>
      <c r="S416" s="6">
        <f>[1]Emissions!R884</f>
        <v>13.848593899999999</v>
      </c>
      <c r="T416" s="6">
        <f>[1]Emissions!S884</f>
        <v>14.08262068</v>
      </c>
      <c r="U416" s="6">
        <f>[1]Emissions!T884</f>
        <v>14.330431089999999</v>
      </c>
      <c r="V416" s="6">
        <f>[1]Emissions!U884</f>
        <v>14.59606453</v>
      </c>
      <c r="W416" s="6">
        <f>[1]Emissions!V884</f>
        <v>14.8808474</v>
      </c>
      <c r="X416" s="6">
        <f>[1]Emissions!W884</f>
        <v>15.19156181</v>
      </c>
      <c r="Y416" s="6">
        <f>[1]Emissions!X884</f>
        <v>15.532599680000001</v>
      </c>
      <c r="Z416" s="6">
        <f>[1]Emissions!Y884</f>
        <v>15.90698838</v>
      </c>
      <c r="AA416" s="6">
        <f>[1]Emissions!Z884</f>
        <v>16.31645906</v>
      </c>
      <c r="AB416" s="6">
        <f>[1]Emissions!AA884</f>
        <v>16.754633699999999</v>
      </c>
      <c r="AC416" s="6">
        <f>[1]Emissions!AB884</f>
        <v>17.226176209999998</v>
      </c>
      <c r="AD416" s="6">
        <f>[1]Emissions!AC884</f>
        <v>17.73926651</v>
      </c>
      <c r="AE416" s="6">
        <f>[1]Emissions!AD884</f>
        <v>18.297841640000001</v>
      </c>
      <c r="AF416" s="6">
        <f>[1]Emissions!AE884</f>
        <v>18.90326834</v>
      </c>
      <c r="AG416" s="6">
        <f>[1]Emissions!AF884</f>
        <v>19.556292590000002</v>
      </c>
      <c r="AH416" s="6">
        <f>[1]Emissions!AG884</f>
        <v>20.259663620000001</v>
      </c>
      <c r="AI416" s="6">
        <f>[1]Emissions!AH884</f>
        <v>21.019030040000001</v>
      </c>
      <c r="AJ416" s="6">
        <f>[1]Emissions!AI884</f>
        <v>21.842870390000002</v>
      </c>
      <c r="AK416" s="6">
        <f>[1]Emissions!AJ884</f>
        <v>22.744332700000001</v>
      </c>
      <c r="AL416" s="6">
        <f>[1]Emissions!AK884</f>
        <v>23.744114960000001</v>
      </c>
    </row>
    <row r="418" spans="1:38" x14ac:dyDescent="0.35">
      <c r="A418" s="12" t="s">
        <v>92</v>
      </c>
      <c r="B418" t="s">
        <v>7</v>
      </c>
      <c r="C418" s="6">
        <f>C388+C389+C414</f>
        <v>14.7366769707</v>
      </c>
      <c r="D418" s="6">
        <f t="shared" ref="D418:AL418" si="76">D388+D389+D414</f>
        <v>14.7898212126</v>
      </c>
      <c r="E418" s="6">
        <f t="shared" si="76"/>
        <v>14.844093263</v>
      </c>
      <c r="F418" s="6">
        <f t="shared" si="76"/>
        <v>14.889517138900001</v>
      </c>
      <c r="G418" s="6">
        <f t="shared" si="76"/>
        <v>14.998429520899998</v>
      </c>
      <c r="H418" s="6">
        <f t="shared" si="76"/>
        <v>15.161853579300001</v>
      </c>
      <c r="I418" s="6">
        <f t="shared" si="76"/>
        <v>15.361565178199999</v>
      </c>
      <c r="J418" s="6">
        <f t="shared" si="76"/>
        <v>14.780101893299999</v>
      </c>
      <c r="K418" s="6">
        <f t="shared" si="76"/>
        <v>14.142906294400001</v>
      </c>
      <c r="L418" s="6">
        <f t="shared" si="76"/>
        <v>13.553176608799999</v>
      </c>
      <c r="M418" s="6">
        <f t="shared" si="76"/>
        <v>12.990084337100001</v>
      </c>
      <c r="N418" s="6">
        <f t="shared" si="76"/>
        <v>12.4889656014</v>
      </c>
      <c r="O418" s="6">
        <f t="shared" si="76"/>
        <v>12.028185478900001</v>
      </c>
      <c r="P418" s="6">
        <f t="shared" si="76"/>
        <v>11.587385452199999</v>
      </c>
      <c r="Q418" s="6">
        <f t="shared" si="76"/>
        <v>11.1626532531</v>
      </c>
      <c r="R418" s="6">
        <f t="shared" si="76"/>
        <v>10.750742633</v>
      </c>
      <c r="S418" s="6">
        <f t="shared" si="76"/>
        <v>10.333434989200001</v>
      </c>
      <c r="T418" s="6">
        <f t="shared" si="76"/>
        <v>9.9152724648999992</v>
      </c>
      <c r="U418" s="6">
        <f t="shared" si="76"/>
        <v>9.5007172729999994</v>
      </c>
      <c r="V418" s="6">
        <f t="shared" si="76"/>
        <v>9.092201434799998</v>
      </c>
      <c r="W418" s="6">
        <f t="shared" si="76"/>
        <v>8.6890844832000003</v>
      </c>
      <c r="X418" s="6">
        <f t="shared" si="76"/>
        <v>8.2937019040000006</v>
      </c>
      <c r="Y418" s="6">
        <f t="shared" si="76"/>
        <v>7.9056441632999999</v>
      </c>
      <c r="Z418" s="6">
        <f t="shared" si="76"/>
        <v>7.5230161073000001</v>
      </c>
      <c r="AA418" s="6">
        <f t="shared" si="76"/>
        <v>7.1426735605000005</v>
      </c>
      <c r="AB418" s="6">
        <f t="shared" si="76"/>
        <v>6.7572921747000008</v>
      </c>
      <c r="AC418" s="6">
        <f t="shared" si="76"/>
        <v>6.3654710019999996</v>
      </c>
      <c r="AD418" s="6">
        <f t="shared" si="76"/>
        <v>5.9650095698000003</v>
      </c>
      <c r="AE418" s="6">
        <f t="shared" si="76"/>
        <v>5.5511790803999999</v>
      </c>
      <c r="AF418" s="6">
        <f t="shared" si="76"/>
        <v>5.1172247677999998</v>
      </c>
      <c r="AG418" s="6">
        <f t="shared" si="76"/>
        <v>4.6554215543000002</v>
      </c>
      <c r="AH418" s="6">
        <f t="shared" si="76"/>
        <v>4.1578554432999999</v>
      </c>
      <c r="AI418" s="6">
        <f t="shared" si="76"/>
        <v>3.6163068599999999</v>
      </c>
      <c r="AJ418" s="6">
        <f t="shared" si="76"/>
        <v>3.0217488579</v>
      </c>
      <c r="AK418" s="6">
        <f t="shared" si="76"/>
        <v>2.3638571962999997</v>
      </c>
      <c r="AL418" s="6">
        <f t="shared" si="76"/>
        <v>1.6301781918</v>
      </c>
    </row>
    <row r="419" spans="1:38" x14ac:dyDescent="0.35">
      <c r="A419" t="s">
        <v>39</v>
      </c>
      <c r="B419" t="s">
        <v>64</v>
      </c>
      <c r="C419" s="6">
        <f>C390</f>
        <v>8.6183733500000006</v>
      </c>
      <c r="D419" s="6">
        <f t="shared" ref="D419:AL419" si="77">D390</f>
        <v>8.5640454179999992</v>
      </c>
      <c r="E419" s="6">
        <f t="shared" si="77"/>
        <v>8.5042083480000006</v>
      </c>
      <c r="F419" s="6">
        <f t="shared" si="77"/>
        <v>8.4237236909999993</v>
      </c>
      <c r="G419" s="6">
        <f t="shared" si="77"/>
        <v>8.4083141959999992</v>
      </c>
      <c r="H419" s="6">
        <f t="shared" si="77"/>
        <v>8.4438744089999993</v>
      </c>
      <c r="I419" s="6">
        <f t="shared" si="77"/>
        <v>8.5225389299999996</v>
      </c>
      <c r="J419" s="6">
        <f t="shared" si="77"/>
        <v>8.1257382549999999</v>
      </c>
      <c r="K419" s="6">
        <f t="shared" si="77"/>
        <v>7.6988976530000004</v>
      </c>
      <c r="L419" s="6">
        <f t="shared" si="77"/>
        <v>7.3047689279999997</v>
      </c>
      <c r="M419" s="6">
        <f t="shared" si="77"/>
        <v>6.9432916459999996</v>
      </c>
      <c r="N419" s="6">
        <f t="shared" si="77"/>
        <v>6.6514410939999999</v>
      </c>
      <c r="O419" s="6">
        <f t="shared" si="77"/>
        <v>6.40694754</v>
      </c>
      <c r="P419" s="6">
        <f t="shared" si="77"/>
        <v>6.1911001749999999</v>
      </c>
      <c r="Q419" s="6">
        <f t="shared" si="77"/>
        <v>5.9952467389999997</v>
      </c>
      <c r="R419" s="6">
        <f t="shared" si="77"/>
        <v>5.813724391</v>
      </c>
      <c r="S419" s="6">
        <f t="shared" si="77"/>
        <v>5.6258713519999999</v>
      </c>
      <c r="T419" s="6">
        <f t="shared" si="77"/>
        <v>5.4362032429999996</v>
      </c>
      <c r="U419" s="6">
        <f t="shared" si="77"/>
        <v>5.249196617</v>
      </c>
      <c r="V419" s="6">
        <f t="shared" si="77"/>
        <v>5.0679026939999998</v>
      </c>
      <c r="W419" s="6">
        <f t="shared" si="77"/>
        <v>4.8930773380000003</v>
      </c>
      <c r="X419" s="6">
        <f t="shared" si="77"/>
        <v>4.7273514209999998</v>
      </c>
      <c r="Y419" s="6">
        <f t="shared" si="77"/>
        <v>4.5711604919999997</v>
      </c>
      <c r="Z419" s="6">
        <f t="shared" si="77"/>
        <v>4.4240860279999996</v>
      </c>
      <c r="AA419" s="6">
        <f t="shared" si="77"/>
        <v>4.2850493180000004</v>
      </c>
      <c r="AB419" s="6">
        <f t="shared" si="77"/>
        <v>4.1499484549999996</v>
      </c>
      <c r="AC419" s="6">
        <f t="shared" si="77"/>
        <v>4.0190245090000003</v>
      </c>
      <c r="AD419" s="6">
        <f t="shared" si="77"/>
        <v>3.8917183180000001</v>
      </c>
      <c r="AE419" s="6">
        <f t="shared" si="77"/>
        <v>3.7658118819999999</v>
      </c>
      <c r="AF419" s="6">
        <f t="shared" si="77"/>
        <v>3.637867054</v>
      </c>
      <c r="AG419" s="6">
        <f t="shared" si="77"/>
        <v>3.5036885710000001</v>
      </c>
      <c r="AH419" s="6">
        <f t="shared" si="77"/>
        <v>3.3587346949999999</v>
      </c>
      <c r="AI419" s="6">
        <f t="shared" si="77"/>
        <v>3.1980081829999998</v>
      </c>
      <c r="AJ419" s="6">
        <f t="shared" si="77"/>
        <v>3.0156398059999998</v>
      </c>
      <c r="AK419" s="6">
        <f t="shared" si="77"/>
        <v>2.8045494789999998</v>
      </c>
      <c r="AL419" s="6">
        <f t="shared" si="77"/>
        <v>2.555740031</v>
      </c>
    </row>
    <row r="420" spans="1:38" x14ac:dyDescent="0.35">
      <c r="B420" t="s">
        <v>65</v>
      </c>
      <c r="C420" s="6">
        <f>C392+C416</f>
        <v>18.715958522999998</v>
      </c>
      <c r="D420" s="6">
        <f t="shared" ref="D420:AL420" si="78">D392+D416</f>
        <v>18.896371653999999</v>
      </c>
      <c r="E420" s="6">
        <f t="shared" si="78"/>
        <v>19.089373238</v>
      </c>
      <c r="F420" s="6">
        <f t="shared" si="78"/>
        <v>19.277735628999999</v>
      </c>
      <c r="G420" s="6">
        <f t="shared" si="78"/>
        <v>19.514333665000002</v>
      </c>
      <c r="H420" s="6">
        <f t="shared" si="78"/>
        <v>19.797557743999999</v>
      </c>
      <c r="I420" s="6">
        <f t="shared" si="78"/>
        <v>20.118821224999998</v>
      </c>
      <c r="J420" s="6">
        <f t="shared" si="78"/>
        <v>20.086881153</v>
      </c>
      <c r="K420" s="6">
        <f t="shared" si="78"/>
        <v>19.996407676</v>
      </c>
      <c r="L420" s="6">
        <f t="shared" si="78"/>
        <v>19.955159930000001</v>
      </c>
      <c r="M420" s="6">
        <f t="shared" si="78"/>
        <v>19.940122879</v>
      </c>
      <c r="N420" s="6">
        <f t="shared" si="78"/>
        <v>19.975695617</v>
      </c>
      <c r="O420" s="6">
        <f t="shared" si="78"/>
        <v>20.048092858</v>
      </c>
      <c r="P420" s="6">
        <f t="shared" si="78"/>
        <v>20.140422354000002</v>
      </c>
      <c r="Q420" s="6">
        <f t="shared" si="78"/>
        <v>20.25464174</v>
      </c>
      <c r="R420" s="6">
        <f t="shared" si="78"/>
        <v>20.392791770000002</v>
      </c>
      <c r="S420" s="6">
        <f t="shared" si="78"/>
        <v>20.544162716999999</v>
      </c>
      <c r="T420" s="6">
        <f t="shared" si="78"/>
        <v>20.705923085999999</v>
      </c>
      <c r="U420" s="6">
        <f t="shared" si="78"/>
        <v>20.885120464</v>
      </c>
      <c r="V420" s="6">
        <f t="shared" si="78"/>
        <v>21.088516487</v>
      </c>
      <c r="W420" s="6">
        <f t="shared" si="78"/>
        <v>21.318392708000001</v>
      </c>
      <c r="X420" s="6">
        <f t="shared" si="78"/>
        <v>21.584361518000001</v>
      </c>
      <c r="Y420" s="6">
        <f t="shared" si="78"/>
        <v>21.892139053000001</v>
      </c>
      <c r="Z420" s="6">
        <f t="shared" si="78"/>
        <v>22.245134719999999</v>
      </c>
      <c r="AA420" s="6">
        <f t="shared" si="78"/>
        <v>22.644797232999998</v>
      </c>
      <c r="AB420" s="6">
        <f t="shared" si="78"/>
        <v>23.081396612999999</v>
      </c>
      <c r="AC420" s="6">
        <f t="shared" si="78"/>
        <v>23.560564373999998</v>
      </c>
      <c r="AD420" s="6">
        <f t="shared" si="78"/>
        <v>24.09241445</v>
      </c>
      <c r="AE420" s="6">
        <f t="shared" si="78"/>
        <v>24.680601258000003</v>
      </c>
      <c r="AF420" s="6">
        <f t="shared" si="78"/>
        <v>25.324947488999999</v>
      </c>
      <c r="AG420" s="6">
        <f t="shared" si="78"/>
        <v>26.024312079000001</v>
      </c>
      <c r="AH420" s="6">
        <f t="shared" si="78"/>
        <v>26.780187992000002</v>
      </c>
      <c r="AI420" s="6">
        <f t="shared" si="78"/>
        <v>27.597667985000001</v>
      </c>
      <c r="AJ420" s="6">
        <f t="shared" si="78"/>
        <v>28.484984676000003</v>
      </c>
      <c r="AK420" s="6">
        <f t="shared" si="78"/>
        <v>29.455780916000002</v>
      </c>
      <c r="AL420" s="6">
        <f t="shared" si="78"/>
        <v>30.532471018000003</v>
      </c>
    </row>
    <row r="421" spans="1:38" x14ac:dyDescent="0.35">
      <c r="B421" t="s">
        <v>66</v>
      </c>
      <c r="C421" s="6">
        <f>C394</f>
        <v>13.59787135</v>
      </c>
      <c r="D421" s="6">
        <f t="shared" ref="D421:AL421" si="79">D394</f>
        <v>13.7968312</v>
      </c>
      <c r="E421" s="6">
        <f t="shared" si="79"/>
        <v>14.00395033</v>
      </c>
      <c r="F421" s="6">
        <f t="shared" si="79"/>
        <v>14.209287079999999</v>
      </c>
      <c r="G421" s="6">
        <f t="shared" si="79"/>
        <v>14.430439700000001</v>
      </c>
      <c r="H421" s="6">
        <f t="shared" si="79"/>
        <v>14.667756539999999</v>
      </c>
      <c r="I421" s="6">
        <f t="shared" si="79"/>
        <v>14.91731878</v>
      </c>
      <c r="J421" s="6">
        <f t="shared" si="79"/>
        <v>14.83553895</v>
      </c>
      <c r="K421" s="6">
        <f t="shared" si="79"/>
        <v>14.73041439</v>
      </c>
      <c r="L421" s="6">
        <f t="shared" si="79"/>
        <v>14.72509065</v>
      </c>
      <c r="M421" s="6">
        <f t="shared" si="79"/>
        <v>14.721477869999999</v>
      </c>
      <c r="N421" s="6">
        <f t="shared" si="79"/>
        <v>14.7091525</v>
      </c>
      <c r="O421" s="6">
        <f t="shared" si="79"/>
        <v>14.67283978</v>
      </c>
      <c r="P421" s="6">
        <f t="shared" si="79"/>
        <v>14.601793280000001</v>
      </c>
      <c r="Q421" s="6">
        <f t="shared" si="79"/>
        <v>14.51813978</v>
      </c>
      <c r="R421" s="6">
        <f t="shared" si="79"/>
        <v>14.435484369999999</v>
      </c>
      <c r="S421" s="6">
        <f t="shared" si="79"/>
        <v>14.36187893</v>
      </c>
      <c r="T421" s="6">
        <f t="shared" si="79"/>
        <v>14.300248910000001</v>
      </c>
      <c r="U421" s="6">
        <f t="shared" si="79"/>
        <v>14.25630307</v>
      </c>
      <c r="V421" s="6">
        <f t="shared" si="79"/>
        <v>14.232211830000001</v>
      </c>
      <c r="W421" s="6">
        <f t="shared" si="79"/>
        <v>14.22777537</v>
      </c>
      <c r="X421" s="6">
        <f t="shared" si="79"/>
        <v>14.246744489999999</v>
      </c>
      <c r="Y421" s="6">
        <f t="shared" si="79"/>
        <v>14.29098125</v>
      </c>
      <c r="Z421" s="6">
        <f t="shared" si="79"/>
        <v>14.36010415</v>
      </c>
      <c r="AA421" s="6">
        <f t="shared" si="79"/>
        <v>14.451283330000001</v>
      </c>
      <c r="AB421" s="6">
        <f t="shared" si="79"/>
        <v>14.55742994</v>
      </c>
      <c r="AC421" s="6">
        <f t="shared" si="79"/>
        <v>14.68144932</v>
      </c>
      <c r="AD421" s="6">
        <f t="shared" si="79"/>
        <v>14.82783777</v>
      </c>
      <c r="AE421" s="6">
        <f t="shared" si="79"/>
        <v>14.994724959999999</v>
      </c>
      <c r="AF421" s="6">
        <f t="shared" si="79"/>
        <v>15.173731500000001</v>
      </c>
      <c r="AG421" s="6">
        <f t="shared" si="79"/>
        <v>15.354708499999999</v>
      </c>
      <c r="AH421" s="6">
        <f t="shared" si="79"/>
        <v>15.530471179999999</v>
      </c>
      <c r="AI421" s="6">
        <f t="shared" si="79"/>
        <v>15.696521369999999</v>
      </c>
      <c r="AJ421" s="6">
        <f t="shared" si="79"/>
        <v>15.848369030000001</v>
      </c>
      <c r="AK421" s="6">
        <f t="shared" si="79"/>
        <v>15.98168134</v>
      </c>
      <c r="AL421" s="6">
        <f t="shared" si="79"/>
        <v>16.09247697</v>
      </c>
    </row>
    <row r="422" spans="1:38" x14ac:dyDescent="0.35">
      <c r="B422" t="s">
        <v>67</v>
      </c>
      <c r="C422" s="6">
        <f>C396</f>
        <v>19.467183080000002</v>
      </c>
      <c r="D422" s="6">
        <f t="shared" ref="D422:AL422" si="80">D396</f>
        <v>19.469516500000001</v>
      </c>
      <c r="E422" s="6">
        <f t="shared" si="80"/>
        <v>19.45654906</v>
      </c>
      <c r="F422" s="6">
        <f t="shared" si="80"/>
        <v>19.363420489999999</v>
      </c>
      <c r="G422" s="6">
        <f t="shared" si="80"/>
        <v>19.401941709999999</v>
      </c>
      <c r="H422" s="6">
        <f t="shared" si="80"/>
        <v>19.541721160000002</v>
      </c>
      <c r="I422" s="6">
        <f t="shared" si="80"/>
        <v>19.749482480000001</v>
      </c>
      <c r="J422" s="6">
        <f t="shared" si="80"/>
        <v>19.065061440000001</v>
      </c>
      <c r="K422" s="6">
        <f t="shared" si="80"/>
        <v>18.289874990000001</v>
      </c>
      <c r="L422" s="6">
        <f t="shared" si="80"/>
        <v>17.648842670000001</v>
      </c>
      <c r="M422" s="6">
        <f t="shared" si="80"/>
        <v>17.064566939999999</v>
      </c>
      <c r="N422" s="6">
        <f t="shared" si="80"/>
        <v>16.631335709999998</v>
      </c>
      <c r="O422" s="6">
        <f t="shared" si="80"/>
        <v>16.286954860000002</v>
      </c>
      <c r="P422" s="6">
        <f t="shared" si="80"/>
        <v>15.987323050000001</v>
      </c>
      <c r="Q422" s="6">
        <f t="shared" si="80"/>
        <v>15.732629940000001</v>
      </c>
      <c r="R422" s="6">
        <f t="shared" si="80"/>
        <v>15.52252315</v>
      </c>
      <c r="S422" s="6">
        <f t="shared" si="80"/>
        <v>15.30312994</v>
      </c>
      <c r="T422" s="6">
        <f t="shared" si="80"/>
        <v>15.093944159999999</v>
      </c>
      <c r="U422" s="6">
        <f t="shared" si="80"/>
        <v>14.908651020000001</v>
      </c>
      <c r="V422" s="6">
        <f t="shared" si="80"/>
        <v>14.753597879999999</v>
      </c>
      <c r="W422" s="6">
        <f t="shared" si="80"/>
        <v>14.63092136</v>
      </c>
      <c r="X422" s="6">
        <f t="shared" si="80"/>
        <v>14.54424987</v>
      </c>
      <c r="Y422" s="6">
        <f t="shared" si="80"/>
        <v>14.49579437</v>
      </c>
      <c r="Z422" s="6">
        <f t="shared" si="80"/>
        <v>14.485106</v>
      </c>
      <c r="AA422" s="6">
        <f t="shared" si="80"/>
        <v>14.50952961</v>
      </c>
      <c r="AB422" s="6">
        <f t="shared" si="80"/>
        <v>14.56302062</v>
      </c>
      <c r="AC422" s="6">
        <f t="shared" si="80"/>
        <v>14.647092560000001</v>
      </c>
      <c r="AD422" s="6">
        <f t="shared" si="80"/>
        <v>14.76530612</v>
      </c>
      <c r="AE422" s="6">
        <f t="shared" si="80"/>
        <v>14.9157587</v>
      </c>
      <c r="AF422" s="6">
        <f t="shared" si="80"/>
        <v>15.09141397</v>
      </c>
      <c r="AG422" s="6">
        <f t="shared" si="80"/>
        <v>15.28407754</v>
      </c>
      <c r="AH422" s="6">
        <f t="shared" si="80"/>
        <v>15.488438739999999</v>
      </c>
      <c r="AI422" s="6">
        <f t="shared" si="80"/>
        <v>15.70190229</v>
      </c>
      <c r="AJ422" s="6">
        <f t="shared" si="80"/>
        <v>15.922468840000001</v>
      </c>
      <c r="AK422" s="6">
        <f t="shared" si="80"/>
        <v>16.149281599999998</v>
      </c>
      <c r="AL422" s="6">
        <f t="shared" si="80"/>
        <v>16.383259349999999</v>
      </c>
    </row>
    <row r="423" spans="1:38" x14ac:dyDescent="0.35">
      <c r="B423" t="s">
        <v>71</v>
      </c>
      <c r="C423" s="6">
        <f>C391+C393+C395+C397+C398+C399</f>
        <v>16.045023180000001</v>
      </c>
      <c r="D423" s="6">
        <f t="shared" ref="D423:AL423" si="81">D391+D393+D395+D397+D398+D399</f>
        <v>15.695718652</v>
      </c>
      <c r="E423" s="6">
        <f t="shared" si="81"/>
        <v>15.285172787</v>
      </c>
      <c r="F423" s="6">
        <f t="shared" si="81"/>
        <v>14.771720697999999</v>
      </c>
      <c r="G423" s="6">
        <f t="shared" si="81"/>
        <v>14.470280371000001</v>
      </c>
      <c r="H423" s="6">
        <f t="shared" si="81"/>
        <v>14.345648665900001</v>
      </c>
      <c r="I423" s="6">
        <f t="shared" si="81"/>
        <v>14.353372325600002</v>
      </c>
      <c r="J423" s="6">
        <f t="shared" si="81"/>
        <v>13.1775602141</v>
      </c>
      <c r="K423" s="6">
        <f t="shared" si="81"/>
        <v>11.9517241698</v>
      </c>
      <c r="L423" s="6">
        <f t="shared" si="81"/>
        <v>10.889604691899999</v>
      </c>
      <c r="M423" s="6">
        <f t="shared" si="81"/>
        <v>9.9785532669000006</v>
      </c>
      <c r="N423" s="6">
        <f t="shared" si="81"/>
        <v>9.2903920899999992</v>
      </c>
      <c r="O423" s="6">
        <f t="shared" si="81"/>
        <v>8.7468055146000001</v>
      </c>
      <c r="P423" s="6">
        <f t="shared" si="81"/>
        <v>8.2918022152000006</v>
      </c>
      <c r="Q423" s="6">
        <f t="shared" si="81"/>
        <v>7.9021826197000005</v>
      </c>
      <c r="R423" s="6">
        <f t="shared" si="81"/>
        <v>7.5629790160999999</v>
      </c>
      <c r="S423" s="6">
        <f t="shared" si="81"/>
        <v>7.228698529399999</v>
      </c>
      <c r="T423" s="6">
        <f t="shared" si="81"/>
        <v>6.9093107540999998</v>
      </c>
      <c r="U423" s="6">
        <f t="shared" si="81"/>
        <v>6.6113791291999995</v>
      </c>
      <c r="V423" s="6">
        <f t="shared" si="81"/>
        <v>6.3380558821000008</v>
      </c>
      <c r="W423" s="6">
        <f t="shared" si="81"/>
        <v>6.0898270617999994</v>
      </c>
      <c r="X423" s="6">
        <f t="shared" si="81"/>
        <v>5.8678593008000002</v>
      </c>
      <c r="Y423" s="6">
        <f t="shared" si="81"/>
        <v>5.6713967565000001</v>
      </c>
      <c r="Z423" s="6">
        <f t="shared" si="81"/>
        <v>5.4982049224000002</v>
      </c>
      <c r="AA423" s="6">
        <f t="shared" si="81"/>
        <v>5.3453277371999999</v>
      </c>
      <c r="AB423" s="6">
        <f t="shared" si="81"/>
        <v>5.2078629485000008</v>
      </c>
      <c r="AC423" s="6">
        <f t="shared" si="81"/>
        <v>5.0857750735000007</v>
      </c>
      <c r="AD423" s="6">
        <f t="shared" si="81"/>
        <v>4.9770252195999998</v>
      </c>
      <c r="AE423" s="6">
        <f t="shared" si="81"/>
        <v>4.8772552102000004</v>
      </c>
      <c r="AF423" s="6">
        <f t="shared" si="81"/>
        <v>4.7798071160999998</v>
      </c>
      <c r="AG423" s="6">
        <f t="shared" si="81"/>
        <v>4.6768915209999999</v>
      </c>
      <c r="AH423" s="6">
        <f t="shared" si="81"/>
        <v>4.5602444707000007</v>
      </c>
      <c r="AI423" s="6">
        <f t="shared" si="81"/>
        <v>4.4198053670999995</v>
      </c>
      <c r="AJ423" s="6">
        <f t="shared" si="81"/>
        <v>4.2409982402000006</v>
      </c>
      <c r="AK423" s="6">
        <f t="shared" si="81"/>
        <v>4.0014003297</v>
      </c>
      <c r="AL423" s="6">
        <f t="shared" si="81"/>
        <v>3.6633373439999999</v>
      </c>
    </row>
    <row r="424" spans="1:38" x14ac:dyDescent="0.35">
      <c r="B424" t="s">
        <v>68</v>
      </c>
      <c r="C424" s="6">
        <f>C401</f>
        <v>17.318265199999999</v>
      </c>
      <c r="D424" s="6">
        <f t="shared" ref="D424:AL424" si="82">D401</f>
        <v>17.51881727</v>
      </c>
      <c r="E424" s="6">
        <f t="shared" si="82"/>
        <v>17.72938508</v>
      </c>
      <c r="F424" s="6">
        <f t="shared" si="82"/>
        <v>17.945910120000001</v>
      </c>
      <c r="G424" s="6">
        <f t="shared" si="82"/>
        <v>18.184103390000001</v>
      </c>
      <c r="H424" s="6">
        <f t="shared" si="82"/>
        <v>18.44205977</v>
      </c>
      <c r="I424" s="6">
        <f t="shared" si="82"/>
        <v>18.709431290000001</v>
      </c>
      <c r="J424" s="6">
        <f t="shared" si="82"/>
        <v>18.250536870000001</v>
      </c>
      <c r="K424" s="6">
        <f t="shared" si="82"/>
        <v>17.756643669999999</v>
      </c>
      <c r="L424" s="6">
        <f t="shared" si="82"/>
        <v>17.308952949999998</v>
      </c>
      <c r="M424" s="6">
        <f t="shared" si="82"/>
        <v>16.86712103</v>
      </c>
      <c r="N424" s="6">
        <f t="shared" si="82"/>
        <v>16.423236360000001</v>
      </c>
      <c r="O424" s="6">
        <f t="shared" si="82"/>
        <v>15.96740726</v>
      </c>
      <c r="P424" s="6">
        <f t="shared" si="82"/>
        <v>15.489681839999999</v>
      </c>
      <c r="Q424" s="6">
        <f t="shared" si="82"/>
        <v>14.99718771</v>
      </c>
      <c r="R424" s="6">
        <f t="shared" si="82"/>
        <v>14.49511193</v>
      </c>
      <c r="S424" s="6">
        <f t="shared" si="82"/>
        <v>13.980889919999999</v>
      </c>
      <c r="T424" s="6">
        <f t="shared" si="82"/>
        <v>13.45944263</v>
      </c>
      <c r="U424" s="6">
        <f t="shared" si="82"/>
        <v>12.93443201</v>
      </c>
      <c r="V424" s="6">
        <f t="shared" si="82"/>
        <v>12.40709461</v>
      </c>
      <c r="W424" s="6">
        <f t="shared" si="82"/>
        <v>11.8746904</v>
      </c>
      <c r="X424" s="6">
        <f t="shared" si="82"/>
        <v>11.340881400000001</v>
      </c>
      <c r="Y424" s="6">
        <f t="shared" si="82"/>
        <v>10.804065169999999</v>
      </c>
      <c r="Z424" s="6">
        <f t="shared" si="82"/>
        <v>10.26202953</v>
      </c>
      <c r="AA424" s="6">
        <f t="shared" si="82"/>
        <v>9.7114629939999997</v>
      </c>
      <c r="AB424" s="6">
        <f t="shared" si="82"/>
        <v>9.142874291</v>
      </c>
      <c r="AC424" s="6">
        <f t="shared" si="82"/>
        <v>8.5594099910000008</v>
      </c>
      <c r="AD424" s="6">
        <f t="shared" si="82"/>
        <v>7.9576479920000001</v>
      </c>
      <c r="AE424" s="6">
        <f t="shared" si="82"/>
        <v>7.3333763479999998</v>
      </c>
      <c r="AF424" s="6">
        <f t="shared" si="82"/>
        <v>6.6808131460000002</v>
      </c>
      <c r="AG424" s="6">
        <f t="shared" si="82"/>
        <v>5.9937157140000004</v>
      </c>
      <c r="AH424" s="6">
        <f t="shared" si="82"/>
        <v>5.2663765629999997</v>
      </c>
      <c r="AI424" s="6">
        <f t="shared" si="82"/>
        <v>4.4936519209999997</v>
      </c>
      <c r="AJ424" s="6">
        <f t="shared" si="82"/>
        <v>3.670600785</v>
      </c>
      <c r="AK424" s="6">
        <f t="shared" si="82"/>
        <v>2.7922008150000002</v>
      </c>
      <c r="AL424" s="6">
        <f t="shared" si="82"/>
        <v>1.852994823</v>
      </c>
    </row>
    <row r="425" spans="1:38" x14ac:dyDescent="0.35">
      <c r="B425" t="s">
        <v>69</v>
      </c>
      <c r="C425" s="6">
        <f>C403</f>
        <v>19.2035819</v>
      </c>
      <c r="D425" s="6">
        <f t="shared" ref="D425:AL425" si="83">D403</f>
        <v>19.467197209999998</v>
      </c>
      <c r="E425" s="6">
        <f t="shared" si="83"/>
        <v>19.7449528</v>
      </c>
      <c r="F425" s="6">
        <f t="shared" si="83"/>
        <v>20.00261927</v>
      </c>
      <c r="G425" s="6">
        <f t="shared" si="83"/>
        <v>20.300133370000001</v>
      </c>
      <c r="H425" s="6">
        <f t="shared" si="83"/>
        <v>20.650154860000001</v>
      </c>
      <c r="I425" s="6">
        <f t="shared" si="83"/>
        <v>21.043385690000001</v>
      </c>
      <c r="J425" s="6">
        <f t="shared" si="83"/>
        <v>20.545384899999998</v>
      </c>
      <c r="K425" s="6">
        <f t="shared" si="83"/>
        <v>19.973264790000002</v>
      </c>
      <c r="L425" s="6">
        <f t="shared" si="83"/>
        <v>19.526680540000001</v>
      </c>
      <c r="M425" s="6">
        <f t="shared" si="83"/>
        <v>19.117945039999999</v>
      </c>
      <c r="N425" s="6">
        <f t="shared" si="83"/>
        <v>18.76012167</v>
      </c>
      <c r="O425" s="6">
        <f t="shared" si="83"/>
        <v>18.420394850000001</v>
      </c>
      <c r="P425" s="6">
        <f t="shared" si="83"/>
        <v>18.061445729999999</v>
      </c>
      <c r="Q425" s="6">
        <f t="shared" si="83"/>
        <v>17.686362620000001</v>
      </c>
      <c r="R425" s="6">
        <f t="shared" si="83"/>
        <v>17.29555628</v>
      </c>
      <c r="S425" s="6">
        <f t="shared" si="83"/>
        <v>16.865777179999998</v>
      </c>
      <c r="T425" s="6">
        <f t="shared" si="83"/>
        <v>16.409995510000002</v>
      </c>
      <c r="U425" s="6">
        <f t="shared" si="83"/>
        <v>15.941115549999999</v>
      </c>
      <c r="V425" s="6">
        <f t="shared" si="83"/>
        <v>15.46742925</v>
      </c>
      <c r="W425" s="6">
        <f t="shared" si="83"/>
        <v>14.991105060000001</v>
      </c>
      <c r="X425" s="6">
        <f t="shared" si="83"/>
        <v>14.519921569999999</v>
      </c>
      <c r="Y425" s="6">
        <f t="shared" si="83"/>
        <v>14.055924360000001</v>
      </c>
      <c r="Z425" s="6">
        <f t="shared" si="83"/>
        <v>13.59599034</v>
      </c>
      <c r="AA425" s="6">
        <f t="shared" si="83"/>
        <v>13.133367399999999</v>
      </c>
      <c r="AB425" s="6">
        <f t="shared" si="83"/>
        <v>12.65373851</v>
      </c>
      <c r="AC425" s="6">
        <f t="shared" si="83"/>
        <v>12.16171039</v>
      </c>
      <c r="AD425" s="6">
        <f t="shared" si="83"/>
        <v>11.65607041</v>
      </c>
      <c r="AE425" s="6">
        <f t="shared" si="83"/>
        <v>11.12916617</v>
      </c>
      <c r="AF425" s="6">
        <f t="shared" si="83"/>
        <v>10.56775691</v>
      </c>
      <c r="AG425" s="6">
        <f t="shared" si="83"/>
        <v>9.9568797920000005</v>
      </c>
      <c r="AH425" s="6">
        <f t="shared" si="83"/>
        <v>9.2835464969999997</v>
      </c>
      <c r="AI425" s="6">
        <f t="shared" si="83"/>
        <v>8.5356820120000005</v>
      </c>
      <c r="AJ425" s="6">
        <f t="shared" si="83"/>
        <v>7.6990257900000003</v>
      </c>
      <c r="AK425" s="6">
        <f t="shared" si="83"/>
        <v>6.756935769</v>
      </c>
      <c r="AL425" s="6">
        <f t="shared" si="83"/>
        <v>5.6894440680000002</v>
      </c>
    </row>
    <row r="426" spans="1:38" x14ac:dyDescent="0.35">
      <c r="B426" t="s">
        <v>70</v>
      </c>
      <c r="C426" s="6">
        <f>C402+C400</f>
        <v>5.5593834549999999</v>
      </c>
      <c r="D426" s="6">
        <f t="shared" ref="D426:AL426" si="84">D402+D400</f>
        <v>5.6538257729999994</v>
      </c>
      <c r="E426" s="6">
        <f t="shared" si="84"/>
        <v>5.7484375769999998</v>
      </c>
      <c r="F426" s="6">
        <f t="shared" si="84"/>
        <v>5.8388505129999997</v>
      </c>
      <c r="G426" s="6">
        <f t="shared" si="84"/>
        <v>5.9329441010000004</v>
      </c>
      <c r="H426" s="6">
        <f t="shared" si="84"/>
        <v>6.03263675</v>
      </c>
      <c r="I426" s="6">
        <f t="shared" si="84"/>
        <v>6.1363724289999997</v>
      </c>
      <c r="J426" s="6">
        <f t="shared" si="84"/>
        <v>6.0107660880000005</v>
      </c>
      <c r="K426" s="6">
        <f t="shared" si="84"/>
        <v>5.8932252639999998</v>
      </c>
      <c r="L426" s="6">
        <f t="shared" si="84"/>
        <v>5.8345687119999994</v>
      </c>
      <c r="M426" s="6">
        <f t="shared" si="84"/>
        <v>5.7826467770000001</v>
      </c>
      <c r="N426" s="6">
        <f t="shared" si="84"/>
        <v>5.7230303389999992</v>
      </c>
      <c r="O426" s="6">
        <f t="shared" si="84"/>
        <v>5.6387626549999998</v>
      </c>
      <c r="P426" s="6">
        <f t="shared" si="84"/>
        <v>5.5228896249999995</v>
      </c>
      <c r="Q426" s="6">
        <f t="shared" si="84"/>
        <v>5.3867075030000002</v>
      </c>
      <c r="R426" s="6">
        <f t="shared" si="84"/>
        <v>5.2378393179999998</v>
      </c>
      <c r="S426" s="6">
        <f t="shared" si="84"/>
        <v>5.0841693640000001</v>
      </c>
      <c r="T426" s="6">
        <f t="shared" si="84"/>
        <v>4.9303179840000002</v>
      </c>
      <c r="U426" s="6">
        <f t="shared" si="84"/>
        <v>4.778787264</v>
      </c>
      <c r="V426" s="6">
        <f t="shared" si="84"/>
        <v>4.629422784</v>
      </c>
      <c r="W426" s="6">
        <f t="shared" si="84"/>
        <v>4.4813347710000002</v>
      </c>
      <c r="X426" s="6">
        <f t="shared" si="84"/>
        <v>4.3346097290000003</v>
      </c>
      <c r="Y426" s="6">
        <f t="shared" si="84"/>
        <v>4.1890039449999996</v>
      </c>
      <c r="Z426" s="6">
        <f t="shared" si="84"/>
        <v>4.0424039409999999</v>
      </c>
      <c r="AA426" s="6">
        <f t="shared" si="84"/>
        <v>3.8917643789999996</v>
      </c>
      <c r="AB426" s="6">
        <f t="shared" si="84"/>
        <v>3.7339766996999999</v>
      </c>
      <c r="AC426" s="6">
        <f t="shared" si="84"/>
        <v>3.5698499485999999</v>
      </c>
      <c r="AD426" s="6">
        <f t="shared" si="84"/>
        <v>3.4003943968000003</v>
      </c>
      <c r="AE426" s="6">
        <f t="shared" si="84"/>
        <v>3.2227053926</v>
      </c>
      <c r="AF426" s="6">
        <f t="shared" si="84"/>
        <v>3.0318196533999999</v>
      </c>
      <c r="AG426" s="6">
        <f t="shared" si="84"/>
        <v>2.8229482123</v>
      </c>
      <c r="AH426" s="6">
        <f t="shared" si="84"/>
        <v>2.5931964133000003</v>
      </c>
      <c r="AI426" s="6">
        <f t="shared" si="84"/>
        <v>2.3406200401000001</v>
      </c>
      <c r="AJ426" s="6">
        <f t="shared" si="84"/>
        <v>2.0625394283</v>
      </c>
      <c r="AK426" s="6">
        <f t="shared" si="84"/>
        <v>1.7560048263999999</v>
      </c>
      <c r="AL426" s="6">
        <f t="shared" si="84"/>
        <v>1.4179517770999999</v>
      </c>
    </row>
    <row r="427" spans="1:38" x14ac:dyDescent="0.35">
      <c r="B427" t="s">
        <v>10</v>
      </c>
      <c r="C427" s="6">
        <f>C404+C405+C415</f>
        <v>48.661638726000007</v>
      </c>
      <c r="D427" s="6">
        <f t="shared" ref="D427:AL427" si="85">D404+D405+D415</f>
        <v>47.909017663</v>
      </c>
      <c r="E427" s="6">
        <f t="shared" si="85"/>
        <v>47.098846502000001</v>
      </c>
      <c r="F427" s="6">
        <f t="shared" si="85"/>
        <v>46.056855248000005</v>
      </c>
      <c r="G427" s="6">
        <f t="shared" si="85"/>
        <v>45.574724107999998</v>
      </c>
      <c r="H427" s="6">
        <f t="shared" si="85"/>
        <v>45.494539885999998</v>
      </c>
      <c r="I427" s="6">
        <f t="shared" si="85"/>
        <v>45.701422332</v>
      </c>
      <c r="J427" s="6">
        <f t="shared" si="85"/>
        <v>42.594756503999996</v>
      </c>
      <c r="K427" s="6">
        <f t="shared" si="85"/>
        <v>39.504881094000005</v>
      </c>
      <c r="L427" s="6">
        <f t="shared" si="85"/>
        <v>36.767298279000002</v>
      </c>
      <c r="M427" s="6">
        <f t="shared" si="85"/>
        <v>34.398169343999996</v>
      </c>
      <c r="N427" s="6">
        <f t="shared" si="85"/>
        <v>32.571987538999998</v>
      </c>
      <c r="O427" s="6">
        <f t="shared" si="85"/>
        <v>31.109862025000002</v>
      </c>
      <c r="P427" s="6">
        <f t="shared" si="85"/>
        <v>29.880691795000001</v>
      </c>
      <c r="Q427" s="6">
        <f t="shared" si="85"/>
        <v>28.814451003999999</v>
      </c>
      <c r="R427" s="6">
        <f t="shared" si="85"/>
        <v>27.866616323000002</v>
      </c>
      <c r="S427" s="6">
        <f t="shared" si="85"/>
        <v>26.908695287</v>
      </c>
      <c r="T427" s="6">
        <f t="shared" si="85"/>
        <v>25.970649193</v>
      </c>
      <c r="U427" s="6">
        <f t="shared" si="85"/>
        <v>25.071579076999999</v>
      </c>
      <c r="V427" s="6">
        <f t="shared" si="85"/>
        <v>24.221399795999996</v>
      </c>
      <c r="W427" s="6">
        <f t="shared" si="85"/>
        <v>23.412536328999998</v>
      </c>
      <c r="X427" s="6">
        <f t="shared" si="85"/>
        <v>22.665552389000002</v>
      </c>
      <c r="Y427" s="6">
        <f t="shared" si="85"/>
        <v>21.971075839999997</v>
      </c>
      <c r="Z427" s="6">
        <f t="shared" si="85"/>
        <v>21.322719185</v>
      </c>
      <c r="AA427" s="6">
        <f t="shared" si="85"/>
        <v>20.712860425000002</v>
      </c>
      <c r="AB427" s="6">
        <f t="shared" si="85"/>
        <v>20.104809024999998</v>
      </c>
      <c r="AC427" s="6">
        <f t="shared" si="85"/>
        <v>19.527074975999998</v>
      </c>
      <c r="AD427" s="6">
        <f t="shared" si="85"/>
        <v>18.962961538000002</v>
      </c>
      <c r="AE427" s="6">
        <f t="shared" si="85"/>
        <v>18.399013441999998</v>
      </c>
      <c r="AF427" s="6">
        <f t="shared" si="85"/>
        <v>17.818712592000001</v>
      </c>
      <c r="AG427" s="6">
        <f t="shared" si="85"/>
        <v>17.202794702999999</v>
      </c>
      <c r="AH427" s="6">
        <f t="shared" si="85"/>
        <v>16.529796652000002</v>
      </c>
      <c r="AI427" s="6">
        <f t="shared" si="85"/>
        <v>15.774635216</v>
      </c>
      <c r="AJ427" s="6">
        <f t="shared" si="85"/>
        <v>14.905760373</v>
      </c>
      <c r="AK427" s="6">
        <f t="shared" si="85"/>
        <v>13.881354789</v>
      </c>
      <c r="AL427" s="6">
        <f t="shared" si="85"/>
        <v>12.641633958</v>
      </c>
    </row>
    <row r="428" spans="1:38" x14ac:dyDescent="0.35">
      <c r="B428" t="s">
        <v>29</v>
      </c>
      <c r="C428" s="6">
        <f>C407+C408+C406</f>
        <v>21.513213186999998</v>
      </c>
      <c r="D428" s="6">
        <f t="shared" ref="D428:AL428" si="86">D407+D408+D406</f>
        <v>21.625688956000001</v>
      </c>
      <c r="E428" s="6">
        <f t="shared" si="86"/>
        <v>21.714061076</v>
      </c>
      <c r="F428" s="6">
        <f t="shared" si="86"/>
        <v>21.804343536000001</v>
      </c>
      <c r="G428" s="6">
        <f t="shared" si="86"/>
        <v>21.947414878000004</v>
      </c>
      <c r="H428" s="6">
        <f t="shared" si="86"/>
        <v>22.142415052</v>
      </c>
      <c r="I428" s="6">
        <f t="shared" si="86"/>
        <v>22.375234218000003</v>
      </c>
      <c r="J428" s="6">
        <f t="shared" si="86"/>
        <v>22.724371539</v>
      </c>
      <c r="K428" s="6">
        <f t="shared" si="86"/>
        <v>23.084698459999998</v>
      </c>
      <c r="L428" s="6">
        <f t="shared" si="86"/>
        <v>23.480242364000002</v>
      </c>
      <c r="M428" s="6">
        <f t="shared" si="86"/>
        <v>23.853254562</v>
      </c>
      <c r="N428" s="6">
        <f t="shared" si="86"/>
        <v>24.209952406500001</v>
      </c>
      <c r="O428" s="6">
        <f t="shared" si="86"/>
        <v>24.5359524721</v>
      </c>
      <c r="P428" s="6">
        <f t="shared" si="86"/>
        <v>24.813865552299998</v>
      </c>
      <c r="Q428" s="6">
        <f t="shared" si="86"/>
        <v>25.048086825399999</v>
      </c>
      <c r="R428" s="6">
        <f t="shared" si="86"/>
        <v>25.240537728499998</v>
      </c>
      <c r="S428" s="6">
        <f t="shared" si="86"/>
        <v>25.363239438699999</v>
      </c>
      <c r="T428" s="6">
        <f t="shared" si="86"/>
        <v>25.430064035800001</v>
      </c>
      <c r="U428" s="6">
        <f t="shared" si="86"/>
        <v>25.445109286000001</v>
      </c>
      <c r="V428" s="6">
        <f t="shared" si="86"/>
        <v>25.408808542999996</v>
      </c>
      <c r="W428" s="6">
        <f t="shared" si="86"/>
        <v>25.317884304500001</v>
      </c>
      <c r="X428" s="6">
        <f t="shared" si="86"/>
        <v>25.173663086999998</v>
      </c>
      <c r="Y428" s="6">
        <f t="shared" si="86"/>
        <v>24.974376663799998</v>
      </c>
      <c r="Z428" s="6">
        <f t="shared" si="86"/>
        <v>24.715749993900001</v>
      </c>
      <c r="AA428" s="6">
        <f t="shared" si="86"/>
        <v>24.390892931</v>
      </c>
      <c r="AB428" s="6">
        <f t="shared" si="86"/>
        <v>23.985803513800001</v>
      </c>
      <c r="AC428" s="6">
        <f t="shared" si="86"/>
        <v>23.502746700899998</v>
      </c>
      <c r="AD428" s="6">
        <f t="shared" si="86"/>
        <v>22.933033664299998</v>
      </c>
      <c r="AE428" s="6">
        <f t="shared" si="86"/>
        <v>22.266241458900002</v>
      </c>
      <c r="AF428" s="6">
        <f t="shared" si="86"/>
        <v>21.486413665100002</v>
      </c>
      <c r="AG428" s="6">
        <f t="shared" si="86"/>
        <v>20.5743765452</v>
      </c>
      <c r="AH428" s="6">
        <f t="shared" si="86"/>
        <v>19.510798849799997</v>
      </c>
      <c r="AI428" s="6">
        <f t="shared" si="86"/>
        <v>18.276123484299998</v>
      </c>
      <c r="AJ428" s="6">
        <f t="shared" si="86"/>
        <v>16.848671215699998</v>
      </c>
      <c r="AK428" s="6">
        <f t="shared" si="86"/>
        <v>15.203960053000001</v>
      </c>
      <c r="AL428" s="6">
        <f t="shared" si="86"/>
        <v>13.313558478499999</v>
      </c>
    </row>
    <row r="429" spans="1:38" x14ac:dyDescent="0.35">
      <c r="B429" t="s">
        <v>33</v>
      </c>
      <c r="C429" s="6">
        <f>SUM(C409:C413)</f>
        <v>25.091001077000001</v>
      </c>
      <c r="D429" s="6">
        <f t="shared" ref="D429:AL429" si="87">SUM(D409:D413)</f>
        <v>25.368253244999998</v>
      </c>
      <c r="E429" s="6">
        <f t="shared" si="87"/>
        <v>25.606645177000001</v>
      </c>
      <c r="F429" s="6">
        <f t="shared" si="87"/>
        <v>25.849538320999997</v>
      </c>
      <c r="G429" s="6">
        <f t="shared" si="87"/>
        <v>26.062889102</v>
      </c>
      <c r="H429" s="6">
        <f t="shared" si="87"/>
        <v>26.279132964000002</v>
      </c>
      <c r="I429" s="6">
        <f t="shared" si="87"/>
        <v>26.505535933000001</v>
      </c>
      <c r="J429" s="6">
        <f t="shared" si="87"/>
        <v>26.431311956999998</v>
      </c>
      <c r="K429" s="6">
        <f t="shared" si="87"/>
        <v>26.404148079000002</v>
      </c>
      <c r="L429" s="6">
        <f t="shared" si="87"/>
        <v>26.428471166000001</v>
      </c>
      <c r="M429" s="6">
        <f t="shared" si="87"/>
        <v>26.440325532999996</v>
      </c>
      <c r="N429" s="6">
        <f t="shared" si="87"/>
        <v>26.354547627999999</v>
      </c>
      <c r="O429" s="6">
        <f t="shared" si="87"/>
        <v>26.200459532</v>
      </c>
      <c r="P429" s="6">
        <f t="shared" si="87"/>
        <v>25.996992737999999</v>
      </c>
      <c r="Q429" s="6">
        <f t="shared" si="87"/>
        <v>25.771110529000001</v>
      </c>
      <c r="R429" s="6">
        <f t="shared" si="87"/>
        <v>25.539070022000001</v>
      </c>
      <c r="S429" s="6">
        <f t="shared" si="87"/>
        <v>25.304355379</v>
      </c>
      <c r="T429" s="6">
        <f t="shared" si="87"/>
        <v>25.073652061000001</v>
      </c>
      <c r="U429" s="6">
        <f t="shared" si="87"/>
        <v>24.846257952999999</v>
      </c>
      <c r="V429" s="6">
        <f t="shared" si="87"/>
        <v>24.624278576000002</v>
      </c>
      <c r="W429" s="6">
        <f t="shared" si="87"/>
        <v>24.404874069999998</v>
      </c>
      <c r="X429" s="6">
        <f t="shared" si="87"/>
        <v>24.204551569000003</v>
      </c>
      <c r="Y429" s="6">
        <f t="shared" si="87"/>
        <v>24.028390996999999</v>
      </c>
      <c r="Z429" s="6">
        <f t="shared" si="87"/>
        <v>23.878455115000001</v>
      </c>
      <c r="AA429" s="6">
        <f t="shared" si="87"/>
        <v>23.754628747000002</v>
      </c>
      <c r="AB429" s="6">
        <f t="shared" si="87"/>
        <v>23.637517734999996</v>
      </c>
      <c r="AC429" s="6">
        <f t="shared" si="87"/>
        <v>23.549868236999998</v>
      </c>
      <c r="AD429" s="6">
        <f t="shared" si="87"/>
        <v>23.493364328999998</v>
      </c>
      <c r="AE429" s="6">
        <f t="shared" si="87"/>
        <v>23.465096683500001</v>
      </c>
      <c r="AF429" s="6">
        <f t="shared" si="87"/>
        <v>23.456604883299999</v>
      </c>
      <c r="AG429" s="6">
        <f t="shared" si="87"/>
        <v>23.456372526500001</v>
      </c>
      <c r="AH429" s="6">
        <f t="shared" si="87"/>
        <v>23.453437546499998</v>
      </c>
      <c r="AI429" s="6">
        <f t="shared" si="87"/>
        <v>23.437131345600001</v>
      </c>
      <c r="AJ429" s="6">
        <f t="shared" si="87"/>
        <v>23.394043841400002</v>
      </c>
      <c r="AK429" s="6">
        <f t="shared" si="87"/>
        <v>23.305711393900005</v>
      </c>
      <c r="AL429" s="6">
        <f t="shared" si="87"/>
        <v>23.140090753399999</v>
      </c>
    </row>
    <row r="431" spans="1:3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38" x14ac:dyDescent="0.35">
      <c r="A432" t="s">
        <v>39</v>
      </c>
      <c r="B432" t="s">
        <v>7</v>
      </c>
      <c r="C432" s="6">
        <f>H418</f>
        <v>15.161853579300001</v>
      </c>
      <c r="D432" s="6">
        <f>R418</f>
        <v>10.750742633</v>
      </c>
      <c r="E432" s="6">
        <f>AB418</f>
        <v>6.7572921747000008</v>
      </c>
      <c r="F432" s="6">
        <f>AL418</f>
        <v>1.6301781918</v>
      </c>
    </row>
    <row r="433" spans="1:38" x14ac:dyDescent="0.35">
      <c r="B433" t="s">
        <v>64</v>
      </c>
      <c r="C433" s="6">
        <f t="shared" ref="C433:C443" si="88">H419</f>
        <v>8.4438744089999993</v>
      </c>
      <c r="D433" s="6">
        <f t="shared" ref="D433:D443" si="89">R419</f>
        <v>5.813724391</v>
      </c>
      <c r="E433" s="6">
        <f t="shared" ref="E433:E443" si="90">AB419</f>
        <v>4.1499484549999996</v>
      </c>
      <c r="F433" s="6">
        <f t="shared" ref="F433:F443" si="91">AL419</f>
        <v>2.555740031</v>
      </c>
    </row>
    <row r="434" spans="1:38" x14ac:dyDescent="0.35">
      <c r="B434" t="s">
        <v>65</v>
      </c>
      <c r="C434" s="6">
        <f t="shared" si="88"/>
        <v>19.797557743999999</v>
      </c>
      <c r="D434" s="6">
        <f t="shared" si="89"/>
        <v>20.392791770000002</v>
      </c>
      <c r="E434" s="6">
        <f t="shared" si="90"/>
        <v>23.081396612999999</v>
      </c>
      <c r="F434" s="6">
        <f t="shared" si="91"/>
        <v>30.532471018000003</v>
      </c>
    </row>
    <row r="435" spans="1:38" x14ac:dyDescent="0.35">
      <c r="B435" t="s">
        <v>66</v>
      </c>
      <c r="C435" s="6">
        <f t="shared" si="88"/>
        <v>14.667756539999999</v>
      </c>
      <c r="D435" s="6">
        <f t="shared" si="89"/>
        <v>14.435484369999999</v>
      </c>
      <c r="E435" s="6">
        <f t="shared" si="90"/>
        <v>14.55742994</v>
      </c>
      <c r="F435" s="6">
        <f t="shared" si="91"/>
        <v>16.09247697</v>
      </c>
    </row>
    <row r="436" spans="1:38" x14ac:dyDescent="0.35">
      <c r="B436" t="s">
        <v>67</v>
      </c>
      <c r="C436" s="6">
        <f t="shared" si="88"/>
        <v>19.541721160000002</v>
      </c>
      <c r="D436" s="6">
        <f t="shared" si="89"/>
        <v>15.52252315</v>
      </c>
      <c r="E436" s="6">
        <f t="shared" si="90"/>
        <v>14.56302062</v>
      </c>
      <c r="F436" s="6">
        <f t="shared" si="91"/>
        <v>16.383259349999999</v>
      </c>
    </row>
    <row r="437" spans="1:38" x14ac:dyDescent="0.35">
      <c r="B437" t="s">
        <v>71</v>
      </c>
      <c r="C437" s="6">
        <f t="shared" si="88"/>
        <v>14.345648665900001</v>
      </c>
      <c r="D437" s="6">
        <f t="shared" si="89"/>
        <v>7.5629790160999999</v>
      </c>
      <c r="E437" s="6">
        <f t="shared" si="90"/>
        <v>5.2078629485000008</v>
      </c>
      <c r="F437" s="6">
        <f t="shared" si="91"/>
        <v>3.6633373439999999</v>
      </c>
    </row>
    <row r="438" spans="1:38" x14ac:dyDescent="0.35">
      <c r="B438" t="s">
        <v>68</v>
      </c>
      <c r="C438" s="6">
        <f t="shared" si="88"/>
        <v>18.44205977</v>
      </c>
      <c r="D438" s="6">
        <f t="shared" si="89"/>
        <v>14.49511193</v>
      </c>
      <c r="E438" s="6">
        <f t="shared" si="90"/>
        <v>9.142874291</v>
      </c>
      <c r="F438" s="6">
        <f t="shared" si="91"/>
        <v>1.852994823</v>
      </c>
    </row>
    <row r="439" spans="1:38" x14ac:dyDescent="0.35">
      <c r="B439" t="s">
        <v>69</v>
      </c>
      <c r="C439" s="6">
        <f t="shared" si="88"/>
        <v>20.650154860000001</v>
      </c>
      <c r="D439" s="6">
        <f t="shared" si="89"/>
        <v>17.29555628</v>
      </c>
      <c r="E439" s="6">
        <f t="shared" si="90"/>
        <v>12.65373851</v>
      </c>
      <c r="F439" s="6">
        <f t="shared" si="91"/>
        <v>5.6894440680000002</v>
      </c>
    </row>
    <row r="440" spans="1:38" x14ac:dyDescent="0.35">
      <c r="B440" t="s">
        <v>70</v>
      </c>
      <c r="C440" s="6">
        <f t="shared" si="88"/>
        <v>6.03263675</v>
      </c>
      <c r="D440" s="6">
        <f t="shared" si="89"/>
        <v>5.2378393179999998</v>
      </c>
      <c r="E440" s="6">
        <f t="shared" si="90"/>
        <v>3.7339766996999999</v>
      </c>
      <c r="F440" s="6">
        <f t="shared" si="91"/>
        <v>1.4179517770999999</v>
      </c>
    </row>
    <row r="441" spans="1:38" x14ac:dyDescent="0.35">
      <c r="B441" t="s">
        <v>10</v>
      </c>
      <c r="C441" s="6">
        <f t="shared" si="88"/>
        <v>45.494539885999998</v>
      </c>
      <c r="D441" s="6">
        <f t="shared" si="89"/>
        <v>27.866616323000002</v>
      </c>
      <c r="E441" s="6">
        <f t="shared" si="90"/>
        <v>20.104809024999998</v>
      </c>
      <c r="F441" s="6">
        <f t="shared" si="91"/>
        <v>12.641633958</v>
      </c>
    </row>
    <row r="442" spans="1:38" x14ac:dyDescent="0.35">
      <c r="B442" t="s">
        <v>29</v>
      </c>
      <c r="C442" s="6">
        <f t="shared" si="88"/>
        <v>22.142415052</v>
      </c>
      <c r="D442" s="6">
        <f t="shared" si="89"/>
        <v>25.240537728499998</v>
      </c>
      <c r="E442" s="6">
        <f t="shared" si="90"/>
        <v>23.985803513800001</v>
      </c>
      <c r="F442" s="6">
        <f t="shared" si="91"/>
        <v>13.313558478499999</v>
      </c>
    </row>
    <row r="443" spans="1:38" x14ac:dyDescent="0.35">
      <c r="B443" t="s">
        <v>33</v>
      </c>
      <c r="C443" s="6">
        <f t="shared" si="88"/>
        <v>26.279132964000002</v>
      </c>
      <c r="D443" s="6">
        <f t="shared" si="89"/>
        <v>25.539070022000001</v>
      </c>
      <c r="E443" s="6">
        <f t="shared" si="90"/>
        <v>23.637517734999996</v>
      </c>
      <c r="F443" s="6">
        <f t="shared" si="91"/>
        <v>23.140090753399999</v>
      </c>
    </row>
    <row r="445" spans="1:38" x14ac:dyDescent="0.35">
      <c r="A445" s="12" t="s">
        <v>93</v>
      </c>
      <c r="B445" t="s">
        <v>73</v>
      </c>
      <c r="C445" s="6">
        <f>[1]Results!F281</f>
        <v>161.694278</v>
      </c>
      <c r="D445" s="6">
        <f>[1]Results!G281</f>
        <v>162.00031569999999</v>
      </c>
      <c r="E445" s="6">
        <f>[1]Results!H281</f>
        <v>162.18906329999999</v>
      </c>
      <c r="F445" s="6">
        <f>[1]Results!I281</f>
        <v>162.30168649999999</v>
      </c>
      <c r="G445" s="6">
        <f>[1]Results!J281</f>
        <v>162.9375407</v>
      </c>
      <c r="H445" s="6">
        <f>[1]Results!K281</f>
        <v>164.00585380000001</v>
      </c>
      <c r="I445" s="6">
        <f>[1]Results!L281</f>
        <v>165.38249640000001</v>
      </c>
      <c r="J445" s="6">
        <f>[1]Results!M281</f>
        <v>164.86224240000001</v>
      </c>
      <c r="K445" s="6">
        <f>[1]Results!N281</f>
        <v>164.06499020000001</v>
      </c>
      <c r="L445" s="6">
        <f>[1]Results!O281</f>
        <v>163.6938102</v>
      </c>
      <c r="M445" s="6">
        <f>[1]Results!P281</f>
        <v>163.48425019999999</v>
      </c>
      <c r="N445" s="6">
        <f>[1]Results!Q281</f>
        <v>163.54712910000001</v>
      </c>
      <c r="O445" s="6">
        <f>[1]Results!R281</f>
        <v>163.7961262</v>
      </c>
      <c r="P445" s="6">
        <f>[1]Results!S281</f>
        <v>164.13651569999999</v>
      </c>
      <c r="Q445" s="6">
        <f>[1]Results!T281</f>
        <v>164.61511010000001</v>
      </c>
      <c r="R445" s="6">
        <f>[1]Results!U281</f>
        <v>165.257946</v>
      </c>
      <c r="S445" s="6">
        <f>[1]Results!V281</f>
        <v>165.94908530000001</v>
      </c>
      <c r="T445" s="6">
        <f>[1]Results!W281</f>
        <v>166.72131289999999</v>
      </c>
      <c r="U445" s="6">
        <f>[1]Results!X281</f>
        <v>167.62318379999999</v>
      </c>
      <c r="V445" s="6">
        <f>[1]Results!Y281</f>
        <v>168.69692570000001</v>
      </c>
      <c r="W445" s="6">
        <f>[1]Results!Z281</f>
        <v>169.94349349999999</v>
      </c>
      <c r="X445" s="6">
        <f>[1]Results!AA281</f>
        <v>171.46837120000001</v>
      </c>
      <c r="Y445" s="6">
        <f>[1]Results!AB281</f>
        <v>173.3027147</v>
      </c>
      <c r="Z445" s="6">
        <f>[1]Results!AC281</f>
        <v>175.47361710000001</v>
      </c>
      <c r="AA445" s="6">
        <f>[1]Results!AD281</f>
        <v>177.9999028</v>
      </c>
      <c r="AB445" s="6">
        <f>[1]Results!AE281</f>
        <v>180.7815444</v>
      </c>
      <c r="AC445" s="6">
        <f>[1]Results!AF281</f>
        <v>183.97043790000001</v>
      </c>
      <c r="AD445" s="6">
        <f>[1]Results!AG281</f>
        <v>187.62290100000001</v>
      </c>
      <c r="AE445" s="6">
        <f>[1]Results!AH281</f>
        <v>191.77181580000001</v>
      </c>
      <c r="AF445" s="6">
        <f>[1]Results!AI281</f>
        <v>196.41792140000001</v>
      </c>
      <c r="AG445" s="6">
        <f>[1]Results!AJ281</f>
        <v>201.55329900000001</v>
      </c>
      <c r="AH445" s="6">
        <f>[1]Results!AK281</f>
        <v>207.19316180000001</v>
      </c>
      <c r="AI445" s="6">
        <f>[1]Results!AL281</f>
        <v>213.38371269999999</v>
      </c>
      <c r="AJ445" s="6">
        <f>[1]Results!AM281</f>
        <v>220.1988532</v>
      </c>
      <c r="AK445" s="6">
        <f>[1]Results!AN281</f>
        <v>227.7620173</v>
      </c>
      <c r="AL445" s="6">
        <f>[1]Results!AO281</f>
        <v>236.28394449999999</v>
      </c>
    </row>
    <row r="446" spans="1:38" x14ac:dyDescent="0.35">
      <c r="A446" t="s">
        <v>39</v>
      </c>
      <c r="B446" s="6" t="str">
        <f>[1]Results!E282</f>
        <v>CF_toe_ccoa_2</v>
      </c>
      <c r="C446" s="6">
        <f>[1]Results!F282</f>
        <v>5.4028819029999999</v>
      </c>
      <c r="D446" s="6">
        <f>[1]Results!G282</f>
        <v>5.4011148279999999</v>
      </c>
      <c r="E446" s="6">
        <f>[1]Results!H282</f>
        <v>5.395820273</v>
      </c>
      <c r="F446" s="6">
        <f>[1]Results!I282</f>
        <v>5.3712028519999997</v>
      </c>
      <c r="G446" s="6">
        <f>[1]Results!J282</f>
        <v>5.3828505409999998</v>
      </c>
      <c r="H446" s="6">
        <f>[1]Results!K282</f>
        <v>5.4222657830000003</v>
      </c>
      <c r="I446" s="6">
        <f>[1]Results!L282</f>
        <v>5.4788150089999998</v>
      </c>
      <c r="J446" s="6">
        <f>[1]Results!M282</f>
        <v>5.3372403610000001</v>
      </c>
      <c r="K446" s="6">
        <f>[1]Results!N282</f>
        <v>5.1691072900000004</v>
      </c>
      <c r="L446" s="6">
        <f>[1]Results!O282</f>
        <v>5.0323781319999998</v>
      </c>
      <c r="M446" s="6">
        <f>[1]Results!P282</f>
        <v>4.9079325039999997</v>
      </c>
      <c r="N446" s="6">
        <f>[1]Results!Q282</f>
        <v>4.820390572</v>
      </c>
      <c r="O446" s="6">
        <f>[1]Results!R282</f>
        <v>4.7548020629999996</v>
      </c>
      <c r="P446" s="6">
        <f>[1]Results!S282</f>
        <v>4.7001749100000003</v>
      </c>
      <c r="Q446" s="6">
        <f>[1]Results!T282</f>
        <v>4.6568955619999999</v>
      </c>
      <c r="R446" s="6">
        <f>[1]Results!U282</f>
        <v>4.6251161889999999</v>
      </c>
      <c r="S446" s="6">
        <f>[1]Results!V282</f>
        <v>4.5916777140000002</v>
      </c>
      <c r="T446" s="6">
        <f>[1]Results!W282</f>
        <v>4.5610622469999997</v>
      </c>
      <c r="U446" s="6">
        <f>[1]Results!X282</f>
        <v>4.5369059580000002</v>
      </c>
      <c r="V446" s="6">
        <f>[1]Results!Y282</f>
        <v>4.5211511409999998</v>
      </c>
      <c r="W446" s="6">
        <f>[1]Results!Z282</f>
        <v>4.5145698620000001</v>
      </c>
      <c r="X446" s="6">
        <f>[1]Results!AA282</f>
        <v>4.5187627370000003</v>
      </c>
      <c r="Y446" s="6">
        <f>[1]Results!AB282</f>
        <v>4.5347587230000004</v>
      </c>
      <c r="Z446" s="6">
        <f>[1]Results!AC282</f>
        <v>4.5628346830000002</v>
      </c>
      <c r="AA446" s="6">
        <f>[1]Results!AD282</f>
        <v>4.602631573</v>
      </c>
      <c r="AB446" s="6">
        <f>[1]Results!AE282</f>
        <v>4.6524015070000004</v>
      </c>
      <c r="AC446" s="6">
        <f>[1]Results!AF282</f>
        <v>4.7132129960000002</v>
      </c>
      <c r="AD446" s="6">
        <f>[1]Results!AG282</f>
        <v>4.78674278</v>
      </c>
      <c r="AE446" s="6">
        <f>[1]Results!AH282</f>
        <v>4.8729278750000002</v>
      </c>
      <c r="AF446" s="6">
        <f>[1]Results!AI282</f>
        <v>4.9701131360000002</v>
      </c>
      <c r="AG446" s="6">
        <f>[1]Results!AJ282</f>
        <v>5.0762421880000002</v>
      </c>
      <c r="AH446" s="6">
        <f>[1]Results!AK282</f>
        <v>5.1901367770000002</v>
      </c>
      <c r="AI446" s="6">
        <f>[1]Results!AL282</f>
        <v>5.3115071240000002</v>
      </c>
      <c r="AJ446" s="6">
        <f>[1]Results!AM282</f>
        <v>5.4403382560000004</v>
      </c>
      <c r="AK446" s="6">
        <f>[1]Results!AN282</f>
        <v>5.5771703290000003</v>
      </c>
      <c r="AL446" s="6">
        <f>[1]Results!AO282</f>
        <v>5.7234461330000004</v>
      </c>
    </row>
    <row r="447" spans="1:38" x14ac:dyDescent="0.35">
      <c r="B447" s="6" t="s">
        <v>74</v>
      </c>
      <c r="C447" s="6">
        <f>C448+C449+C450</f>
        <v>62.123682370400005</v>
      </c>
      <c r="D447" s="6">
        <f t="shared" ref="D447:AL447" si="92">D448+D449+D450</f>
        <v>62.230046189100001</v>
      </c>
      <c r="E447" s="6">
        <f t="shared" si="92"/>
        <v>62.269413300899998</v>
      </c>
      <c r="F447" s="6">
        <f t="shared" si="92"/>
        <v>62.328673686100004</v>
      </c>
      <c r="G447" s="6">
        <f t="shared" si="92"/>
        <v>62.58470804720001</v>
      </c>
      <c r="H447" s="6">
        <f t="shared" si="92"/>
        <v>63.014256251399999</v>
      </c>
      <c r="I447" s="6">
        <f t="shared" si="92"/>
        <v>63.5524315774</v>
      </c>
      <c r="J447" s="6">
        <f t="shared" si="92"/>
        <v>63.529293186400004</v>
      </c>
      <c r="K447" s="6">
        <f t="shared" si="92"/>
        <v>63.375942261100001</v>
      </c>
      <c r="L447" s="6">
        <f t="shared" si="92"/>
        <v>63.331781745800001</v>
      </c>
      <c r="M447" s="6">
        <f t="shared" si="92"/>
        <v>63.334994188800003</v>
      </c>
      <c r="N447" s="6">
        <f t="shared" si="92"/>
        <v>63.454695889100009</v>
      </c>
      <c r="O447" s="6">
        <f t="shared" si="92"/>
        <v>63.662311709000001</v>
      </c>
      <c r="P447" s="6">
        <f t="shared" si="92"/>
        <v>63.917557213899997</v>
      </c>
      <c r="Q447" s="6">
        <f t="shared" si="92"/>
        <v>64.223166269499998</v>
      </c>
      <c r="R447" s="6">
        <f t="shared" si="92"/>
        <v>64.578519186299999</v>
      </c>
      <c r="S447" s="6">
        <f t="shared" si="92"/>
        <v>64.944982545499997</v>
      </c>
      <c r="T447" s="6">
        <f t="shared" si="92"/>
        <v>65.333397754399996</v>
      </c>
      <c r="U447" s="6">
        <f t="shared" si="92"/>
        <v>65.759603239499995</v>
      </c>
      <c r="V447" s="6">
        <f t="shared" si="92"/>
        <v>66.236939394700002</v>
      </c>
      <c r="W447" s="6">
        <f t="shared" si="92"/>
        <v>66.766268974699997</v>
      </c>
      <c r="X447" s="6">
        <f t="shared" si="92"/>
        <v>67.377716387099994</v>
      </c>
      <c r="Y447" s="6">
        <f t="shared" si="92"/>
        <v>68.083847446100009</v>
      </c>
      <c r="Z447" s="6">
        <f t="shared" si="92"/>
        <v>68.895800300499999</v>
      </c>
      <c r="AA447" s="6">
        <f t="shared" si="92"/>
        <v>69.821377045299997</v>
      </c>
      <c r="AB447" s="6">
        <f t="shared" si="92"/>
        <v>70.833118409299999</v>
      </c>
      <c r="AC447" s="6">
        <f t="shared" si="92"/>
        <v>71.975507893900001</v>
      </c>
      <c r="AD447" s="6">
        <f t="shared" si="92"/>
        <v>73.269802913199996</v>
      </c>
      <c r="AE447" s="6">
        <f t="shared" si="92"/>
        <v>74.732051676899999</v>
      </c>
      <c r="AF447" s="6">
        <f t="shared" si="92"/>
        <v>76.369242997900002</v>
      </c>
      <c r="AG447" s="6">
        <f t="shared" si="92"/>
        <v>78.185416580199998</v>
      </c>
      <c r="AH447" s="6">
        <f t="shared" si="92"/>
        <v>80.191603965200002</v>
      </c>
      <c r="AI447" s="6">
        <f t="shared" si="92"/>
        <v>82.409623538899993</v>
      </c>
      <c r="AJ447" s="6">
        <f t="shared" si="92"/>
        <v>84.872594054000018</v>
      </c>
      <c r="AK447" s="6">
        <f t="shared" si="92"/>
        <v>87.633317671100002</v>
      </c>
      <c r="AL447" s="6">
        <f t="shared" si="92"/>
        <v>90.779388103200006</v>
      </c>
    </row>
    <row r="448" spans="1:38" x14ac:dyDescent="0.35">
      <c r="B448" s="6" t="str">
        <f>[1]Results!E285</f>
        <v>CF_toe_ccoi_2</v>
      </c>
      <c r="C448" s="6">
        <f>[1]Results!F285</f>
        <v>8.3953620399999998E-2</v>
      </c>
      <c r="D448" s="6">
        <f>[1]Results!G285</f>
        <v>8.3997829100000004E-2</v>
      </c>
      <c r="E448" s="6">
        <f>[1]Results!H285</f>
        <v>8.3941880900000002E-2</v>
      </c>
      <c r="F448" s="6">
        <f>[1]Results!I285</f>
        <v>8.3645996099999995E-2</v>
      </c>
      <c r="G448" s="6">
        <f>[1]Results!J285</f>
        <v>8.3822487200000004E-2</v>
      </c>
      <c r="H448" s="6">
        <f>[1]Results!K285</f>
        <v>8.4387731399999999E-2</v>
      </c>
      <c r="I448" s="6">
        <f>[1]Results!L285</f>
        <v>8.5057577400000001E-2</v>
      </c>
      <c r="J448" s="6">
        <f>[1]Results!M285</f>
        <v>8.3326416400000006E-2</v>
      </c>
      <c r="K448" s="6">
        <f>[1]Results!N285</f>
        <v>8.1193401100000007E-2</v>
      </c>
      <c r="L448" s="6">
        <f>[1]Results!O285</f>
        <v>7.9444265799999997E-2</v>
      </c>
      <c r="M448" s="6">
        <f>[1]Results!P285</f>
        <v>7.7916658799999997E-2</v>
      </c>
      <c r="N448" s="6">
        <f>[1]Results!Q285</f>
        <v>7.6896169099999995E-2</v>
      </c>
      <c r="O448" s="6">
        <f>[1]Results!R285</f>
        <v>7.6185878999999998E-2</v>
      </c>
      <c r="P448" s="6">
        <f>[1]Results!S285</f>
        <v>7.5622913900000005E-2</v>
      </c>
      <c r="Q448" s="6">
        <f>[1]Results!T285</f>
        <v>7.5194069500000002E-2</v>
      </c>
      <c r="R448" s="6">
        <f>[1]Results!U285</f>
        <v>7.4892576299999999E-2</v>
      </c>
      <c r="S448" s="6">
        <f>[1]Results!V285</f>
        <v>7.4667225500000003E-2</v>
      </c>
      <c r="T448" s="6">
        <f>[1]Results!W285</f>
        <v>7.4522814399999998E-2</v>
      </c>
      <c r="U448" s="6">
        <f>[1]Results!X285</f>
        <v>7.4484249500000002E-2</v>
      </c>
      <c r="V448" s="6">
        <f>[1]Results!Y285</f>
        <v>7.4570494700000003E-2</v>
      </c>
      <c r="W448" s="6">
        <f>[1]Results!Z285</f>
        <v>7.4784724699999999E-2</v>
      </c>
      <c r="X448" s="6">
        <f>[1]Results!AA285</f>
        <v>7.5165837099999994E-2</v>
      </c>
      <c r="Y448" s="6">
        <f>[1]Results!AB285</f>
        <v>7.5731636099999999E-2</v>
      </c>
      <c r="Z448" s="6">
        <f>[1]Results!AC285</f>
        <v>7.6492220499999999E-2</v>
      </c>
      <c r="AA448" s="6">
        <f>[1]Results!AD285</f>
        <v>7.7449105300000001E-2</v>
      </c>
      <c r="AB448" s="6">
        <f>[1]Results!AE285</f>
        <v>7.8563729299999996E-2</v>
      </c>
      <c r="AC448" s="6">
        <f>[1]Results!AF285</f>
        <v>7.9886553900000004E-2</v>
      </c>
      <c r="AD448" s="6">
        <f>[1]Results!AG285</f>
        <v>8.1449763199999997E-2</v>
      </c>
      <c r="AE448" s="6">
        <f>[1]Results!AH285</f>
        <v>8.3264936900000003E-2</v>
      </c>
      <c r="AF448" s="6">
        <f>[1]Results!AI285</f>
        <v>8.5319677900000002E-2</v>
      </c>
      <c r="AG448" s="6">
        <f>[1]Results!AJ285</f>
        <v>8.7594800200000003E-2</v>
      </c>
      <c r="AH448" s="6">
        <f>[1]Results!AK285</f>
        <v>9.0086375199999999E-2</v>
      </c>
      <c r="AI448" s="6">
        <f>[1]Results!AL285</f>
        <v>9.2809578899999995E-2</v>
      </c>
      <c r="AJ448" s="6">
        <f>[1]Results!AM285</f>
        <v>9.5792723999999996E-2</v>
      </c>
      <c r="AK448" s="6">
        <f>[1]Results!AN285</f>
        <v>9.9089831099999998E-2</v>
      </c>
      <c r="AL448" s="6">
        <f>[1]Results!AO285</f>
        <v>0.10280218319999999</v>
      </c>
    </row>
    <row r="449" spans="1:38" x14ac:dyDescent="0.35">
      <c r="B449" s="6" t="str">
        <f>[1]Results!E288</f>
        <v>CF_toe_cfut_2</v>
      </c>
      <c r="C449" s="6">
        <f>[1]Results!F288</f>
        <v>47.250386450000001</v>
      </c>
      <c r="D449" s="6">
        <f>[1]Results!G288</f>
        <v>47.318438120000003</v>
      </c>
      <c r="E449" s="6">
        <f>[1]Results!H288</f>
        <v>47.339131989999998</v>
      </c>
      <c r="F449" s="6">
        <f>[1]Results!I288</f>
        <v>47.395623479999998</v>
      </c>
      <c r="G449" s="6">
        <f>[1]Results!J288</f>
        <v>47.611719460000003</v>
      </c>
      <c r="H449" s="6">
        <f>[1]Results!K288</f>
        <v>47.969931979999998</v>
      </c>
      <c r="I449" s="6">
        <f>[1]Results!L288</f>
        <v>48.42195925</v>
      </c>
      <c r="J449" s="6">
        <f>[1]Results!M288</f>
        <v>48.495967550000003</v>
      </c>
      <c r="K449" s="6">
        <f>[1]Results!N288</f>
        <v>48.491102619999999</v>
      </c>
      <c r="L449" s="6">
        <f>[1]Results!O288</f>
        <v>48.601059599999999</v>
      </c>
      <c r="M449" s="6">
        <f>[1]Results!P288</f>
        <v>48.773655310000002</v>
      </c>
      <c r="N449" s="6">
        <f>[1]Results!Q288</f>
        <v>49.047390640000003</v>
      </c>
      <c r="O449" s="6">
        <f>[1]Results!R288</f>
        <v>49.386903539999999</v>
      </c>
      <c r="P449" s="6">
        <f>[1]Results!S288</f>
        <v>49.750723919999999</v>
      </c>
      <c r="Q449" s="6">
        <f>[1]Results!T288</f>
        <v>50.135980400000001</v>
      </c>
      <c r="R449" s="6">
        <f>[1]Results!U288</f>
        <v>50.540775349999997</v>
      </c>
      <c r="S449" s="6">
        <f>[1]Results!V288</f>
        <v>50.935818300000001</v>
      </c>
      <c r="T449" s="6">
        <f>[1]Results!W288</f>
        <v>51.3329314</v>
      </c>
      <c r="U449" s="6">
        <f>[1]Results!X288</f>
        <v>51.747836569999997</v>
      </c>
      <c r="V449" s="6">
        <f>[1]Results!Y288</f>
        <v>52.192895839999998</v>
      </c>
      <c r="W449" s="6">
        <f>[1]Results!Z288</f>
        <v>52.67117322</v>
      </c>
      <c r="X449" s="6">
        <f>[1]Results!AA288</f>
        <v>53.203580209999998</v>
      </c>
      <c r="Y449" s="6">
        <f>[1]Results!AB288</f>
        <v>53.801557520000003</v>
      </c>
      <c r="Z449" s="6">
        <f>[1]Results!AC288</f>
        <v>54.474115830000002</v>
      </c>
      <c r="AA449" s="6">
        <f>[1]Results!AD288</f>
        <v>55.227260469999997</v>
      </c>
      <c r="AB449" s="6">
        <f>[1]Results!AE288</f>
        <v>56.044135249999997</v>
      </c>
      <c r="AC449" s="6">
        <f>[1]Results!AF288</f>
        <v>56.954143770000002</v>
      </c>
      <c r="AD449" s="6">
        <f>[1]Results!AG288</f>
        <v>57.97515903</v>
      </c>
      <c r="AE449" s="6">
        <f>[1]Results!AH288</f>
        <v>59.120256779999998</v>
      </c>
      <c r="AF449" s="6">
        <f>[1]Results!AI288</f>
        <v>60.395306009999999</v>
      </c>
      <c r="AG449" s="6">
        <f>[1]Results!AJ288</f>
        <v>61.803795649999998</v>
      </c>
      <c r="AH449" s="6">
        <f>[1]Results!AK288</f>
        <v>63.354798459999998</v>
      </c>
      <c r="AI449" s="6">
        <f>[1]Results!AL288</f>
        <v>65.065730669999994</v>
      </c>
      <c r="AJ449" s="6">
        <f>[1]Results!AM288</f>
        <v>66.962226290000004</v>
      </c>
      <c r="AK449" s="6">
        <f>[1]Results!AN288</f>
        <v>69.084839880000004</v>
      </c>
      <c r="AL449" s="6">
        <f>[1]Results!AO288</f>
        <v>71.50076722</v>
      </c>
    </row>
    <row r="450" spans="1:38" x14ac:dyDescent="0.35">
      <c r="B450" s="6" t="str">
        <f>[1]Results!E291</f>
        <v>CF_toe_cfuh_2</v>
      </c>
      <c r="C450" s="6">
        <f>[1]Results!F291</f>
        <v>14.789342299999999</v>
      </c>
      <c r="D450" s="6">
        <f>[1]Results!G291</f>
        <v>14.82761024</v>
      </c>
      <c r="E450" s="6">
        <f>[1]Results!H291</f>
        <v>14.84633943</v>
      </c>
      <c r="F450" s="6">
        <f>[1]Results!I291</f>
        <v>14.849404209999999</v>
      </c>
      <c r="G450" s="6">
        <f>[1]Results!J291</f>
        <v>14.889166100000001</v>
      </c>
      <c r="H450" s="6">
        <f>[1]Results!K291</f>
        <v>14.959936539999999</v>
      </c>
      <c r="I450" s="6">
        <f>[1]Results!L291</f>
        <v>15.045414750000001</v>
      </c>
      <c r="J450" s="6">
        <f>[1]Results!M291</f>
        <v>14.94999922</v>
      </c>
      <c r="K450" s="6">
        <f>[1]Results!N291</f>
        <v>14.803646240000001</v>
      </c>
      <c r="L450" s="6">
        <f>[1]Results!O291</f>
        <v>14.65127788</v>
      </c>
      <c r="M450" s="6">
        <f>[1]Results!P291</f>
        <v>14.48342222</v>
      </c>
      <c r="N450" s="6">
        <f>[1]Results!Q291</f>
        <v>14.330409080000001</v>
      </c>
      <c r="O450" s="6">
        <f>[1]Results!R291</f>
        <v>14.19922229</v>
      </c>
      <c r="P450" s="6">
        <f>[1]Results!S291</f>
        <v>14.09121038</v>
      </c>
      <c r="Q450" s="6">
        <f>[1]Results!T291</f>
        <v>14.011991800000001</v>
      </c>
      <c r="R450" s="6">
        <f>[1]Results!U291</f>
        <v>13.962851260000001</v>
      </c>
      <c r="S450" s="6">
        <f>[1]Results!V291</f>
        <v>13.93449702</v>
      </c>
      <c r="T450" s="6">
        <f>[1]Results!W291</f>
        <v>13.92594354</v>
      </c>
      <c r="U450" s="6">
        <f>[1]Results!X291</f>
        <v>13.937282420000001</v>
      </c>
      <c r="V450" s="6">
        <f>[1]Results!Y291</f>
        <v>13.96947306</v>
      </c>
      <c r="W450" s="6">
        <f>[1]Results!Z291</f>
        <v>14.02031103</v>
      </c>
      <c r="X450" s="6">
        <f>[1]Results!AA291</f>
        <v>14.098970339999999</v>
      </c>
      <c r="Y450" s="6">
        <f>[1]Results!AB291</f>
        <v>14.20655829</v>
      </c>
      <c r="Z450" s="6">
        <f>[1]Results!AC291</f>
        <v>14.34519225</v>
      </c>
      <c r="AA450" s="6">
        <f>[1]Results!AD291</f>
        <v>14.51666747</v>
      </c>
      <c r="AB450" s="6">
        <f>[1]Results!AE291</f>
        <v>14.71041943</v>
      </c>
      <c r="AC450" s="6">
        <f>[1]Results!AF291</f>
        <v>14.94147757</v>
      </c>
      <c r="AD450" s="6">
        <f>[1]Results!AG291</f>
        <v>15.213194120000001</v>
      </c>
      <c r="AE450" s="6">
        <f>[1]Results!AH291</f>
        <v>15.52852996</v>
      </c>
      <c r="AF450" s="6">
        <f>[1]Results!AI291</f>
        <v>15.888617310000001</v>
      </c>
      <c r="AG450" s="6">
        <f>[1]Results!AJ291</f>
        <v>16.294026129999999</v>
      </c>
      <c r="AH450" s="6">
        <f>[1]Results!AK291</f>
        <v>16.746719129999999</v>
      </c>
      <c r="AI450" s="6">
        <f>[1]Results!AL291</f>
        <v>17.25108329</v>
      </c>
      <c r="AJ450" s="6">
        <f>[1]Results!AM291</f>
        <v>17.814575040000001</v>
      </c>
      <c r="AK450" s="6">
        <f>[1]Results!AN291</f>
        <v>18.449387959999999</v>
      </c>
      <c r="AL450" s="6">
        <f>[1]Results!AO291</f>
        <v>19.175818700000001</v>
      </c>
    </row>
    <row r="451" spans="1:38" x14ac:dyDescent="0.35">
      <c r="B451" s="6" t="str">
        <f>[1]Results!E293</f>
        <v>CF_toe_cgas_2</v>
      </c>
      <c r="C451" s="6">
        <f>[1]Results!F293</f>
        <v>34.131798230000001</v>
      </c>
      <c r="D451" s="6">
        <f>[1]Results!G293</f>
        <v>33.809733469999998</v>
      </c>
      <c r="E451" s="6">
        <f>[1]Results!H293</f>
        <v>33.496928359999998</v>
      </c>
      <c r="F451" s="6">
        <f>[1]Results!I293</f>
        <v>33.086331809999997</v>
      </c>
      <c r="G451" s="6">
        <f>[1]Results!J293</f>
        <v>32.972736660000002</v>
      </c>
      <c r="H451" s="6">
        <f>[1]Results!K293</f>
        <v>33.039193529999999</v>
      </c>
      <c r="I451" s="6">
        <f>[1]Results!L293</f>
        <v>33.242291440000002</v>
      </c>
      <c r="J451" s="6">
        <f>[1]Results!M293</f>
        <v>32.281771710000001</v>
      </c>
      <c r="K451" s="6">
        <f>[1]Results!N293</f>
        <v>31.346923109999999</v>
      </c>
      <c r="L451" s="6">
        <f>[1]Results!O293</f>
        <v>30.623508399999999</v>
      </c>
      <c r="M451" s="6">
        <f>[1]Results!P293</f>
        <v>30.057081119999999</v>
      </c>
      <c r="N451" s="6">
        <f>[1]Results!Q293</f>
        <v>29.785782520000001</v>
      </c>
      <c r="O451" s="6">
        <f>[1]Results!R293</f>
        <v>29.679458199999999</v>
      </c>
      <c r="P451" s="6">
        <f>[1]Results!S293</f>
        <v>29.662281249999999</v>
      </c>
      <c r="Q451" s="6">
        <f>[1]Results!T293</f>
        <v>29.715080589999999</v>
      </c>
      <c r="R451" s="6">
        <f>[1]Results!U293</f>
        <v>29.829735540000001</v>
      </c>
      <c r="S451" s="6">
        <f>[1]Results!V293</f>
        <v>29.903157190000002</v>
      </c>
      <c r="T451" s="6">
        <f>[1]Results!W293</f>
        <v>29.979263769999999</v>
      </c>
      <c r="U451" s="6">
        <f>[1]Results!X293</f>
        <v>30.08637242</v>
      </c>
      <c r="V451" s="6">
        <f>[1]Results!Y293</f>
        <v>30.241455500000001</v>
      </c>
      <c r="W451" s="6">
        <f>[1]Results!Z293</f>
        <v>30.44757714</v>
      </c>
      <c r="X451" s="6">
        <f>[1]Results!AA293</f>
        <v>30.730147760000001</v>
      </c>
      <c r="Y451" s="6">
        <f>[1]Results!AB293</f>
        <v>31.092104339999999</v>
      </c>
      <c r="Z451" s="6">
        <f>[1]Results!AC293</f>
        <v>31.53797294</v>
      </c>
      <c r="AA451" s="6">
        <f>[1]Results!AD293</f>
        <v>32.073453110000003</v>
      </c>
      <c r="AB451" s="6">
        <f>[1]Results!AE293</f>
        <v>32.678968619999999</v>
      </c>
      <c r="AC451" s="6">
        <f>[1]Results!AF293</f>
        <v>33.393336679999997</v>
      </c>
      <c r="AD451" s="6">
        <f>[1]Results!AG293</f>
        <v>34.232405059999998</v>
      </c>
      <c r="AE451" s="6">
        <f>[1]Results!AH293</f>
        <v>35.210232009999999</v>
      </c>
      <c r="AF451" s="6">
        <f>[1]Results!AI293</f>
        <v>36.337597440000003</v>
      </c>
      <c r="AG451" s="6">
        <f>[1]Results!AJ293</f>
        <v>37.626735150000002</v>
      </c>
      <c r="AH451" s="6">
        <f>[1]Results!AK293</f>
        <v>39.097888279999999</v>
      </c>
      <c r="AI451" s="6">
        <f>[1]Results!AL293</f>
        <v>40.782793789999999</v>
      </c>
      <c r="AJ451" s="6">
        <f>[1]Results!AM293</f>
        <v>42.727602599999997</v>
      </c>
      <c r="AK451" s="6">
        <f>[1]Results!AN293</f>
        <v>45.001932449999998</v>
      </c>
      <c r="AL451" s="6">
        <f>[1]Results!AO293</f>
        <v>47.715956339999998</v>
      </c>
    </row>
    <row r="452" spans="1:38" x14ac:dyDescent="0.35">
      <c r="B452" s="6" t="str">
        <f>[1]Results!E299</f>
        <v>CF_toe_cele_2</v>
      </c>
      <c r="C452" s="6">
        <f>[1]Results!F299</f>
        <v>38.0292125</v>
      </c>
      <c r="D452" s="6">
        <f>[1]Results!G299</f>
        <v>38.462350219999998</v>
      </c>
      <c r="E452" s="6">
        <f>[1]Results!H299</f>
        <v>38.841756619999998</v>
      </c>
      <c r="F452" s="6">
        <f>[1]Results!I299</f>
        <v>39.260083620000003</v>
      </c>
      <c r="G452" s="6">
        <f>[1]Results!J299</f>
        <v>39.613090470000003</v>
      </c>
      <c r="H452" s="6">
        <f>[1]Results!K299</f>
        <v>39.970482369999999</v>
      </c>
      <c r="I452" s="6">
        <f>[1]Results!L299</f>
        <v>40.346919069999998</v>
      </c>
      <c r="J452" s="6">
        <f>[1]Results!M299</f>
        <v>41.050759460000002</v>
      </c>
      <c r="K452" s="6">
        <f>[1]Results!N299</f>
        <v>41.670909600000002</v>
      </c>
      <c r="L452" s="6">
        <f>[1]Results!O299</f>
        <v>42.314375679999998</v>
      </c>
      <c r="M452" s="6">
        <f>[1]Results!P299</f>
        <v>42.903872380000003</v>
      </c>
      <c r="N452" s="6">
        <f>[1]Results!Q299</f>
        <v>43.292696059999997</v>
      </c>
      <c r="O452" s="6">
        <f>[1]Results!R299</f>
        <v>43.578066560000003</v>
      </c>
      <c r="P452" s="6">
        <f>[1]Results!S299</f>
        <v>43.801578169999999</v>
      </c>
      <c r="Q452" s="6">
        <f>[1]Results!T299</f>
        <v>44.011471110000002</v>
      </c>
      <c r="R452" s="6">
        <f>[1]Results!U299</f>
        <v>44.234809310000003</v>
      </c>
      <c r="S452" s="6">
        <f>[1]Results!V299</f>
        <v>44.52685486</v>
      </c>
      <c r="T452" s="6">
        <f>[1]Results!W299</f>
        <v>44.857079830000004</v>
      </c>
      <c r="U452" s="6">
        <f>[1]Results!X299</f>
        <v>45.219316030000002</v>
      </c>
      <c r="V452" s="6">
        <f>[1]Results!Y299</f>
        <v>45.61839372</v>
      </c>
      <c r="W452" s="6">
        <f>[1]Results!Z299</f>
        <v>46.053242650000001</v>
      </c>
      <c r="X452" s="6">
        <f>[1]Results!AA299</f>
        <v>46.555552560000002</v>
      </c>
      <c r="Y452" s="6">
        <f>[1]Results!AB299</f>
        <v>47.13676177</v>
      </c>
      <c r="Z452" s="6">
        <f>[1]Results!AC299</f>
        <v>47.80602931</v>
      </c>
      <c r="AA452" s="6">
        <f>[1]Results!AD299</f>
        <v>48.5689159</v>
      </c>
      <c r="AB452" s="6">
        <f>[1]Results!AE299</f>
        <v>49.395021200000002</v>
      </c>
      <c r="AC452" s="6">
        <f>[1]Results!AF299</f>
        <v>50.327603629999999</v>
      </c>
      <c r="AD452" s="6">
        <f>[1]Results!AG299</f>
        <v>51.378159119999999</v>
      </c>
      <c r="AE452" s="6">
        <f>[1]Results!AH299</f>
        <v>52.549122629999999</v>
      </c>
      <c r="AF452" s="6">
        <f>[1]Results!AI299</f>
        <v>53.83101319</v>
      </c>
      <c r="AG452" s="6">
        <f>[1]Results!AJ299</f>
        <v>55.209542810000002</v>
      </c>
      <c r="AH452" s="6">
        <f>[1]Results!AK299</f>
        <v>56.674654779999997</v>
      </c>
      <c r="AI452" s="6">
        <f>[1]Results!AL299</f>
        <v>58.221471940000001</v>
      </c>
      <c r="AJ452" s="6">
        <f>[1]Results!AM299</f>
        <v>59.846244890000001</v>
      </c>
      <c r="AK452" s="6">
        <f>[1]Results!AN299</f>
        <v>61.549482429999998</v>
      </c>
      <c r="AL452" s="6">
        <f>[1]Results!AO299</f>
        <v>63.340285979999997</v>
      </c>
    </row>
    <row r="453" spans="1:38" x14ac:dyDescent="0.35">
      <c r="B453" s="6" t="s">
        <v>75</v>
      </c>
      <c r="C453" s="6">
        <f>SUM(C454:C456)</f>
        <v>22.006702949000001</v>
      </c>
      <c r="D453" s="6">
        <f t="shared" ref="D453:AL453" si="93">SUM(D454:D456)</f>
        <v>22.097071010000001</v>
      </c>
      <c r="E453" s="6">
        <f t="shared" si="93"/>
        <v>22.185144743000002</v>
      </c>
      <c r="F453" s="6">
        <f t="shared" si="93"/>
        <v>22.255394475999999</v>
      </c>
      <c r="G453" s="6">
        <f t="shared" si="93"/>
        <v>22.384154987000002</v>
      </c>
      <c r="H453" s="6">
        <f t="shared" si="93"/>
        <v>22.559655857999999</v>
      </c>
      <c r="I453" s="6">
        <f t="shared" si="93"/>
        <v>22.762039256999998</v>
      </c>
      <c r="J453" s="6">
        <f t="shared" si="93"/>
        <v>22.663177670000003</v>
      </c>
      <c r="K453" s="6">
        <f t="shared" si="93"/>
        <v>22.502107977000001</v>
      </c>
      <c r="L453" s="6">
        <f t="shared" si="93"/>
        <v>22.391766254</v>
      </c>
      <c r="M453" s="6">
        <f t="shared" si="93"/>
        <v>22.280369994000001</v>
      </c>
      <c r="N453" s="6">
        <f t="shared" si="93"/>
        <v>22.193564029000001</v>
      </c>
      <c r="O453" s="6">
        <f t="shared" si="93"/>
        <v>22.121487645999999</v>
      </c>
      <c r="P453" s="6">
        <f t="shared" si="93"/>
        <v>22.054924110999998</v>
      </c>
      <c r="Q453" s="6">
        <f t="shared" si="93"/>
        <v>22.008496596000001</v>
      </c>
      <c r="R453" s="6">
        <f t="shared" si="93"/>
        <v>21.989765775999999</v>
      </c>
      <c r="S453" s="6">
        <f t="shared" si="93"/>
        <v>21.982412953999997</v>
      </c>
      <c r="T453" s="6">
        <f t="shared" si="93"/>
        <v>21.990509291000002</v>
      </c>
      <c r="U453" s="6">
        <f t="shared" si="93"/>
        <v>22.020986176000001</v>
      </c>
      <c r="V453" s="6">
        <f t="shared" si="93"/>
        <v>22.078985958000001</v>
      </c>
      <c r="W453" s="6">
        <f t="shared" si="93"/>
        <v>22.161834864999999</v>
      </c>
      <c r="X453" s="6">
        <f t="shared" si="93"/>
        <v>22.286191783</v>
      </c>
      <c r="Y453" s="6">
        <f t="shared" si="93"/>
        <v>22.455242475999999</v>
      </c>
      <c r="Z453" s="6">
        <f t="shared" si="93"/>
        <v>22.670979842999998</v>
      </c>
      <c r="AA453" s="6">
        <f t="shared" si="93"/>
        <v>22.933525135</v>
      </c>
      <c r="AB453" s="6">
        <f t="shared" si="93"/>
        <v>23.222034634</v>
      </c>
      <c r="AC453" s="6">
        <f t="shared" si="93"/>
        <v>23.560776736000001</v>
      </c>
      <c r="AD453" s="6">
        <f t="shared" si="93"/>
        <v>23.955791116</v>
      </c>
      <c r="AE453" s="6">
        <f t="shared" si="93"/>
        <v>24.407481601000001</v>
      </c>
      <c r="AF453" s="6">
        <f t="shared" si="93"/>
        <v>24.909954585000001</v>
      </c>
      <c r="AG453" s="6">
        <f t="shared" si="93"/>
        <v>25.455362293</v>
      </c>
      <c r="AH453" s="6">
        <f t="shared" si="93"/>
        <v>26.038877972999998</v>
      </c>
      <c r="AI453" s="6">
        <f t="shared" si="93"/>
        <v>26.658316276000001</v>
      </c>
      <c r="AJ453" s="6">
        <f t="shared" si="93"/>
        <v>27.312073355999999</v>
      </c>
      <c r="AK453" s="6">
        <f t="shared" si="93"/>
        <v>28.000114400000001</v>
      </c>
      <c r="AL453" s="6">
        <f t="shared" si="93"/>
        <v>28.724867913000001</v>
      </c>
    </row>
    <row r="454" spans="1:38" x14ac:dyDescent="0.35">
      <c r="B454" s="6" t="str">
        <f>[1]Results!E309</f>
        <v>CF_toe_chea_2</v>
      </c>
      <c r="C454" s="6">
        <f>[1]Results!F309</f>
        <v>5.1300730300000001</v>
      </c>
      <c r="D454" s="6">
        <f>[1]Results!G309</f>
        <v>5.1781325770000004</v>
      </c>
      <c r="E454" s="6">
        <f>[1]Results!H309</f>
        <v>5.2244954049999999</v>
      </c>
      <c r="F454" s="6">
        <f>[1]Results!I309</f>
        <v>5.2675153830000001</v>
      </c>
      <c r="G454" s="6">
        <f>[1]Results!J309</f>
        <v>5.3128333310000002</v>
      </c>
      <c r="H454" s="6">
        <f>[1]Results!K309</f>
        <v>5.3657193220000003</v>
      </c>
      <c r="I454" s="6">
        <f>[1]Results!L309</f>
        <v>5.4226432139999998</v>
      </c>
      <c r="J454" s="6">
        <f>[1]Results!M309</f>
        <v>5.4538692470000001</v>
      </c>
      <c r="K454" s="6">
        <f>[1]Results!N309</f>
        <v>5.4721047020000002</v>
      </c>
      <c r="L454" s="6">
        <f>[1]Results!O309</f>
        <v>5.5109534040000003</v>
      </c>
      <c r="M454" s="6">
        <f>[1]Results!P309</f>
        <v>5.5714651079999999</v>
      </c>
      <c r="N454" s="6">
        <f>[1]Results!Q309</f>
        <v>5.6403521039999998</v>
      </c>
      <c r="O454" s="6">
        <f>[1]Results!R309</f>
        <v>5.7165535260000002</v>
      </c>
      <c r="P454" s="6">
        <f>[1]Results!S309</f>
        <v>5.7941576359999996</v>
      </c>
      <c r="Q454" s="6">
        <f>[1]Results!T309</f>
        <v>5.8714557640000002</v>
      </c>
      <c r="R454" s="6">
        <f>[1]Results!U309</f>
        <v>5.9477946460000002</v>
      </c>
      <c r="S454" s="6">
        <f>[1]Results!V309</f>
        <v>6.0205144160000001</v>
      </c>
      <c r="T454" s="6">
        <f>[1]Results!W309</f>
        <v>6.087651342</v>
      </c>
      <c r="U454" s="6">
        <f>[1]Results!X309</f>
        <v>6.1506588249999998</v>
      </c>
      <c r="V454" s="6">
        <f>[1]Results!Y309</f>
        <v>6.2116380680000001</v>
      </c>
      <c r="W454" s="6">
        <f>[1]Results!Z309</f>
        <v>6.2686080820000001</v>
      </c>
      <c r="X454" s="6">
        <f>[1]Results!AA309</f>
        <v>6.3302060310000003</v>
      </c>
      <c r="Y454" s="6">
        <f>[1]Results!AB309</f>
        <v>6.3970602000000003</v>
      </c>
      <c r="Z454" s="6">
        <f>[1]Results!AC309</f>
        <v>6.4702376309999998</v>
      </c>
      <c r="AA454" s="6">
        <f>[1]Results!AD309</f>
        <v>6.5508270770000001</v>
      </c>
      <c r="AB454" s="6">
        <f>[1]Results!AE309</f>
        <v>6.6284740869999998</v>
      </c>
      <c r="AC454" s="6">
        <f>[1]Results!AF309</f>
        <v>6.7174832550000003</v>
      </c>
      <c r="AD454" s="6">
        <f>[1]Results!AG309</f>
        <v>6.8187260490000003</v>
      </c>
      <c r="AE454" s="6">
        <f>[1]Results!AH309</f>
        <v>6.9328353030000001</v>
      </c>
      <c r="AF454" s="6">
        <f>[1]Results!AI309</f>
        <v>7.0597545720000001</v>
      </c>
      <c r="AG454" s="6">
        <f>[1]Results!AJ309</f>
        <v>7.199243976</v>
      </c>
      <c r="AH454" s="6">
        <f>[1]Results!AK309</f>
        <v>7.3515041490000002</v>
      </c>
      <c r="AI454" s="6">
        <f>[1]Results!AL309</f>
        <v>7.5168013709999997</v>
      </c>
      <c r="AJ454" s="6">
        <f>[1]Results!AM309</f>
        <v>7.695781932</v>
      </c>
      <c r="AK454" s="6">
        <f>[1]Results!AN309</f>
        <v>7.889893518</v>
      </c>
      <c r="AL454" s="6">
        <f>[1]Results!AO309</f>
        <v>8.1016337780000001</v>
      </c>
    </row>
    <row r="455" spans="1:38" x14ac:dyDescent="0.35">
      <c r="B455" s="6" t="str">
        <f>[1]Results!E311</f>
        <v>CF_toe_cbio_2</v>
      </c>
      <c r="C455" s="6">
        <f>[1]Results!F311</f>
        <v>8.1755841379999996</v>
      </c>
      <c r="D455" s="6">
        <f>[1]Results!G311</f>
        <v>8.0946882969999994</v>
      </c>
      <c r="E455" s="6">
        <f>[1]Results!H311</f>
        <v>8.0074133159999992</v>
      </c>
      <c r="F455" s="6">
        <f>[1]Results!I311</f>
        <v>7.9060003959999996</v>
      </c>
      <c r="G455" s="6">
        <f>[1]Results!J311</f>
        <v>7.8501549910000001</v>
      </c>
      <c r="H455" s="6">
        <f>[1]Results!K311</f>
        <v>7.8214753180000001</v>
      </c>
      <c r="I455" s="6">
        <f>[1]Results!L311</f>
        <v>7.8081368189999996</v>
      </c>
      <c r="J455" s="6">
        <f>[1]Results!M311</f>
        <v>7.6135511219999996</v>
      </c>
      <c r="K455" s="6">
        <f>[1]Results!N311</f>
        <v>7.389891972</v>
      </c>
      <c r="L455" s="6">
        <f>[1]Results!O311</f>
        <v>7.1391145109999998</v>
      </c>
      <c r="M455" s="6">
        <f>[1]Results!P311</f>
        <v>6.8627466190000002</v>
      </c>
      <c r="N455" s="6">
        <f>[1]Results!Q311</f>
        <v>6.6043935710000001</v>
      </c>
      <c r="O455" s="6">
        <f>[1]Results!R311</f>
        <v>6.36402965</v>
      </c>
      <c r="P455" s="6">
        <f>[1]Results!S311</f>
        <v>6.1458410649999999</v>
      </c>
      <c r="Q455" s="6">
        <f>[1]Results!T311</f>
        <v>5.9531338419999997</v>
      </c>
      <c r="R455" s="6">
        <f>[1]Results!U311</f>
        <v>5.7857110299999999</v>
      </c>
      <c r="S455" s="6">
        <f>[1]Results!V311</f>
        <v>5.6247267479999996</v>
      </c>
      <c r="T455" s="6">
        <f>[1]Results!W311</f>
        <v>5.474231219</v>
      </c>
      <c r="U455" s="6">
        <f>[1]Results!X311</f>
        <v>5.3353041809999997</v>
      </c>
      <c r="V455" s="6">
        <f>[1]Results!Y311</f>
        <v>5.2086167999999997</v>
      </c>
      <c r="W455" s="6">
        <f>[1]Results!Z311</f>
        <v>5.0927694130000001</v>
      </c>
      <c r="X455" s="6">
        <f>[1]Results!AA311</f>
        <v>4.9918032820000002</v>
      </c>
      <c r="Y455" s="6">
        <f>[1]Results!AB311</f>
        <v>4.9055755359999997</v>
      </c>
      <c r="Z455" s="6">
        <f>[1]Results!AC311</f>
        <v>4.8339269519999997</v>
      </c>
      <c r="AA455" s="6">
        <f>[1]Results!AD311</f>
        <v>4.7765474980000002</v>
      </c>
      <c r="AB455" s="6">
        <f>[1]Results!AE311</f>
        <v>4.7273723470000002</v>
      </c>
      <c r="AC455" s="6">
        <f>[1]Results!AF311</f>
        <v>4.6924715409999997</v>
      </c>
      <c r="AD455" s="6">
        <f>[1]Results!AG311</f>
        <v>4.6714697269999998</v>
      </c>
      <c r="AE455" s="6">
        <f>[1]Results!AH311</f>
        <v>4.6636199979999997</v>
      </c>
      <c r="AF455" s="6">
        <f>[1]Results!AI311</f>
        <v>4.6677183729999996</v>
      </c>
      <c r="AG455" s="6">
        <f>[1]Results!AJ311</f>
        <v>4.6824423069999996</v>
      </c>
      <c r="AH455" s="6">
        <f>[1]Results!AK311</f>
        <v>4.7067814339999998</v>
      </c>
      <c r="AI455" s="6">
        <f>[1]Results!AL311</f>
        <v>4.7400532650000002</v>
      </c>
      <c r="AJ455" s="6">
        <f>[1]Results!AM311</f>
        <v>4.7817081540000004</v>
      </c>
      <c r="AK455" s="6">
        <f>[1]Results!AN311</f>
        <v>4.831500922</v>
      </c>
      <c r="AL455" s="6">
        <f>[1]Results!AO311</f>
        <v>4.8896338349999997</v>
      </c>
    </row>
    <row r="456" spans="1:38" x14ac:dyDescent="0.35">
      <c r="B456" s="6" t="str">
        <f>[1]Results!E314</f>
        <v>CF_toe_cote_2</v>
      </c>
      <c r="C456" s="6">
        <f>[1]Results!F314</f>
        <v>8.7010457809999995</v>
      </c>
      <c r="D456" s="6">
        <f>[1]Results!G314</f>
        <v>8.8242501359999999</v>
      </c>
      <c r="E456" s="6">
        <f>[1]Results!H314</f>
        <v>8.9532360220000005</v>
      </c>
      <c r="F456" s="6">
        <f>[1]Results!I314</f>
        <v>9.0818786970000005</v>
      </c>
      <c r="G456" s="6">
        <f>[1]Results!J314</f>
        <v>9.2211666650000002</v>
      </c>
      <c r="H456" s="6">
        <f>[1]Results!K314</f>
        <v>9.3724612179999998</v>
      </c>
      <c r="I456" s="6">
        <f>[1]Results!L314</f>
        <v>9.5312592239999994</v>
      </c>
      <c r="J456" s="6">
        <f>[1]Results!M314</f>
        <v>9.5957573010000008</v>
      </c>
      <c r="K456" s="6">
        <f>[1]Results!N314</f>
        <v>9.6401113029999994</v>
      </c>
      <c r="L456" s="6">
        <f>[1]Results!O314</f>
        <v>9.7416983389999992</v>
      </c>
      <c r="M456" s="6">
        <f>[1]Results!P314</f>
        <v>9.8461582669999999</v>
      </c>
      <c r="N456" s="6">
        <f>[1]Results!Q314</f>
        <v>9.9488183540000001</v>
      </c>
      <c r="O456" s="6">
        <f>[1]Results!R314</f>
        <v>10.040904469999999</v>
      </c>
      <c r="P456" s="6">
        <f>[1]Results!S314</f>
        <v>10.11492541</v>
      </c>
      <c r="Q456" s="6">
        <f>[1]Results!T314</f>
        <v>10.183906990000001</v>
      </c>
      <c r="R456" s="6">
        <f>[1]Results!U314</f>
        <v>10.2562601</v>
      </c>
      <c r="S456" s="6">
        <f>[1]Results!V314</f>
        <v>10.337171789999999</v>
      </c>
      <c r="T456" s="6">
        <f>[1]Results!W314</f>
        <v>10.42862673</v>
      </c>
      <c r="U456" s="6">
        <f>[1]Results!X314</f>
        <v>10.535023170000001</v>
      </c>
      <c r="V456" s="6">
        <f>[1]Results!Y314</f>
        <v>10.65873109</v>
      </c>
      <c r="W456" s="6">
        <f>[1]Results!Z314</f>
        <v>10.80045737</v>
      </c>
      <c r="X456" s="6">
        <f>[1]Results!AA314</f>
        <v>10.964182470000001</v>
      </c>
      <c r="Y456" s="6">
        <f>[1]Results!AB314</f>
        <v>11.15260674</v>
      </c>
      <c r="Z456" s="6">
        <f>[1]Results!AC314</f>
        <v>11.366815259999999</v>
      </c>
      <c r="AA456" s="6">
        <f>[1]Results!AD314</f>
        <v>11.60615056</v>
      </c>
      <c r="AB456" s="6">
        <f>[1]Results!AE314</f>
        <v>11.8661882</v>
      </c>
      <c r="AC456" s="6">
        <f>[1]Results!AF314</f>
        <v>12.15082194</v>
      </c>
      <c r="AD456" s="6">
        <f>[1]Results!AG314</f>
        <v>12.46559534</v>
      </c>
      <c r="AE456" s="6">
        <f>[1]Results!AH314</f>
        <v>12.8110263</v>
      </c>
      <c r="AF456" s="6">
        <f>[1]Results!AI314</f>
        <v>13.182481640000001</v>
      </c>
      <c r="AG456" s="6">
        <f>[1]Results!AJ314</f>
        <v>13.57367601</v>
      </c>
      <c r="AH456" s="6">
        <f>[1]Results!AK314</f>
        <v>13.98059239</v>
      </c>
      <c r="AI456" s="6">
        <f>[1]Results!AL314</f>
        <v>14.401461640000001</v>
      </c>
      <c r="AJ456" s="6">
        <f>[1]Results!AM314</f>
        <v>14.83458327</v>
      </c>
      <c r="AK456" s="6">
        <f>[1]Results!AN314</f>
        <v>15.27871996</v>
      </c>
      <c r="AL456" s="6">
        <f>[1]Results!AO314</f>
        <v>15.733600300000001</v>
      </c>
    </row>
    <row r="457" spans="1:3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x14ac:dyDescent="0.35">
      <c r="A458" s="12" t="s">
        <v>93</v>
      </c>
      <c r="B458" s="6" t="str">
        <f>[1]Results!E317</f>
        <v>CF_toe_0</v>
      </c>
      <c r="C458" s="6">
        <f>[1]Results!F317</f>
        <v>161.694278</v>
      </c>
      <c r="D458" s="6">
        <f>[1]Results!G317</f>
        <v>162.000316</v>
      </c>
      <c r="E458" s="6">
        <f>[1]Results!H317</f>
        <v>162.18906369999999</v>
      </c>
      <c r="F458" s="6">
        <f>[1]Results!I317</f>
        <v>162.30168699999999</v>
      </c>
      <c r="G458" s="6">
        <f>[1]Results!J317</f>
        <v>162.93754139999999</v>
      </c>
      <c r="H458" s="6">
        <f>[1]Results!K317</f>
        <v>164.0058545</v>
      </c>
      <c r="I458" s="6">
        <f>[1]Results!L317</f>
        <v>165.0498135</v>
      </c>
      <c r="J458" s="6">
        <f>[1]Results!M317</f>
        <v>166.06860320000001</v>
      </c>
      <c r="K458" s="6">
        <f>[1]Results!N317</f>
        <v>167.06642500000001</v>
      </c>
      <c r="L458" s="6">
        <f>[1]Results!O317</f>
        <v>168.0586801</v>
      </c>
      <c r="M458" s="6">
        <f>[1]Results!P317</f>
        <v>169.12673620000001</v>
      </c>
      <c r="N458" s="6">
        <f>[1]Results!Q317</f>
        <v>170.18294209999999</v>
      </c>
      <c r="O458" s="6">
        <f>[1]Results!R317</f>
        <v>171.20516799999999</v>
      </c>
      <c r="P458" s="6">
        <f>[1]Results!S317</f>
        <v>172.10490010000001</v>
      </c>
      <c r="Q458" s="6">
        <f>[1]Results!T317</f>
        <v>172.92613990000001</v>
      </c>
      <c r="R458" s="6">
        <f>[1]Results!U317</f>
        <v>173.7267803</v>
      </c>
      <c r="S458" s="6">
        <f>[1]Results!V317</f>
        <v>174.7668334</v>
      </c>
      <c r="T458" s="6">
        <f>[1]Results!W317</f>
        <v>176.06237519999999</v>
      </c>
      <c r="U458" s="6">
        <f>[1]Results!X317</f>
        <v>177.62062169999999</v>
      </c>
      <c r="V458" s="6">
        <f>[1]Results!Y317</f>
        <v>179.4376374</v>
      </c>
      <c r="W458" s="6">
        <f>[1]Results!Z317</f>
        <v>181.47009890000001</v>
      </c>
      <c r="X458" s="6">
        <f>[1]Results!AA317</f>
        <v>183.78562059999999</v>
      </c>
      <c r="Y458" s="6">
        <f>[1]Results!AB317</f>
        <v>186.39391409999999</v>
      </c>
      <c r="Z458" s="6">
        <f>[1]Results!AC317</f>
        <v>189.3086011</v>
      </c>
      <c r="AA458" s="6">
        <f>[1]Results!AD317</f>
        <v>192.52955030000001</v>
      </c>
      <c r="AB458" s="6">
        <f>[1]Results!AE317</f>
        <v>195.93044069999999</v>
      </c>
      <c r="AC458" s="6">
        <f>[1]Results!AF317</f>
        <v>199.6369555</v>
      </c>
      <c r="AD458" s="6">
        <f>[1]Results!AG317</f>
        <v>203.65994449999999</v>
      </c>
      <c r="AE458" s="6">
        <f>[1]Results!AH317</f>
        <v>208.0019638</v>
      </c>
      <c r="AF458" s="6">
        <f>[1]Results!AI317</f>
        <v>212.62712970000001</v>
      </c>
      <c r="AG458" s="6">
        <f>[1]Results!AJ317</f>
        <v>217.47857920000001</v>
      </c>
      <c r="AH458" s="6">
        <f>[1]Results!AK317</f>
        <v>222.5012045</v>
      </c>
      <c r="AI458" s="6">
        <f>[1]Results!AL317</f>
        <v>227.6480013</v>
      </c>
      <c r="AJ458" s="6">
        <f>[1]Results!AM317</f>
        <v>232.87513319999999</v>
      </c>
      <c r="AK458" s="6">
        <f>[1]Results!AN317</f>
        <v>238.1392294</v>
      </c>
      <c r="AL458" s="6">
        <f>[1]Results!AO317</f>
        <v>243.3964407</v>
      </c>
    </row>
    <row r="459" spans="1:38" x14ac:dyDescent="0.35">
      <c r="A459" t="s">
        <v>38</v>
      </c>
      <c r="B459" s="6" t="str">
        <f>[1]Results!E318</f>
        <v>CF_toe_ccoa_0</v>
      </c>
      <c r="C459" s="6">
        <f>[1]Results!F318</f>
        <v>5.4028819019999998</v>
      </c>
      <c r="D459" s="6">
        <f>[1]Results!G318</f>
        <v>5.4011148279999999</v>
      </c>
      <c r="E459" s="6">
        <f>[1]Results!H318</f>
        <v>5.395820273</v>
      </c>
      <c r="F459" s="6">
        <f>[1]Results!I318</f>
        <v>5.3712028519999997</v>
      </c>
      <c r="G459" s="6">
        <f>[1]Results!J318</f>
        <v>5.3828505409999998</v>
      </c>
      <c r="H459" s="6">
        <f>[1]Results!K318</f>
        <v>5.4222657830000003</v>
      </c>
      <c r="I459" s="6">
        <f>[1]Results!L318</f>
        <v>5.4715862</v>
      </c>
      <c r="J459" s="6">
        <f>[1]Results!M318</f>
        <v>5.5218077379999997</v>
      </c>
      <c r="K459" s="6">
        <f>[1]Results!N318</f>
        <v>5.5699139500000001</v>
      </c>
      <c r="L459" s="6">
        <f>[1]Results!O318</f>
        <v>5.616236411</v>
      </c>
      <c r="M459" s="6">
        <f>[1]Results!P318</f>
        <v>5.663036527</v>
      </c>
      <c r="N459" s="6">
        <f>[1]Results!Q318</f>
        <v>5.7099166600000002</v>
      </c>
      <c r="O459" s="6">
        <f>[1]Results!R318</f>
        <v>5.7547144570000004</v>
      </c>
      <c r="P459" s="6">
        <f>[1]Results!S318</f>
        <v>5.7914030849999998</v>
      </c>
      <c r="Q459" s="6">
        <f>[1]Results!T318</f>
        <v>5.8237096150000003</v>
      </c>
      <c r="R459" s="6">
        <f>[1]Results!U318</f>
        <v>5.8559866789999999</v>
      </c>
      <c r="S459" s="6">
        <f>[1]Results!V318</f>
        <v>5.9013405419999998</v>
      </c>
      <c r="T459" s="6">
        <f>[1]Results!W318</f>
        <v>5.9644242050000003</v>
      </c>
      <c r="U459" s="6">
        <f>[1]Results!X318</f>
        <v>6.0465245010000004</v>
      </c>
      <c r="V459" s="6">
        <f>[1]Results!Y318</f>
        <v>6.1469367019999996</v>
      </c>
      <c r="W459" s="6">
        <f>[1]Results!Z318</f>
        <v>6.2640442570000001</v>
      </c>
      <c r="X459" s="6">
        <f>[1]Results!AA318</f>
        <v>6.3978917019999999</v>
      </c>
      <c r="Y459" s="6">
        <f>[1]Results!AB318</f>
        <v>6.5485544349999998</v>
      </c>
      <c r="Z459" s="6">
        <f>[1]Results!AC318</f>
        <v>6.7158902710000001</v>
      </c>
      <c r="AA459" s="6">
        <f>[1]Results!AD318</f>
        <v>6.8991325200000002</v>
      </c>
      <c r="AB459" s="6">
        <f>[1]Results!AE318</f>
        <v>7.0956642040000002</v>
      </c>
      <c r="AC459" s="6">
        <f>[1]Results!AF318</f>
        <v>7.3070475439999996</v>
      </c>
      <c r="AD459" s="6">
        <f>[1]Results!AG318</f>
        <v>7.5344191680000003</v>
      </c>
      <c r="AE459" s="6">
        <f>[1]Results!AH318</f>
        <v>7.7779344420000003</v>
      </c>
      <c r="AF459" s="6">
        <f>[1]Results!AI318</f>
        <v>8.0351895649999996</v>
      </c>
      <c r="AG459" s="6">
        <f>[1]Results!AJ318</f>
        <v>8.3026826630000006</v>
      </c>
      <c r="AH459" s="6">
        <f>[1]Results!AK318</f>
        <v>8.5775104320000004</v>
      </c>
      <c r="AI459" s="6">
        <f>[1]Results!AL318</f>
        <v>8.8576197489999995</v>
      </c>
      <c r="AJ459" s="6">
        <f>[1]Results!AM318</f>
        <v>9.1412875329999999</v>
      </c>
      <c r="AK459" s="6">
        <f>[1]Results!AN318</f>
        <v>9.4268527439999996</v>
      </c>
      <c r="AL459" s="6">
        <f>[1]Results!AO318</f>
        <v>9.712601523</v>
      </c>
    </row>
    <row r="460" spans="1:38" x14ac:dyDescent="0.35">
      <c r="B460" s="6" t="s">
        <v>74</v>
      </c>
      <c r="C460" s="6">
        <f>C461+C462+C463</f>
        <v>62.123682370400005</v>
      </c>
      <c r="D460" s="6">
        <f t="shared" ref="D460:AI460" si="94">D461+D462+D463</f>
        <v>62.2300461791</v>
      </c>
      <c r="E460" s="6">
        <f t="shared" si="94"/>
        <v>62.269413290999999</v>
      </c>
      <c r="F460" s="6">
        <f t="shared" si="94"/>
        <v>62.328673676199998</v>
      </c>
      <c r="G460" s="6">
        <f t="shared" si="94"/>
        <v>62.584708027299996</v>
      </c>
      <c r="H460" s="6">
        <f t="shared" si="94"/>
        <v>63.014256221499998</v>
      </c>
      <c r="I460" s="6">
        <f t="shared" si="94"/>
        <v>63.521409388600006</v>
      </c>
      <c r="J460" s="6">
        <f t="shared" si="94"/>
        <v>64.052412458799992</v>
      </c>
      <c r="K460" s="6">
        <f t="shared" si="94"/>
        <v>64.584651043500003</v>
      </c>
      <c r="L460" s="6">
        <f t="shared" si="94"/>
        <v>65.113940046400003</v>
      </c>
      <c r="M460" s="6">
        <f t="shared" si="94"/>
        <v>65.662147327500008</v>
      </c>
      <c r="N460" s="6">
        <f t="shared" si="94"/>
        <v>66.207322009899997</v>
      </c>
      <c r="O460" s="6">
        <f t="shared" si="94"/>
        <v>66.741739271699998</v>
      </c>
      <c r="P460" s="6">
        <f t="shared" si="94"/>
        <v>67.235998422000009</v>
      </c>
      <c r="Q460" s="6">
        <f t="shared" si="94"/>
        <v>67.700437839900005</v>
      </c>
      <c r="R460" s="6">
        <f t="shared" si="94"/>
        <v>68.150116358600002</v>
      </c>
      <c r="S460" s="6">
        <f t="shared" si="94"/>
        <v>68.640485475000006</v>
      </c>
      <c r="T460" s="6">
        <f t="shared" si="94"/>
        <v>69.203294997</v>
      </c>
      <c r="U460" s="6">
        <f t="shared" si="94"/>
        <v>69.848650539499999</v>
      </c>
      <c r="V460" s="6">
        <f t="shared" si="94"/>
        <v>70.575916464800002</v>
      </c>
      <c r="W460" s="6">
        <f t="shared" si="94"/>
        <v>71.370514813900002</v>
      </c>
      <c r="X460" s="6">
        <f t="shared" si="94"/>
        <v>72.249958004299998</v>
      </c>
      <c r="Y460" s="6">
        <f t="shared" si="94"/>
        <v>73.217667197699996</v>
      </c>
      <c r="Z460" s="6">
        <f t="shared" si="94"/>
        <v>74.277858941199995</v>
      </c>
      <c r="AA460" s="6">
        <f t="shared" si="94"/>
        <v>75.431413687999992</v>
      </c>
      <c r="AB460" s="6">
        <f t="shared" si="94"/>
        <v>76.641661114300007</v>
      </c>
      <c r="AC460" s="6">
        <f t="shared" si="94"/>
        <v>77.944333925699993</v>
      </c>
      <c r="AD460" s="6">
        <f t="shared" si="94"/>
        <v>79.3469088704</v>
      </c>
      <c r="AE460" s="6">
        <f t="shared" si="94"/>
        <v>80.853464721800009</v>
      </c>
      <c r="AF460" s="6">
        <f t="shared" si="94"/>
        <v>82.455941531099995</v>
      </c>
      <c r="AG460" s="6">
        <f t="shared" si="94"/>
        <v>84.138692047399999</v>
      </c>
      <c r="AH460" s="6">
        <f t="shared" si="94"/>
        <v>85.885336971799987</v>
      </c>
      <c r="AI460" s="6">
        <f t="shared" si="94"/>
        <v>87.680614031599987</v>
      </c>
      <c r="AJ460" s="6">
        <f>AJ461+AJ462+AJ463</f>
        <v>89.509199850599998</v>
      </c>
      <c r="AK460" s="6">
        <f t="shared" ref="AK460" si="95">AK461+AK462+AK463</f>
        <v>91.355096785000001</v>
      </c>
      <c r="AL460" s="6">
        <f t="shared" ref="AL460" si="96">AL461+AL462+AL463</f>
        <v>93.201519204299984</v>
      </c>
    </row>
    <row r="461" spans="1:38" x14ac:dyDescent="0.35">
      <c r="B461" s="6" t="str">
        <f>[1]Results!E321</f>
        <v>CF_toe_ccoi_0</v>
      </c>
      <c r="C461" s="6">
        <f>[1]Results!F321</f>
        <v>8.3953620399999998E-2</v>
      </c>
      <c r="D461" s="6">
        <f>[1]Results!G321</f>
        <v>8.3997829100000004E-2</v>
      </c>
      <c r="E461" s="6">
        <f>[1]Results!H321</f>
        <v>8.3941880999999996E-2</v>
      </c>
      <c r="F461" s="6">
        <f>[1]Results!I321</f>
        <v>8.3645996200000003E-2</v>
      </c>
      <c r="G461" s="6">
        <f>[1]Results!J321</f>
        <v>8.3822487299999998E-2</v>
      </c>
      <c r="H461" s="6">
        <f>[1]Results!K321</f>
        <v>8.4387731499999993E-2</v>
      </c>
      <c r="I461" s="6">
        <f>[1]Results!L321</f>
        <v>8.4625568600000006E-2</v>
      </c>
      <c r="J461" s="6">
        <f>[1]Results!M321</f>
        <v>8.4644958800000003E-2</v>
      </c>
      <c r="K461" s="6">
        <f>[1]Results!N321</f>
        <v>8.4528113500000002E-2</v>
      </c>
      <c r="L461" s="6">
        <f>[1]Results!O321</f>
        <v>8.4342676399999997E-2</v>
      </c>
      <c r="M461" s="6">
        <f>[1]Results!P321</f>
        <v>8.4167297500000002E-2</v>
      </c>
      <c r="N461" s="6">
        <f>[1]Results!Q321</f>
        <v>8.3989609899999998E-2</v>
      </c>
      <c r="O461" s="6">
        <f>[1]Results!R321</f>
        <v>8.38014017E-2</v>
      </c>
      <c r="P461" s="6">
        <f>[1]Results!S321</f>
        <v>8.3537291999999999E-2</v>
      </c>
      <c r="Q461" s="6">
        <f>[1]Results!T321</f>
        <v>8.3234589900000003E-2</v>
      </c>
      <c r="R461" s="6">
        <f>[1]Results!U321</f>
        <v>8.2938958600000001E-2</v>
      </c>
      <c r="S461" s="6">
        <f>[1]Results!V321</f>
        <v>8.3030955000000004E-2</v>
      </c>
      <c r="T461" s="6">
        <f>[1]Results!W321</f>
        <v>8.3448517E-2</v>
      </c>
      <c r="U461" s="6">
        <f>[1]Results!X321</f>
        <v>8.41525095E-2</v>
      </c>
      <c r="V461" s="6">
        <f>[1]Results!Y321</f>
        <v>8.5113054800000004E-2</v>
      </c>
      <c r="W461" s="6">
        <f>[1]Results!Z321</f>
        <v>8.6294193899999996E-2</v>
      </c>
      <c r="X461" s="6">
        <f>[1]Results!AA321</f>
        <v>8.7712574299999999E-2</v>
      </c>
      <c r="Y461" s="6">
        <f>[1]Results!AB321</f>
        <v>8.9366777699999997E-2</v>
      </c>
      <c r="Z461" s="6">
        <f>[1]Results!AC321</f>
        <v>9.1257961200000001E-2</v>
      </c>
      <c r="AA461" s="6">
        <f>[1]Results!AD321</f>
        <v>9.3382097999999997E-2</v>
      </c>
      <c r="AB461" s="6">
        <f>[1]Results!AE321</f>
        <v>9.5684644299999996E-2</v>
      </c>
      <c r="AC461" s="6">
        <f>[1]Results!AF321</f>
        <v>9.8220225699999997E-2</v>
      </c>
      <c r="AD461" s="6">
        <f>[1]Results!AG321</f>
        <v>0.1010006204</v>
      </c>
      <c r="AE461" s="6">
        <f>[1]Results!AH321</f>
        <v>0.1040304718</v>
      </c>
      <c r="AF461" s="6">
        <f>[1]Results!AI321</f>
        <v>0.10728617109999999</v>
      </c>
      <c r="AG461" s="6">
        <f>[1]Results!AJ321</f>
        <v>0.1107280274</v>
      </c>
      <c r="AH461" s="6">
        <f>[1]Results!AK321</f>
        <v>0.1143176018</v>
      </c>
      <c r="AI461" s="6">
        <f>[1]Results!AL321</f>
        <v>0.1180214616</v>
      </c>
      <c r="AJ461" s="6">
        <f>[1]Results!AM321</f>
        <v>0.1218071806</v>
      </c>
      <c r="AK461" s="6">
        <f>[1]Results!AN321</f>
        <v>0.12564151500000001</v>
      </c>
      <c r="AL461" s="6">
        <f>[1]Results!AO321</f>
        <v>0.12948968429999999</v>
      </c>
    </row>
    <row r="462" spans="1:38" x14ac:dyDescent="0.35">
      <c r="B462" s="6" t="str">
        <f>[1]Results!E324</f>
        <v>CF_toe_cfut_0</v>
      </c>
      <c r="C462" s="6">
        <f>[1]Results!F324</f>
        <v>47.250386450000001</v>
      </c>
      <c r="D462" s="6">
        <f>[1]Results!G324</f>
        <v>47.318438110000002</v>
      </c>
      <c r="E462" s="6">
        <f>[1]Results!H324</f>
        <v>47.339131979999998</v>
      </c>
      <c r="F462" s="6">
        <f>[1]Results!I324</f>
        <v>47.395623469999997</v>
      </c>
      <c r="G462" s="6">
        <f>[1]Results!J324</f>
        <v>47.611719440000002</v>
      </c>
      <c r="H462" s="6">
        <f>[1]Results!K324</f>
        <v>47.969931959999997</v>
      </c>
      <c r="I462" s="6">
        <f>[1]Results!L324</f>
        <v>48.405640269999999</v>
      </c>
      <c r="J462" s="6">
        <f>[1]Results!M324</f>
        <v>48.87308659</v>
      </c>
      <c r="K462" s="6">
        <f>[1]Results!N324</f>
        <v>49.349075720000002</v>
      </c>
      <c r="L462" s="6">
        <f>[1]Results!O324</f>
        <v>49.826081330000001</v>
      </c>
      <c r="M462" s="6">
        <f>[1]Results!P324</f>
        <v>50.316250510000003</v>
      </c>
      <c r="N462" s="6">
        <f>[1]Results!Q324</f>
        <v>50.805765520000001</v>
      </c>
      <c r="O462" s="6">
        <f>[1]Results!R324</f>
        <v>51.287033510000001</v>
      </c>
      <c r="P462" s="6">
        <f>[1]Results!S324</f>
        <v>51.736054520000003</v>
      </c>
      <c r="Q462" s="6">
        <f>[1]Results!T324</f>
        <v>52.160164860000002</v>
      </c>
      <c r="R462" s="6">
        <f>[1]Results!U324</f>
        <v>52.570558030000001</v>
      </c>
      <c r="S462" s="6">
        <f>[1]Results!V324</f>
        <v>53.002312330000002</v>
      </c>
      <c r="T462" s="6">
        <f>[1]Results!W324</f>
        <v>53.481523619999997</v>
      </c>
      <c r="U462" s="6">
        <f>[1]Results!X324</f>
        <v>54.019670720000001</v>
      </c>
      <c r="V462" s="6">
        <f>[1]Results!Y324</f>
        <v>54.618662669999999</v>
      </c>
      <c r="W462" s="6">
        <f>[1]Results!Z324</f>
        <v>55.269781530000003</v>
      </c>
      <c r="X462" s="6">
        <f>[1]Results!AA324</f>
        <v>55.984192290000003</v>
      </c>
      <c r="Y462" s="6">
        <f>[1]Results!AB324</f>
        <v>56.764893919999999</v>
      </c>
      <c r="Z462" s="6">
        <f>[1]Results!AC324</f>
        <v>57.61491813</v>
      </c>
      <c r="AA462" s="6">
        <f>[1]Results!AD324</f>
        <v>58.535044020000001</v>
      </c>
      <c r="AB462" s="6">
        <f>[1]Results!AE324</f>
        <v>59.501569189999998</v>
      </c>
      <c r="AC462" s="6">
        <f>[1]Results!AF324</f>
        <v>60.537055109999997</v>
      </c>
      <c r="AD462" s="6">
        <f>[1]Results!AG324</f>
        <v>61.648424339999998</v>
      </c>
      <c r="AE462" s="6">
        <f>[1]Results!AH324</f>
        <v>62.839499109999998</v>
      </c>
      <c r="AF462" s="6">
        <f>[1]Results!AI324</f>
        <v>64.104411339999999</v>
      </c>
      <c r="AG462" s="6">
        <f>[1]Results!AJ324</f>
        <v>65.431247310000003</v>
      </c>
      <c r="AH462" s="6">
        <f>[1]Results!AK324</f>
        <v>66.807522559999995</v>
      </c>
      <c r="AI462" s="6">
        <f>[1]Results!AL324</f>
        <v>68.221515179999997</v>
      </c>
      <c r="AJ462" s="6">
        <f>[1]Results!AM324</f>
        <v>69.661154010000004</v>
      </c>
      <c r="AK462" s="6">
        <f>[1]Results!AN324</f>
        <v>71.113659870000006</v>
      </c>
      <c r="AL462" s="6">
        <f>[1]Results!AO324</f>
        <v>72.565538129999993</v>
      </c>
    </row>
    <row r="463" spans="1:38" x14ac:dyDescent="0.35">
      <c r="B463" s="6" t="str">
        <f>[1]Results!E327</f>
        <v>CF_toe_cfuh_0</v>
      </c>
      <c r="C463" s="6">
        <f>[1]Results!F327</f>
        <v>14.789342299999999</v>
      </c>
      <c r="D463" s="6">
        <f>[1]Results!G327</f>
        <v>14.82761024</v>
      </c>
      <c r="E463" s="6">
        <f>[1]Results!H327</f>
        <v>14.84633943</v>
      </c>
      <c r="F463" s="6">
        <f>[1]Results!I327</f>
        <v>14.849404209999999</v>
      </c>
      <c r="G463" s="6">
        <f>[1]Results!J327</f>
        <v>14.889166100000001</v>
      </c>
      <c r="H463" s="6">
        <f>[1]Results!K327</f>
        <v>14.95993653</v>
      </c>
      <c r="I463" s="6">
        <f>[1]Results!L327</f>
        <v>15.031143549999999</v>
      </c>
      <c r="J463" s="6">
        <f>[1]Results!M327</f>
        <v>15.094680909999999</v>
      </c>
      <c r="K463" s="6">
        <f>[1]Results!N327</f>
        <v>15.15104721</v>
      </c>
      <c r="L463" s="6">
        <f>[1]Results!O327</f>
        <v>15.20351604</v>
      </c>
      <c r="M463" s="6">
        <f>[1]Results!P327</f>
        <v>15.261729519999999</v>
      </c>
      <c r="N463" s="6">
        <f>[1]Results!Q327</f>
        <v>15.317566879999999</v>
      </c>
      <c r="O463" s="6">
        <f>[1]Results!R327</f>
        <v>15.370904360000001</v>
      </c>
      <c r="P463" s="6">
        <f>[1]Results!S327</f>
        <v>15.416406609999999</v>
      </c>
      <c r="Q463" s="6">
        <f>[1]Results!T327</f>
        <v>15.457038389999999</v>
      </c>
      <c r="R463" s="6">
        <f>[1]Results!U327</f>
        <v>15.496619369999999</v>
      </c>
      <c r="S463" s="6">
        <f>[1]Results!V327</f>
        <v>15.55514219</v>
      </c>
      <c r="T463" s="6">
        <f>[1]Results!W327</f>
        <v>15.638322860000001</v>
      </c>
      <c r="U463" s="6">
        <f>[1]Results!X327</f>
        <v>15.74482731</v>
      </c>
      <c r="V463" s="6">
        <f>[1]Results!Y327</f>
        <v>15.872140740000001</v>
      </c>
      <c r="W463" s="6">
        <f>[1]Results!Z327</f>
        <v>16.01443909</v>
      </c>
      <c r="X463" s="6">
        <f>[1]Results!AA327</f>
        <v>16.178053139999999</v>
      </c>
      <c r="Y463" s="6">
        <f>[1]Results!AB327</f>
        <v>16.3634065</v>
      </c>
      <c r="Z463" s="6">
        <f>[1]Results!AC327</f>
        <v>16.571682849999998</v>
      </c>
      <c r="AA463" s="6">
        <f>[1]Results!AD327</f>
        <v>16.802987569999999</v>
      </c>
      <c r="AB463" s="6">
        <f>[1]Results!AE327</f>
        <v>17.044407280000001</v>
      </c>
      <c r="AC463" s="6">
        <f>[1]Results!AF327</f>
        <v>17.309058589999999</v>
      </c>
      <c r="AD463" s="6">
        <f>[1]Results!AG327</f>
        <v>17.597483910000001</v>
      </c>
      <c r="AE463" s="6">
        <f>[1]Results!AH327</f>
        <v>17.909935140000002</v>
      </c>
      <c r="AF463" s="6">
        <f>[1]Results!AI327</f>
        <v>18.24424402</v>
      </c>
      <c r="AG463" s="6">
        <f>[1]Results!AJ327</f>
        <v>18.596716709999999</v>
      </c>
      <c r="AH463" s="6">
        <f>[1]Results!AK327</f>
        <v>18.963496809999999</v>
      </c>
      <c r="AI463" s="6">
        <f>[1]Results!AL327</f>
        <v>19.341077389999999</v>
      </c>
      <c r="AJ463" s="6">
        <f>[1]Results!AM327</f>
        <v>19.72623866</v>
      </c>
      <c r="AK463" s="6">
        <f>[1]Results!AN327</f>
        <v>20.1157954</v>
      </c>
      <c r="AL463" s="6">
        <f>[1]Results!AO327</f>
        <v>20.506491390000001</v>
      </c>
    </row>
    <row r="464" spans="1:38" x14ac:dyDescent="0.35">
      <c r="B464" s="6" t="str">
        <f>[1]Results!E329</f>
        <v>CF_toe_cgas_0</v>
      </c>
      <c r="C464" s="6">
        <f>[1]Results!F329</f>
        <v>34.131798310000001</v>
      </c>
      <c r="D464" s="6">
        <f>[1]Results!G329</f>
        <v>33.809733729999998</v>
      </c>
      <c r="E464" s="6">
        <f>[1]Results!H329</f>
        <v>33.496928779999998</v>
      </c>
      <c r="F464" s="6">
        <f>[1]Results!I329</f>
        <v>33.086332409999997</v>
      </c>
      <c r="G464" s="6">
        <f>[1]Results!J329</f>
        <v>32.972737350000003</v>
      </c>
      <c r="H464" s="6">
        <f>[1]Results!K329</f>
        <v>33.039194270000003</v>
      </c>
      <c r="I464" s="6">
        <f>[1]Results!L329</f>
        <v>32.944399990000001</v>
      </c>
      <c r="J464" s="6">
        <f>[1]Results!M329</f>
        <v>32.764933419999998</v>
      </c>
      <c r="K464" s="6">
        <f>[1]Results!N329</f>
        <v>32.546012210000001</v>
      </c>
      <c r="L464" s="6">
        <f>[1]Results!O329</f>
        <v>32.316818419999997</v>
      </c>
      <c r="M464" s="6">
        <f>[1]Results!P329</f>
        <v>32.108922309999997</v>
      </c>
      <c r="N464" s="6">
        <f>[1]Results!Q329</f>
        <v>31.905415319999999</v>
      </c>
      <c r="O464" s="6">
        <f>[1]Results!R329</f>
        <v>31.707312160000001</v>
      </c>
      <c r="P464" s="6">
        <f>[1]Results!S329</f>
        <v>31.500474480000001</v>
      </c>
      <c r="Q464" s="6">
        <f>[1]Results!T329</f>
        <v>31.29366873</v>
      </c>
      <c r="R464" s="6">
        <f>[1]Results!U329</f>
        <v>31.09681857</v>
      </c>
      <c r="S464" s="6">
        <f>[1]Results!V329</f>
        <v>31.07930812</v>
      </c>
      <c r="T464" s="6">
        <f>[1]Results!W329</f>
        <v>31.178408000000001</v>
      </c>
      <c r="U464" s="6">
        <f>[1]Results!X329</f>
        <v>31.36206022</v>
      </c>
      <c r="V464" s="6">
        <f>[1]Results!Y329</f>
        <v>31.61222038</v>
      </c>
      <c r="W464" s="6">
        <f>[1]Results!Z329</f>
        <v>31.910009550000002</v>
      </c>
      <c r="X464" s="6">
        <f>[1]Results!AA329</f>
        <v>32.266691960000003</v>
      </c>
      <c r="Y464" s="6">
        <f>[1]Results!AB329</f>
        <v>32.680974620000001</v>
      </c>
      <c r="Z464" s="6">
        <f>[1]Results!AC329</f>
        <v>33.154451180000002</v>
      </c>
      <c r="AA464" s="6">
        <f>[1]Results!AD329</f>
        <v>33.685983139999998</v>
      </c>
      <c r="AB464" s="6">
        <f>[1]Results!AE329</f>
        <v>34.2465264</v>
      </c>
      <c r="AC464" s="6">
        <f>[1]Results!AF329</f>
        <v>34.865997180000001</v>
      </c>
      <c r="AD464" s="6">
        <f>[1]Results!AG329</f>
        <v>35.545072599999997</v>
      </c>
      <c r="AE464" s="6">
        <f>[1]Results!AH329</f>
        <v>36.28418645</v>
      </c>
      <c r="AF464" s="6">
        <f>[1]Results!AI329</f>
        <v>37.077849569999998</v>
      </c>
      <c r="AG464" s="6">
        <f>[1]Results!AJ329</f>
        <v>37.916829569999997</v>
      </c>
      <c r="AH464" s="6">
        <f>[1]Results!AK329</f>
        <v>38.79144265</v>
      </c>
      <c r="AI464" s="6">
        <f>[1]Results!AL329</f>
        <v>39.693365370000002</v>
      </c>
      <c r="AJ464" s="6">
        <f>[1]Results!AM329</f>
        <v>40.61487674</v>
      </c>
      <c r="AK464" s="6">
        <f>[1]Results!AN329</f>
        <v>41.548250230000001</v>
      </c>
      <c r="AL464" s="6">
        <f>[1]Results!AO329</f>
        <v>42.485502029999999</v>
      </c>
    </row>
    <row r="465" spans="1:38" x14ac:dyDescent="0.35">
      <c r="B465" s="6" t="str">
        <f>[1]Results!E335</f>
        <v>CF_toe_cele_0</v>
      </c>
      <c r="C465" s="6">
        <f>[1]Results!F335</f>
        <v>38.029212489999999</v>
      </c>
      <c r="D465" s="6">
        <f>[1]Results!G335</f>
        <v>38.462350209999997</v>
      </c>
      <c r="E465" s="6">
        <f>[1]Results!H335</f>
        <v>38.841756609999997</v>
      </c>
      <c r="F465" s="6">
        <f>[1]Results!I335</f>
        <v>39.260083600000002</v>
      </c>
      <c r="G465" s="6">
        <f>[1]Results!J335</f>
        <v>39.613090450000001</v>
      </c>
      <c r="H465" s="6">
        <f>[1]Results!K335</f>
        <v>39.970482359999998</v>
      </c>
      <c r="I465" s="6">
        <f>[1]Results!L335</f>
        <v>40.365956449999999</v>
      </c>
      <c r="J465" s="6">
        <f>[1]Results!M335</f>
        <v>40.797015170000002</v>
      </c>
      <c r="K465" s="6">
        <f>[1]Results!N335</f>
        <v>41.253622999999997</v>
      </c>
      <c r="L465" s="6">
        <f>[1]Results!O335</f>
        <v>41.725584689999998</v>
      </c>
      <c r="M465" s="6">
        <f>[1]Results!P335</f>
        <v>42.224140310000003</v>
      </c>
      <c r="N465" s="6">
        <f>[1]Results!Q335</f>
        <v>42.718513280000003</v>
      </c>
      <c r="O465" s="6">
        <f>[1]Results!R335</f>
        <v>43.198284200000003</v>
      </c>
      <c r="P465" s="6">
        <f>[1]Results!S335</f>
        <v>43.63831107</v>
      </c>
      <c r="Q465" s="6">
        <f>[1]Results!T335</f>
        <v>44.049001279999999</v>
      </c>
      <c r="R465" s="6">
        <f>[1]Results!U335</f>
        <v>44.447142169999999</v>
      </c>
      <c r="S465" s="6">
        <f>[1]Results!V335</f>
        <v>44.830662189999998</v>
      </c>
      <c r="T465" s="6">
        <f>[1]Results!W335</f>
        <v>45.228158020000002</v>
      </c>
      <c r="U465" s="6">
        <f>[1]Results!X335</f>
        <v>45.661762590000002</v>
      </c>
      <c r="V465" s="6">
        <f>[1]Results!Y335</f>
        <v>46.146643089999998</v>
      </c>
      <c r="W465" s="6">
        <f>[1]Results!Z335</f>
        <v>46.68266011</v>
      </c>
      <c r="X465" s="6">
        <f>[1]Results!AA335</f>
        <v>47.296232160000002</v>
      </c>
      <c r="Y465" s="6">
        <f>[1]Results!AB335</f>
        <v>47.994755310000002</v>
      </c>
      <c r="Z465" s="6">
        <f>[1]Results!AC335</f>
        <v>48.785554570000002</v>
      </c>
      <c r="AA465" s="6">
        <f>[1]Results!AD335</f>
        <v>49.671319769999997</v>
      </c>
      <c r="AB465" s="6">
        <f>[1]Results!AE335</f>
        <v>50.618507639999997</v>
      </c>
      <c r="AC465" s="6">
        <f>[1]Results!AF335</f>
        <v>51.662037089999998</v>
      </c>
      <c r="AD465" s="6">
        <f>[1]Results!AG335</f>
        <v>52.802601660000001</v>
      </c>
      <c r="AE465" s="6">
        <f>[1]Results!AH335</f>
        <v>54.038906439999998</v>
      </c>
      <c r="AF465" s="6">
        <f>[1]Results!AI335</f>
        <v>55.358298079999997</v>
      </c>
      <c r="AG465" s="6">
        <f>[1]Results!AJ335</f>
        <v>56.742320280000001</v>
      </c>
      <c r="AH465" s="6">
        <f>[1]Results!AK335</f>
        <v>58.173304680000001</v>
      </c>
      <c r="AI465" s="6">
        <f>[1]Results!AL335</f>
        <v>59.636128569999997</v>
      </c>
      <c r="AJ465" s="6">
        <f>[1]Results!AM335</f>
        <v>61.117051619999998</v>
      </c>
      <c r="AK465" s="6">
        <f>[1]Results!AN335</f>
        <v>62.603117109999999</v>
      </c>
      <c r="AL465" s="6">
        <f>[1]Results!AO335</f>
        <v>64.081938800000003</v>
      </c>
    </row>
    <row r="466" spans="1:38" x14ac:dyDescent="0.35">
      <c r="B466" s="6" t="s">
        <v>75</v>
      </c>
      <c r="C466" s="6">
        <f>SUM(C467:C469)</f>
        <v>22.006702949999998</v>
      </c>
      <c r="D466" s="6">
        <f t="shared" ref="D466:AL466" si="97">SUM(D467:D469)</f>
        <v>22.097071016999998</v>
      </c>
      <c r="E466" s="6">
        <f t="shared" si="97"/>
        <v>22.185144756</v>
      </c>
      <c r="F466" s="6">
        <f t="shared" si="97"/>
        <v>22.255394497000001</v>
      </c>
      <c r="G466" s="6">
        <f t="shared" si="97"/>
        <v>22.384155012999997</v>
      </c>
      <c r="H466" s="6">
        <f t="shared" si="97"/>
        <v>22.559655888999998</v>
      </c>
      <c r="I466" s="6">
        <f t="shared" si="97"/>
        <v>22.746461474</v>
      </c>
      <c r="J466" s="6">
        <f t="shared" si="97"/>
        <v>22.93243442</v>
      </c>
      <c r="K466" s="6">
        <f t="shared" si="97"/>
        <v>23.112224803</v>
      </c>
      <c r="L466" s="6">
        <f t="shared" si="97"/>
        <v>23.286100529000002</v>
      </c>
      <c r="M466" s="6">
        <f t="shared" si="97"/>
        <v>23.468489680000001</v>
      </c>
      <c r="N466" s="6">
        <f t="shared" si="97"/>
        <v>23.641774791</v>
      </c>
      <c r="O466" s="6">
        <f t="shared" si="97"/>
        <v>23.803117886999999</v>
      </c>
      <c r="P466" s="6">
        <f t="shared" si="97"/>
        <v>23.938713018999998</v>
      </c>
      <c r="Q466" s="6">
        <f t="shared" si="97"/>
        <v>24.059322429000002</v>
      </c>
      <c r="R466" s="6">
        <f t="shared" si="97"/>
        <v>24.176716472999999</v>
      </c>
      <c r="S466" s="6">
        <f t="shared" si="97"/>
        <v>24.315037069999999</v>
      </c>
      <c r="T466" s="6">
        <f t="shared" si="97"/>
        <v>24.488090005</v>
      </c>
      <c r="U466" s="6">
        <f t="shared" si="97"/>
        <v>24.70162388</v>
      </c>
      <c r="V466" s="6">
        <f t="shared" si="97"/>
        <v>24.955920753000001</v>
      </c>
      <c r="W466" s="6">
        <f t="shared" si="97"/>
        <v>25.242870195000002</v>
      </c>
      <c r="X466" s="6">
        <f t="shared" si="97"/>
        <v>25.574846732000001</v>
      </c>
      <c r="Y466" s="6">
        <f t="shared" si="97"/>
        <v>25.951962572999999</v>
      </c>
      <c r="Z466" s="6">
        <f t="shared" si="97"/>
        <v>26.374846127000001</v>
      </c>
      <c r="AA466" s="6">
        <f t="shared" si="97"/>
        <v>26.841701182000001</v>
      </c>
      <c r="AB466" s="6">
        <f t="shared" si="97"/>
        <v>27.328081340000001</v>
      </c>
      <c r="AC466" s="6">
        <f t="shared" si="97"/>
        <v>27.85753978</v>
      </c>
      <c r="AD466" s="6">
        <f t="shared" si="97"/>
        <v>28.430942176999999</v>
      </c>
      <c r="AE466" s="6">
        <f t="shared" si="97"/>
        <v>29.047471733000002</v>
      </c>
      <c r="AF466" s="6">
        <f t="shared" si="97"/>
        <v>29.699850956999999</v>
      </c>
      <c r="AG466" s="6">
        <f t="shared" si="97"/>
        <v>30.378054655</v>
      </c>
      <c r="AH466" s="6">
        <f t="shared" si="97"/>
        <v>31.073609735999998</v>
      </c>
      <c r="AI466" s="6">
        <f t="shared" si="97"/>
        <v>31.780273625</v>
      </c>
      <c r="AJ466" s="6">
        <f t="shared" si="97"/>
        <v>32.492717503999998</v>
      </c>
      <c r="AK466" s="6">
        <f t="shared" si="97"/>
        <v>33.205912568000002</v>
      </c>
      <c r="AL466" s="6">
        <f t="shared" si="97"/>
        <v>33.914879112999998</v>
      </c>
    </row>
    <row r="467" spans="1:38" x14ac:dyDescent="0.35">
      <c r="B467" s="6" t="str">
        <f>[1]Results!E345</f>
        <v>CF_toe_chea_0</v>
      </c>
      <c r="C467" s="6">
        <f>[1]Results!F345</f>
        <v>5.1300730310000002</v>
      </c>
      <c r="D467" s="6">
        <f>[1]Results!G345</f>
        <v>5.1781325840000001</v>
      </c>
      <c r="E467" s="6">
        <f>[1]Results!H345</f>
        <v>5.224495417</v>
      </c>
      <c r="F467" s="6">
        <f>[1]Results!I345</f>
        <v>5.267515403</v>
      </c>
      <c r="G467" s="6">
        <f>[1]Results!J345</f>
        <v>5.3128333559999996</v>
      </c>
      <c r="H467" s="6">
        <f>[1]Results!K345</f>
        <v>5.3657193510000001</v>
      </c>
      <c r="I467" s="6">
        <f>[1]Results!L345</f>
        <v>5.413355857</v>
      </c>
      <c r="J467" s="6">
        <f>[1]Results!M345</f>
        <v>5.4556808730000004</v>
      </c>
      <c r="K467" s="6">
        <f>[1]Results!N345</f>
        <v>5.4937268670000003</v>
      </c>
      <c r="L467" s="6">
        <f>[1]Results!O345</f>
        <v>5.5289474360000002</v>
      </c>
      <c r="M467" s="6">
        <f>[1]Results!P345</f>
        <v>5.56906941</v>
      </c>
      <c r="N467" s="6">
        <f>[1]Results!Q345</f>
        <v>5.6049298040000002</v>
      </c>
      <c r="O467" s="6">
        <f>[1]Results!R345</f>
        <v>5.6382128659999999</v>
      </c>
      <c r="P467" s="6">
        <f>[1]Results!S345</f>
        <v>5.6679567899999999</v>
      </c>
      <c r="Q467" s="6">
        <f>[1]Results!T345</f>
        <v>5.6956727159999998</v>
      </c>
      <c r="R467" s="6">
        <f>[1]Results!U345</f>
        <v>5.7228986920000002</v>
      </c>
      <c r="S467" s="6">
        <f>[1]Results!V345</f>
        <v>5.7579976459999997</v>
      </c>
      <c r="T467" s="6">
        <f>[1]Results!W345</f>
        <v>5.8022299860000004</v>
      </c>
      <c r="U467" s="6">
        <f>[1]Results!X345</f>
        <v>5.8549184240000001</v>
      </c>
      <c r="V467" s="6">
        <f>[1]Results!Y345</f>
        <v>5.9145774910000002</v>
      </c>
      <c r="W467" s="6">
        <f>[1]Results!Z345</f>
        <v>5.9764890380000004</v>
      </c>
      <c r="X467" s="6">
        <f>[1]Results!AA345</f>
        <v>6.0469978820000003</v>
      </c>
      <c r="Y467" s="6">
        <f>[1]Results!AB345</f>
        <v>6.1250981790000001</v>
      </c>
      <c r="Z467" s="6">
        <f>[1]Results!AC345</f>
        <v>6.2104508230000004</v>
      </c>
      <c r="AA467" s="6">
        <f>[1]Results!AD345</f>
        <v>6.3024724049999996</v>
      </c>
      <c r="AB467" s="6">
        <f>[1]Results!AE345</f>
        <v>6.3895296129999997</v>
      </c>
      <c r="AC467" s="6">
        <f>[1]Results!AF345</f>
        <v>6.484286494</v>
      </c>
      <c r="AD467" s="6">
        <f>[1]Results!AG345</f>
        <v>6.5864203269999999</v>
      </c>
      <c r="AE467" s="6">
        <f>[1]Results!AH345</f>
        <v>6.6957513950000003</v>
      </c>
      <c r="AF467" s="6">
        <f>[1]Results!AI345</f>
        <v>6.8112850480000002</v>
      </c>
      <c r="AG467" s="6">
        <f>[1]Results!AJ345</f>
        <v>6.9316044899999998</v>
      </c>
      <c r="AH467" s="6">
        <f>[1]Results!AK345</f>
        <v>7.0553936879999997</v>
      </c>
      <c r="AI467" s="6">
        <f>[1]Results!AL345</f>
        <v>7.1815480450000004</v>
      </c>
      <c r="AJ467" s="6">
        <f>[1]Results!AM345</f>
        <v>7.3090471040000002</v>
      </c>
      <c r="AK467" s="6">
        <f>[1]Results!AN345</f>
        <v>7.4368961799999997</v>
      </c>
      <c r="AL467" s="6">
        <f>[1]Results!AO345</f>
        <v>7.5641085270000001</v>
      </c>
    </row>
    <row r="468" spans="1:38" x14ac:dyDescent="0.35">
      <c r="B468" s="6" t="str">
        <f>[1]Results!E347</f>
        <v>CF_toe_cbio_0</v>
      </c>
      <c r="C468" s="6">
        <f>[1]Results!F347</f>
        <v>8.1755841379999996</v>
      </c>
      <c r="D468" s="6">
        <f>[1]Results!G347</f>
        <v>8.0946882969999994</v>
      </c>
      <c r="E468" s="6">
        <f>[1]Results!H347</f>
        <v>8.0074133169999993</v>
      </c>
      <c r="F468" s="6">
        <f>[1]Results!I347</f>
        <v>7.9060003969999997</v>
      </c>
      <c r="G468" s="6">
        <f>[1]Results!J347</f>
        <v>7.8501549920000002</v>
      </c>
      <c r="H468" s="6">
        <f>[1]Results!K347</f>
        <v>7.8214753190000001</v>
      </c>
      <c r="I468" s="6">
        <f>[1]Results!L347</f>
        <v>7.807181301</v>
      </c>
      <c r="J468" s="6">
        <f>[1]Results!M347</f>
        <v>7.8018011820000002</v>
      </c>
      <c r="K468" s="6">
        <f>[1]Results!N347</f>
        <v>7.8009270160000002</v>
      </c>
      <c r="L468" s="6">
        <f>[1]Results!O347</f>
        <v>7.8025669860000004</v>
      </c>
      <c r="M468" s="6">
        <f>[1]Results!P347</f>
        <v>7.8092036800000004</v>
      </c>
      <c r="N468" s="6">
        <f>[1]Results!Q347</f>
        <v>7.813707387</v>
      </c>
      <c r="O468" s="6">
        <f>[1]Results!R347</f>
        <v>7.8156332810000002</v>
      </c>
      <c r="P468" s="6">
        <f>[1]Results!S347</f>
        <v>7.8138613689999996</v>
      </c>
      <c r="Q468" s="6">
        <f>[1]Results!T347</f>
        <v>7.8096882430000001</v>
      </c>
      <c r="R468" s="6">
        <f>[1]Results!U347</f>
        <v>7.804650241</v>
      </c>
      <c r="S468" s="6">
        <f>[1]Results!V347</f>
        <v>7.8005315140000002</v>
      </c>
      <c r="T468" s="6">
        <f>[1]Results!W347</f>
        <v>7.7991262890000002</v>
      </c>
      <c r="U468" s="6">
        <f>[1]Results!X347</f>
        <v>7.8017329560000004</v>
      </c>
      <c r="V468" s="6">
        <f>[1]Results!Y347</f>
        <v>7.8091723320000002</v>
      </c>
      <c r="W468" s="6">
        <f>[1]Results!Z347</f>
        <v>7.819479587</v>
      </c>
      <c r="X468" s="6">
        <f>[1]Results!AA347</f>
        <v>7.8370436000000003</v>
      </c>
      <c r="Y468" s="6">
        <f>[1]Results!AB347</f>
        <v>7.8622427640000003</v>
      </c>
      <c r="Z468" s="6">
        <f>[1]Results!AC347</f>
        <v>7.8959804839999999</v>
      </c>
      <c r="AA468" s="6">
        <f>[1]Results!AD347</f>
        <v>7.9384359470000003</v>
      </c>
      <c r="AB468" s="6">
        <f>[1]Results!AE347</f>
        <v>7.9820924670000002</v>
      </c>
      <c r="AC468" s="6">
        <f>[1]Results!AF347</f>
        <v>8.0339891560000005</v>
      </c>
      <c r="AD468" s="6">
        <f>[1]Results!AG347</f>
        <v>8.0934622399999991</v>
      </c>
      <c r="AE468" s="6">
        <f>[1]Results!AH347</f>
        <v>8.1598898179999999</v>
      </c>
      <c r="AF468" s="6">
        <f>[1]Results!AI347</f>
        <v>8.2321130989999993</v>
      </c>
      <c r="AG468" s="6">
        <f>[1]Results!AJ347</f>
        <v>8.3086827250000006</v>
      </c>
      <c r="AH468" s="6">
        <f>[1]Results!AK347</f>
        <v>8.3882394379999994</v>
      </c>
      <c r="AI468" s="6">
        <f>[1]Results!AL347</f>
        <v>8.4696847999999996</v>
      </c>
      <c r="AJ468" s="6">
        <f>[1]Results!AM347</f>
        <v>8.5520577099999997</v>
      </c>
      <c r="AK468" s="6">
        <f>[1]Results!AN347</f>
        <v>8.6344680379999996</v>
      </c>
      <c r="AL468" s="6">
        <f>[1]Results!AO347</f>
        <v>8.7160667059999994</v>
      </c>
    </row>
    <row r="469" spans="1:38" x14ac:dyDescent="0.35">
      <c r="B469" s="6" t="str">
        <f>[1]Results!E350</f>
        <v>CF_toe_cote_0</v>
      </c>
      <c r="C469" s="6">
        <f>[1]Results!F350</f>
        <v>8.7010457809999995</v>
      </c>
      <c r="D469" s="6">
        <f>[1]Results!G350</f>
        <v>8.8242501359999999</v>
      </c>
      <c r="E469" s="6">
        <f>[1]Results!H350</f>
        <v>8.9532360220000005</v>
      </c>
      <c r="F469" s="6">
        <f>[1]Results!I350</f>
        <v>9.0818786970000005</v>
      </c>
      <c r="G469" s="6">
        <f>[1]Results!J350</f>
        <v>9.2211666650000002</v>
      </c>
      <c r="H469" s="6">
        <f>[1]Results!K350</f>
        <v>9.3724612189999998</v>
      </c>
      <c r="I469" s="6">
        <f>[1]Results!L350</f>
        <v>9.5259243159999993</v>
      </c>
      <c r="J469" s="6">
        <f>[1]Results!M350</f>
        <v>9.6749523649999993</v>
      </c>
      <c r="K469" s="6">
        <f>[1]Results!N350</f>
        <v>9.8175709199999996</v>
      </c>
      <c r="L469" s="6">
        <f>[1]Results!O350</f>
        <v>9.9545861070000008</v>
      </c>
      <c r="M469" s="6">
        <f>[1]Results!P350</f>
        <v>10.090216590000001</v>
      </c>
      <c r="N469" s="6">
        <f>[1]Results!Q350</f>
        <v>10.223137599999999</v>
      </c>
      <c r="O469" s="6">
        <f>[1]Results!R350</f>
        <v>10.349271740000001</v>
      </c>
      <c r="P469" s="6">
        <f>[1]Results!S350</f>
        <v>10.45689486</v>
      </c>
      <c r="Q469" s="6">
        <f>[1]Results!T350</f>
        <v>10.553961470000001</v>
      </c>
      <c r="R469" s="6">
        <f>[1]Results!U350</f>
        <v>10.649167540000001</v>
      </c>
      <c r="S469" s="6">
        <f>[1]Results!V350</f>
        <v>10.75650791</v>
      </c>
      <c r="T469" s="6">
        <f>[1]Results!W350</f>
        <v>10.88673373</v>
      </c>
      <c r="U469" s="6">
        <f>[1]Results!X350</f>
        <v>11.0449725</v>
      </c>
      <c r="V469" s="6">
        <f>[1]Results!Y350</f>
        <v>11.232170930000001</v>
      </c>
      <c r="W469" s="6">
        <f>[1]Results!Z350</f>
        <v>11.44690157</v>
      </c>
      <c r="X469" s="6">
        <f>[1]Results!AA350</f>
        <v>11.69080525</v>
      </c>
      <c r="Y469" s="6">
        <f>[1]Results!AB350</f>
        <v>11.96462163</v>
      </c>
      <c r="Z469" s="6">
        <f>[1]Results!AC350</f>
        <v>12.26841482</v>
      </c>
      <c r="AA469" s="6">
        <f>[1]Results!AD350</f>
        <v>12.60079283</v>
      </c>
      <c r="AB469" s="6">
        <f>[1]Results!AE350</f>
        <v>12.956459260000001</v>
      </c>
      <c r="AC469" s="6">
        <f>[1]Results!AF350</f>
        <v>13.33926413</v>
      </c>
      <c r="AD469" s="6">
        <f>[1]Results!AG350</f>
        <v>13.75105961</v>
      </c>
      <c r="AE469" s="6">
        <f>[1]Results!AH350</f>
        <v>14.19183052</v>
      </c>
      <c r="AF469" s="6">
        <f>[1]Results!AI350</f>
        <v>14.656452809999999</v>
      </c>
      <c r="AG469" s="6">
        <f>[1]Results!AJ350</f>
        <v>15.137767439999999</v>
      </c>
      <c r="AH469" s="6">
        <f>[1]Results!AK350</f>
        <v>15.62997661</v>
      </c>
      <c r="AI469" s="6">
        <f>[1]Results!AL350</f>
        <v>16.12904078</v>
      </c>
      <c r="AJ469" s="6">
        <f>[1]Results!AM350</f>
        <v>16.631612690000001</v>
      </c>
      <c r="AK469" s="6">
        <f>[1]Results!AN350</f>
        <v>17.134548349999999</v>
      </c>
      <c r="AL469" s="6">
        <f>[1]Results!AO350</f>
        <v>17.63470388</v>
      </c>
    </row>
    <row r="471" spans="1:3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</row>
    <row r="472" spans="1:38" x14ac:dyDescent="0.35">
      <c r="A472" s="12" t="s">
        <v>93</v>
      </c>
      <c r="B472" t="s">
        <v>77</v>
      </c>
      <c r="C472" s="4">
        <f>C445/C458-1</f>
        <v>0</v>
      </c>
      <c r="D472" s="4">
        <f t="shared" ref="D472:AL472" si="98">D445/D458-1</f>
        <v>-1.8518483413387798E-9</v>
      </c>
      <c r="E472" s="4">
        <f t="shared" si="98"/>
        <v>-2.4662575315304025E-9</v>
      </c>
      <c r="F472" s="4">
        <f t="shared" si="98"/>
        <v>-3.0806827089335798E-9</v>
      </c>
      <c r="G472" s="4">
        <f t="shared" si="98"/>
        <v>-4.2961246782269313E-9</v>
      </c>
      <c r="H472" s="4">
        <f t="shared" si="98"/>
        <v>-4.2681402856459272E-9</v>
      </c>
      <c r="I472" s="4">
        <f t="shared" si="98"/>
        <v>2.0156514748197463E-3</v>
      </c>
      <c r="J472" s="4">
        <f t="shared" si="98"/>
        <v>-7.2642316293053399E-3</v>
      </c>
      <c r="K472" s="4">
        <f t="shared" si="98"/>
        <v>-1.7965517607741899E-2</v>
      </c>
      <c r="L472" s="4">
        <f t="shared" si="98"/>
        <v>-2.5972296684722118E-2</v>
      </c>
      <c r="M472" s="4">
        <f t="shared" si="98"/>
        <v>-3.3362471994537457E-2</v>
      </c>
      <c r="N472" s="4">
        <f t="shared" si="98"/>
        <v>-3.8992233405512278E-2</v>
      </c>
      <c r="O472" s="4">
        <f t="shared" si="98"/>
        <v>-4.3275806954612417E-2</v>
      </c>
      <c r="P472" s="4">
        <f t="shared" si="98"/>
        <v>-4.6299578892698978E-2</v>
      </c>
      <c r="Q472" s="4">
        <f t="shared" si="98"/>
        <v>-4.80611537666088E-2</v>
      </c>
      <c r="R472" s="4">
        <f t="shared" si="98"/>
        <v>-4.8748006987613501E-2</v>
      </c>
      <c r="S472" s="4">
        <f t="shared" si="98"/>
        <v>-5.0454356404216805E-2</v>
      </c>
      <c r="T472" s="4">
        <f t="shared" si="98"/>
        <v>-5.3055414533564771E-2</v>
      </c>
      <c r="U472" s="4">
        <f t="shared" si="98"/>
        <v>-5.6285344597462372E-2</v>
      </c>
      <c r="V472" s="4">
        <f t="shared" si="98"/>
        <v>-5.9857629957849601E-2</v>
      </c>
      <c r="W472" s="4">
        <f t="shared" si="98"/>
        <v>-6.3517931989180321E-2</v>
      </c>
      <c r="X472" s="4">
        <f t="shared" si="98"/>
        <v>-6.7019657793619514E-2</v>
      </c>
      <c r="Y472" s="4">
        <f t="shared" si="98"/>
        <v>-7.023404955687873E-2</v>
      </c>
      <c r="Z472" s="4">
        <f t="shared" si="98"/>
        <v>-7.3081645100170789E-2</v>
      </c>
      <c r="AA472" s="4">
        <f t="shared" si="98"/>
        <v>-7.5467103503643385E-2</v>
      </c>
      <c r="AB472" s="4">
        <f t="shared" si="98"/>
        <v>-7.7317726872238812E-2</v>
      </c>
      <c r="AC472" s="4">
        <f t="shared" si="98"/>
        <v>-7.847503765403796E-2</v>
      </c>
      <c r="AD472" s="4">
        <f t="shared" si="98"/>
        <v>-7.8744220123265207E-2</v>
      </c>
      <c r="AE472" s="4">
        <f t="shared" si="98"/>
        <v>-7.8028820995198589E-2</v>
      </c>
      <c r="AF472" s="4">
        <f t="shared" si="98"/>
        <v>-7.6233020324687151E-2</v>
      </c>
      <c r="AG472" s="4">
        <f t="shared" si="98"/>
        <v>-7.3226890936024636E-2</v>
      </c>
      <c r="AH472" s="4">
        <f t="shared" si="98"/>
        <v>-6.8799819463449152E-2</v>
      </c>
      <c r="AI472" s="4">
        <f t="shared" si="98"/>
        <v>-6.2659406269955364E-2</v>
      </c>
      <c r="AJ472" s="4">
        <f t="shared" si="98"/>
        <v>-5.4433806760781245E-2</v>
      </c>
      <c r="AK472" s="4">
        <f t="shared" si="98"/>
        <v>-4.3576239522340576E-2</v>
      </c>
      <c r="AL472" s="4">
        <f t="shared" si="98"/>
        <v>-2.9221857885615377E-2</v>
      </c>
    </row>
    <row r="473" spans="1:38" x14ac:dyDescent="0.35">
      <c r="A473" t="s">
        <v>88</v>
      </c>
      <c r="B473" t="s">
        <v>76</v>
      </c>
      <c r="C473" s="4">
        <f>(C446-C459)/C$458</f>
        <v>6.1845112585886993E-12</v>
      </c>
      <c r="D473" s="4">
        <f t="shared" ref="D473:AL473" si="99">(D446-D459)/D$458</f>
        <v>0</v>
      </c>
      <c r="E473" s="4">
        <f t="shared" si="99"/>
        <v>0</v>
      </c>
      <c r="F473" s="4">
        <f t="shared" si="99"/>
        <v>0</v>
      </c>
      <c r="G473" s="4">
        <f t="shared" si="99"/>
        <v>0</v>
      </c>
      <c r="H473" s="4">
        <f t="shared" si="99"/>
        <v>0</v>
      </c>
      <c r="I473" s="4">
        <f t="shared" si="99"/>
        <v>4.3797741098325395E-5</v>
      </c>
      <c r="J473" s="4">
        <f t="shared" si="99"/>
        <v>-1.1113923610095106E-3</v>
      </c>
      <c r="K473" s="4">
        <f t="shared" si="99"/>
        <v>-2.3990856331545956E-3</v>
      </c>
      <c r="L473" s="4">
        <f t="shared" si="99"/>
        <v>-3.4741334315644204E-3</v>
      </c>
      <c r="M473" s="4">
        <f t="shared" si="99"/>
        <v>-4.4647229643635751E-3</v>
      </c>
      <c r="N473" s="4">
        <f t="shared" si="99"/>
        <v>-5.226881595908197E-3</v>
      </c>
      <c r="O473" s="4">
        <f t="shared" si="99"/>
        <v>-5.8404334733633788E-3</v>
      </c>
      <c r="P473" s="4">
        <f t="shared" si="99"/>
        <v>-6.3404828936651494E-3</v>
      </c>
      <c r="Q473" s="4">
        <f t="shared" si="99"/>
        <v>-6.7474706465705378E-3</v>
      </c>
      <c r="R473" s="4">
        <f t="shared" si="99"/>
        <v>-7.0850935467431791E-3</v>
      </c>
      <c r="S473" s="4">
        <f t="shared" si="99"/>
        <v>-7.493772144984116E-3</v>
      </c>
      <c r="T473" s="4">
        <f t="shared" si="99"/>
        <v>-7.9708225928784397E-3</v>
      </c>
      <c r="U473" s="4">
        <f t="shared" si="99"/>
        <v>-8.4991175492547012E-3</v>
      </c>
      <c r="V473" s="4">
        <f t="shared" si="99"/>
        <v>-9.0604489925144305E-3</v>
      </c>
      <c r="W473" s="4">
        <f t="shared" si="99"/>
        <v>-9.6405656116606651E-3</v>
      </c>
      <c r="X473" s="4">
        <f t="shared" si="99"/>
        <v>-1.0224570120694196E-2</v>
      </c>
      <c r="Y473" s="4">
        <f t="shared" si="99"/>
        <v>-1.0803977810775526E-2</v>
      </c>
      <c r="Z473" s="4">
        <f t="shared" si="99"/>
        <v>-1.1373258137714906E-2</v>
      </c>
      <c r="AA473" s="4">
        <f t="shared" si="99"/>
        <v>-1.192804399855288E-2</v>
      </c>
      <c r="AB473" s="4">
        <f t="shared" si="99"/>
        <v>-1.2470051556414428E-2</v>
      </c>
      <c r="AC473" s="4">
        <f t="shared" si="99"/>
        <v>-1.2992757485725129E-2</v>
      </c>
      <c r="AD473" s="4">
        <f t="shared" si="99"/>
        <v>-1.3491491391425772E-2</v>
      </c>
      <c r="AE473" s="4">
        <f t="shared" si="99"/>
        <v>-1.3966245865799851E-2</v>
      </c>
      <c r="AF473" s="4">
        <f t="shared" si="99"/>
        <v>-1.4415265038495223E-2</v>
      </c>
      <c r="AG473" s="4">
        <f t="shared" si="99"/>
        <v>-1.4835670192754323E-2</v>
      </c>
      <c r="AH473" s="4">
        <f t="shared" si="99"/>
        <v>-1.522406884318687E-2</v>
      </c>
      <c r="AI473" s="4">
        <f t="shared" si="99"/>
        <v>-1.5577174430478952E-2</v>
      </c>
      <c r="AJ473" s="4">
        <f t="shared" si="99"/>
        <v>-1.5892419367170112E-2</v>
      </c>
      <c r="AK473" s="4">
        <f t="shared" si="99"/>
        <v>-1.6165679315833039E-2</v>
      </c>
      <c r="AL473" s="4">
        <f t="shared" si="99"/>
        <v>-1.6389538723439515E-2</v>
      </c>
    </row>
    <row r="474" spans="1:38" x14ac:dyDescent="0.35">
      <c r="B474" t="s">
        <v>74</v>
      </c>
      <c r="C474" s="4">
        <f>(C447-C460)/C$458</f>
        <v>0</v>
      </c>
      <c r="D474" s="4">
        <f t="shared" ref="D474:AL474" si="100">(D447-D460)/D$458</f>
        <v>6.1728279760909291E-11</v>
      </c>
      <c r="E474" s="4">
        <f t="shared" si="100"/>
        <v>6.1039868021464101E-11</v>
      </c>
      <c r="F474" s="4">
        <f t="shared" si="100"/>
        <v>6.0997555424055395E-11</v>
      </c>
      <c r="G474" s="4">
        <f t="shared" si="100"/>
        <v>1.221327749887802E-10</v>
      </c>
      <c r="H474" s="4">
        <f t="shared" si="100"/>
        <v>1.8231056927044184E-10</v>
      </c>
      <c r="I474" s="4">
        <f t="shared" si="100"/>
        <v>1.8795652138070673E-4</v>
      </c>
      <c r="J474" s="4">
        <f t="shared" si="100"/>
        <v>-3.1500191024668544E-3</v>
      </c>
      <c r="K474" s="4">
        <f t="shared" si="100"/>
        <v>-7.2348994263808667E-3</v>
      </c>
      <c r="L474" s="4">
        <f t="shared" si="100"/>
        <v>-1.060438115745979E-2</v>
      </c>
      <c r="M474" s="4">
        <f t="shared" si="100"/>
        <v>-1.375981817533593E-2</v>
      </c>
      <c r="N474" s="4">
        <f t="shared" si="100"/>
        <v>-1.6174512479532391E-2</v>
      </c>
      <c r="O474" s="4">
        <f t="shared" si="100"/>
        <v>-1.7986767564750136E-2</v>
      </c>
      <c r="P474" s="4">
        <f t="shared" si="100"/>
        <v>-1.9281503351571406E-2</v>
      </c>
      <c r="Q474" s="4">
        <f t="shared" si="100"/>
        <v>-2.0108420695742403E-2</v>
      </c>
      <c r="R474" s="4">
        <f t="shared" si="100"/>
        <v>-2.0558702383894938E-2</v>
      </c>
      <c r="S474" s="4">
        <f t="shared" si="100"/>
        <v>-2.1145333228312694E-2</v>
      </c>
      <c r="T474" s="4">
        <f t="shared" si="100"/>
        <v>-2.1980262609793556E-2</v>
      </c>
      <c r="U474" s="4">
        <f t="shared" si="100"/>
        <v>-2.3021241907971571E-2</v>
      </c>
      <c r="V474" s="4">
        <f t="shared" si="100"/>
        <v>-2.4180975256755138E-2</v>
      </c>
      <c r="W474" s="4">
        <f t="shared" si="100"/>
        <v>-2.5371925551973148E-2</v>
      </c>
      <c r="X474" s="4">
        <f t="shared" si="100"/>
        <v>-2.6510461489281517E-2</v>
      </c>
      <c r="Y474" s="4">
        <f t="shared" si="100"/>
        <v>-2.7542850722291835E-2</v>
      </c>
      <c r="Z474" s="4">
        <f t="shared" si="100"/>
        <v>-2.8430079824302262E-2</v>
      </c>
      <c r="AA474" s="4">
        <f t="shared" si="100"/>
        <v>-2.9138574488739119E-2</v>
      </c>
      <c r="AB474" s="4">
        <f t="shared" si="100"/>
        <v>-2.9645943143126959E-2</v>
      </c>
      <c r="AC474" s="4">
        <f t="shared" si="100"/>
        <v>-2.9898402411771861E-2</v>
      </c>
      <c r="AD474" s="4">
        <f t="shared" si="100"/>
        <v>-2.9839475661842793E-2</v>
      </c>
      <c r="AE474" s="4">
        <f t="shared" si="100"/>
        <v>-2.9429592553202662E-2</v>
      </c>
      <c r="AF474" s="4">
        <f t="shared" si="100"/>
        <v>-2.8626161401829772E-2</v>
      </c>
      <c r="AG474" s="4">
        <f t="shared" si="100"/>
        <v>-2.7374077433737442E-2</v>
      </c>
      <c r="AH474" s="4">
        <f t="shared" si="100"/>
        <v>-2.5589672736355835E-2</v>
      </c>
      <c r="AI474" s="4">
        <f t="shared" si="100"/>
        <v>-2.3154125942681816E-2</v>
      </c>
      <c r="AJ474" s="4">
        <f t="shared" si="100"/>
        <v>-1.991026578444478E-2</v>
      </c>
      <c r="AK474" s="4">
        <f t="shared" si="100"/>
        <v>-1.5628584686685806E-2</v>
      </c>
      <c r="AL474" s="4">
        <f t="shared" si="100"/>
        <v>-9.9513825844536209E-3</v>
      </c>
    </row>
    <row r="475" spans="1:38" x14ac:dyDescent="0.35">
      <c r="B475" t="s">
        <v>54</v>
      </c>
      <c r="C475" s="4">
        <f>(C451-C464)/C$458</f>
        <v>-4.9476085674350404E-10</v>
      </c>
      <c r="D475" s="4">
        <f t="shared" ref="D475:AL475" si="101">(D451-D464)/D$458</f>
        <v>-1.6049351422019102E-9</v>
      </c>
      <c r="E475" s="4">
        <f t="shared" si="101"/>
        <v>-2.5895704040852605E-9</v>
      </c>
      <c r="F475" s="4">
        <f t="shared" si="101"/>
        <v>-3.6968192444372507E-9</v>
      </c>
      <c r="G475" s="4">
        <f t="shared" si="101"/>
        <v>-4.2347515147140746E-9</v>
      </c>
      <c r="H475" s="4">
        <f t="shared" si="101"/>
        <v>-4.5120340773228661E-9</v>
      </c>
      <c r="I475" s="4">
        <f t="shared" si="101"/>
        <v>1.8048578406906325E-3</v>
      </c>
      <c r="J475" s="4">
        <f t="shared" si="101"/>
        <v>-2.9094103321752837E-3</v>
      </c>
      <c r="K475" s="4">
        <f t="shared" si="101"/>
        <v>-7.1773194404561053E-3</v>
      </c>
      <c r="L475" s="4">
        <f t="shared" si="101"/>
        <v>-1.0075707003008876E-2</v>
      </c>
      <c r="M475" s="4">
        <f t="shared" si="101"/>
        <v>-1.213197414023057E-2</v>
      </c>
      <c r="N475" s="4">
        <f t="shared" si="101"/>
        <v>-1.2455025009230923E-2</v>
      </c>
      <c r="O475" s="4">
        <f t="shared" si="101"/>
        <v>-1.1844583803685188E-2</v>
      </c>
      <c r="P475" s="4">
        <f t="shared" si="101"/>
        <v>-1.0680655977441294E-2</v>
      </c>
      <c r="Q475" s="4">
        <f t="shared" si="101"/>
        <v>-9.1286843094564481E-3</v>
      </c>
      <c r="R475" s="4">
        <f t="shared" si="101"/>
        <v>-7.2935388994830666E-3</v>
      </c>
      <c r="S475" s="4">
        <f t="shared" si="101"/>
        <v>-6.7298291507523452E-3</v>
      </c>
      <c r="T475" s="4">
        <f t="shared" si="101"/>
        <v>-6.8109056727073038E-3</v>
      </c>
      <c r="U475" s="4">
        <f t="shared" si="101"/>
        <v>-7.1820928661911112E-3</v>
      </c>
      <c r="V475" s="4">
        <f t="shared" si="101"/>
        <v>-7.6392271981619358E-3</v>
      </c>
      <c r="W475" s="4">
        <f t="shared" si="101"/>
        <v>-8.0588064858325894E-3</v>
      </c>
      <c r="X475" s="4">
        <f t="shared" si="101"/>
        <v>-8.3605245882876298E-3</v>
      </c>
      <c r="Y475" s="4">
        <f t="shared" si="101"/>
        <v>-8.5242605032027803E-3</v>
      </c>
      <c r="Z475" s="4">
        <f t="shared" si="101"/>
        <v>-8.5388525962754192E-3</v>
      </c>
      <c r="AA475" s="4">
        <f t="shared" si="101"/>
        <v>-8.3754936709058252E-3</v>
      </c>
      <c r="AB475" s="4">
        <f t="shared" si="101"/>
        <v>-8.0005831375645018E-3</v>
      </c>
      <c r="AC475" s="4">
        <f t="shared" si="101"/>
        <v>-7.3766928388166262E-3</v>
      </c>
      <c r="AD475" s="4">
        <f t="shared" si="101"/>
        <v>-6.4453888722335369E-3</v>
      </c>
      <c r="AE475" s="4">
        <f t="shared" si="101"/>
        <v>-5.1631937525005297E-3</v>
      </c>
      <c r="AF475" s="4">
        <f t="shared" si="101"/>
        <v>-3.4814566280626166E-3</v>
      </c>
      <c r="AG475" s="4">
        <f t="shared" si="101"/>
        <v>-1.3338988192175734E-3</v>
      </c>
      <c r="AH475" s="4">
        <f t="shared" si="101"/>
        <v>1.3772762744751743E-3</v>
      </c>
      <c r="AI475" s="4">
        <f t="shared" si="101"/>
        <v>4.7855830658680917E-3</v>
      </c>
      <c r="AJ475" s="4">
        <f t="shared" si="101"/>
        <v>9.0723549181420185E-3</v>
      </c>
      <c r="AK475" s="4">
        <f t="shared" si="101"/>
        <v>1.4502785738837187E-2</v>
      </c>
      <c r="AL475" s="4">
        <f t="shared" si="101"/>
        <v>2.1489444524979032E-2</v>
      </c>
    </row>
    <row r="476" spans="1:38" x14ac:dyDescent="0.35">
      <c r="B476" t="s">
        <v>11</v>
      </c>
      <c r="C476" s="4">
        <f>(C452-C465)/C$458</f>
        <v>6.1845112585886994E-11</v>
      </c>
      <c r="D476" s="4">
        <f t="shared" ref="D476:AL476" si="102">(D452-D465)/D$458</f>
        <v>6.1728279760909291E-11</v>
      </c>
      <c r="E476" s="4">
        <f t="shared" si="102"/>
        <v>6.1656443407926955E-11</v>
      </c>
      <c r="F476" s="4">
        <f t="shared" si="102"/>
        <v>1.2322731836303971E-10</v>
      </c>
      <c r="G476" s="4">
        <f t="shared" si="102"/>
        <v>1.2274643082841695E-10</v>
      </c>
      <c r="H476" s="4">
        <f t="shared" si="102"/>
        <v>6.097343816103656E-11</v>
      </c>
      <c r="I476" s="4">
        <f t="shared" si="102"/>
        <v>-1.1534323848236475E-4</v>
      </c>
      <c r="J476" s="4">
        <f t="shared" si="102"/>
        <v>1.5279486014247404E-3</v>
      </c>
      <c r="K476" s="4">
        <f t="shared" si="102"/>
        <v>2.4977286728916606E-3</v>
      </c>
      <c r="L476" s="4">
        <f t="shared" si="102"/>
        <v>3.5034845546189652E-3</v>
      </c>
      <c r="M476" s="4">
        <f t="shared" si="102"/>
        <v>4.0190692806617292E-3</v>
      </c>
      <c r="N476" s="4">
        <f t="shared" si="102"/>
        <v>3.3739149935638228E-3</v>
      </c>
      <c r="O476" s="4">
        <f t="shared" si="102"/>
        <v>2.2182879432704984E-3</v>
      </c>
      <c r="P476" s="4">
        <f t="shared" si="102"/>
        <v>9.4864875959449089E-4</v>
      </c>
      <c r="Q476" s="4">
        <f t="shared" si="102"/>
        <v>-2.1703005700410356E-4</v>
      </c>
      <c r="R476" s="4">
        <f t="shared" si="102"/>
        <v>-1.2222229620173102E-3</v>
      </c>
      <c r="S476" s="4">
        <f t="shared" si="102"/>
        <v>-1.738358040193214E-3</v>
      </c>
      <c r="T476" s="4">
        <f t="shared" si="102"/>
        <v>-2.1076518454239204E-3</v>
      </c>
      <c r="U476" s="4">
        <f t="shared" si="102"/>
        <v>-2.4909639194219783E-3</v>
      </c>
      <c r="V476" s="4">
        <f t="shared" si="102"/>
        <v>-2.9439162131990795E-3</v>
      </c>
      <c r="W476" s="4">
        <f t="shared" si="102"/>
        <v>-3.4684361986645671E-3</v>
      </c>
      <c r="X476" s="4">
        <f t="shared" si="102"/>
        <v>-4.0301281328861483E-3</v>
      </c>
      <c r="Y476" s="4">
        <f t="shared" si="102"/>
        <v>-4.6031199255770257E-3</v>
      </c>
      <c r="Z476" s="4">
        <f t="shared" si="102"/>
        <v>-5.1742248070523753E-3</v>
      </c>
      <c r="AA476" s="4">
        <f t="shared" si="102"/>
        <v>-5.7258943797574343E-3</v>
      </c>
      <c r="AB476" s="4">
        <f t="shared" si="102"/>
        <v>-6.24449389093828E-3</v>
      </c>
      <c r="AC476" s="4">
        <f t="shared" si="102"/>
        <v>-6.6843007931965768E-3</v>
      </c>
      <c r="AD476" s="4">
        <f t="shared" si="102"/>
        <v>-6.9942204074400164E-3</v>
      </c>
      <c r="AE476" s="4">
        <f t="shared" si="102"/>
        <v>-7.1623545411930323E-3</v>
      </c>
      <c r="AF476" s="4">
        <f t="shared" si="102"/>
        <v>-7.1829257731827294E-3</v>
      </c>
      <c r="AG476" s="4">
        <f t="shared" si="102"/>
        <v>-7.047946862805324E-3</v>
      </c>
      <c r="AH476" s="4">
        <f t="shared" si="102"/>
        <v>-6.7354687061930213E-3</v>
      </c>
      <c r="AI476" s="4">
        <f t="shared" si="102"/>
        <v>-6.2142282028460581E-3</v>
      </c>
      <c r="AJ476" s="4">
        <f t="shared" si="102"/>
        <v>-5.4570306092260644E-3</v>
      </c>
      <c r="AK476" s="4">
        <f t="shared" si="102"/>
        <v>-4.4244481795572728E-3</v>
      </c>
      <c r="AL476" s="4">
        <f t="shared" si="102"/>
        <v>-3.047098050682406E-3</v>
      </c>
    </row>
    <row r="477" spans="1:38" x14ac:dyDescent="0.35">
      <c r="B477" t="s">
        <v>75</v>
      </c>
      <c r="C477" s="4">
        <f>(C453-C466)/C$458</f>
        <v>-6.1844892867927723E-12</v>
      </c>
      <c r="D477" s="4">
        <f t="shared" ref="D477:AL477" si="103">(D453-D466)/D$458</f>
        <v>-4.3209773902347933E-11</v>
      </c>
      <c r="E477" s="4">
        <f t="shared" si="103"/>
        <v>-8.0153354525537867E-11</v>
      </c>
      <c r="F477" s="4">
        <f t="shared" si="103"/>
        <v>-1.2938868428119169E-10</v>
      </c>
      <c r="G477" s="4">
        <f t="shared" si="103"/>
        <v>-1.5957031646865324E-10</v>
      </c>
      <c r="H477" s="4">
        <f t="shared" si="103"/>
        <v>-1.8901763663709835E-10</v>
      </c>
      <c r="I477" s="4">
        <f t="shared" si="103"/>
        <v>9.4382312040586951E-5</v>
      </c>
      <c r="J477" s="4">
        <f t="shared" si="103"/>
        <v>-1.6213585518975251E-3</v>
      </c>
      <c r="K477" s="4">
        <f t="shared" si="103"/>
        <v>-3.6519415914957102E-3</v>
      </c>
      <c r="L477" s="4">
        <f t="shared" si="103"/>
        <v>-5.3215595556733285E-3</v>
      </c>
      <c r="M477" s="4">
        <f t="shared" si="103"/>
        <v>-7.025025804287946E-3</v>
      </c>
      <c r="N477" s="4">
        <f t="shared" si="103"/>
        <v>-8.5097292603451748E-3</v>
      </c>
      <c r="O477" s="4">
        <f t="shared" si="103"/>
        <v>-9.8223100426501186E-3</v>
      </c>
      <c r="P477" s="4">
        <f t="shared" si="103"/>
        <v>-1.0945585552215196E-2</v>
      </c>
      <c r="Q477" s="4">
        <f t="shared" si="103"/>
        <v>-1.1859547863532695E-2</v>
      </c>
      <c r="R477" s="4">
        <f t="shared" si="103"/>
        <v>-1.2588448903637457E-2</v>
      </c>
      <c r="S477" s="4">
        <f t="shared" si="103"/>
        <v>-1.3347064031658548E-2</v>
      </c>
      <c r="T477" s="4">
        <f t="shared" si="103"/>
        <v>-1.4185772009282754E-2</v>
      </c>
      <c r="U477" s="4">
        <f t="shared" si="103"/>
        <v>-1.5091928394032858E-2</v>
      </c>
      <c r="V477" s="4">
        <f t="shared" si="103"/>
        <v>-1.6033062164025128E-2</v>
      </c>
      <c r="W477" s="4">
        <f t="shared" si="103"/>
        <v>-1.6978198329510044E-2</v>
      </c>
      <c r="X477" s="4">
        <f t="shared" si="103"/>
        <v>-1.7893973088120921E-2</v>
      </c>
      <c r="Y477" s="4">
        <f t="shared" si="103"/>
        <v>-1.8759840490950884E-2</v>
      </c>
      <c r="Z477" s="4">
        <f t="shared" si="103"/>
        <v>-1.9565229801912068E-2</v>
      </c>
      <c r="AA477" s="4">
        <f t="shared" si="103"/>
        <v>-2.0299097156308069E-2</v>
      </c>
      <c r="AB477" s="4">
        <f t="shared" si="103"/>
        <v>-2.0956655287102617E-2</v>
      </c>
      <c r="AC477" s="4">
        <f t="shared" si="103"/>
        <v>-2.1522884043380427E-2</v>
      </c>
      <c r="AD477" s="4">
        <f t="shared" si="103"/>
        <v>-2.1973643722563219E-2</v>
      </c>
      <c r="AE477" s="4">
        <f t="shared" si="103"/>
        <v>-2.2307434253176033E-2</v>
      </c>
      <c r="AF477" s="4">
        <f t="shared" si="103"/>
        <v>-2.2527211738023085E-2</v>
      </c>
      <c r="AG477" s="4">
        <f t="shared" si="103"/>
        <v>-2.2635297600840678E-2</v>
      </c>
      <c r="AH477" s="4">
        <f t="shared" si="103"/>
        <v>-2.262788542791911E-2</v>
      </c>
      <c r="AI477" s="4">
        <f t="shared" si="103"/>
        <v>-2.2499461096740139E-2</v>
      </c>
      <c r="AJ477" s="4">
        <f t="shared" si="103"/>
        <v>-2.2246446311426089E-2</v>
      </c>
      <c r="AK477" s="4">
        <f t="shared" si="103"/>
        <v>-2.1860313318037474E-2</v>
      </c>
      <c r="AL477" s="4">
        <f t="shared" si="103"/>
        <v>-2.1323283056538127E-2</v>
      </c>
    </row>
    <row r="479" spans="1:38" x14ac:dyDescent="0.35">
      <c r="A479" s="12" t="s">
        <v>94</v>
      </c>
      <c r="B479" s="3" t="str">
        <f>[1]Results!E205</f>
        <v>YG_toe_2</v>
      </c>
      <c r="C479" s="3">
        <f>[1]Results!F205</f>
        <v>148.5608263</v>
      </c>
      <c r="D479" s="3">
        <f>[1]Results!G205</f>
        <v>149.66962799999999</v>
      </c>
      <c r="E479" s="3">
        <f>[1]Results!H205</f>
        <v>150.6691395</v>
      </c>
      <c r="F479" s="3">
        <f>[1]Results!I205</f>
        <v>151.72016500000001</v>
      </c>
      <c r="G479" s="3">
        <f>[1]Results!J205</f>
        <v>152.9218486</v>
      </c>
      <c r="H479" s="3">
        <f>[1]Results!K205</f>
        <v>154.31153320000001</v>
      </c>
      <c r="I479" s="3">
        <f>[1]Results!L205</f>
        <v>155.83471900000001</v>
      </c>
      <c r="J479" s="3">
        <f>[1]Results!M205</f>
        <v>158.30281980000001</v>
      </c>
      <c r="K479" s="3">
        <f>[1]Results!N205</f>
        <v>161.03545260000001</v>
      </c>
      <c r="L479" s="3">
        <f>[1]Results!O205</f>
        <v>164.47703189999999</v>
      </c>
      <c r="M479" s="3">
        <f>[1]Results!P205</f>
        <v>168.0820224</v>
      </c>
      <c r="N479" s="3">
        <f>[1]Results!Q205</f>
        <v>171.6566167</v>
      </c>
      <c r="O479" s="3">
        <f>[1]Results!R205</f>
        <v>175.22567230000001</v>
      </c>
      <c r="P479" s="3">
        <f>[1]Results!S205</f>
        <v>178.7836547</v>
      </c>
      <c r="Q479" s="3">
        <f>[1]Results!T205</f>
        <v>182.4998823</v>
      </c>
      <c r="R479" s="3">
        <f>[1]Results!U205</f>
        <v>186.4792434</v>
      </c>
      <c r="S479" s="3">
        <f>[1]Results!V205</f>
        <v>190.54468439999999</v>
      </c>
      <c r="T479" s="3">
        <f>[1]Results!W205</f>
        <v>194.96933799999999</v>
      </c>
      <c r="U479" s="3">
        <f>[1]Results!X205</f>
        <v>199.8129739</v>
      </c>
      <c r="V479" s="3">
        <f>[1]Results!Y205</f>
        <v>205.14416929999999</v>
      </c>
      <c r="W479" s="3">
        <f>[1]Results!Z205</f>
        <v>211.0114183</v>
      </c>
      <c r="X479" s="3">
        <f>[1]Results!AA205</f>
        <v>217.58223050000001</v>
      </c>
      <c r="Y479" s="3">
        <f>[1]Results!AB205</f>
        <v>224.98267129999999</v>
      </c>
      <c r="Z479" s="3">
        <f>[1]Results!AC205</f>
        <v>233.34179739999999</v>
      </c>
      <c r="AA479" s="3">
        <f>[1]Results!AD205</f>
        <v>242.79622509999999</v>
      </c>
      <c r="AB479" s="3">
        <f>[1]Results!AE205</f>
        <v>253.3840203</v>
      </c>
      <c r="AC479" s="3">
        <f>[1]Results!AF205</f>
        <v>265.54184029999999</v>
      </c>
      <c r="AD479" s="3">
        <f>[1]Results!AG205</f>
        <v>279.52873249999999</v>
      </c>
      <c r="AE479" s="3">
        <f>[1]Results!AH205</f>
        <v>295.68914150000001</v>
      </c>
      <c r="AF479" s="3">
        <f>[1]Results!AI205</f>
        <v>314.3987932</v>
      </c>
      <c r="AG479" s="3">
        <f>[1]Results!AJ205</f>
        <v>336.13051380000002</v>
      </c>
      <c r="AH479" s="3">
        <f>[1]Results!AK205</f>
        <v>361.56279760000001</v>
      </c>
      <c r="AI479" s="3">
        <f>[1]Results!AL205</f>
        <v>391.67332499999998</v>
      </c>
      <c r="AJ479" s="3">
        <f>[1]Results!AM205</f>
        <v>427.84522170000002</v>
      </c>
      <c r="AK479" s="3">
        <f>[1]Results!AN205</f>
        <v>472.11234889999997</v>
      </c>
      <c r="AL479" s="3">
        <f>[1]Results!AO205</f>
        <v>527.58747430000005</v>
      </c>
    </row>
    <row r="480" spans="1:38" x14ac:dyDescent="0.35">
      <c r="A480" t="s">
        <v>39</v>
      </c>
      <c r="B480" s="3" t="str">
        <f>[1]Results!E206</f>
        <v>YG_toe_ccoa_2</v>
      </c>
      <c r="C480" s="3">
        <f>[1]Results!F206</f>
        <v>2.3689359419999998</v>
      </c>
      <c r="D480" s="3">
        <f>[1]Results!G206</f>
        <v>2.3707003929999999</v>
      </c>
      <c r="E480" s="3">
        <f>[1]Results!H206</f>
        <v>2.3703505580000002</v>
      </c>
      <c r="F480" s="3">
        <f>[1]Results!I206</f>
        <v>2.3635460730000002</v>
      </c>
      <c r="G480" s="3">
        <f>[1]Results!J206</f>
        <v>2.370865298</v>
      </c>
      <c r="H480" s="3">
        <f>[1]Results!K206</f>
        <v>2.389294676</v>
      </c>
      <c r="I480" s="3">
        <f>[1]Results!L206</f>
        <v>2.414790709</v>
      </c>
      <c r="J480" s="3">
        <f>[1]Results!M206</f>
        <v>2.345689519</v>
      </c>
      <c r="K480" s="3">
        <f>[1]Results!N206</f>
        <v>2.2637434000000001</v>
      </c>
      <c r="L480" s="3">
        <f>[1]Results!O206</f>
        <v>2.1945962630000002</v>
      </c>
      <c r="M480" s="3">
        <f>[1]Results!P206</f>
        <v>2.1306487409999999</v>
      </c>
      <c r="N480" s="3">
        <f>[1]Results!Q206</f>
        <v>2.081841963</v>
      </c>
      <c r="O480" s="3">
        <f>[1]Results!R206</f>
        <v>2.0417080429999999</v>
      </c>
      <c r="P480" s="3">
        <f>[1]Results!S206</f>
        <v>2.0053085899999998</v>
      </c>
      <c r="Q480" s="3">
        <f>[1]Results!T206</f>
        <v>1.9725209340000001</v>
      </c>
      <c r="R480" s="3">
        <f>[1]Results!U206</f>
        <v>1.9432777779999999</v>
      </c>
      <c r="S480" s="3">
        <f>[1]Results!V206</f>
        <v>1.9110157130000001</v>
      </c>
      <c r="T480" s="3">
        <f>[1]Results!W206</f>
        <v>1.8787298649999999</v>
      </c>
      <c r="U480" s="3">
        <f>[1]Results!X206</f>
        <v>1.8480242499999999</v>
      </c>
      <c r="V480" s="3">
        <f>[1]Results!Y206</f>
        <v>1.8195858119999999</v>
      </c>
      <c r="W480" s="3">
        <f>[1]Results!Z206</f>
        <v>1.793695037</v>
      </c>
      <c r="X480" s="3">
        <f>[1]Results!AA206</f>
        <v>1.770573403</v>
      </c>
      <c r="Y480" s="3">
        <f>[1]Results!AB206</f>
        <v>1.7504396630000001</v>
      </c>
      <c r="Z480" s="3">
        <f>[1]Results!AC206</f>
        <v>1.7332867759999999</v>
      </c>
      <c r="AA480" s="3">
        <f>[1]Results!AD206</f>
        <v>1.7188885819999999</v>
      </c>
      <c r="AB480" s="3">
        <f>[1]Results!AE206</f>
        <v>1.7069302719999999</v>
      </c>
      <c r="AC480" s="3">
        <f>[1]Results!AF206</f>
        <v>1.697846787</v>
      </c>
      <c r="AD480" s="3">
        <f>[1]Results!AG206</f>
        <v>1.691809423</v>
      </c>
      <c r="AE480" s="3">
        <f>[1]Results!AH206</f>
        <v>1.6888698719999999</v>
      </c>
      <c r="AF480" s="3">
        <f>[1]Results!AI206</f>
        <v>1.688638402</v>
      </c>
      <c r="AG480" s="3">
        <f>[1]Results!AJ206</f>
        <v>1.690711597</v>
      </c>
      <c r="AH480" s="3">
        <f>[1]Results!AK206</f>
        <v>1.6951666379999999</v>
      </c>
      <c r="AI480" s="3">
        <f>[1]Results!AL206</f>
        <v>1.7026579989999999</v>
      </c>
      <c r="AJ480" s="3">
        <f>[1]Results!AM206</f>
        <v>1.714373256</v>
      </c>
      <c r="AK480" s="3">
        <f>[1]Results!AN206</f>
        <v>1.732374678</v>
      </c>
      <c r="AL480" s="3">
        <f>[1]Results!AO206</f>
        <v>1.760435124</v>
      </c>
    </row>
    <row r="481" spans="1:38" x14ac:dyDescent="0.35">
      <c r="B481" s="3" t="s">
        <v>74</v>
      </c>
      <c r="C481" s="3">
        <f>SUM(C482:C484)</f>
        <v>51.304317173000001</v>
      </c>
      <c r="D481" s="3">
        <f t="shared" ref="D481:AL481" si="104">SUM(D482:D484)</f>
        <v>51.517338885000001</v>
      </c>
      <c r="E481" s="3">
        <f t="shared" si="104"/>
        <v>51.686182954000003</v>
      </c>
      <c r="F481" s="3">
        <f t="shared" si="104"/>
        <v>51.877756528999996</v>
      </c>
      <c r="G481" s="3">
        <f t="shared" si="104"/>
        <v>52.190657242</v>
      </c>
      <c r="H481" s="3">
        <f t="shared" si="104"/>
        <v>52.612378984999999</v>
      </c>
      <c r="I481" s="3">
        <f t="shared" si="104"/>
        <v>53.105071494999997</v>
      </c>
      <c r="J481" s="3">
        <f t="shared" si="104"/>
        <v>53.519421002000001</v>
      </c>
      <c r="K481" s="3">
        <f t="shared" si="104"/>
        <v>53.951172220999993</v>
      </c>
      <c r="L481" s="3">
        <f t="shared" si="104"/>
        <v>54.491623324000003</v>
      </c>
      <c r="M481" s="3">
        <f t="shared" si="104"/>
        <v>55.087153108000003</v>
      </c>
      <c r="N481" s="3">
        <f t="shared" si="104"/>
        <v>55.768593972999994</v>
      </c>
      <c r="O481" s="3">
        <f t="shared" si="104"/>
        <v>56.520048426999999</v>
      </c>
      <c r="P481" s="3">
        <f t="shared" si="104"/>
        <v>57.317588843000003</v>
      </c>
      <c r="Q481" s="3">
        <f t="shared" si="104"/>
        <v>58.166124132</v>
      </c>
      <c r="R481" s="3">
        <f t="shared" si="104"/>
        <v>59.068378131000003</v>
      </c>
      <c r="S481" s="3">
        <f t="shared" si="104"/>
        <v>59.999297814999998</v>
      </c>
      <c r="T481" s="3">
        <f t="shared" si="104"/>
        <v>60.970705621</v>
      </c>
      <c r="U481" s="3">
        <f t="shared" si="104"/>
        <v>61.995277831300001</v>
      </c>
      <c r="V481" s="3">
        <f t="shared" si="104"/>
        <v>63.083511702400003</v>
      </c>
      <c r="W481" s="3">
        <f t="shared" si="104"/>
        <v>64.238130002899993</v>
      </c>
      <c r="X481" s="3">
        <f t="shared" si="104"/>
        <v>65.479444344599997</v>
      </c>
      <c r="Y481" s="3">
        <f t="shared" si="104"/>
        <v>66.818818639399993</v>
      </c>
      <c r="Z481" s="3">
        <f t="shared" si="104"/>
        <v>68.266332390000002</v>
      </c>
      <c r="AA481" s="3">
        <f t="shared" si="104"/>
        <v>69.829831660299988</v>
      </c>
      <c r="AB481" s="3">
        <f t="shared" si="104"/>
        <v>71.496042154699992</v>
      </c>
      <c r="AC481" s="3">
        <f t="shared" si="104"/>
        <v>73.295626387700011</v>
      </c>
      <c r="AD481" s="3">
        <f t="shared" si="104"/>
        <v>75.247094213899999</v>
      </c>
      <c r="AE481" s="3">
        <f t="shared" si="104"/>
        <v>77.36593273310001</v>
      </c>
      <c r="AF481" s="3">
        <f t="shared" si="104"/>
        <v>79.661245677100013</v>
      </c>
      <c r="AG481" s="3">
        <f t="shared" si="104"/>
        <v>82.13981265839999</v>
      </c>
      <c r="AH481" s="3">
        <f t="shared" si="104"/>
        <v>84.813410785200006</v>
      </c>
      <c r="AI481" s="3">
        <f t="shared" si="104"/>
        <v>87.701627336400009</v>
      </c>
      <c r="AJ481" s="3">
        <f t="shared" si="104"/>
        <v>90.831601861399989</v>
      </c>
      <c r="AK481" s="3">
        <f t="shared" si="104"/>
        <v>94.243564301600003</v>
      </c>
      <c r="AL481" s="3">
        <f t="shared" si="104"/>
        <v>98.000948899899996</v>
      </c>
    </row>
    <row r="482" spans="1:38" x14ac:dyDescent="0.35">
      <c r="B482" s="3" t="str">
        <f>[1]Results!E209</f>
        <v>YG_toe_ccoi_2</v>
      </c>
      <c r="C482" s="3">
        <f>[1]Results!F209</f>
        <v>1.0946754059999999</v>
      </c>
      <c r="D482" s="3">
        <f>[1]Results!G209</f>
        <v>1.1012928340000001</v>
      </c>
      <c r="E482" s="3">
        <f>[1]Results!H209</f>
        <v>1.106706035</v>
      </c>
      <c r="F482" s="3">
        <f>[1]Results!I209</f>
        <v>1.112429023</v>
      </c>
      <c r="G482" s="3">
        <f>[1]Results!J209</f>
        <v>1.120408635</v>
      </c>
      <c r="H482" s="3">
        <f>[1]Results!K209</f>
        <v>1.1307074560000001</v>
      </c>
      <c r="I482" s="3">
        <f>[1]Results!L209</f>
        <v>1.142633843</v>
      </c>
      <c r="J482" s="3">
        <f>[1]Results!M209</f>
        <v>1.1307581520000001</v>
      </c>
      <c r="K482" s="3">
        <f>[1]Results!N209</f>
        <v>1.1161215819999999</v>
      </c>
      <c r="L482" s="3">
        <f>[1]Results!O209</f>
        <v>1.1047638689999999</v>
      </c>
      <c r="M482" s="3">
        <f>[1]Results!P209</f>
        <v>1.093786879</v>
      </c>
      <c r="N482" s="3">
        <f>[1]Results!Q209</f>
        <v>1.0830033130000001</v>
      </c>
      <c r="O482" s="3">
        <f>[1]Results!R209</f>
        <v>1.0718497229999999</v>
      </c>
      <c r="P482" s="3">
        <f>[1]Results!S209</f>
        <v>1.05965606</v>
      </c>
      <c r="Q482" s="3">
        <f>[1]Results!T209</f>
        <v>1.0469282630000001</v>
      </c>
      <c r="R482" s="3">
        <f>[1]Results!U209</f>
        <v>1.033988425</v>
      </c>
      <c r="S482" s="3">
        <f>[1]Results!V209</f>
        <v>1.019510997</v>
      </c>
      <c r="T482" s="3">
        <f>[1]Results!W209</f>
        <v>1.0046039769999999</v>
      </c>
      <c r="U482" s="3">
        <f>[1]Results!X209</f>
        <v>0.98954572829999998</v>
      </c>
      <c r="V482" s="3">
        <f>[1]Results!Y209</f>
        <v>0.97442645539999995</v>
      </c>
      <c r="W482" s="3">
        <f>[1]Results!Z209</f>
        <v>0.95921039689999998</v>
      </c>
      <c r="X482" s="3">
        <f>[1]Results!AA209</f>
        <v>0.94406592060000005</v>
      </c>
      <c r="Y482" s="3">
        <f>[1]Results!AB209</f>
        <v>0.92905762140000003</v>
      </c>
      <c r="Z482" s="3">
        <f>[1]Results!AC209</f>
        <v>0.91416878700000004</v>
      </c>
      <c r="AA482" s="3">
        <f>[1]Results!AD209</f>
        <v>0.89928893629999995</v>
      </c>
      <c r="AB482" s="3">
        <f>[1]Results!AE209</f>
        <v>0.88406078470000005</v>
      </c>
      <c r="AC482" s="3">
        <f>[1]Results!AF209</f>
        <v>0.86899196469999995</v>
      </c>
      <c r="AD482" s="3">
        <f>[1]Results!AG209</f>
        <v>0.85385007189999995</v>
      </c>
      <c r="AE482" s="3">
        <f>[1]Results!AH209</f>
        <v>0.83850322610000005</v>
      </c>
      <c r="AF482" s="3">
        <f>[1]Results!AI209</f>
        <v>0.82261631810000002</v>
      </c>
      <c r="AG482" s="3">
        <f>[1]Results!AJ209</f>
        <v>0.80575735240000002</v>
      </c>
      <c r="AH482" s="3">
        <f>[1]Results!AK209</f>
        <v>0.78755414720000005</v>
      </c>
      <c r="AI482" s="3">
        <f>[1]Results!AL209</f>
        <v>0.76770974739999998</v>
      </c>
      <c r="AJ482" s="3">
        <f>[1]Results!AM209</f>
        <v>0.74593608739999995</v>
      </c>
      <c r="AK482" s="3">
        <f>[1]Results!AN209</f>
        <v>0.72194172160000003</v>
      </c>
      <c r="AL482" s="3">
        <f>[1]Results!AO209</f>
        <v>0.69542897729999997</v>
      </c>
    </row>
    <row r="483" spans="1:38" x14ac:dyDescent="0.35">
      <c r="B483" s="3" t="str">
        <f>[1]Results!E212</f>
        <v>YG_toe_cfut_2</v>
      </c>
      <c r="C483" s="3">
        <f>[1]Results!F212</f>
        <v>42.288296580000001</v>
      </c>
      <c r="D483" s="3">
        <f>[1]Results!G212</f>
        <v>42.459370669999998</v>
      </c>
      <c r="E483" s="3">
        <f>[1]Results!H212</f>
        <v>42.595230090000001</v>
      </c>
      <c r="F483" s="3">
        <f>[1]Results!I212</f>
        <v>42.759564740000002</v>
      </c>
      <c r="G483" s="3">
        <f>[1]Results!J212</f>
        <v>43.026380330000002</v>
      </c>
      <c r="H483" s="3">
        <f>[1]Results!K212</f>
        <v>43.385579499999999</v>
      </c>
      <c r="I483" s="3">
        <f>[1]Results!L212</f>
        <v>43.807511980000001</v>
      </c>
      <c r="J483" s="3">
        <f>[1]Results!M212</f>
        <v>44.524592900000002</v>
      </c>
      <c r="K483" s="3">
        <f>[1]Results!N212</f>
        <v>45.282093789999998</v>
      </c>
      <c r="L483" s="3">
        <f>[1]Results!O212</f>
        <v>46.141237869999998</v>
      </c>
      <c r="M483" s="3">
        <f>[1]Results!P212</f>
        <v>47.057294040000002</v>
      </c>
      <c r="N483" s="3">
        <f>[1]Results!Q212</f>
        <v>48.050346179999998</v>
      </c>
      <c r="O483" s="3">
        <f>[1]Results!R212</f>
        <v>49.10345229</v>
      </c>
      <c r="P483" s="3">
        <f>[1]Results!S212</f>
        <v>50.194146760000002</v>
      </c>
      <c r="Q483" s="3">
        <f>[1]Results!T212</f>
        <v>51.325417530000003</v>
      </c>
      <c r="R483" s="3">
        <f>[1]Results!U212</f>
        <v>52.500103420000002</v>
      </c>
      <c r="S483" s="3">
        <f>[1]Results!V212</f>
        <v>53.69845883</v>
      </c>
      <c r="T483" s="3">
        <f>[1]Results!W212</f>
        <v>54.9321178</v>
      </c>
      <c r="U483" s="3">
        <f>[1]Results!X212</f>
        <v>56.214132249999999</v>
      </c>
      <c r="V483" s="3">
        <f>[1]Results!Y212</f>
        <v>57.555484290000003</v>
      </c>
      <c r="W483" s="3">
        <f>[1]Results!Z212</f>
        <v>58.960530329999997</v>
      </c>
      <c r="X483" s="3">
        <f>[1]Results!AA212</f>
        <v>60.447985969999998</v>
      </c>
      <c r="Y483" s="3">
        <f>[1]Results!AB212</f>
        <v>62.030220829999998</v>
      </c>
      <c r="Z483" s="3">
        <f>[1]Results!AC212</f>
        <v>63.71830069</v>
      </c>
      <c r="AA483" s="3">
        <f>[1]Results!AD212</f>
        <v>65.521392969999994</v>
      </c>
      <c r="AB483" s="3">
        <f>[1]Results!AE212</f>
        <v>67.430282349999999</v>
      </c>
      <c r="AC483" s="3">
        <f>[1]Results!AF212</f>
        <v>69.473645790000006</v>
      </c>
      <c r="AD483" s="3">
        <f>[1]Results!AG212</f>
        <v>71.671573370000004</v>
      </c>
      <c r="AE483" s="3">
        <f>[1]Results!AH212</f>
        <v>74.041306500000005</v>
      </c>
      <c r="AF483" s="3">
        <f>[1]Results!AI212</f>
        <v>76.594354480000007</v>
      </c>
      <c r="AG483" s="3">
        <f>[1]Results!AJ212</f>
        <v>79.340131979999995</v>
      </c>
      <c r="AH483" s="3">
        <f>[1]Results!AK212</f>
        <v>82.292869440000004</v>
      </c>
      <c r="AI483" s="3">
        <f>[1]Results!AL212</f>
        <v>85.474434799999997</v>
      </c>
      <c r="AJ483" s="3">
        <f>[1]Results!AM212</f>
        <v>88.914291759999998</v>
      </c>
      <c r="AK483" s="3">
        <f>[1]Results!AN212</f>
        <v>92.655210089999997</v>
      </c>
      <c r="AL483" s="3">
        <f>[1]Results!AO212</f>
        <v>96.763633470000002</v>
      </c>
    </row>
    <row r="484" spans="1:38" x14ac:dyDescent="0.35">
      <c r="B484" s="3" t="str">
        <f>[1]Results!E215</f>
        <v>YG_toe_cfuh_2</v>
      </c>
      <c r="C484" s="3">
        <f>[1]Results!F215</f>
        <v>7.921345187</v>
      </c>
      <c r="D484" s="3">
        <f>[1]Results!G215</f>
        <v>7.9566753810000002</v>
      </c>
      <c r="E484" s="3">
        <f>[1]Results!H215</f>
        <v>7.9842468289999999</v>
      </c>
      <c r="F484" s="3">
        <f>[1]Results!I215</f>
        <v>8.0057627660000001</v>
      </c>
      <c r="G484" s="3">
        <f>[1]Results!J215</f>
        <v>8.0438682769999996</v>
      </c>
      <c r="H484" s="3">
        <f>[1]Results!K215</f>
        <v>8.0960920289999994</v>
      </c>
      <c r="I484" s="3">
        <f>[1]Results!L215</f>
        <v>8.1549256719999992</v>
      </c>
      <c r="J484" s="3">
        <f>[1]Results!M215</f>
        <v>7.8640699500000002</v>
      </c>
      <c r="K484" s="3">
        <f>[1]Results!N215</f>
        <v>7.5529568490000001</v>
      </c>
      <c r="L484" s="3">
        <f>[1]Results!O215</f>
        <v>7.2456215850000003</v>
      </c>
      <c r="M484" s="3">
        <f>[1]Results!P215</f>
        <v>6.9360721889999999</v>
      </c>
      <c r="N484" s="3">
        <f>[1]Results!Q215</f>
        <v>6.6352444799999999</v>
      </c>
      <c r="O484" s="3">
        <f>[1]Results!R215</f>
        <v>6.3447464140000003</v>
      </c>
      <c r="P484" s="3">
        <f>[1]Results!S215</f>
        <v>6.0637860229999996</v>
      </c>
      <c r="Q484" s="3">
        <f>[1]Results!T215</f>
        <v>5.7937783390000002</v>
      </c>
      <c r="R484" s="3">
        <f>[1]Results!U215</f>
        <v>5.5342862860000004</v>
      </c>
      <c r="S484" s="3">
        <f>[1]Results!V215</f>
        <v>5.2813279880000001</v>
      </c>
      <c r="T484" s="3">
        <f>[1]Results!W215</f>
        <v>5.0339838439999998</v>
      </c>
      <c r="U484" s="3">
        <f>[1]Results!X215</f>
        <v>4.7915998530000001</v>
      </c>
      <c r="V484" s="3">
        <f>[1]Results!Y215</f>
        <v>4.5536009569999996</v>
      </c>
      <c r="W484" s="3">
        <f>[1]Results!Z215</f>
        <v>4.3183892760000004</v>
      </c>
      <c r="X484" s="3">
        <f>[1]Results!AA215</f>
        <v>4.0873924539999997</v>
      </c>
      <c r="Y484" s="3">
        <f>[1]Results!AB215</f>
        <v>3.859540188</v>
      </c>
      <c r="Z484" s="3">
        <f>[1]Results!AC215</f>
        <v>3.6338629130000002</v>
      </c>
      <c r="AA484" s="3">
        <f>[1]Results!AD215</f>
        <v>3.409149754</v>
      </c>
      <c r="AB484" s="3">
        <f>[1]Results!AE215</f>
        <v>3.1816990199999999</v>
      </c>
      <c r="AC484" s="3">
        <f>[1]Results!AF215</f>
        <v>2.9529886329999999</v>
      </c>
      <c r="AD484" s="3">
        <f>[1]Results!AG215</f>
        <v>2.721670772</v>
      </c>
      <c r="AE484" s="3">
        <f>[1]Results!AH215</f>
        <v>2.4861230070000002</v>
      </c>
      <c r="AF484" s="3">
        <f>[1]Results!AI215</f>
        <v>2.2442748789999998</v>
      </c>
      <c r="AG484" s="3">
        <f>[1]Results!AJ215</f>
        <v>1.993923326</v>
      </c>
      <c r="AH484" s="3">
        <f>[1]Results!AK215</f>
        <v>1.732987198</v>
      </c>
      <c r="AI484" s="3">
        <f>[1]Results!AL215</f>
        <v>1.4594827889999999</v>
      </c>
      <c r="AJ484" s="3">
        <f>[1]Results!AM215</f>
        <v>1.171374014</v>
      </c>
      <c r="AK484" s="3">
        <f>[1]Results!AN215</f>
        <v>0.86641248999999998</v>
      </c>
      <c r="AL484" s="3">
        <f>[1]Results!AO215</f>
        <v>0.54188645260000001</v>
      </c>
    </row>
    <row r="485" spans="1:38" x14ac:dyDescent="0.35">
      <c r="B485" s="3" t="str">
        <f>[1]Results!E217</f>
        <v>YG_toe_cgas_2</v>
      </c>
      <c r="C485" s="3">
        <f>[1]Results!F217</f>
        <v>6.6386592799999997</v>
      </c>
      <c r="D485" s="3">
        <f>[1]Results!G217</f>
        <v>6.5613082619999998</v>
      </c>
      <c r="E485" s="3">
        <f>[1]Results!H217</f>
        <v>6.5090563689999996</v>
      </c>
      <c r="F485" s="3">
        <f>[1]Results!I217</f>
        <v>6.462288</v>
      </c>
      <c r="G485" s="3">
        <f>[1]Results!J217</f>
        <v>6.4606659000000004</v>
      </c>
      <c r="H485" s="3">
        <f>[1]Results!K217</f>
        <v>6.4694575309999998</v>
      </c>
      <c r="I485" s="3">
        <f>[1]Results!L217</f>
        <v>6.4718945720000001</v>
      </c>
      <c r="J485" s="3">
        <f>[1]Results!M217</f>
        <v>6.3101835980000001</v>
      </c>
      <c r="K485" s="3">
        <f>[1]Results!N217</f>
        <v>6.2069291590000004</v>
      </c>
      <c r="L485" s="3">
        <f>[1]Results!O217</f>
        <v>6.1092080409999996</v>
      </c>
      <c r="M485" s="3">
        <f>[1]Results!P217</f>
        <v>6.0303635419999999</v>
      </c>
      <c r="N485" s="3">
        <f>[1]Results!Q217</f>
        <v>5.9797978819999997</v>
      </c>
      <c r="O485" s="3">
        <f>[1]Results!R217</f>
        <v>5.9365090519999999</v>
      </c>
      <c r="P485" s="3">
        <f>[1]Results!S217</f>
        <v>5.8967629749999997</v>
      </c>
      <c r="Q485" s="3">
        <f>[1]Results!T217</f>
        <v>5.853823083</v>
      </c>
      <c r="R485" s="3">
        <f>[1]Results!U217</f>
        <v>5.8048490160000004</v>
      </c>
      <c r="S485" s="3">
        <f>[1]Results!V217</f>
        <v>5.7417925570000001</v>
      </c>
      <c r="T485" s="3">
        <f>[1]Results!W217</f>
        <v>5.6716238089999997</v>
      </c>
      <c r="U485" s="3">
        <f>[1]Results!X217</f>
        <v>5.5944502250000001</v>
      </c>
      <c r="V485" s="3">
        <f>[1]Results!Y217</f>
        <v>5.5089276659999999</v>
      </c>
      <c r="W485" s="3">
        <f>[1]Results!Z217</f>
        <v>5.4125893129999998</v>
      </c>
      <c r="X485" s="3">
        <f>[1]Results!AA217</f>
        <v>5.3050302260000004</v>
      </c>
      <c r="Y485" s="3">
        <f>[1]Results!AB217</f>
        <v>5.1820131839999997</v>
      </c>
      <c r="Z485" s="3">
        <f>[1]Results!AC217</f>
        <v>5.0408388860000004</v>
      </c>
      <c r="AA485" s="3">
        <f>[1]Results!AD217</f>
        <v>4.8804403709999997</v>
      </c>
      <c r="AB485" s="3">
        <f>[1]Results!AE217</f>
        <v>4.6981407639999997</v>
      </c>
      <c r="AC485" s="3">
        <f>[1]Results!AF217</f>
        <v>4.4944795490000002</v>
      </c>
      <c r="AD485" s="3">
        <f>[1]Results!AG217</f>
        <v>4.2654891130000001</v>
      </c>
      <c r="AE485" s="3">
        <f>[1]Results!AH217</f>
        <v>4.0082524849999999</v>
      </c>
      <c r="AF485" s="3">
        <f>[1]Results!AI217</f>
        <v>3.7210820889999998</v>
      </c>
      <c r="AG485" s="3">
        <f>[1]Results!AJ217</f>
        <v>3.4019029930000002</v>
      </c>
      <c r="AH485" s="3">
        <f>[1]Results!AK217</f>
        <v>3.0462634419999999</v>
      </c>
      <c r="AI485" s="3">
        <f>[1]Results!AL217</f>
        <v>2.6466469369999999</v>
      </c>
      <c r="AJ485" s="3">
        <f>[1]Results!AM217</f>
        <v>2.1921732230000002</v>
      </c>
      <c r="AK485" s="3">
        <f>[1]Results!AN217</f>
        <v>1.6665323400000001</v>
      </c>
      <c r="AL485" s="3">
        <f>[1]Results!AO217</f>
        <v>1.044249175</v>
      </c>
    </row>
    <row r="486" spans="1:38" x14ac:dyDescent="0.35">
      <c r="B486" s="3" t="str">
        <f>[1]Results!E223</f>
        <v>YG_toe_cele_2</v>
      </c>
      <c r="C486" s="3">
        <f>[1]Results!F223</f>
        <v>57.5470325</v>
      </c>
      <c r="D486" s="3">
        <f>[1]Results!G223</f>
        <v>58.27871442</v>
      </c>
      <c r="E486" s="3">
        <f>[1]Results!H223</f>
        <v>58.928756419999999</v>
      </c>
      <c r="F486" s="3">
        <f>[1]Results!I223</f>
        <v>59.618527010000001</v>
      </c>
      <c r="G486" s="3">
        <f>[1]Results!J223</f>
        <v>60.223700309999998</v>
      </c>
      <c r="H486" s="3">
        <f>[1]Results!K223</f>
        <v>60.836327689999997</v>
      </c>
      <c r="I486" s="3">
        <f>[1]Results!L223</f>
        <v>61.478479280000002</v>
      </c>
      <c r="J486" s="3">
        <f>[1]Results!M223</f>
        <v>63.658882640000002</v>
      </c>
      <c r="K486" s="3">
        <f>[1]Results!N223</f>
        <v>66.071160730000003</v>
      </c>
      <c r="L486" s="3">
        <f>[1]Results!O223</f>
        <v>68.8830308</v>
      </c>
      <c r="M486" s="3">
        <f>[1]Results!P223</f>
        <v>71.768722620000005</v>
      </c>
      <c r="N486" s="3">
        <f>[1]Results!Q223</f>
        <v>74.490004369999994</v>
      </c>
      <c r="O486" s="3">
        <f>[1]Results!R223</f>
        <v>77.128761870000005</v>
      </c>
      <c r="P486" s="3">
        <f>[1]Results!S223</f>
        <v>79.727836280000005</v>
      </c>
      <c r="Q486" s="3">
        <f>[1]Results!T223</f>
        <v>82.416769220000006</v>
      </c>
      <c r="R486" s="3">
        <f>[1]Results!U223</f>
        <v>85.280086710000006</v>
      </c>
      <c r="S486" s="3">
        <f>[1]Results!V223</f>
        <v>88.281071949999998</v>
      </c>
      <c r="T486" s="3">
        <f>[1]Results!W223</f>
        <v>91.578671749999998</v>
      </c>
      <c r="U486" s="3">
        <f>[1]Results!X223</f>
        <v>95.207780209999996</v>
      </c>
      <c r="V486" s="3">
        <f>[1]Results!Y223</f>
        <v>99.219075630000006</v>
      </c>
      <c r="W486" s="3">
        <f>[1]Results!Z223</f>
        <v>103.6615905</v>
      </c>
      <c r="X486" s="3">
        <f>[1]Results!AA223</f>
        <v>108.6572498</v>
      </c>
      <c r="Y486" s="3">
        <f>[1]Results!AB223</f>
        <v>114.3151506</v>
      </c>
      <c r="Z486" s="3">
        <f>[1]Results!AC223</f>
        <v>120.74936750000001</v>
      </c>
      <c r="AA486" s="3">
        <f>[1]Results!AD223</f>
        <v>128.08516560000001</v>
      </c>
      <c r="AB486" s="3">
        <f>[1]Results!AE223</f>
        <v>136.39930330000001</v>
      </c>
      <c r="AC486" s="3">
        <f>[1]Results!AF223</f>
        <v>146.02743559999999</v>
      </c>
      <c r="AD486" s="3">
        <f>[1]Results!AG223</f>
        <v>157.21991610000001</v>
      </c>
      <c r="AE486" s="3">
        <f>[1]Results!AH223</f>
        <v>170.29553780000001</v>
      </c>
      <c r="AF486" s="3">
        <f>[1]Results!AI223</f>
        <v>185.6185074</v>
      </c>
      <c r="AG486" s="3">
        <f>[1]Results!AJ223</f>
        <v>203.6524096</v>
      </c>
      <c r="AH486" s="3">
        <f>[1]Results!AK223</f>
        <v>225.05215759999999</v>
      </c>
      <c r="AI486" s="3">
        <f>[1]Results!AL223</f>
        <v>250.75258149999999</v>
      </c>
      <c r="AJ486" s="3">
        <f>[1]Results!AM223</f>
        <v>282.07389449999999</v>
      </c>
      <c r="AK486" s="3">
        <f>[1]Results!AN223</f>
        <v>320.95435750000001</v>
      </c>
      <c r="AL486" s="3">
        <f>[1]Results!AO223</f>
        <v>370.35647599999999</v>
      </c>
    </row>
    <row r="487" spans="1:38" x14ac:dyDescent="0.35">
      <c r="B487" s="3" t="s">
        <v>75</v>
      </c>
      <c r="C487" s="3">
        <f>SUM(C488:C490)</f>
        <v>30.701881367999999</v>
      </c>
      <c r="D487" s="3">
        <f t="shared" ref="D487:AL487" si="105">SUM(D488:D490)</f>
        <v>30.941566084000002</v>
      </c>
      <c r="E487" s="3">
        <f t="shared" si="105"/>
        <v>31.174793241000003</v>
      </c>
      <c r="F487" s="3">
        <f t="shared" si="105"/>
        <v>31.398047365</v>
      </c>
      <c r="G487" s="3">
        <f t="shared" si="105"/>
        <v>31.675959872</v>
      </c>
      <c r="H487" s="3">
        <f t="shared" si="105"/>
        <v>32.004074344000003</v>
      </c>
      <c r="I487" s="3">
        <f t="shared" si="105"/>
        <v>32.364482969000001</v>
      </c>
      <c r="J487" s="3">
        <f t="shared" si="105"/>
        <v>32.468643012000001</v>
      </c>
      <c r="K487" s="3">
        <f t="shared" si="105"/>
        <v>32.542447119000002</v>
      </c>
      <c r="L487" s="3">
        <f t="shared" si="105"/>
        <v>32.798573443000002</v>
      </c>
      <c r="M487" s="3">
        <f t="shared" si="105"/>
        <v>33.065134431999994</v>
      </c>
      <c r="N487" s="3">
        <f t="shared" si="105"/>
        <v>33.336378519999997</v>
      </c>
      <c r="O487" s="3">
        <f t="shared" si="105"/>
        <v>33.598644925999999</v>
      </c>
      <c r="P487" s="3">
        <f t="shared" si="105"/>
        <v>33.836157999999998</v>
      </c>
      <c r="Q487" s="3">
        <f t="shared" si="105"/>
        <v>34.090644949999998</v>
      </c>
      <c r="R487" s="3">
        <f t="shared" si="105"/>
        <v>34.382651729999999</v>
      </c>
      <c r="S487" s="3">
        <f t="shared" si="105"/>
        <v>34.611506374999998</v>
      </c>
      <c r="T487" s="3">
        <f t="shared" si="105"/>
        <v>34.869606967999999</v>
      </c>
      <c r="U487" s="3">
        <f t="shared" si="105"/>
        <v>35.167441335999996</v>
      </c>
      <c r="V487" s="3">
        <f t="shared" si="105"/>
        <v>35.513068536999995</v>
      </c>
      <c r="W487" s="3">
        <f t="shared" si="105"/>
        <v>35.905413455999998</v>
      </c>
      <c r="X487" s="3">
        <f t="shared" si="105"/>
        <v>36.369932718000001</v>
      </c>
      <c r="Y487" s="3">
        <f t="shared" si="105"/>
        <v>36.916249198000003</v>
      </c>
      <c r="Z487" s="3">
        <f t="shared" si="105"/>
        <v>37.551971922999996</v>
      </c>
      <c r="AA487" s="3">
        <f t="shared" si="105"/>
        <v>38.281898957999999</v>
      </c>
      <c r="AB487" s="3">
        <f t="shared" si="105"/>
        <v>39.083603776000004</v>
      </c>
      <c r="AC487" s="3">
        <f t="shared" si="105"/>
        <v>40.026451965000007</v>
      </c>
      <c r="AD487" s="3">
        <f t="shared" si="105"/>
        <v>41.104423660999998</v>
      </c>
      <c r="AE487" s="3">
        <f t="shared" si="105"/>
        <v>42.330548665999999</v>
      </c>
      <c r="AF487" s="3">
        <f t="shared" si="105"/>
        <v>43.709319626999999</v>
      </c>
      <c r="AG487" s="3">
        <f t="shared" si="105"/>
        <v>45.245677025999996</v>
      </c>
      <c r="AH487" s="3">
        <f t="shared" si="105"/>
        <v>46.955799143</v>
      </c>
      <c r="AI487" s="3">
        <f t="shared" si="105"/>
        <v>48.869811232999993</v>
      </c>
      <c r="AJ487" s="3">
        <f t="shared" si="105"/>
        <v>51.033178777000003</v>
      </c>
      <c r="AK487" s="3">
        <f t="shared" si="105"/>
        <v>53.515520107</v>
      </c>
      <c r="AL487" s="3">
        <f t="shared" si="105"/>
        <v>56.425365096999997</v>
      </c>
    </row>
    <row r="488" spans="1:38" x14ac:dyDescent="0.35">
      <c r="B488" s="3" t="str">
        <f>[1]Results!E233</f>
        <v>YG_toe_chea_2</v>
      </c>
      <c r="C488" s="3">
        <f>[1]Results!F233</f>
        <v>5.7001631780000004</v>
      </c>
      <c r="D488" s="3">
        <f>[1]Results!G233</f>
        <v>5.7535772039999999</v>
      </c>
      <c r="E488" s="3">
        <f>[1]Results!H233</f>
        <v>5.8050982810000002</v>
      </c>
      <c r="F488" s="3">
        <f>[1]Results!I233</f>
        <v>5.8529118149999997</v>
      </c>
      <c r="G488" s="3">
        <f>[1]Results!J233</f>
        <v>5.9032649419999998</v>
      </c>
      <c r="H488" s="3">
        <f>[1]Results!K233</f>
        <v>5.9620159140000002</v>
      </c>
      <c r="I488" s="3">
        <f>[1]Results!L233</f>
        <v>6.0252490590000001</v>
      </c>
      <c r="J488" s="3">
        <f>[1]Results!M233</f>
        <v>6.060142022</v>
      </c>
      <c r="K488" s="3">
        <f>[1]Results!N233</f>
        <v>6.0806621290000002</v>
      </c>
      <c r="L488" s="3">
        <f>[1]Results!O233</f>
        <v>6.124091913</v>
      </c>
      <c r="M488" s="3">
        <f>[1]Results!P233</f>
        <v>6.1915866519999998</v>
      </c>
      <c r="N488" s="3">
        <f>[1]Results!Q233</f>
        <v>6.2683687299999997</v>
      </c>
      <c r="O488" s="3">
        <f>[1]Results!R233</f>
        <v>6.3532678259999997</v>
      </c>
      <c r="P488" s="3">
        <f>[1]Results!S233</f>
        <v>6.4397286200000003</v>
      </c>
      <c r="Q488" s="3">
        <f>[1]Results!T233</f>
        <v>6.5258629099999999</v>
      </c>
      <c r="R488" s="3">
        <f>[1]Results!U233</f>
        <v>6.6109524899999998</v>
      </c>
      <c r="S488" s="3">
        <f>[1]Results!V233</f>
        <v>6.692051405</v>
      </c>
      <c r="T488" s="3">
        <f>[1]Results!W233</f>
        <v>6.7669852879999999</v>
      </c>
      <c r="U488" s="3">
        <f>[1]Results!X233</f>
        <v>6.837370656</v>
      </c>
      <c r="V488" s="3">
        <f>[1]Results!Y233</f>
        <v>6.9055455969999997</v>
      </c>
      <c r="W488" s="3">
        <f>[1]Results!Z233</f>
        <v>6.9693161860000004</v>
      </c>
      <c r="X488" s="3">
        <f>[1]Results!AA233</f>
        <v>7.0382845779999998</v>
      </c>
      <c r="Y488" s="3">
        <f>[1]Results!AB233</f>
        <v>7.1131617379999996</v>
      </c>
      <c r="Z488" s="3">
        <f>[1]Results!AC233</f>
        <v>7.195146373</v>
      </c>
      <c r="AA488" s="3">
        <f>[1]Results!AD233</f>
        <v>7.2854633880000002</v>
      </c>
      <c r="AB488" s="3">
        <f>[1]Results!AE233</f>
        <v>7.3726281460000003</v>
      </c>
      <c r="AC488" s="3">
        <f>[1]Results!AF233</f>
        <v>7.4725557550000001</v>
      </c>
      <c r="AD488" s="3">
        <f>[1]Results!AG233</f>
        <v>7.5862487109999996</v>
      </c>
      <c r="AE488" s="3">
        <f>[1]Results!AH233</f>
        <v>7.7144502360000002</v>
      </c>
      <c r="AF488" s="3">
        <f>[1]Results!AI233</f>
        <v>7.8571462570000001</v>
      </c>
      <c r="AG488" s="3">
        <f>[1]Results!AJ233</f>
        <v>8.0141320159999996</v>
      </c>
      <c r="AH488" s="3">
        <f>[1]Results!AK233</f>
        <v>8.1857142730000003</v>
      </c>
      <c r="AI488" s="3">
        <f>[1]Results!AL233</f>
        <v>8.3723067929999999</v>
      </c>
      <c r="AJ488" s="3">
        <f>[1]Results!AM233</f>
        <v>8.5747945170000008</v>
      </c>
      <c r="AK488" s="3">
        <f>[1]Results!AN233</f>
        <v>8.7950298569999994</v>
      </c>
      <c r="AL488" s="3">
        <f>[1]Results!AO233</f>
        <v>9.0361591370000003</v>
      </c>
    </row>
    <row r="489" spans="1:38" x14ac:dyDescent="0.35">
      <c r="B489" s="3" t="str">
        <f>[1]Results!E235</f>
        <v>YG_toe_cbio_2</v>
      </c>
      <c r="C489" s="3">
        <f>[1]Results!F235</f>
        <v>11.16413483</v>
      </c>
      <c r="D489" s="3">
        <f>[1]Results!G235</f>
        <v>11.140353360000001</v>
      </c>
      <c r="E489" s="3">
        <f>[1]Results!H235</f>
        <v>11.109803980000001</v>
      </c>
      <c r="F489" s="3">
        <f>[1]Results!I235</f>
        <v>11.07141039</v>
      </c>
      <c r="G489" s="3">
        <f>[1]Results!J235</f>
        <v>11.0682201</v>
      </c>
      <c r="H489" s="3">
        <f>[1]Results!K235</f>
        <v>11.0878982</v>
      </c>
      <c r="I489" s="3">
        <f>[1]Results!L235</f>
        <v>11.12005287</v>
      </c>
      <c r="J489" s="3">
        <f>[1]Results!M235</f>
        <v>11.05057622</v>
      </c>
      <c r="K489" s="3">
        <f>[1]Results!N235</f>
        <v>10.972639819999999</v>
      </c>
      <c r="L489" s="3">
        <f>[1]Results!O235</f>
        <v>10.895295669999999</v>
      </c>
      <c r="M489" s="3">
        <f>[1]Results!P235</f>
        <v>10.804116090000001</v>
      </c>
      <c r="N489" s="3">
        <f>[1]Results!Q235</f>
        <v>10.716722430000001</v>
      </c>
      <c r="O489" s="3">
        <f>[1]Results!R235</f>
        <v>10.63638871</v>
      </c>
      <c r="P489" s="3">
        <f>[1]Results!S235</f>
        <v>10.569040940000001</v>
      </c>
      <c r="Q489" s="3">
        <f>[1]Results!T235</f>
        <v>10.52380254</v>
      </c>
      <c r="R489" s="3">
        <f>[1]Results!U235</f>
        <v>10.5045676</v>
      </c>
      <c r="S489" s="3">
        <f>[1]Results!V235</f>
        <v>10.49451326</v>
      </c>
      <c r="T489" s="3">
        <f>[1]Results!W235</f>
        <v>10.50412972</v>
      </c>
      <c r="U489" s="3">
        <f>[1]Results!X235</f>
        <v>10.53496039</v>
      </c>
      <c r="V489" s="3">
        <f>[1]Results!Y235</f>
        <v>10.589113960000001</v>
      </c>
      <c r="W489" s="3">
        <f>[1]Results!Z235</f>
        <v>10.665652189999999</v>
      </c>
      <c r="X489" s="3">
        <f>[1]Results!AA235</f>
        <v>10.77452272</v>
      </c>
      <c r="Y489" s="3">
        <f>[1]Results!AB235</f>
        <v>10.91937349</v>
      </c>
      <c r="Z489" s="3">
        <f>[1]Results!AC235</f>
        <v>11.103914980000001</v>
      </c>
      <c r="AA489" s="3">
        <f>[1]Results!AD235</f>
        <v>11.33201083</v>
      </c>
      <c r="AB489" s="3">
        <f>[1]Results!AE235</f>
        <v>11.596716580000001</v>
      </c>
      <c r="AC489" s="3">
        <f>[1]Results!AF235</f>
        <v>11.91919042</v>
      </c>
      <c r="AD489" s="3">
        <f>[1]Results!AG235</f>
        <v>12.306376909999999</v>
      </c>
      <c r="AE489" s="3">
        <f>[1]Results!AH235</f>
        <v>12.76748971</v>
      </c>
      <c r="AF489" s="3">
        <f>[1]Results!AI235</f>
        <v>13.31220164</v>
      </c>
      <c r="AG489" s="3">
        <f>[1]Results!AJ235</f>
        <v>13.952699770000001</v>
      </c>
      <c r="AH489" s="3">
        <f>[1]Results!AK235</f>
        <v>14.707014819999999</v>
      </c>
      <c r="AI489" s="3">
        <f>[1]Results!AL235</f>
        <v>15.60166269</v>
      </c>
      <c r="AJ489" s="3">
        <f>[1]Results!AM235</f>
        <v>16.674731220000002</v>
      </c>
      <c r="AK489" s="3">
        <f>[1]Results!AN235</f>
        <v>17.98258594</v>
      </c>
      <c r="AL489" s="3">
        <f>[1]Results!AO235</f>
        <v>19.611117700000001</v>
      </c>
    </row>
    <row r="490" spans="1:38" x14ac:dyDescent="0.35">
      <c r="B490" s="3" t="str">
        <f>[1]Results!E238</f>
        <v>YG_toe_cote_2</v>
      </c>
      <c r="C490" s="3">
        <f>[1]Results!F238</f>
        <v>13.83758336</v>
      </c>
      <c r="D490" s="3">
        <f>[1]Results!G238</f>
        <v>14.04763552</v>
      </c>
      <c r="E490" s="3">
        <f>[1]Results!H238</f>
        <v>14.25989098</v>
      </c>
      <c r="F490" s="3">
        <f>[1]Results!I238</f>
        <v>14.473725160000001</v>
      </c>
      <c r="G490" s="3">
        <f>[1]Results!J238</f>
        <v>14.704474830000001</v>
      </c>
      <c r="H490" s="3">
        <f>[1]Results!K238</f>
        <v>14.954160229999999</v>
      </c>
      <c r="I490" s="3">
        <f>[1]Results!L238</f>
        <v>15.21918104</v>
      </c>
      <c r="J490" s="3">
        <f>[1]Results!M238</f>
        <v>15.35792477</v>
      </c>
      <c r="K490" s="3">
        <f>[1]Results!N238</f>
        <v>15.48914517</v>
      </c>
      <c r="L490" s="3">
        <f>[1]Results!O238</f>
        <v>15.77918586</v>
      </c>
      <c r="M490" s="3">
        <f>[1]Results!P238</f>
        <v>16.069431689999998</v>
      </c>
      <c r="N490" s="3">
        <f>[1]Results!Q238</f>
        <v>16.351287360000001</v>
      </c>
      <c r="O490" s="3">
        <f>[1]Results!R238</f>
        <v>16.60898839</v>
      </c>
      <c r="P490" s="3">
        <f>[1]Results!S238</f>
        <v>16.82738844</v>
      </c>
      <c r="Q490" s="3">
        <f>[1]Results!T238</f>
        <v>17.040979499999999</v>
      </c>
      <c r="R490" s="3">
        <f>[1]Results!U238</f>
        <v>17.267131639999999</v>
      </c>
      <c r="S490" s="3">
        <f>[1]Results!V238</f>
        <v>17.424941709999999</v>
      </c>
      <c r="T490" s="3">
        <f>[1]Results!W238</f>
        <v>17.59849196</v>
      </c>
      <c r="U490" s="3">
        <f>[1]Results!X238</f>
        <v>17.79511029</v>
      </c>
      <c r="V490" s="3">
        <f>[1]Results!Y238</f>
        <v>18.01840898</v>
      </c>
      <c r="W490" s="3">
        <f>[1]Results!Z238</f>
        <v>18.270445079999998</v>
      </c>
      <c r="X490" s="3">
        <f>[1]Results!AA238</f>
        <v>18.557125419999998</v>
      </c>
      <c r="Y490" s="3">
        <f>[1]Results!AB238</f>
        <v>18.883713969999999</v>
      </c>
      <c r="Z490" s="3">
        <f>[1]Results!AC238</f>
        <v>19.252910570000001</v>
      </c>
      <c r="AA490" s="3">
        <f>[1]Results!AD238</f>
        <v>19.664424740000001</v>
      </c>
      <c r="AB490" s="3">
        <f>[1]Results!AE238</f>
        <v>20.114259050000001</v>
      </c>
      <c r="AC490" s="3">
        <f>[1]Results!AF238</f>
        <v>20.634705790000002</v>
      </c>
      <c r="AD490" s="3">
        <f>[1]Results!AG238</f>
        <v>21.211798040000001</v>
      </c>
      <c r="AE490" s="3">
        <f>[1]Results!AH238</f>
        <v>21.848608720000001</v>
      </c>
      <c r="AF490" s="3">
        <f>[1]Results!AI238</f>
        <v>22.539971730000001</v>
      </c>
      <c r="AG490" s="3">
        <f>[1]Results!AJ238</f>
        <v>23.278845239999999</v>
      </c>
      <c r="AH490" s="3">
        <f>[1]Results!AK238</f>
        <v>24.06307005</v>
      </c>
      <c r="AI490" s="3">
        <f>[1]Results!AL238</f>
        <v>24.895841749999999</v>
      </c>
      <c r="AJ490" s="3">
        <f>[1]Results!AM238</f>
        <v>25.783653040000001</v>
      </c>
      <c r="AK490" s="3">
        <f>[1]Results!AN238</f>
        <v>26.737904310000001</v>
      </c>
      <c r="AL490" s="3">
        <f>[1]Results!AO238</f>
        <v>27.778088260000001</v>
      </c>
    </row>
    <row r="491" spans="1:3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1:38" x14ac:dyDescent="0.35">
      <c r="A492" s="12" t="s">
        <v>94</v>
      </c>
      <c r="B492" s="3" t="str">
        <f>[1]Results!E241</f>
        <v>YG_toe_0</v>
      </c>
      <c r="C492" s="3">
        <f>[1]Results!F241</f>
        <v>148.56082459999999</v>
      </c>
      <c r="D492" s="3">
        <f>[1]Results!G241</f>
        <v>149.6696264</v>
      </c>
      <c r="E492" s="3">
        <f>[1]Results!H241</f>
        <v>150.66913790000001</v>
      </c>
      <c r="F492" s="3">
        <f>[1]Results!I241</f>
        <v>151.72016339999999</v>
      </c>
      <c r="G492" s="3">
        <f>[1]Results!J241</f>
        <v>152.92184700000001</v>
      </c>
      <c r="H492" s="3">
        <f>[1]Results!K241</f>
        <v>154.3115316</v>
      </c>
      <c r="I492" s="3">
        <f>[1]Results!L241</f>
        <v>155.81162470000001</v>
      </c>
      <c r="J492" s="3">
        <f>[1]Results!M241</f>
        <v>157.3833592</v>
      </c>
      <c r="K492" s="3">
        <f>[1]Results!N241</f>
        <v>158.99627649999999</v>
      </c>
      <c r="L492" s="3">
        <f>[1]Results!O241</f>
        <v>160.6343234</v>
      </c>
      <c r="M492" s="3">
        <f>[1]Results!P241</f>
        <v>162.3442216</v>
      </c>
      <c r="N492" s="3">
        <f>[1]Results!Q241</f>
        <v>164.04524190000001</v>
      </c>
      <c r="O492" s="3">
        <f>[1]Results!R241</f>
        <v>165.70192639999999</v>
      </c>
      <c r="P492" s="3">
        <f>[1]Results!S241</f>
        <v>167.22253850000001</v>
      </c>
      <c r="Q492" s="3">
        <f>[1]Results!T241</f>
        <v>168.65807789999999</v>
      </c>
      <c r="R492" s="3">
        <f>[1]Results!U241</f>
        <v>170.0677584</v>
      </c>
      <c r="S492" s="3">
        <f>[1]Results!V241</f>
        <v>171.52803750000001</v>
      </c>
      <c r="T492" s="3">
        <f>[1]Results!W241</f>
        <v>173.11371729999999</v>
      </c>
      <c r="U492" s="3">
        <f>[1]Results!X241</f>
        <v>174.87131539999999</v>
      </c>
      <c r="V492" s="3">
        <f>[1]Results!Y241</f>
        <v>176.82196930000001</v>
      </c>
      <c r="W492" s="3">
        <f>[1]Results!Z241</f>
        <v>178.94755509999999</v>
      </c>
      <c r="X492" s="3">
        <f>[1]Results!AA241</f>
        <v>181.31247619999999</v>
      </c>
      <c r="Y492" s="3">
        <f>[1]Results!AB241</f>
        <v>183.93442590000001</v>
      </c>
      <c r="Z492" s="3">
        <f>[1]Results!AC241</f>
        <v>186.82847609999999</v>
      </c>
      <c r="AA492" s="3">
        <f>[1]Results!AD241</f>
        <v>189.99401330000001</v>
      </c>
      <c r="AB492" s="3">
        <f>[1]Results!AE241</f>
        <v>193.32934080000001</v>
      </c>
      <c r="AC492" s="3">
        <f>[1]Results!AF241</f>
        <v>196.93440140000001</v>
      </c>
      <c r="AD492" s="3">
        <f>[1]Results!AG241</f>
        <v>200.82152719999999</v>
      </c>
      <c r="AE492" s="3">
        <f>[1]Results!AH241</f>
        <v>204.98961869999999</v>
      </c>
      <c r="AF492" s="3">
        <f>[1]Results!AI241</f>
        <v>209.39775890000001</v>
      </c>
      <c r="AG492" s="3">
        <f>[1]Results!AJ241</f>
        <v>213.9873681</v>
      </c>
      <c r="AH492" s="3">
        <f>[1]Results!AK241</f>
        <v>218.7063958</v>
      </c>
      <c r="AI492" s="3">
        <f>[1]Results!AL241</f>
        <v>223.51360629999999</v>
      </c>
      <c r="AJ492" s="3">
        <f>[1]Results!AM241</f>
        <v>228.37213740000001</v>
      </c>
      <c r="AK492" s="3">
        <f>[1]Results!AN241</f>
        <v>233.24661889999999</v>
      </c>
      <c r="AL492" s="3">
        <f>[1]Results!AO241</f>
        <v>238.10204540000001</v>
      </c>
    </row>
    <row r="493" spans="1:38" x14ac:dyDescent="0.35">
      <c r="A493" t="s">
        <v>38</v>
      </c>
      <c r="B493" s="3" t="str">
        <f>[1]Results!E242</f>
        <v>YG_toe_ccoa_0</v>
      </c>
      <c r="C493" s="3">
        <f>[1]Results!F242</f>
        <v>2.3689359379999999</v>
      </c>
      <c r="D493" s="3">
        <f>[1]Results!G242</f>
        <v>2.3707003879999999</v>
      </c>
      <c r="E493" s="3">
        <f>[1]Results!H242</f>
        <v>2.3703505539999998</v>
      </c>
      <c r="F493" s="3">
        <f>[1]Results!I242</f>
        <v>2.3635460699999999</v>
      </c>
      <c r="G493" s="3">
        <f>[1]Results!J242</f>
        <v>2.3708652940000001</v>
      </c>
      <c r="H493" s="3">
        <f>[1]Results!K242</f>
        <v>2.3892946720000001</v>
      </c>
      <c r="I493" s="3">
        <f>[1]Results!L242</f>
        <v>2.4113444030000002</v>
      </c>
      <c r="J493" s="3">
        <f>[1]Results!M242</f>
        <v>2.4334552110000001</v>
      </c>
      <c r="K493" s="3">
        <f>[1]Results!N242</f>
        <v>2.454480362</v>
      </c>
      <c r="L493" s="3">
        <f>[1]Results!O242</f>
        <v>2.474632459</v>
      </c>
      <c r="M493" s="3">
        <f>[1]Results!P242</f>
        <v>2.494680003</v>
      </c>
      <c r="N493" s="3">
        <f>[1]Results!Q242</f>
        <v>2.5148762960000002</v>
      </c>
      <c r="O493" s="3">
        <f>[1]Results!R242</f>
        <v>2.5344621049999998</v>
      </c>
      <c r="P493" s="3">
        <f>[1]Results!S242</f>
        <v>2.5512063380000001</v>
      </c>
      <c r="Q493" s="3">
        <f>[1]Results!T242</f>
        <v>2.5664506070000002</v>
      </c>
      <c r="R493" s="3">
        <f>[1]Results!U242</f>
        <v>2.5817674629999998</v>
      </c>
      <c r="S493" s="3">
        <f>[1]Results!V242</f>
        <v>2.6022157250000002</v>
      </c>
      <c r="T493" s="3">
        <f>[1]Results!W242</f>
        <v>2.6294474669999999</v>
      </c>
      <c r="U493" s="3">
        <f>[1]Results!X242</f>
        <v>2.6637798890000002</v>
      </c>
      <c r="V493" s="3">
        <f>[1]Results!Y242</f>
        <v>2.704761231</v>
      </c>
      <c r="W493" s="3">
        <f>[1]Results!Z242</f>
        <v>2.7517447869999998</v>
      </c>
      <c r="X493" s="3">
        <f>[1]Results!AA242</f>
        <v>2.8044333460000002</v>
      </c>
      <c r="Y493" s="3">
        <f>[1]Results!AB242</f>
        <v>2.8628100719999998</v>
      </c>
      <c r="Z493" s="3">
        <f>[1]Results!AC242</f>
        <v>2.9267845640000001</v>
      </c>
      <c r="AA493" s="3">
        <f>[1]Results!AD242</f>
        <v>2.9960424790000002</v>
      </c>
      <c r="AB493" s="3">
        <f>[1]Results!AE242</f>
        <v>3.0699681239999999</v>
      </c>
      <c r="AC493" s="3">
        <f>[1]Results!AF242</f>
        <v>3.1487885850000001</v>
      </c>
      <c r="AD493" s="3">
        <f>[1]Results!AG242</f>
        <v>3.232997568</v>
      </c>
      <c r="AE493" s="3">
        <f>[1]Results!AH242</f>
        <v>3.322730328</v>
      </c>
      <c r="AF493" s="3">
        <f>[1]Results!AI242</f>
        <v>3.4171938850000001</v>
      </c>
      <c r="AG493" s="3">
        <f>[1]Results!AJ242</f>
        <v>3.5151863470000002</v>
      </c>
      <c r="AH493" s="3">
        <f>[1]Results!AK242</f>
        <v>3.6157265010000001</v>
      </c>
      <c r="AI493" s="3">
        <f>[1]Results!AL242</f>
        <v>3.7181462519999999</v>
      </c>
      <c r="AJ493" s="3">
        <f>[1]Results!AM242</f>
        <v>3.821890561</v>
      </c>
      <c r="AK493" s="3">
        <f>[1]Results!AN242</f>
        <v>3.9264091990000001</v>
      </c>
      <c r="AL493" s="3">
        <f>[1]Results!AO242</f>
        <v>4.0311098259999998</v>
      </c>
    </row>
    <row r="494" spans="1:38" x14ac:dyDescent="0.35">
      <c r="B494" s="3" t="s">
        <v>74</v>
      </c>
      <c r="C494" s="3">
        <f>SUM(C495:C497)</f>
        <v>51.304317161</v>
      </c>
      <c r="D494" s="3">
        <f t="shared" ref="D494:AL494" si="106">SUM(D495:D497)</f>
        <v>51.517338871999996</v>
      </c>
      <c r="E494" s="3">
        <f t="shared" si="106"/>
        <v>51.686182940999998</v>
      </c>
      <c r="F494" s="3">
        <f t="shared" si="106"/>
        <v>51.877756516000005</v>
      </c>
      <c r="G494" s="3">
        <f t="shared" si="106"/>
        <v>52.190657227999999</v>
      </c>
      <c r="H494" s="3">
        <f t="shared" si="106"/>
        <v>52.612378960000001</v>
      </c>
      <c r="I494" s="3">
        <f t="shared" si="106"/>
        <v>53.089735228999999</v>
      </c>
      <c r="J494" s="3">
        <f t="shared" si="106"/>
        <v>53.586348743999999</v>
      </c>
      <c r="K494" s="3">
        <f t="shared" si="106"/>
        <v>54.085941955999999</v>
      </c>
      <c r="L494" s="3">
        <f t="shared" si="106"/>
        <v>54.584672652999998</v>
      </c>
      <c r="M494" s="3">
        <f t="shared" si="106"/>
        <v>55.095878677999998</v>
      </c>
      <c r="N494" s="3">
        <f t="shared" si="106"/>
        <v>55.605922906999993</v>
      </c>
      <c r="O494" s="3">
        <f t="shared" si="106"/>
        <v>56.109592305</v>
      </c>
      <c r="P494" s="3">
        <f t="shared" si="106"/>
        <v>56.587622779</v>
      </c>
      <c r="Q494" s="3">
        <f t="shared" si="106"/>
        <v>57.046898700999996</v>
      </c>
      <c r="R494" s="3">
        <f t="shared" si="106"/>
        <v>57.497754845000003</v>
      </c>
      <c r="S494" s="3">
        <f t="shared" si="106"/>
        <v>57.971876579000003</v>
      </c>
      <c r="T494" s="3">
        <f t="shared" si="106"/>
        <v>58.492296996999997</v>
      </c>
      <c r="U494" s="3">
        <f t="shared" si="106"/>
        <v>59.067506834</v>
      </c>
      <c r="V494" s="3">
        <f t="shared" si="106"/>
        <v>59.697939924000003</v>
      </c>
      <c r="W494" s="3">
        <f t="shared" si="106"/>
        <v>60.374528789000003</v>
      </c>
      <c r="X494" s="3">
        <f t="shared" si="106"/>
        <v>61.107931179999994</v>
      </c>
      <c r="Y494" s="3">
        <f t="shared" si="106"/>
        <v>61.900094504999998</v>
      </c>
      <c r="Z494" s="3">
        <f t="shared" si="106"/>
        <v>62.753391346999997</v>
      </c>
      <c r="AA494" s="3">
        <f t="shared" si="106"/>
        <v>63.668068083000001</v>
      </c>
      <c r="AB494" s="3">
        <f t="shared" si="106"/>
        <v>64.620903161000001</v>
      </c>
      <c r="AC494" s="3">
        <f t="shared" si="106"/>
        <v>65.633895443</v>
      </c>
      <c r="AD494" s="3">
        <f t="shared" si="106"/>
        <v>66.711848282000005</v>
      </c>
      <c r="AE494" s="3">
        <f t="shared" si="106"/>
        <v>67.857231614</v>
      </c>
      <c r="AF494" s="3">
        <f t="shared" si="106"/>
        <v>69.064491019999991</v>
      </c>
      <c r="AG494" s="3">
        <f t="shared" si="106"/>
        <v>70.323125754000003</v>
      </c>
      <c r="AH494" s="3">
        <f t="shared" si="106"/>
        <v>71.62234930999999</v>
      </c>
      <c r="AI494" s="3">
        <f t="shared" si="106"/>
        <v>72.952336658999997</v>
      </c>
      <c r="AJ494" s="3">
        <f t="shared" si="106"/>
        <v>74.303364608999999</v>
      </c>
      <c r="AK494" s="3">
        <f t="shared" si="106"/>
        <v>75.665369116000008</v>
      </c>
      <c r="AL494" s="3">
        <f t="shared" si="106"/>
        <v>77.027847121000008</v>
      </c>
    </row>
    <row r="495" spans="1:38" x14ac:dyDescent="0.35">
      <c r="B495" s="3" t="str">
        <f>[1]Results!E245</f>
        <v>YG_toe_ccoi_0</v>
      </c>
      <c r="C495" s="3">
        <f>[1]Results!F245</f>
        <v>1.0946754030000001</v>
      </c>
      <c r="D495" s="3">
        <f>[1]Results!G245</f>
        <v>1.1012928310000001</v>
      </c>
      <c r="E495" s="3">
        <f>[1]Results!H245</f>
        <v>1.106706032</v>
      </c>
      <c r="F495" s="3">
        <f>[1]Results!I245</f>
        <v>1.11242902</v>
      </c>
      <c r="G495" s="3">
        <f>[1]Results!J245</f>
        <v>1.120408632</v>
      </c>
      <c r="H495" s="3">
        <f>[1]Results!K245</f>
        <v>1.130707452</v>
      </c>
      <c r="I495" s="3">
        <f>[1]Results!L245</f>
        <v>1.1421073429999999</v>
      </c>
      <c r="J495" s="3">
        <f>[1]Results!M245</f>
        <v>1.1538805029999999</v>
      </c>
      <c r="K495" s="3">
        <f>[1]Results!N245</f>
        <v>1.165682806</v>
      </c>
      <c r="L495" s="3">
        <f>[1]Results!O245</f>
        <v>1.1774379239999999</v>
      </c>
      <c r="M495" s="3">
        <f>[1]Results!P245</f>
        <v>1.189387422</v>
      </c>
      <c r="N495" s="3">
        <f>[1]Results!Q245</f>
        <v>1.201363398</v>
      </c>
      <c r="O495" s="3">
        <f>[1]Results!R245</f>
        <v>1.213120046</v>
      </c>
      <c r="P495" s="3">
        <f>[1]Results!S245</f>
        <v>1.224005891</v>
      </c>
      <c r="Q495" s="3">
        <f>[1]Results!T245</f>
        <v>1.234292999</v>
      </c>
      <c r="R495" s="3">
        <f>[1]Results!U245</f>
        <v>1.244387371</v>
      </c>
      <c r="S495" s="3">
        <f>[1]Results!V245</f>
        <v>1.2551817160000001</v>
      </c>
      <c r="T495" s="3">
        <f>[1]Results!W245</f>
        <v>1.267281383</v>
      </c>
      <c r="U495" s="3">
        <f>[1]Results!X245</f>
        <v>1.280945373</v>
      </c>
      <c r="V495" s="3">
        <f>[1]Results!Y245</f>
        <v>1.296196154</v>
      </c>
      <c r="W495" s="3">
        <f>[1]Results!Z245</f>
        <v>1.3128855340000001</v>
      </c>
      <c r="X495" s="3">
        <f>[1]Results!AA245</f>
        <v>1.331158431</v>
      </c>
      <c r="Y495" s="3">
        <f>[1]Results!AB245</f>
        <v>1.351106385</v>
      </c>
      <c r="Z495" s="3">
        <f>[1]Results!AC245</f>
        <v>1.3727876699999999</v>
      </c>
      <c r="AA495" s="3">
        <f>[1]Results!AD245</f>
        <v>1.396175028</v>
      </c>
      <c r="AB495" s="3">
        <f>[1]Results!AE245</f>
        <v>1.4208771200000001</v>
      </c>
      <c r="AC495" s="3">
        <f>[1]Results!AF245</f>
        <v>1.447204334</v>
      </c>
      <c r="AD495" s="3">
        <f>[1]Results!AG245</f>
        <v>1.4753428420000001</v>
      </c>
      <c r="AE495" s="3">
        <f>[1]Results!AH245</f>
        <v>1.505356143</v>
      </c>
      <c r="AF495" s="3">
        <f>[1]Results!AI245</f>
        <v>1.5370337700000001</v>
      </c>
      <c r="AG495" s="3">
        <f>[1]Results!AJ245</f>
        <v>1.570015454</v>
      </c>
      <c r="AH495" s="3">
        <f>[1]Results!AK245</f>
        <v>1.60396907</v>
      </c>
      <c r="AI495" s="3">
        <f>[1]Results!AL245</f>
        <v>1.6386317690000001</v>
      </c>
      <c r="AJ495" s="3">
        <f>[1]Results!AM245</f>
        <v>1.6737661589999999</v>
      </c>
      <c r="AK495" s="3">
        <f>[1]Results!AN245</f>
        <v>1.709133886</v>
      </c>
      <c r="AL495" s="3">
        <f>[1]Results!AO245</f>
        <v>1.7444850709999999</v>
      </c>
    </row>
    <row r="496" spans="1:38" x14ac:dyDescent="0.35">
      <c r="B496" s="3" t="str">
        <f>[1]Results!E248</f>
        <v>YG_toe_cfut_0</v>
      </c>
      <c r="C496" s="3">
        <f>[1]Results!F248</f>
        <v>42.28829657</v>
      </c>
      <c r="D496" s="3">
        <f>[1]Results!G248</f>
        <v>42.459370659999998</v>
      </c>
      <c r="E496" s="3">
        <f>[1]Results!H248</f>
        <v>42.59523008</v>
      </c>
      <c r="F496" s="3">
        <f>[1]Results!I248</f>
        <v>42.759564730000001</v>
      </c>
      <c r="G496" s="3">
        <f>[1]Results!J248</f>
        <v>43.026380320000001</v>
      </c>
      <c r="H496" s="3">
        <f>[1]Results!K248</f>
        <v>43.385579479999997</v>
      </c>
      <c r="I496" s="3">
        <f>[1]Results!L248</f>
        <v>43.799341429999998</v>
      </c>
      <c r="J496" s="3">
        <f>[1]Results!M248</f>
        <v>44.235743110000001</v>
      </c>
      <c r="K496" s="3">
        <f>[1]Results!N248</f>
        <v>44.678572240000001</v>
      </c>
      <c r="L496" s="3">
        <f>[1]Results!O248</f>
        <v>45.122469189999997</v>
      </c>
      <c r="M496" s="3">
        <f>[1]Results!P248</f>
        <v>45.575709959999998</v>
      </c>
      <c r="N496" s="3">
        <f>[1]Results!Q248</f>
        <v>46.028838059999998</v>
      </c>
      <c r="O496" s="3">
        <f>[1]Results!R248</f>
        <v>46.477108739999998</v>
      </c>
      <c r="P496" s="3">
        <f>[1]Results!S248</f>
        <v>46.90496864</v>
      </c>
      <c r="Q496" s="3">
        <f>[1]Results!T248</f>
        <v>47.317409329999997</v>
      </c>
      <c r="R496" s="3">
        <f>[1]Results!U248</f>
        <v>47.72222687</v>
      </c>
      <c r="S496" s="3">
        <f>[1]Results!V248</f>
        <v>48.140508750000002</v>
      </c>
      <c r="T496" s="3">
        <f>[1]Results!W248</f>
        <v>48.591535110000002</v>
      </c>
      <c r="U496" s="3">
        <f>[1]Results!X248</f>
        <v>49.083818389999998</v>
      </c>
      <c r="V496" s="3">
        <f>[1]Results!Y248</f>
        <v>49.618801220000002</v>
      </c>
      <c r="W496" s="3">
        <f>[1]Results!Z248</f>
        <v>50.190379110000002</v>
      </c>
      <c r="X496" s="3">
        <f>[1]Results!AA248</f>
        <v>50.805833249999999</v>
      </c>
      <c r="Y496" s="3">
        <f>[1]Results!AB248</f>
        <v>51.466767949999998</v>
      </c>
      <c r="Z496" s="3">
        <f>[1]Results!AC248</f>
        <v>52.174923669999998</v>
      </c>
      <c r="AA496" s="3">
        <f>[1]Results!AD248</f>
        <v>52.93056928</v>
      </c>
      <c r="AB496" s="3">
        <f>[1]Results!AE248</f>
        <v>53.717432459999998</v>
      </c>
      <c r="AC496" s="3">
        <f>[1]Results!AF248</f>
        <v>54.550631160000002</v>
      </c>
      <c r="AD496" s="3">
        <f>[1]Results!AG248</f>
        <v>55.43442795</v>
      </c>
      <c r="AE496" s="3">
        <f>[1]Results!AH248</f>
        <v>56.371086740000003</v>
      </c>
      <c r="AF496" s="3">
        <f>[1]Results!AI248</f>
        <v>57.356475199999998</v>
      </c>
      <c r="AG496" s="3">
        <f>[1]Results!AJ248</f>
        <v>58.382499639999999</v>
      </c>
      <c r="AH496" s="3">
        <f>[1]Results!AK248</f>
        <v>59.440790919999998</v>
      </c>
      <c r="AI496" s="3">
        <f>[1]Results!AL248</f>
        <v>60.523637960000002</v>
      </c>
      <c r="AJ496" s="3">
        <f>[1]Results!AM248</f>
        <v>61.623242750000003</v>
      </c>
      <c r="AK496" s="3">
        <f>[1]Results!AN248</f>
        <v>62.731436729999999</v>
      </c>
      <c r="AL496" s="3">
        <f>[1]Results!AO248</f>
        <v>63.839648459999999</v>
      </c>
    </row>
    <row r="497" spans="1:38" x14ac:dyDescent="0.35">
      <c r="B497" s="3" t="str">
        <f>[1]Results!E251</f>
        <v>YG_toe_cfuh_0</v>
      </c>
      <c r="C497" s="3">
        <f>[1]Results!F251</f>
        <v>7.9213451880000001</v>
      </c>
      <c r="D497" s="3">
        <f>[1]Results!G251</f>
        <v>7.9566753810000002</v>
      </c>
      <c r="E497" s="3">
        <f>[1]Results!H251</f>
        <v>7.9842468289999999</v>
      </c>
      <c r="F497" s="3">
        <f>[1]Results!I251</f>
        <v>8.0057627660000001</v>
      </c>
      <c r="G497" s="3">
        <f>[1]Results!J251</f>
        <v>8.0438682759999995</v>
      </c>
      <c r="H497" s="3">
        <f>[1]Results!K251</f>
        <v>8.0960920279999993</v>
      </c>
      <c r="I497" s="3">
        <f>[1]Results!L251</f>
        <v>8.1482864559999992</v>
      </c>
      <c r="J497" s="3">
        <f>[1]Results!M251</f>
        <v>8.1967251310000009</v>
      </c>
      <c r="K497" s="3">
        <f>[1]Results!N251</f>
        <v>8.2416869100000003</v>
      </c>
      <c r="L497" s="3">
        <f>[1]Results!O251</f>
        <v>8.2847655390000003</v>
      </c>
      <c r="M497" s="3">
        <f>[1]Results!P251</f>
        <v>8.3307812959999996</v>
      </c>
      <c r="N497" s="3">
        <f>[1]Results!Q251</f>
        <v>8.3757214490000003</v>
      </c>
      <c r="O497" s="3">
        <f>[1]Results!R251</f>
        <v>8.4193635189999991</v>
      </c>
      <c r="P497" s="3">
        <f>[1]Results!S251</f>
        <v>8.4586482479999994</v>
      </c>
      <c r="Q497" s="3">
        <f>[1]Results!T251</f>
        <v>8.4951963720000006</v>
      </c>
      <c r="R497" s="3">
        <f>[1]Results!U251</f>
        <v>8.5311406040000008</v>
      </c>
      <c r="S497" s="3">
        <f>[1]Results!V251</f>
        <v>8.5761861130000003</v>
      </c>
      <c r="T497" s="3">
        <f>[1]Results!W251</f>
        <v>8.6334805039999996</v>
      </c>
      <c r="U497" s="3">
        <f>[1]Results!X251</f>
        <v>8.7027430710000004</v>
      </c>
      <c r="V497" s="3">
        <f>[1]Results!Y251</f>
        <v>8.7829425499999996</v>
      </c>
      <c r="W497" s="3">
        <f>[1]Results!Z251</f>
        <v>8.8712641449999996</v>
      </c>
      <c r="X497" s="3">
        <f>[1]Results!AA251</f>
        <v>8.970939499</v>
      </c>
      <c r="Y497" s="3">
        <f>[1]Results!AB251</f>
        <v>9.0822201699999994</v>
      </c>
      <c r="Z497" s="3">
        <f>[1]Results!AC251</f>
        <v>9.2056800069999998</v>
      </c>
      <c r="AA497" s="3">
        <f>[1]Results!AD251</f>
        <v>9.3413237749999993</v>
      </c>
      <c r="AB497" s="3">
        <f>[1]Results!AE251</f>
        <v>9.4825935809999997</v>
      </c>
      <c r="AC497" s="3">
        <f>[1]Results!AF251</f>
        <v>9.6360599489999998</v>
      </c>
      <c r="AD497" s="3">
        <f>[1]Results!AG251</f>
        <v>9.8020774900000003</v>
      </c>
      <c r="AE497" s="3">
        <f>[1]Results!AH251</f>
        <v>9.9807887310000005</v>
      </c>
      <c r="AF497" s="3">
        <f>[1]Results!AI251</f>
        <v>10.170982049999999</v>
      </c>
      <c r="AG497" s="3">
        <f>[1]Results!AJ251</f>
        <v>10.370610660000001</v>
      </c>
      <c r="AH497" s="3">
        <f>[1]Results!AK251</f>
        <v>10.57758932</v>
      </c>
      <c r="AI497" s="3">
        <f>[1]Results!AL251</f>
        <v>10.79006693</v>
      </c>
      <c r="AJ497" s="3">
        <f>[1]Results!AM251</f>
        <v>11.0063557</v>
      </c>
      <c r="AK497" s="3">
        <f>[1]Results!AN251</f>
        <v>11.2247985</v>
      </c>
      <c r="AL497" s="3">
        <f>[1]Results!AO251</f>
        <v>11.44371359</v>
      </c>
    </row>
    <row r="498" spans="1:38" x14ac:dyDescent="0.35">
      <c r="B498" s="3" t="str">
        <f>[1]Results!E253</f>
        <v>YG_toe_cgas_0</v>
      </c>
      <c r="C498" s="3">
        <f>[1]Results!F253</f>
        <v>6.6386576159999997</v>
      </c>
      <c r="D498" s="3">
        <f>[1]Results!G253</f>
        <v>6.5613066460000002</v>
      </c>
      <c r="E498" s="3">
        <f>[1]Results!H253</f>
        <v>6.5090547809999997</v>
      </c>
      <c r="F498" s="3">
        <f>[1]Results!I253</f>
        <v>6.462286432</v>
      </c>
      <c r="G498" s="3">
        <f>[1]Results!J253</f>
        <v>6.4606643269999999</v>
      </c>
      <c r="H498" s="3">
        <f>[1]Results!K253</f>
        <v>6.4694559480000002</v>
      </c>
      <c r="I498" s="3">
        <f>[1]Results!L253</f>
        <v>6.4563608600000002</v>
      </c>
      <c r="J498" s="3">
        <f>[1]Results!M253</f>
        <v>6.442353089</v>
      </c>
      <c r="K498" s="3">
        <f>[1]Results!N253</f>
        <v>6.435580871</v>
      </c>
      <c r="L498" s="3">
        <f>[1]Results!O253</f>
        <v>6.4379205370000001</v>
      </c>
      <c r="M498" s="3">
        <f>[1]Results!P253</f>
        <v>6.4492616900000002</v>
      </c>
      <c r="N498" s="3">
        <f>[1]Results!Q253</f>
        <v>6.4654567839999997</v>
      </c>
      <c r="O498" s="3">
        <f>[1]Results!R253</f>
        <v>6.4879320180000004</v>
      </c>
      <c r="P498" s="3">
        <f>[1]Results!S253</f>
        <v>6.5223888390000004</v>
      </c>
      <c r="Q498" s="3">
        <f>[1]Results!T253</f>
        <v>6.564945314</v>
      </c>
      <c r="R498" s="3">
        <f>[1]Results!U253</f>
        <v>6.6111403270000002</v>
      </c>
      <c r="S498" s="3">
        <f>[1]Results!V253</f>
        <v>6.6662424790000001</v>
      </c>
      <c r="T498" s="3">
        <f>[1]Results!W253</f>
        <v>6.7123237060000003</v>
      </c>
      <c r="U498" s="3">
        <f>[1]Results!X253</f>
        <v>6.7425116420000002</v>
      </c>
      <c r="V498" s="3">
        <f>[1]Results!Y253</f>
        <v>6.755032945</v>
      </c>
      <c r="W498" s="3">
        <f>[1]Results!Z253</f>
        <v>6.7490469610000003</v>
      </c>
      <c r="X498" s="3">
        <f>[1]Results!AA253</f>
        <v>6.7266951959999997</v>
      </c>
      <c r="Y498" s="3">
        <f>[1]Results!AB253</f>
        <v>6.6887471200000004</v>
      </c>
      <c r="Z498" s="3">
        <f>[1]Results!AC253</f>
        <v>6.6364329299999998</v>
      </c>
      <c r="AA498" s="3">
        <f>[1]Results!AD253</f>
        <v>6.5706248110000001</v>
      </c>
      <c r="AB498" s="3">
        <f>[1]Results!AE253</f>
        <v>6.489374153</v>
      </c>
      <c r="AC498" s="3">
        <f>[1]Results!AF253</f>
        <v>6.3948819649999997</v>
      </c>
      <c r="AD498" s="3">
        <f>[1]Results!AG253</f>
        <v>6.2861215550000002</v>
      </c>
      <c r="AE498" s="3">
        <f>[1]Results!AH253</f>
        <v>6.1628233110000004</v>
      </c>
      <c r="AF498" s="3">
        <f>[1]Results!AI253</f>
        <v>6.0272917020000003</v>
      </c>
      <c r="AG498" s="3">
        <f>[1]Results!AJ253</f>
        <v>5.8829330310000003</v>
      </c>
      <c r="AH498" s="3">
        <f>[1]Results!AK253</f>
        <v>5.7323571940000004</v>
      </c>
      <c r="AI498" s="3">
        <f>[1]Results!AL253</f>
        <v>5.5775975180000001</v>
      </c>
      <c r="AJ498" s="3">
        <f>[1]Results!AM253</f>
        <v>5.4206286639999997</v>
      </c>
      <c r="AK498" s="3">
        <f>[1]Results!AN253</f>
        <v>5.263466084</v>
      </c>
      <c r="AL498" s="3">
        <f>[1]Results!AO253</f>
        <v>5.1081956999999996</v>
      </c>
    </row>
    <row r="499" spans="1:38" x14ac:dyDescent="0.35">
      <c r="B499" s="3" t="str">
        <f>[1]Results!E259</f>
        <v>YG_toe_cele_0</v>
      </c>
      <c r="C499" s="3">
        <f>[1]Results!F259</f>
        <v>57.547032489999999</v>
      </c>
      <c r="D499" s="3">
        <f>[1]Results!G259</f>
        <v>58.278714409999999</v>
      </c>
      <c r="E499" s="3">
        <f>[1]Results!H259</f>
        <v>58.928756409999998</v>
      </c>
      <c r="F499" s="3">
        <f>[1]Results!I259</f>
        <v>59.618526989999999</v>
      </c>
      <c r="G499" s="3">
        <f>[1]Results!J259</f>
        <v>60.223700299999997</v>
      </c>
      <c r="H499" s="3">
        <f>[1]Results!K259</f>
        <v>60.836327679999997</v>
      </c>
      <c r="I499" s="3">
        <f>[1]Results!L259</f>
        <v>61.498187340000001</v>
      </c>
      <c r="J499" s="3">
        <f>[1]Results!M259</f>
        <v>62.205253839999997</v>
      </c>
      <c r="K499" s="3">
        <f>[1]Results!N259</f>
        <v>62.943867359999999</v>
      </c>
      <c r="L499" s="3">
        <f>[1]Results!O259</f>
        <v>63.700859379999997</v>
      </c>
      <c r="M499" s="3">
        <f>[1]Results!P259</f>
        <v>64.49151157</v>
      </c>
      <c r="N499" s="3">
        <f>[1]Results!Q259</f>
        <v>65.27613418</v>
      </c>
      <c r="O499" s="3">
        <f>[1]Results!R259</f>
        <v>66.031917719999996</v>
      </c>
      <c r="P499" s="3">
        <f>[1]Results!S259</f>
        <v>66.708437349999997</v>
      </c>
      <c r="Q499" s="3">
        <f>[1]Results!T259</f>
        <v>67.333958789999997</v>
      </c>
      <c r="R499" s="3">
        <f>[1]Results!U259</f>
        <v>67.942287010000001</v>
      </c>
      <c r="S499" s="3">
        <f>[1]Results!V259</f>
        <v>68.545091099999993</v>
      </c>
      <c r="T499" s="3">
        <f>[1]Results!W259</f>
        <v>69.188139280000001</v>
      </c>
      <c r="U499" s="3">
        <f>[1]Results!X259</f>
        <v>69.905327389999997</v>
      </c>
      <c r="V499" s="3">
        <f>[1]Results!Y259</f>
        <v>70.717392259999997</v>
      </c>
      <c r="W499" s="3">
        <f>[1]Results!Z259</f>
        <v>71.625144329999998</v>
      </c>
      <c r="X499" s="3">
        <f>[1]Results!AA259</f>
        <v>72.662674580000001</v>
      </c>
      <c r="Y499" s="3">
        <f>[1]Results!AB259</f>
        <v>73.842028409999998</v>
      </c>
      <c r="Z499" s="3">
        <f>[1]Results!AC259</f>
        <v>75.172687929999995</v>
      </c>
      <c r="AA499" s="3">
        <f>[1]Results!AD259</f>
        <v>76.655597970000002</v>
      </c>
      <c r="AB499" s="3">
        <f>[1]Results!AE259</f>
        <v>78.245859929999995</v>
      </c>
      <c r="AC499" s="3">
        <f>[1]Results!AF259</f>
        <v>79.987558519999993</v>
      </c>
      <c r="AD499" s="3">
        <f>[1]Results!AG259</f>
        <v>81.884579380000005</v>
      </c>
      <c r="AE499" s="3">
        <f>[1]Results!AH259</f>
        <v>83.933776469999998</v>
      </c>
      <c r="AF499" s="3">
        <f>[1]Results!AI259</f>
        <v>86.109807270000005</v>
      </c>
      <c r="AG499" s="3">
        <f>[1]Results!AJ259</f>
        <v>88.37818695</v>
      </c>
      <c r="AH499" s="3">
        <f>[1]Results!AK259</f>
        <v>90.708704909999994</v>
      </c>
      <c r="AI499" s="3">
        <f>[1]Results!AL259</f>
        <v>93.077551099999994</v>
      </c>
      <c r="AJ499" s="3">
        <f>[1]Results!AM259</f>
        <v>95.463922120000007</v>
      </c>
      <c r="AK499" s="3">
        <f>[1]Results!AN259</f>
        <v>97.848582910000005</v>
      </c>
      <c r="AL499" s="3">
        <f>[1]Results!AO259</f>
        <v>100.2132802</v>
      </c>
    </row>
    <row r="500" spans="1:38" x14ac:dyDescent="0.35">
      <c r="B500" s="3" t="s">
        <v>75</v>
      </c>
      <c r="C500" s="3">
        <f>SUM(C501:C503)</f>
        <v>30.701881369999999</v>
      </c>
      <c r="D500" s="3">
        <f t="shared" ref="D500:AL500" si="107">SUM(D501:D503)</f>
        <v>30.941566080999998</v>
      </c>
      <c r="E500" s="3">
        <f t="shared" si="107"/>
        <v>31.174793254999997</v>
      </c>
      <c r="F500" s="3">
        <f t="shared" si="107"/>
        <v>31.398047367</v>
      </c>
      <c r="G500" s="3">
        <f t="shared" si="107"/>
        <v>31.675959880000001</v>
      </c>
      <c r="H500" s="3">
        <f t="shared" si="107"/>
        <v>32.004074375999998</v>
      </c>
      <c r="I500" s="3">
        <f t="shared" si="107"/>
        <v>32.355996873999999</v>
      </c>
      <c r="J500" s="3">
        <f t="shared" si="107"/>
        <v>32.715948312999998</v>
      </c>
      <c r="K500" s="3">
        <f t="shared" si="107"/>
        <v>33.076406011000003</v>
      </c>
      <c r="L500" s="3">
        <f t="shared" si="107"/>
        <v>33.436238388</v>
      </c>
      <c r="M500" s="3">
        <f t="shared" si="107"/>
        <v>33.812889623000004</v>
      </c>
      <c r="N500" s="3">
        <f t="shared" si="107"/>
        <v>34.182851714000002</v>
      </c>
      <c r="O500" s="3">
        <f t="shared" si="107"/>
        <v>34.538022276999996</v>
      </c>
      <c r="P500" s="3">
        <f t="shared" si="107"/>
        <v>34.852883249000001</v>
      </c>
      <c r="Q500" s="3">
        <f t="shared" si="107"/>
        <v>35.145824521999998</v>
      </c>
      <c r="R500" s="3">
        <f t="shared" si="107"/>
        <v>35.434808783999998</v>
      </c>
      <c r="S500" s="3">
        <f t="shared" si="107"/>
        <v>35.742611615999998</v>
      </c>
      <c r="T500" s="3">
        <f t="shared" si="107"/>
        <v>36.091509856999998</v>
      </c>
      <c r="U500" s="3">
        <f t="shared" si="107"/>
        <v>36.492189629999999</v>
      </c>
      <c r="V500" s="3">
        <f t="shared" si="107"/>
        <v>36.946842951999997</v>
      </c>
      <c r="W500" s="3">
        <f t="shared" si="107"/>
        <v>37.447090192000005</v>
      </c>
      <c r="X500" s="3">
        <f t="shared" si="107"/>
        <v>38.010741918000001</v>
      </c>
      <c r="Y500" s="3">
        <f t="shared" si="107"/>
        <v>38.640745812000006</v>
      </c>
      <c r="Z500" s="3">
        <f t="shared" si="107"/>
        <v>39.339179358999999</v>
      </c>
      <c r="AA500" s="3">
        <f t="shared" si="107"/>
        <v>40.103679960999997</v>
      </c>
      <c r="AB500" s="3">
        <f t="shared" si="107"/>
        <v>40.903235426999998</v>
      </c>
      <c r="AC500" s="3">
        <f t="shared" si="107"/>
        <v>41.769276843</v>
      </c>
      <c r="AD500" s="3">
        <f t="shared" si="107"/>
        <v>42.705980406999998</v>
      </c>
      <c r="AE500" s="3">
        <f t="shared" si="107"/>
        <v>43.713057018000001</v>
      </c>
      <c r="AF500" s="3">
        <f t="shared" si="107"/>
        <v>44.778975031000002</v>
      </c>
      <c r="AG500" s="3">
        <f t="shared" si="107"/>
        <v>45.887935990999999</v>
      </c>
      <c r="AH500" s="3">
        <f t="shared" si="107"/>
        <v>47.027257863000003</v>
      </c>
      <c r="AI500" s="3">
        <f t="shared" si="107"/>
        <v>48.187974732000001</v>
      </c>
      <c r="AJ500" s="3">
        <f t="shared" si="107"/>
        <v>49.362331393999995</v>
      </c>
      <c r="AK500" s="3">
        <f t="shared" si="107"/>
        <v>50.542791553000001</v>
      </c>
      <c r="AL500" s="3">
        <f t="shared" si="107"/>
        <v>51.721612481000001</v>
      </c>
    </row>
    <row r="501" spans="1:38" x14ac:dyDescent="0.35">
      <c r="B501" s="3" t="str">
        <f>[1]Results!E269</f>
        <v>YG_toe_chea_0</v>
      </c>
      <c r="C501" s="3">
        <f>[1]Results!F269</f>
        <v>5.7001631799999997</v>
      </c>
      <c r="D501" s="3">
        <f>[1]Results!G269</f>
        <v>5.7535772109999996</v>
      </c>
      <c r="E501" s="3">
        <f>[1]Results!H269</f>
        <v>5.8050982949999996</v>
      </c>
      <c r="F501" s="3">
        <f>[1]Results!I269</f>
        <v>5.8529118369999997</v>
      </c>
      <c r="G501" s="3">
        <f>[1]Results!J269</f>
        <v>5.9032649700000004</v>
      </c>
      <c r="H501" s="3">
        <f>[1]Results!K269</f>
        <v>5.9620159460000002</v>
      </c>
      <c r="I501" s="3">
        <f>[1]Results!L269</f>
        <v>6.0149406939999999</v>
      </c>
      <c r="J501" s="3">
        <f>[1]Results!M269</f>
        <v>6.0619706830000002</v>
      </c>
      <c r="K501" s="3">
        <f>[1]Results!N269</f>
        <v>6.1042519710000001</v>
      </c>
      <c r="L501" s="3">
        <f>[1]Results!O269</f>
        <v>6.1433977579999999</v>
      </c>
      <c r="M501" s="3">
        <f>[1]Results!P269</f>
        <v>6.1879885229999996</v>
      </c>
      <c r="N501" s="3">
        <f>[1]Results!Q269</f>
        <v>6.2278482840000002</v>
      </c>
      <c r="O501" s="3">
        <f>[1]Results!R269</f>
        <v>6.264845137</v>
      </c>
      <c r="P501" s="3">
        <f>[1]Results!S269</f>
        <v>6.2979099190000003</v>
      </c>
      <c r="Q501" s="3">
        <f>[1]Results!T269</f>
        <v>6.3287209420000003</v>
      </c>
      <c r="R501" s="3">
        <f>[1]Results!U269</f>
        <v>6.3589871640000002</v>
      </c>
      <c r="S501" s="3">
        <f>[1]Results!V269</f>
        <v>6.3979921959999997</v>
      </c>
      <c r="T501" s="3">
        <f>[1]Results!W269</f>
        <v>6.4471382369999999</v>
      </c>
      <c r="U501" s="3">
        <f>[1]Results!X269</f>
        <v>6.5056752700000002</v>
      </c>
      <c r="V501" s="3">
        <f>[1]Results!Y269</f>
        <v>6.5719551620000001</v>
      </c>
      <c r="W501" s="3">
        <f>[1]Results!Z269</f>
        <v>6.640738872</v>
      </c>
      <c r="X501" s="3">
        <f>[1]Results!AA269</f>
        <v>6.719073088</v>
      </c>
      <c r="Y501" s="3">
        <f>[1]Results!AB269</f>
        <v>6.8058425619999996</v>
      </c>
      <c r="Z501" s="3">
        <f>[1]Results!AC269</f>
        <v>6.9006713890000002</v>
      </c>
      <c r="AA501" s="3">
        <f>[1]Results!AD269</f>
        <v>7.0029119910000004</v>
      </c>
      <c r="AB501" s="3">
        <f>[1]Results!AE269</f>
        <v>7.0996441370000003</v>
      </c>
      <c r="AC501" s="3">
        <f>[1]Results!AF269</f>
        <v>7.2049306929999997</v>
      </c>
      <c r="AD501" s="3">
        <f>[1]Results!AG269</f>
        <v>7.318415087</v>
      </c>
      <c r="AE501" s="3">
        <f>[1]Results!AH269</f>
        <v>7.4398977080000002</v>
      </c>
      <c r="AF501" s="3">
        <f>[1]Results!AI269</f>
        <v>7.5682733310000003</v>
      </c>
      <c r="AG501" s="3">
        <f>[1]Results!AJ269</f>
        <v>7.701967561</v>
      </c>
      <c r="AH501" s="3">
        <f>[1]Results!AK269</f>
        <v>7.8395178830000001</v>
      </c>
      <c r="AI501" s="3">
        <f>[1]Results!AL269</f>
        <v>7.9796967419999998</v>
      </c>
      <c r="AJ501" s="3">
        <f>[1]Results!AM269</f>
        <v>8.121370164</v>
      </c>
      <c r="AK501" s="3">
        <f>[1]Results!AN269</f>
        <v>8.2634328830000001</v>
      </c>
      <c r="AL501" s="3">
        <f>[1]Results!AO269</f>
        <v>8.4047885210000004</v>
      </c>
    </row>
    <row r="502" spans="1:38" x14ac:dyDescent="0.35">
      <c r="B502" s="3" t="str">
        <f>[1]Results!E271</f>
        <v>YG_toe_cbio_0</v>
      </c>
      <c r="C502" s="3">
        <f>[1]Results!F271</f>
        <v>11.16413483</v>
      </c>
      <c r="D502" s="3">
        <f>[1]Results!G271</f>
        <v>11.140353360000001</v>
      </c>
      <c r="E502" s="3">
        <f>[1]Results!H271</f>
        <v>11.109803980000001</v>
      </c>
      <c r="F502" s="3">
        <f>[1]Results!I271</f>
        <v>11.07141038</v>
      </c>
      <c r="G502" s="3">
        <f>[1]Results!J271</f>
        <v>11.068220090000001</v>
      </c>
      <c r="H502" s="3">
        <f>[1]Results!K271</f>
        <v>11.0878982</v>
      </c>
      <c r="I502" s="3">
        <f>[1]Results!L271</f>
        <v>11.122543540000001</v>
      </c>
      <c r="J502" s="3">
        <f>[1]Results!M271</f>
        <v>11.16699043</v>
      </c>
      <c r="K502" s="3">
        <f>[1]Results!N271</f>
        <v>11.21685428</v>
      </c>
      <c r="L502" s="3">
        <f>[1]Results!O271</f>
        <v>11.269913089999999</v>
      </c>
      <c r="M502" s="3">
        <f>[1]Results!P271</f>
        <v>11.33095898</v>
      </c>
      <c r="N502" s="3">
        <f>[1]Results!Q271</f>
        <v>11.3892743</v>
      </c>
      <c r="O502" s="3">
        <f>[1]Results!R271</f>
        <v>11.443599409999999</v>
      </c>
      <c r="P502" s="3">
        <f>[1]Results!S271</f>
        <v>11.490811539999999</v>
      </c>
      <c r="Q502" s="3">
        <f>[1]Results!T271</f>
        <v>11.53344323</v>
      </c>
      <c r="R502" s="3">
        <f>[1]Results!U271</f>
        <v>11.57449104</v>
      </c>
      <c r="S502" s="3">
        <f>[1]Results!V271</f>
        <v>11.6139663</v>
      </c>
      <c r="T502" s="3">
        <f>[1]Results!W271</f>
        <v>11.656564339999999</v>
      </c>
      <c r="U502" s="3">
        <f>[1]Results!X271</f>
        <v>11.705352</v>
      </c>
      <c r="V502" s="3">
        <f>[1]Results!Y271</f>
        <v>11.76202226</v>
      </c>
      <c r="W502" s="3">
        <f>[1]Results!Z271</f>
        <v>11.8238229</v>
      </c>
      <c r="X502" s="3">
        <f>[1]Results!AA271</f>
        <v>11.898194650000001</v>
      </c>
      <c r="Y502" s="3">
        <f>[1]Results!AB271</f>
        <v>11.986171390000001</v>
      </c>
      <c r="Z502" s="3">
        <f>[1]Results!AC271</f>
        <v>12.08902312</v>
      </c>
      <c r="AA502" s="3">
        <f>[1]Results!AD271</f>
        <v>12.20686813</v>
      </c>
      <c r="AB502" s="3">
        <f>[1]Results!AE271</f>
        <v>12.32764345</v>
      </c>
      <c r="AC502" s="3">
        <f>[1]Results!AF271</f>
        <v>12.462890829999999</v>
      </c>
      <c r="AD502" s="3">
        <f>[1]Results!AG271</f>
        <v>12.612562759999999</v>
      </c>
      <c r="AE502" s="3">
        <f>[1]Results!AH271</f>
        <v>12.775947800000001</v>
      </c>
      <c r="AF502" s="3">
        <f>[1]Results!AI271</f>
        <v>12.950808459999999</v>
      </c>
      <c r="AG502" s="3">
        <f>[1]Results!AJ271</f>
        <v>13.134195289999999</v>
      </c>
      <c r="AH502" s="3">
        <f>[1]Results!AK271</f>
        <v>13.32344378</v>
      </c>
      <c r="AI502" s="3">
        <f>[1]Results!AL271</f>
        <v>13.51644323</v>
      </c>
      <c r="AJ502" s="3">
        <f>[1]Results!AM271</f>
        <v>13.711353559999999</v>
      </c>
      <c r="AK502" s="3">
        <f>[1]Results!AN271</f>
        <v>13.906467210000001</v>
      </c>
      <c r="AL502" s="3">
        <f>[1]Results!AO271</f>
        <v>14.100148170000001</v>
      </c>
    </row>
    <row r="503" spans="1:38" x14ac:dyDescent="0.35">
      <c r="B503" s="3" t="str">
        <f>[1]Results!E274</f>
        <v>YG_toe_cote_0</v>
      </c>
      <c r="C503" s="3">
        <f>[1]Results!F274</f>
        <v>13.83758336</v>
      </c>
      <c r="D503" s="3">
        <f>[1]Results!G274</f>
        <v>14.047635509999999</v>
      </c>
      <c r="E503" s="3">
        <f>[1]Results!H274</f>
        <v>14.25989098</v>
      </c>
      <c r="F503" s="3">
        <f>[1]Results!I274</f>
        <v>14.47372515</v>
      </c>
      <c r="G503" s="3">
        <f>[1]Results!J274</f>
        <v>14.70447482</v>
      </c>
      <c r="H503" s="3">
        <f>[1]Results!K274</f>
        <v>14.954160229999999</v>
      </c>
      <c r="I503" s="3">
        <f>[1]Results!L274</f>
        <v>15.21851264</v>
      </c>
      <c r="J503" s="3">
        <f>[1]Results!M274</f>
        <v>15.4869872</v>
      </c>
      <c r="K503" s="3">
        <f>[1]Results!N274</f>
        <v>15.75529976</v>
      </c>
      <c r="L503" s="3">
        <f>[1]Results!O274</f>
        <v>16.022927540000001</v>
      </c>
      <c r="M503" s="3">
        <f>[1]Results!P274</f>
        <v>16.293942120000001</v>
      </c>
      <c r="N503" s="3">
        <f>[1]Results!Q274</f>
        <v>16.565729130000001</v>
      </c>
      <c r="O503" s="3">
        <f>[1]Results!R274</f>
        <v>16.82957773</v>
      </c>
      <c r="P503" s="3">
        <f>[1]Results!S274</f>
        <v>17.06416179</v>
      </c>
      <c r="Q503" s="3">
        <f>[1]Results!T274</f>
        <v>17.283660350000002</v>
      </c>
      <c r="R503" s="3">
        <f>[1]Results!U274</f>
        <v>17.501330580000001</v>
      </c>
      <c r="S503" s="3">
        <f>[1]Results!V274</f>
        <v>17.730653119999999</v>
      </c>
      <c r="T503" s="3">
        <f>[1]Results!W274</f>
        <v>17.987807279999998</v>
      </c>
      <c r="U503" s="3">
        <f>[1]Results!X274</f>
        <v>18.28116236</v>
      </c>
      <c r="V503" s="3">
        <f>[1]Results!Y274</f>
        <v>18.612865530000001</v>
      </c>
      <c r="W503" s="3">
        <f>[1]Results!Z274</f>
        <v>18.982528420000001</v>
      </c>
      <c r="X503" s="3">
        <f>[1]Results!AA274</f>
        <v>19.393474179999998</v>
      </c>
      <c r="Y503" s="3">
        <f>[1]Results!AB274</f>
        <v>19.848731860000001</v>
      </c>
      <c r="Z503" s="3">
        <f>[1]Results!AC274</f>
        <v>20.34948485</v>
      </c>
      <c r="AA503" s="3">
        <f>[1]Results!AD274</f>
        <v>20.89389984</v>
      </c>
      <c r="AB503" s="3">
        <f>[1]Results!AE274</f>
        <v>21.47594784</v>
      </c>
      <c r="AC503" s="3">
        <f>[1]Results!AF274</f>
        <v>22.101455319999999</v>
      </c>
      <c r="AD503" s="3">
        <f>[1]Results!AG274</f>
        <v>22.775002560000001</v>
      </c>
      <c r="AE503" s="3">
        <f>[1]Results!AH274</f>
        <v>23.49721151</v>
      </c>
      <c r="AF503" s="3">
        <f>[1]Results!AI274</f>
        <v>24.25989324</v>
      </c>
      <c r="AG503" s="3">
        <f>[1]Results!AJ274</f>
        <v>25.051773140000002</v>
      </c>
      <c r="AH503" s="3">
        <f>[1]Results!AK274</f>
        <v>25.864296199999998</v>
      </c>
      <c r="AI503" s="3">
        <f>[1]Results!AL274</f>
        <v>26.691834759999999</v>
      </c>
      <c r="AJ503" s="3">
        <f>[1]Results!AM274</f>
        <v>27.529607670000001</v>
      </c>
      <c r="AK503" s="3">
        <f>[1]Results!AN274</f>
        <v>28.372891460000002</v>
      </c>
      <c r="AL503" s="3">
        <f>[1]Results!AO274</f>
        <v>29.21667579</v>
      </c>
    </row>
    <row r="504" spans="1:3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1:3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</row>
    <row r="506" spans="1:38" x14ac:dyDescent="0.35">
      <c r="A506" t="s">
        <v>95</v>
      </c>
      <c r="B506" t="s">
        <v>94</v>
      </c>
      <c r="C506" s="4">
        <f>C479/C492-1</f>
        <v>1.1443124448007325E-8</v>
      </c>
      <c r="D506" s="4">
        <f t="shared" ref="D506" si="108">D479/D492-1</f>
        <v>1.069021160482464E-8</v>
      </c>
      <c r="E506" s="4">
        <f t="shared" ref="E506:AL506" si="109">E479/E492-1</f>
        <v>1.0619294776859078E-8</v>
      </c>
      <c r="F506" s="4">
        <f t="shared" si="109"/>
        <v>1.0545730955158206E-8</v>
      </c>
      <c r="G506" s="4">
        <f t="shared" si="109"/>
        <v>1.0462860799975715E-8</v>
      </c>
      <c r="H506" s="4">
        <f t="shared" si="109"/>
        <v>1.0368635505741963E-8</v>
      </c>
      <c r="I506" s="4">
        <f t="shared" si="109"/>
        <v>1.48219364533686E-4</v>
      </c>
      <c r="J506" s="4">
        <f t="shared" si="109"/>
        <v>5.8421716544476698E-3</v>
      </c>
      <c r="K506" s="4">
        <f t="shared" si="109"/>
        <v>1.2825307264349828E-2</v>
      </c>
      <c r="L506" s="4">
        <f t="shared" si="109"/>
        <v>2.3922088496809879E-2</v>
      </c>
      <c r="M506" s="4">
        <f t="shared" si="109"/>
        <v>3.5343424874938689E-2</v>
      </c>
      <c r="N506" s="4">
        <f t="shared" si="109"/>
        <v>4.6398022349467549E-2</v>
      </c>
      <c r="O506" s="4">
        <f t="shared" si="109"/>
        <v>5.7475167047907227E-2</v>
      </c>
      <c r="P506" s="4">
        <f t="shared" si="109"/>
        <v>6.9136112295054009E-2</v>
      </c>
      <c r="Q506" s="4">
        <f t="shared" si="109"/>
        <v>8.2070213133859093E-2</v>
      </c>
      <c r="R506" s="4">
        <f t="shared" si="109"/>
        <v>9.649968432817313E-2</v>
      </c>
      <c r="S506" s="4">
        <f t="shared" si="109"/>
        <v>0.1108661136521194</v>
      </c>
      <c r="T506" s="4">
        <f t="shared" si="109"/>
        <v>0.12625008024133044</v>
      </c>
      <c r="U506" s="4">
        <f t="shared" si="109"/>
        <v>0.14262864348534565</v>
      </c>
      <c r="V506" s="4">
        <f t="shared" si="109"/>
        <v>0.16017353563090286</v>
      </c>
      <c r="W506" s="4">
        <f t="shared" si="109"/>
        <v>0.17918022507813536</v>
      </c>
      <c r="X506" s="4">
        <f t="shared" si="109"/>
        <v>0.20004003618588273</v>
      </c>
      <c r="Y506" s="4">
        <f t="shared" si="109"/>
        <v>0.22316782298446269</v>
      </c>
      <c r="Z506" s="4">
        <f t="shared" si="109"/>
        <v>0.24896269707356455</v>
      </c>
      <c r="AA506" s="4">
        <f t="shared" si="109"/>
        <v>0.27791513470808904</v>
      </c>
      <c r="AB506" s="4">
        <f t="shared" si="109"/>
        <v>0.31063406750104638</v>
      </c>
      <c r="AC506" s="4">
        <f t="shared" si="109"/>
        <v>0.34837711650311998</v>
      </c>
      <c r="AD506" s="4">
        <f t="shared" si="109"/>
        <v>0.39192613659199371</v>
      </c>
      <c r="AE506" s="4">
        <f t="shared" si="109"/>
        <v>0.4424591029301721</v>
      </c>
      <c r="AF506" s="4">
        <f t="shared" si="109"/>
        <v>0.50144297079198585</v>
      </c>
      <c r="AG506" s="4">
        <f t="shared" si="109"/>
        <v>0.57079605578830428</v>
      </c>
      <c r="AH506" s="4">
        <f t="shared" si="109"/>
        <v>0.65318803904865064</v>
      </c>
      <c r="AI506" s="4">
        <f t="shared" si="109"/>
        <v>0.7523466758184556</v>
      </c>
      <c r="AJ506" s="4">
        <f t="shared" si="109"/>
        <v>0.87345630938601526</v>
      </c>
      <c r="AK506" s="4">
        <f t="shared" si="109"/>
        <v>1.0240908576788805</v>
      </c>
      <c r="AL506" s="4">
        <f t="shared" si="109"/>
        <v>1.2158040407157293</v>
      </c>
    </row>
    <row r="507" spans="1:38" x14ac:dyDescent="0.35">
      <c r="B507" t="s">
        <v>76</v>
      </c>
      <c r="C507" s="4">
        <f>(C480-C493)/C$492</f>
        <v>2.6924997876407011E-11</v>
      </c>
      <c r="D507" s="4">
        <f>(D480-D493)/D$492</f>
        <v>3.3406911541623555E-11</v>
      </c>
      <c r="E507" s="4">
        <f t="shared" ref="E507:AL507" si="110">(E480-E493)/E$492</f>
        <v>2.6548239319032327E-11</v>
      </c>
      <c r="F507" s="4">
        <f t="shared" si="110"/>
        <v>1.9773246884211523E-11</v>
      </c>
      <c r="G507" s="4">
        <f t="shared" si="110"/>
        <v>2.6157151285730114E-11</v>
      </c>
      <c r="H507" s="4">
        <f t="shared" si="110"/>
        <v>2.5921587618227453E-11</v>
      </c>
      <c r="I507" s="4">
        <f t="shared" si="110"/>
        <v>2.2118413864404326E-5</v>
      </c>
      <c r="J507" s="4">
        <f t="shared" si="110"/>
        <v>-5.5765547543351753E-4</v>
      </c>
      <c r="K507" s="4">
        <f t="shared" si="110"/>
        <v>-1.1996316278513599E-3</v>
      </c>
      <c r="L507" s="4">
        <f t="shared" si="110"/>
        <v>-1.7433148163650792E-3</v>
      </c>
      <c r="M507" s="4">
        <f t="shared" si="110"/>
        <v>-2.2423419719670525E-3</v>
      </c>
      <c r="N507" s="4">
        <f t="shared" si="110"/>
        <v>-2.6397250416075623E-3</v>
      </c>
      <c r="O507" s="4">
        <f t="shared" si="110"/>
        <v>-2.9737376788879625E-3</v>
      </c>
      <c r="P507" s="4">
        <f t="shared" si="110"/>
        <v>-3.264498630966544E-3</v>
      </c>
      <c r="Q507" s="4">
        <f t="shared" si="110"/>
        <v>-3.5215014922211452E-3</v>
      </c>
      <c r="R507" s="4">
        <f t="shared" si="110"/>
        <v>-3.7543252819165745E-3</v>
      </c>
      <c r="S507" s="4">
        <f t="shared" si="110"/>
        <v>-4.0296619845603962E-3</v>
      </c>
      <c r="T507" s="4">
        <f t="shared" si="110"/>
        <v>-4.3365575744586009E-3</v>
      </c>
      <c r="U507" s="4">
        <f t="shared" si="110"/>
        <v>-4.6648910779566325E-3</v>
      </c>
      <c r="V507" s="4">
        <f t="shared" si="110"/>
        <v>-5.0060262449525836E-3</v>
      </c>
      <c r="W507" s="4">
        <f t="shared" si="110"/>
        <v>-5.3538018413530133E-3</v>
      </c>
      <c r="X507" s="4">
        <f t="shared" si="110"/>
        <v>-5.7020893689609222E-3</v>
      </c>
      <c r="Y507" s="4">
        <f t="shared" si="110"/>
        <v>-6.0476466194792937E-3</v>
      </c>
      <c r="Z507" s="4">
        <f t="shared" si="110"/>
        <v>-6.3882006261250035E-3</v>
      </c>
      <c r="AA507" s="4">
        <f t="shared" si="110"/>
        <v>-6.7220744212786211E-3</v>
      </c>
      <c r="AB507" s="4">
        <f t="shared" si="110"/>
        <v>-7.050341383049912E-3</v>
      </c>
      <c r="AC507" s="4">
        <f t="shared" si="110"/>
        <v>-7.3676401262821722E-3</v>
      </c>
      <c r="AD507" s="4">
        <f t="shared" si="110"/>
        <v>-7.6744170133967596E-3</v>
      </c>
      <c r="AE507" s="4">
        <f t="shared" si="110"/>
        <v>-7.9704546325886708E-3</v>
      </c>
      <c r="AF507" s="4">
        <f t="shared" si="110"/>
        <v>-8.2548900813474747E-3</v>
      </c>
      <c r="AG507" s="4">
        <f t="shared" si="110"/>
        <v>-8.526086218077095E-3</v>
      </c>
      <c r="AH507" s="4">
        <f t="shared" si="110"/>
        <v>-8.7814526684271768E-3</v>
      </c>
      <c r="AI507" s="4">
        <f t="shared" si="110"/>
        <v>-9.0172955748153046E-3</v>
      </c>
      <c r="AJ507" s="4">
        <f t="shared" si="110"/>
        <v>-9.2284344710082834E-3</v>
      </c>
      <c r="AK507" s="4">
        <f t="shared" si="110"/>
        <v>-9.406500858821238E-3</v>
      </c>
      <c r="AL507" s="4">
        <f t="shared" si="110"/>
        <v>-9.5365610916335278E-3</v>
      </c>
    </row>
    <row r="508" spans="1:38" x14ac:dyDescent="0.35">
      <c r="B508" t="s">
        <v>74</v>
      </c>
      <c r="C508" s="4">
        <f>(C481-C494)/C$493</f>
        <v>5.0655658519054695E-9</v>
      </c>
      <c r="D508" s="4">
        <f>(D481-D494)/D$492</f>
        <v>8.6858001459797198E-11</v>
      </c>
      <c r="E508" s="4">
        <f t="shared" ref="E508:AL508" si="111">(E481-E494)/E$492</f>
        <v>8.6281801366426352E-11</v>
      </c>
      <c r="F508" s="4">
        <f t="shared" si="111"/>
        <v>8.5683999582904403E-11</v>
      </c>
      <c r="G508" s="4">
        <f t="shared" si="111"/>
        <v>9.1550039664150758E-11</v>
      </c>
      <c r="H508" s="4">
        <f t="shared" si="111"/>
        <v>1.6200991757764133E-10</v>
      </c>
      <c r="I508" s="4">
        <f t="shared" si="111"/>
        <v>9.8428252895295607E-5</v>
      </c>
      <c r="J508" s="4">
        <f t="shared" si="111"/>
        <v>-4.2525297680898134E-4</v>
      </c>
      <c r="K508" s="4">
        <f t="shared" si="111"/>
        <v>-8.4762824618730059E-4</v>
      </c>
      <c r="L508" s="4">
        <f t="shared" si="111"/>
        <v>-5.7926181049296123E-4</v>
      </c>
      <c r="M508" s="4">
        <f t="shared" si="111"/>
        <v>-5.3747339535709978E-5</v>
      </c>
      <c r="N508" s="4">
        <f t="shared" si="111"/>
        <v>9.9162318952940916E-4</v>
      </c>
      <c r="O508" s="4">
        <f t="shared" si="111"/>
        <v>2.4770751367679898E-3</v>
      </c>
      <c r="P508" s="4">
        <f t="shared" si="111"/>
        <v>4.3652373092040028E-3</v>
      </c>
      <c r="Q508" s="4">
        <f t="shared" si="111"/>
        <v>6.636061817706769E-3</v>
      </c>
      <c r="R508" s="4">
        <f t="shared" si="111"/>
        <v>9.2352795190366894E-3</v>
      </c>
      <c r="S508" s="4">
        <f t="shared" si="111"/>
        <v>1.1819765826913253E-2</v>
      </c>
      <c r="T508" s="4">
        <f t="shared" si="111"/>
        <v>1.4316650711768892E-2</v>
      </c>
      <c r="U508" s="4">
        <f t="shared" si="111"/>
        <v>1.6742431373624824E-2</v>
      </c>
      <c r="V508" s="4">
        <f t="shared" si="111"/>
        <v>1.9146782449051703E-2</v>
      </c>
      <c r="W508" s="4">
        <f t="shared" si="111"/>
        <v>2.1590690142376752E-2</v>
      </c>
      <c r="X508" s="4">
        <f t="shared" si="111"/>
        <v>2.4110382562852029E-2</v>
      </c>
      <c r="Y508" s="4">
        <f t="shared" si="111"/>
        <v>2.6741726625303774E-2</v>
      </c>
      <c r="Z508" s="4">
        <f t="shared" si="111"/>
        <v>2.9508034096735886E-2</v>
      </c>
      <c r="AA508" s="4">
        <f t="shared" si="111"/>
        <v>3.2431356495273241E-2</v>
      </c>
      <c r="AB508" s="4">
        <f t="shared" si="111"/>
        <v>3.5561798148437025E-2</v>
      </c>
      <c r="AC508" s="4">
        <f t="shared" si="111"/>
        <v>3.8904990140031522E-2</v>
      </c>
      <c r="AD508" s="4">
        <f t="shared" si="111"/>
        <v>4.2501648358642667E-2</v>
      </c>
      <c r="AE508" s="4">
        <f t="shared" si="111"/>
        <v>4.6386256920726739E-2</v>
      </c>
      <c r="AF508" s="4">
        <f t="shared" si="111"/>
        <v>5.0605864708230267E-2</v>
      </c>
      <c r="AG508" s="4">
        <f t="shared" si="111"/>
        <v>5.5221422691071394E-2</v>
      </c>
      <c r="AH508" s="4">
        <f t="shared" si="111"/>
        <v>6.0314017918629226E-2</v>
      </c>
      <c r="AI508" s="4">
        <f t="shared" si="111"/>
        <v>6.598833476653547E-2</v>
      </c>
      <c r="AJ508" s="4">
        <f t="shared" si="111"/>
        <v>7.2374140911289589E-2</v>
      </c>
      <c r="AK508" s="4">
        <f t="shared" si="111"/>
        <v>7.9650437263423052E-2</v>
      </c>
      <c r="AL508" s="4">
        <f t="shared" si="111"/>
        <v>8.8084509075368009E-2</v>
      </c>
    </row>
    <row r="509" spans="1:38" x14ac:dyDescent="0.35">
      <c r="B509" t="s">
        <v>54</v>
      </c>
      <c r="C509" s="4">
        <f>(C485-C498)/C$492</f>
        <v>1.1200799433448503E-8</v>
      </c>
      <c r="D509" s="4">
        <f>(D485-D498)/D$492</f>
        <v>1.0797113873155884E-8</v>
      </c>
      <c r="E509" s="4">
        <f t="shared" ref="E509:AL509" si="112">(E485-E498)/E$492</f>
        <v>1.0539650137211696E-8</v>
      </c>
      <c r="F509" s="4">
        <f t="shared" si="112"/>
        <v>1.0334816183455631E-8</v>
      </c>
      <c r="G509" s="4">
        <f t="shared" si="112"/>
        <v>1.0286300037146125E-8</v>
      </c>
      <c r="H509" s="4">
        <f t="shared" si="112"/>
        <v>1.0258468586981488E-8</v>
      </c>
      <c r="I509" s="4">
        <f t="shared" si="112"/>
        <v>9.9695462581232325E-5</v>
      </c>
      <c r="J509" s="4">
        <f t="shared" si="112"/>
        <v>-8.3979330262001404E-4</v>
      </c>
      <c r="K509" s="4">
        <f t="shared" si="112"/>
        <v>-1.4380947594077749E-3</v>
      </c>
      <c r="L509" s="4">
        <f t="shared" si="112"/>
        <v>-2.0463403402364039E-3</v>
      </c>
      <c r="M509" s="4">
        <f t="shared" si="112"/>
        <v>-2.5803083341772617E-3</v>
      </c>
      <c r="N509" s="4">
        <f t="shared" si="112"/>
        <v>-2.960518064254809E-3</v>
      </c>
      <c r="O509" s="4">
        <f t="shared" si="112"/>
        <v>-3.3278005752864956E-3</v>
      </c>
      <c r="P509" s="4">
        <f t="shared" si="112"/>
        <v>-3.7412771604349295E-3</v>
      </c>
      <c r="Q509" s="4">
        <f t="shared" si="112"/>
        <v>-4.216354412752382E-3</v>
      </c>
      <c r="R509" s="4">
        <f t="shared" si="112"/>
        <v>-4.7410004023431627E-3</v>
      </c>
      <c r="S509" s="4">
        <f t="shared" si="112"/>
        <v>-5.389497457522068E-3</v>
      </c>
      <c r="T509" s="4">
        <f t="shared" si="112"/>
        <v>-6.0116547274905096E-3</v>
      </c>
      <c r="U509" s="4">
        <f t="shared" si="112"/>
        <v>-6.5651785964663716E-3</v>
      </c>
      <c r="V509" s="4">
        <f t="shared" si="112"/>
        <v>-7.0472310874777708E-3</v>
      </c>
      <c r="W509" s="4">
        <f t="shared" si="112"/>
        <v>-7.4684320065348609E-3</v>
      </c>
      <c r="X509" s="4">
        <f t="shared" si="112"/>
        <v>-7.8409660482040202E-3</v>
      </c>
      <c r="Y509" s="4">
        <f t="shared" si="112"/>
        <v>-8.1916907540688973E-3</v>
      </c>
      <c r="Z509" s="4">
        <f t="shared" si="112"/>
        <v>-8.5404220882578808E-3</v>
      </c>
      <c r="AA509" s="4">
        <f t="shared" si="112"/>
        <v>-8.8959878821613398E-3</v>
      </c>
      <c r="AB509" s="4">
        <f t="shared" si="112"/>
        <v>-9.2651916237227461E-3</v>
      </c>
      <c r="AC509" s="4">
        <f t="shared" si="112"/>
        <v>-9.6499260793954881E-3</v>
      </c>
      <c r="AD509" s="4">
        <f t="shared" si="112"/>
        <v>-1.0061831867196358E-2</v>
      </c>
      <c r="AE509" s="4">
        <f t="shared" si="112"/>
        <v>-1.0510633853869404E-2</v>
      </c>
      <c r="AF509" s="4">
        <f t="shared" si="112"/>
        <v>-1.1013535317258833E-2</v>
      </c>
      <c r="AG509" s="4">
        <f t="shared" si="112"/>
        <v>-1.1594282690745427E-2</v>
      </c>
      <c r="AH509" s="4">
        <f t="shared" si="112"/>
        <v>-1.2281733884254338E-2</v>
      </c>
      <c r="AI509" s="4">
        <f t="shared" si="112"/>
        <v>-1.3113074543954511E-2</v>
      </c>
      <c r="AJ509" s="4">
        <f t="shared" si="112"/>
        <v>-1.4136818430460595E-2</v>
      </c>
      <c r="AK509" s="4">
        <f t="shared" si="112"/>
        <v>-1.5421161348289969E-2</v>
      </c>
      <c r="AL509" s="4">
        <f t="shared" si="112"/>
        <v>-1.7068087416774451E-2</v>
      </c>
    </row>
    <row r="510" spans="1:38" x14ac:dyDescent="0.35">
      <c r="B510" t="s">
        <v>11</v>
      </c>
      <c r="C510" s="4">
        <f>(C486-C499)/C$493</f>
        <v>4.2213048765878908E-9</v>
      </c>
      <c r="D510" s="4">
        <f>(D486-D499)/D$492</f>
        <v>6.6813829017506716E-11</v>
      </c>
      <c r="E510" s="4">
        <f t="shared" ref="E510:AL510" si="113">(E486-E499)/E$492</f>
        <v>6.6370598297580819E-11</v>
      </c>
      <c r="F510" s="4">
        <f t="shared" si="113"/>
        <v>1.3182164589474349E-10</v>
      </c>
      <c r="G510" s="4">
        <f t="shared" si="113"/>
        <v>6.5392885474393391E-11</v>
      </c>
      <c r="H510" s="4">
        <f t="shared" si="113"/>
        <v>6.4803976240254693E-11</v>
      </c>
      <c r="I510" s="4">
        <f t="shared" si="113"/>
        <v>-1.2648645463998712E-4</v>
      </c>
      <c r="J510" s="4">
        <f t="shared" si="113"/>
        <v>9.2362293408209586E-3</v>
      </c>
      <c r="K510" s="4">
        <f t="shared" si="113"/>
        <v>1.9668972373702121E-2</v>
      </c>
      <c r="L510" s="4">
        <f t="shared" si="113"/>
        <v>3.226067325035966E-2</v>
      </c>
      <c r="M510" s="4">
        <f t="shared" si="113"/>
        <v>4.4825808878682045E-2</v>
      </c>
      <c r="N510" s="4">
        <f t="shared" si="113"/>
        <v>5.6166640880792248E-2</v>
      </c>
      <c r="O510" s="4">
        <f t="shared" si="113"/>
        <v>6.6968709363176185E-2</v>
      </c>
      <c r="P510" s="4">
        <f t="shared" si="113"/>
        <v>7.7856723422482954E-2</v>
      </c>
      <c r="Q510" s="4">
        <f t="shared" si="113"/>
        <v>8.9428331081437107E-2</v>
      </c>
      <c r="R510" s="4">
        <f t="shared" si="113"/>
        <v>0.10194642337333239</v>
      </c>
      <c r="S510" s="4">
        <f t="shared" si="113"/>
        <v>0.11505979510784062</v>
      </c>
      <c r="T510" s="4">
        <f t="shared" si="113"/>
        <v>0.12934002469138819</v>
      </c>
      <c r="U510" s="4">
        <f t="shared" si="113"/>
        <v>0.14469184246783565</v>
      </c>
      <c r="V510" s="4">
        <f t="shared" si="113"/>
        <v>0.16118858693199731</v>
      </c>
      <c r="W510" s="4">
        <f t="shared" si="113"/>
        <v>0.17902701242326169</v>
      </c>
      <c r="X510" s="4">
        <f t="shared" si="113"/>
        <v>0.19852232992668159</v>
      </c>
      <c r="Y510" s="4">
        <f t="shared" si="113"/>
        <v>0.22004103903857616</v>
      </c>
      <c r="Z510" s="4">
        <f t="shared" si="113"/>
        <v>0.24394931929758437</v>
      </c>
      <c r="AA510" s="4">
        <f t="shared" si="113"/>
        <v>0.2706904640663223</v>
      </c>
      <c r="AB510" s="4">
        <f t="shared" si="113"/>
        <v>0.30079988443223415</v>
      </c>
      <c r="AC510" s="4">
        <f t="shared" si="113"/>
        <v>0.33533946639350332</v>
      </c>
      <c r="AD510" s="4">
        <f t="shared" si="113"/>
        <v>0.37513576243732499</v>
      </c>
      <c r="AE510" s="4">
        <f t="shared" si="113"/>
        <v>0.4212982192839213</v>
      </c>
      <c r="AF510" s="4">
        <f t="shared" si="113"/>
        <v>0.47521377808786086</v>
      </c>
      <c r="AG510" s="4">
        <f t="shared" si="113"/>
        <v>0.5386963897613356</v>
      </c>
      <c r="AH510" s="4">
        <f t="shared" si="113"/>
        <v>0.61426394138401319</v>
      </c>
      <c r="AI510" s="4">
        <f t="shared" si="113"/>
        <v>0.7054381744812821</v>
      </c>
      <c r="AJ510" s="4">
        <f t="shared" si="113"/>
        <v>0.81713108483609598</v>
      </c>
      <c r="AK510" s="4">
        <f t="shared" si="113"/>
        <v>0.95652308120124274</v>
      </c>
      <c r="AL510" s="4">
        <f t="shared" si="113"/>
        <v>1.134568984261233</v>
      </c>
    </row>
    <row r="511" spans="1:38" x14ac:dyDescent="0.35">
      <c r="B511" t="s">
        <v>75</v>
      </c>
      <c r="C511" s="4">
        <f>(C487-C500)/C$494</f>
        <v>-3.8983077373478467E-11</v>
      </c>
      <c r="D511" s="4">
        <f>(D487-D500)/D$492</f>
        <v>2.0044172442290482E-11</v>
      </c>
      <c r="E511" s="4">
        <f t="shared" ref="E511:AL511" si="114">(E487-E500)/E$492</f>
        <v>-9.2918790457470558E-11</v>
      </c>
      <c r="F511" s="4">
        <f t="shared" si="114"/>
        <v>-1.3182164589474349E-11</v>
      </c>
      <c r="G511" s="4">
        <f t="shared" si="114"/>
        <v>-5.2314308379514714E-11</v>
      </c>
      <c r="H511" s="4">
        <f t="shared" si="114"/>
        <v>-2.0737267792282424E-10</v>
      </c>
      <c r="I511" s="4">
        <f t="shared" si="114"/>
        <v>5.4463811774899488E-5</v>
      </c>
      <c r="J511" s="4">
        <f t="shared" si="114"/>
        <v>-1.571356096712398E-3</v>
      </c>
      <c r="K511" s="4">
        <f t="shared" si="114"/>
        <v>-3.3583106708791458E-3</v>
      </c>
      <c r="L511" s="4">
        <f t="shared" si="114"/>
        <v>-3.969668072819843E-3</v>
      </c>
      <c r="M511" s="4">
        <f t="shared" si="114"/>
        <v>-4.6059858714429924E-3</v>
      </c>
      <c r="N511" s="4">
        <f t="shared" si="114"/>
        <v>-5.15999845040312E-3</v>
      </c>
      <c r="O511" s="4">
        <f t="shared" si="114"/>
        <v>-5.669079240107117E-3</v>
      </c>
      <c r="P511" s="4">
        <f t="shared" si="114"/>
        <v>-6.080073045895089E-3</v>
      </c>
      <c r="Q511" s="4">
        <f t="shared" si="114"/>
        <v>-6.2563239492485654E-3</v>
      </c>
      <c r="R511" s="4">
        <f t="shared" si="114"/>
        <v>-6.1866932562568457E-3</v>
      </c>
      <c r="S511" s="4">
        <f t="shared" si="114"/>
        <v>-6.5942877764225581E-3</v>
      </c>
      <c r="T511" s="4">
        <f t="shared" si="114"/>
        <v>-7.0583828252182013E-3</v>
      </c>
      <c r="U511" s="4">
        <f t="shared" si="114"/>
        <v>-7.5755608686866585E-3</v>
      </c>
      <c r="V511" s="4">
        <f t="shared" si="114"/>
        <v>-8.1085762175141778E-3</v>
      </c>
      <c r="W511" s="4">
        <f t="shared" si="114"/>
        <v>-8.6152433607627789E-3</v>
      </c>
      <c r="X511" s="4">
        <f t="shared" si="114"/>
        <v>-9.0496210431215748E-3</v>
      </c>
      <c r="Y511" s="4">
        <f t="shared" si="114"/>
        <v>-9.3756054939794879E-3</v>
      </c>
      <c r="Z511" s="4">
        <f t="shared" si="114"/>
        <v>-9.5660333655100821E-3</v>
      </c>
      <c r="AA511" s="4">
        <f t="shared" si="114"/>
        <v>-9.5886231958446557E-3</v>
      </c>
      <c r="AB511" s="4">
        <f t="shared" si="114"/>
        <v>-9.4120822192344349E-3</v>
      </c>
      <c r="AC511" s="4">
        <f t="shared" si="114"/>
        <v>-8.8497736586919812E-3</v>
      </c>
      <c r="AD511" s="4">
        <f t="shared" si="114"/>
        <v>-7.9750252292673535E-3</v>
      </c>
      <c r="AE511" s="4">
        <f t="shared" si="114"/>
        <v>-6.7442847143556455E-3</v>
      </c>
      <c r="AF511" s="4">
        <f t="shared" si="114"/>
        <v>-5.1082466671041448E-3</v>
      </c>
      <c r="AG511" s="4">
        <f t="shared" si="114"/>
        <v>-3.0013872814205777E-3</v>
      </c>
      <c r="AH511" s="4">
        <f t="shared" si="114"/>
        <v>-3.2673356322578351E-4</v>
      </c>
      <c r="AI511" s="4">
        <f t="shared" si="114"/>
        <v>3.0505368880533886E-3</v>
      </c>
      <c r="AJ511" s="4">
        <f t="shared" si="114"/>
        <v>7.3163364061066436E-3</v>
      </c>
      <c r="AK511" s="4">
        <f t="shared" si="114"/>
        <v>1.274500169828614E-2</v>
      </c>
      <c r="AL511" s="4">
        <f t="shared" si="114"/>
        <v>1.9755196172707868E-2</v>
      </c>
    </row>
    <row r="513" spans="2:38" x14ac:dyDescent="0.35">
      <c r="B513" s="6" t="str">
        <f>[1]Macro!A100</f>
        <v>y_toe_2</v>
      </c>
      <c r="C513" s="6">
        <f>[1]Macro!B100</f>
        <v>139.4020707</v>
      </c>
      <c r="D513" s="6">
        <f>[1]Macro!C100</f>
        <v>140.45254220000001</v>
      </c>
      <c r="E513" s="6">
        <f>[1]Macro!D100</f>
        <v>141.39329989999999</v>
      </c>
      <c r="F513" s="6">
        <f>[1]Macro!E100</f>
        <v>142.37993420000001</v>
      </c>
      <c r="G513" s="6">
        <f>[1]Macro!F100</f>
        <v>143.5089475</v>
      </c>
      <c r="H513" s="6">
        <f>[1]Macro!G100</f>
        <v>144.8199927</v>
      </c>
      <c r="I513" s="6">
        <f>[1]Macro!H100</f>
        <v>146.26277780000001</v>
      </c>
      <c r="J513" s="6">
        <f>[1]Macro!I100</f>
        <v>148.8861843</v>
      </c>
      <c r="K513" s="6">
        <f>[1]Macro!J100</f>
        <v>151.7292515</v>
      </c>
      <c r="L513" s="6">
        <f>[1]Macro!K100</f>
        <v>155.2295853</v>
      </c>
      <c r="M513" s="6">
        <f>[1]Macro!L100</f>
        <v>158.87420399999999</v>
      </c>
      <c r="N513" s="6">
        <f>[1]Macro!M100</f>
        <v>162.49367910000001</v>
      </c>
      <c r="O513" s="6">
        <f>[1]Macro!N100</f>
        <v>166.11351790000001</v>
      </c>
      <c r="P513" s="6">
        <f>[1]Macro!O100</f>
        <v>169.72726549999999</v>
      </c>
      <c r="Q513" s="6">
        <f>[1]Macro!P100</f>
        <v>173.49427710000001</v>
      </c>
      <c r="R513" s="6">
        <f>[1]Macro!Q100</f>
        <v>177.51291860000001</v>
      </c>
      <c r="S513" s="6">
        <f>[1]Macro!R100</f>
        <v>181.614679</v>
      </c>
      <c r="T513" s="6">
        <f>[1]Macro!S100</f>
        <v>186.05346130000001</v>
      </c>
      <c r="U513" s="6">
        <f>[1]Macro!T100</f>
        <v>190.88622960000001</v>
      </c>
      <c r="V513" s="6">
        <f>[1]Macro!U100</f>
        <v>196.1777768</v>
      </c>
      <c r="W513" s="6">
        <f>[1]Macro!V100</f>
        <v>201.97299820000001</v>
      </c>
      <c r="X513" s="6">
        <f>[1]Macro!W100</f>
        <v>208.4295032</v>
      </c>
      <c r="Y513" s="6">
        <f>[1]Macro!X100</f>
        <v>215.66497390000001</v>
      </c>
      <c r="Z513" s="6">
        <f>[1]Macro!Y100</f>
        <v>223.7995195</v>
      </c>
      <c r="AA513" s="6">
        <f>[1]Macro!Z100</f>
        <v>232.95943689999999</v>
      </c>
      <c r="AB513" s="6">
        <f>[1]Macro!AA100</f>
        <v>243.17502820000001</v>
      </c>
      <c r="AC513" s="6">
        <f>[1]Macro!AB100</f>
        <v>254.85336520000001</v>
      </c>
      <c r="AD513" s="6">
        <f>[1]Macro!AC100</f>
        <v>268.23286089999999</v>
      </c>
      <c r="AE513" s="6">
        <f>[1]Macro!AD100</f>
        <v>283.6300263</v>
      </c>
      <c r="AF513" s="6">
        <f>[1]Macro!AE100</f>
        <v>301.38781210000002</v>
      </c>
      <c r="AG513" s="6">
        <f>[1]Macro!AF100</f>
        <v>321.93658269999997</v>
      </c>
      <c r="AH513" s="6">
        <f>[1]Macro!AG100</f>
        <v>345.89454669999998</v>
      </c>
      <c r="AI513" s="6">
        <f>[1]Macro!AH100</f>
        <v>374.15332339999998</v>
      </c>
      <c r="AJ513" s="6">
        <f>[1]Macro!AI100</f>
        <v>407.97448259999999</v>
      </c>
      <c r="AK513" s="6">
        <f>[1]Macro!AJ100</f>
        <v>449.21337199999999</v>
      </c>
      <c r="AL513" s="6">
        <f>[1]Macro!AK100</f>
        <v>500.71002759999999</v>
      </c>
    </row>
    <row r="514" spans="2:38" x14ac:dyDescent="0.35">
      <c r="B514" s="6" t="str">
        <f>[1]Macro!A101</f>
        <v>m_toe_2</v>
      </c>
      <c r="C514" s="6">
        <f>[1]Macro!B101</f>
        <v>150.64917399999999</v>
      </c>
      <c r="D514" s="6">
        <f>[1]Macro!C101</f>
        <v>151.0937083</v>
      </c>
      <c r="E514" s="6">
        <f>[1]Macro!D101</f>
        <v>151.41638699999999</v>
      </c>
      <c r="F514" s="6">
        <f>[1]Macro!E101</f>
        <v>151.63132959999999</v>
      </c>
      <c r="G514" s="6">
        <f>[1]Macro!F101</f>
        <v>152.37310529999999</v>
      </c>
      <c r="H514" s="6">
        <f>[1]Macro!G101</f>
        <v>153.54362</v>
      </c>
      <c r="I514" s="6">
        <f>[1]Macro!H101</f>
        <v>155.0231885</v>
      </c>
      <c r="J514" s="6">
        <f>[1]Macro!I101</f>
        <v>153.68654269999999</v>
      </c>
      <c r="K514" s="6">
        <f>[1]Macro!J101</f>
        <v>152.11857710000001</v>
      </c>
      <c r="L514" s="6">
        <f>[1]Macro!K101</f>
        <v>151.11532700000001</v>
      </c>
      <c r="M514" s="6">
        <f>[1]Macro!L101</f>
        <v>150.32635239999999</v>
      </c>
      <c r="N514" s="6">
        <f>[1]Macro!M101</f>
        <v>149.90700849999999</v>
      </c>
      <c r="O514" s="6">
        <f>[1]Macro!N101</f>
        <v>149.68611150000001</v>
      </c>
      <c r="P514" s="6">
        <f>[1]Macro!O101</f>
        <v>149.52226289999999</v>
      </c>
      <c r="Q514" s="6">
        <f>[1]Macro!P101</f>
        <v>149.4532308</v>
      </c>
      <c r="R514" s="6">
        <f>[1]Macro!Q101</f>
        <v>149.50320360000001</v>
      </c>
      <c r="S514" s="6">
        <f>[1]Macro!R101</f>
        <v>149.4453547</v>
      </c>
      <c r="T514" s="6">
        <f>[1]Macro!S101</f>
        <v>149.41831909999999</v>
      </c>
      <c r="U514" s="6">
        <f>[1]Macro!T101</f>
        <v>149.48081429999999</v>
      </c>
      <c r="V514" s="6">
        <f>[1]Macro!U101</f>
        <v>149.66985700000001</v>
      </c>
      <c r="W514" s="6">
        <f>[1]Macro!V101</f>
        <v>149.9927021</v>
      </c>
      <c r="X514" s="6">
        <f>[1]Macro!W101</f>
        <v>150.51717120000001</v>
      </c>
      <c r="Y514" s="6">
        <f>[1]Macro!X101</f>
        <v>151.27111310000001</v>
      </c>
      <c r="Z514" s="6">
        <f>[1]Macro!Y101</f>
        <v>152.27582390000001</v>
      </c>
      <c r="AA514" s="6">
        <f>[1]Macro!Z101</f>
        <v>153.54409580000001</v>
      </c>
      <c r="AB514" s="6">
        <f>[1]Macro!AA101</f>
        <v>155.0196262</v>
      </c>
      <c r="AC514" s="6">
        <f>[1]Macro!AB101</f>
        <v>156.82924840000001</v>
      </c>
      <c r="AD514" s="6">
        <f>[1]Macro!AC101</f>
        <v>159.0041263</v>
      </c>
      <c r="AE514" s="6">
        <f>[1]Macro!AD101</f>
        <v>161.5812152</v>
      </c>
      <c r="AF514" s="6">
        <f>[1]Macro!AE101</f>
        <v>164.5736235</v>
      </c>
      <c r="AG514" s="6">
        <f>[1]Macro!AF101</f>
        <v>167.99228539999999</v>
      </c>
      <c r="AH514" s="6">
        <f>[1]Macro!AG101</f>
        <v>171.8765539</v>
      </c>
      <c r="AI514" s="6">
        <f>[1]Macro!AH101</f>
        <v>176.306196</v>
      </c>
      <c r="AJ514" s="6">
        <f>[1]Macro!AI101</f>
        <v>181.40646079999999</v>
      </c>
      <c r="AK514" s="6">
        <f>[1]Macro!AJ101</f>
        <v>187.37427149999999</v>
      </c>
      <c r="AL514" s="6">
        <f>[1]Macro!AK101</f>
        <v>194.52465029999999</v>
      </c>
    </row>
    <row r="515" spans="2:38" x14ac:dyDescent="0.35">
      <c r="B515" s="6" t="str">
        <f>[1]Macro!A102</f>
        <v>ci_toe_2</v>
      </c>
      <c r="C515" s="6">
        <f>[1]Macro!B102</f>
        <v>192.35883190000001</v>
      </c>
      <c r="D515" s="6">
        <f>[1]Macro!C102</f>
        <v>193.71082100000001</v>
      </c>
      <c r="E515" s="6">
        <f>[1]Macro!D102</f>
        <v>194.94587580000001</v>
      </c>
      <c r="F515" s="6">
        <f>[1]Macro!E102</f>
        <v>196.11533969999999</v>
      </c>
      <c r="G515" s="6">
        <f>[1]Macro!F102</f>
        <v>197.71929919999999</v>
      </c>
      <c r="H515" s="6">
        <f>[1]Macro!G102</f>
        <v>199.76502919999999</v>
      </c>
      <c r="I515" s="6">
        <f>[1]Macro!H102</f>
        <v>202.14722599999999</v>
      </c>
      <c r="J515" s="6">
        <f>[1]Macro!I102</f>
        <v>203.39351490000001</v>
      </c>
      <c r="K515" s="6">
        <f>[1]Macro!J102</f>
        <v>204.60616669999999</v>
      </c>
      <c r="L515" s="6">
        <f>[1]Macro!K102</f>
        <v>206.74729780000001</v>
      </c>
      <c r="M515" s="6">
        <f>[1]Macro!L102</f>
        <v>209.2625616</v>
      </c>
      <c r="N515" s="6">
        <f>[1]Macro!M102</f>
        <v>212.07911519999999</v>
      </c>
      <c r="O515" s="6">
        <f>[1]Macro!N102</f>
        <v>215.077225</v>
      </c>
      <c r="P515" s="6">
        <f>[1]Macro!O102</f>
        <v>218.12798309999999</v>
      </c>
      <c r="Q515" s="6">
        <f>[1]Macro!P102</f>
        <v>221.36147700000001</v>
      </c>
      <c r="R515" s="6">
        <f>[1]Macro!Q102</f>
        <v>224.87994549999999</v>
      </c>
      <c r="S515" s="6">
        <f>[1]Macro!R102</f>
        <v>228.57268379999999</v>
      </c>
      <c r="T515" s="6">
        <f>[1]Macro!S102</f>
        <v>232.5926116</v>
      </c>
      <c r="U515" s="6">
        <f>[1]Macro!T102</f>
        <v>237.0483006</v>
      </c>
      <c r="V515" s="6">
        <f>[1]Macro!U102</f>
        <v>242.03652020000001</v>
      </c>
      <c r="W515" s="6">
        <f>[1]Macro!V102</f>
        <v>247.61790060000001</v>
      </c>
      <c r="X515" s="6">
        <f>[1]Macro!W102</f>
        <v>253.97903260000001</v>
      </c>
      <c r="Y515" s="6">
        <f>[1]Macro!X102</f>
        <v>261.26138630000003</v>
      </c>
      <c r="Z515" s="6">
        <f>[1]Macro!Y102</f>
        <v>269.60490379999999</v>
      </c>
      <c r="AA515" s="6">
        <f>[1]Macro!Z102</f>
        <v>279.14970169999998</v>
      </c>
      <c r="AB515" s="6">
        <f>[1]Macro!AA102</f>
        <v>289.91714530000002</v>
      </c>
      <c r="AC515" s="6">
        <f>[1]Macro!AB102</f>
        <v>302.30666330000003</v>
      </c>
      <c r="AD515" s="6">
        <f>[1]Macro!AC102</f>
        <v>316.63528430000002</v>
      </c>
      <c r="AE515" s="6">
        <f>[1]Macro!AD102</f>
        <v>333.25507820000001</v>
      </c>
      <c r="AF515" s="6">
        <f>[1]Macro!AE102</f>
        <v>352.53609990000001</v>
      </c>
      <c r="AG515" s="6">
        <f>[1]Macro!AF102</f>
        <v>374.93736560000002</v>
      </c>
      <c r="AH515" s="6">
        <f>[1]Macro!AG102</f>
        <v>401.124461</v>
      </c>
      <c r="AI515" s="6">
        <f>[1]Macro!AH102</f>
        <v>432.0700938</v>
      </c>
      <c r="AJ515" s="6">
        <f>[1]Macro!AI102</f>
        <v>469.1653149</v>
      </c>
      <c r="AK515" s="6">
        <f>[1]Macro!AJ102</f>
        <v>514.46635070000002</v>
      </c>
      <c r="AL515" s="6">
        <f>[1]Macro!AK102</f>
        <v>571.13047759999995</v>
      </c>
    </row>
    <row r="516" spans="2:3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63.916926250000003</v>
      </c>
      <c r="E516" s="6">
        <f>[1]Macro!D103</f>
        <v>63.417061769999997</v>
      </c>
      <c r="F516" s="6">
        <f>[1]Macro!E103</f>
        <v>62.919764360000002</v>
      </c>
      <c r="G516" s="6">
        <f>[1]Macro!F103</f>
        <v>62.64937381</v>
      </c>
      <c r="H516" s="6">
        <f>[1]Macro!G103</f>
        <v>62.537234290000001</v>
      </c>
      <c r="I516" s="6">
        <f>[1]Macro!H103</f>
        <v>62.51770793</v>
      </c>
      <c r="J516" s="6">
        <f>[1]Macro!I103</f>
        <v>61.981808059999999</v>
      </c>
      <c r="K516" s="6">
        <f>[1]Macro!J103</f>
        <v>61.40800428</v>
      </c>
      <c r="L516" s="6">
        <f>[1]Macro!K103</f>
        <v>60.784545360000003</v>
      </c>
      <c r="M516" s="6">
        <f>[1]Macro!L103</f>
        <v>60.135343159999998</v>
      </c>
      <c r="N516" s="6">
        <f>[1]Macro!M103</f>
        <v>59.5450059</v>
      </c>
      <c r="O516" s="6">
        <f>[1]Macro!N103</f>
        <v>59.035825840000001</v>
      </c>
      <c r="P516" s="6">
        <f>[1]Macro!O103</f>
        <v>58.621501819999999</v>
      </c>
      <c r="Q516" s="6">
        <f>[1]Macro!P103</f>
        <v>58.299969699999998</v>
      </c>
      <c r="R516" s="6">
        <f>[1]Macro!Q103</f>
        <v>58.059952729999999</v>
      </c>
      <c r="S516" s="6">
        <f>[1]Macro!R103</f>
        <v>57.842968290000002</v>
      </c>
      <c r="T516" s="6">
        <f>[1]Macro!S103</f>
        <v>57.642623489999998</v>
      </c>
      <c r="U516" s="6">
        <f>[1]Macro!T103</f>
        <v>57.45562563</v>
      </c>
      <c r="V516" s="6">
        <f>[1]Macro!U103</f>
        <v>57.283701090000001</v>
      </c>
      <c r="W516" s="6">
        <f>[1]Macro!V103</f>
        <v>57.114276599999997</v>
      </c>
      <c r="X516" s="6">
        <f>[1]Macro!W103</f>
        <v>56.981123510000003</v>
      </c>
      <c r="Y516" s="6">
        <f>[1]Macro!X103</f>
        <v>56.880426399999997</v>
      </c>
      <c r="Z516" s="6">
        <f>[1]Macro!Y103</f>
        <v>56.813382109999999</v>
      </c>
      <c r="AA516" s="6">
        <f>[1]Macro!Z103</f>
        <v>56.784098710000002</v>
      </c>
      <c r="AB516" s="6">
        <f>[1]Macro!AA103</f>
        <v>56.747706979999997</v>
      </c>
      <c r="AC516" s="6">
        <f>[1]Macro!AB103</f>
        <v>56.759053399999999</v>
      </c>
      <c r="AD516" s="6">
        <f>[1]Macro!AC103</f>
        <v>56.819020119999998</v>
      </c>
      <c r="AE516" s="6">
        <f>[1]Macro!AD103</f>
        <v>56.929874239999997</v>
      </c>
      <c r="AF516" s="6">
        <f>[1]Macro!AE103</f>
        <v>57.094329209999998</v>
      </c>
      <c r="AG516" s="6">
        <f>[1]Macro!AF103</f>
        <v>57.314716079999997</v>
      </c>
      <c r="AH516" s="6">
        <f>[1]Macro!AG103</f>
        <v>57.592528450000003</v>
      </c>
      <c r="AI516" s="6">
        <f>[1]Macro!AH103</f>
        <v>57.928684859999997</v>
      </c>
      <c r="AJ516" s="6">
        <f>[1]Macro!AI103</f>
        <v>58.325602449999998</v>
      </c>
      <c r="AK516" s="6">
        <f>[1]Macro!AJ103</f>
        <v>58.788110920000001</v>
      </c>
      <c r="AL516" s="6">
        <f>[1]Macro!AK103</f>
        <v>59.32462881</v>
      </c>
    </row>
    <row r="517" spans="2:38" x14ac:dyDescent="0.35">
      <c r="B517" s="6" t="str">
        <f>[1]Macro!A104</f>
        <v>x_toe_2</v>
      </c>
      <c r="C517" s="6">
        <f>[1]Macro!B104</f>
        <v>33.390972560000002</v>
      </c>
      <c r="D517" s="6">
        <f>[1]Macro!C104</f>
        <v>33.918503209999997</v>
      </c>
      <c r="E517" s="6">
        <f>[1]Macro!D104</f>
        <v>34.446749310000001</v>
      </c>
      <c r="F517" s="6">
        <f>[1]Macro!E104</f>
        <v>34.976159780000003</v>
      </c>
      <c r="G517" s="6">
        <f>[1]Macro!F104</f>
        <v>35.513379819999997</v>
      </c>
      <c r="H517" s="6">
        <f>[1]Macro!G104</f>
        <v>36.06134926</v>
      </c>
      <c r="I517" s="6">
        <f>[1]Macro!H104</f>
        <v>36.621032339999999</v>
      </c>
      <c r="J517" s="6">
        <f>[1]Macro!I104</f>
        <v>37.197404089999999</v>
      </c>
      <c r="K517" s="6">
        <f>[1]Macro!J104</f>
        <v>37.833657619999997</v>
      </c>
      <c r="L517" s="6">
        <f>[1]Macro!K104</f>
        <v>38.813069210000002</v>
      </c>
      <c r="M517" s="6">
        <f>[1]Macro!L104</f>
        <v>39.802651740000002</v>
      </c>
      <c r="N517" s="6">
        <f>[1]Macro!M104</f>
        <v>40.776566539999997</v>
      </c>
      <c r="O517" s="6">
        <f>[1]Macro!N104</f>
        <v>41.686578519999998</v>
      </c>
      <c r="P517" s="6">
        <f>[1]Macro!O104</f>
        <v>42.500043470000001</v>
      </c>
      <c r="Q517" s="6">
        <f>[1]Macro!P104</f>
        <v>43.286061150000002</v>
      </c>
      <c r="R517" s="6">
        <f>[1]Macro!Q104</f>
        <v>44.076224000000003</v>
      </c>
      <c r="S517" s="6">
        <f>[1]Macro!R104</f>
        <v>44.644381639999999</v>
      </c>
      <c r="T517" s="6">
        <f>[1]Macro!S104</f>
        <v>45.236545300000003</v>
      </c>
      <c r="U517" s="6">
        <f>[1]Macro!T104</f>
        <v>45.863117549999998</v>
      </c>
      <c r="V517" s="6">
        <f>[1]Macro!U104</f>
        <v>46.527412439999999</v>
      </c>
      <c r="W517" s="6">
        <f>[1]Macro!V104</f>
        <v>47.233523079999998</v>
      </c>
      <c r="X517" s="6">
        <f>[1]Macro!W104</f>
        <v>47.986518330000003</v>
      </c>
      <c r="Y517" s="6">
        <f>[1]Macro!X104</f>
        <v>48.79427432</v>
      </c>
      <c r="Z517" s="6">
        <f>[1]Macro!Y104</f>
        <v>49.657057590000001</v>
      </c>
      <c r="AA517" s="6">
        <f>[1]Macro!Z104</f>
        <v>50.569732350000002</v>
      </c>
      <c r="AB517" s="6">
        <f>[1]Macro!AA104</f>
        <v>51.52980213</v>
      </c>
      <c r="AC517" s="6">
        <f>[1]Macro!AB104</f>
        <v>52.616896910000001</v>
      </c>
      <c r="AD517" s="6">
        <f>[1]Macro!AC104</f>
        <v>53.782682729999998</v>
      </c>
      <c r="AE517" s="6">
        <f>[1]Macro!AD104</f>
        <v>55.026289069999997</v>
      </c>
      <c r="AF517" s="6">
        <f>[1]Macro!AE104</f>
        <v>56.331006389999999</v>
      </c>
      <c r="AG517" s="6">
        <f>[1]Macro!AF104</f>
        <v>57.67678635</v>
      </c>
      <c r="AH517" s="6">
        <f>[1]Macro!AG104</f>
        <v>59.054111159999998</v>
      </c>
      <c r="AI517" s="6">
        <f>[1]Macro!AH104</f>
        <v>60.460740680000001</v>
      </c>
      <c r="AJ517" s="6">
        <f>[1]Macro!AI104</f>
        <v>61.890026040000002</v>
      </c>
      <c r="AK517" s="6">
        <f>[1]Macro!AJ104</f>
        <v>63.333181860000003</v>
      </c>
      <c r="AL517" s="6">
        <f>[1]Macro!AK104</f>
        <v>64.779571469999993</v>
      </c>
    </row>
    <row r="518" spans="2:3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</row>
    <row r="519" spans="2:38" x14ac:dyDescent="0.35">
      <c r="B519" s="6" t="str">
        <f>[1]Macro!A105</f>
        <v>y_toe_0</v>
      </c>
      <c r="C519" s="6">
        <f>[1]Macro!B105</f>
        <v>139.4020707</v>
      </c>
      <c r="D519" s="6">
        <f>[1]Macro!C105</f>
        <v>140.45254209999999</v>
      </c>
      <c r="E519" s="6">
        <f>[1]Macro!D105</f>
        <v>141.39329989999999</v>
      </c>
      <c r="F519" s="6">
        <f>[1]Macro!E105</f>
        <v>142.37993420000001</v>
      </c>
      <c r="G519" s="6">
        <f>[1]Macro!F105</f>
        <v>143.5089475</v>
      </c>
      <c r="H519" s="6">
        <f>[1]Macro!G105</f>
        <v>144.8199927</v>
      </c>
      <c r="I519" s="6">
        <f>[1]Macro!H105</f>
        <v>146.24419739999999</v>
      </c>
      <c r="J519" s="6">
        <f>[1]Macro!I105</f>
        <v>147.73624290000001</v>
      </c>
      <c r="K519" s="6">
        <f>[1]Macro!J105</f>
        <v>149.26423560000001</v>
      </c>
      <c r="L519" s="6">
        <f>[1]Macro!K105</f>
        <v>150.8126522</v>
      </c>
      <c r="M519" s="6">
        <f>[1]Macro!L105</f>
        <v>152.42573580000001</v>
      </c>
      <c r="N519" s="6">
        <f>[1]Macro!M105</f>
        <v>154.02928850000001</v>
      </c>
      <c r="O519" s="6">
        <f>[1]Macro!N105</f>
        <v>155.5897338</v>
      </c>
      <c r="P519" s="6">
        <f>[1]Macro!O105</f>
        <v>157.01918670000001</v>
      </c>
      <c r="Q519" s="6">
        <f>[1]Macro!P105</f>
        <v>158.36655970000001</v>
      </c>
      <c r="R519" s="6">
        <f>[1]Macro!Q105</f>
        <v>159.68864740000001</v>
      </c>
      <c r="S519" s="6">
        <f>[1]Macro!R105</f>
        <v>161.05752459999999</v>
      </c>
      <c r="T519" s="6">
        <f>[1]Macro!S105</f>
        <v>162.54900950000001</v>
      </c>
      <c r="U519" s="6">
        <f>[1]Macro!T105</f>
        <v>164.2084275</v>
      </c>
      <c r="V519" s="6">
        <f>[1]Macro!U105</f>
        <v>166.05555100000001</v>
      </c>
      <c r="W519" s="6">
        <f>[1]Macro!V105</f>
        <v>168.07300760000001</v>
      </c>
      <c r="X519" s="6">
        <f>[1]Macro!W105</f>
        <v>170.32022330000001</v>
      </c>
      <c r="Y519" s="6">
        <f>[1]Macro!X105</f>
        <v>172.8134273</v>
      </c>
      <c r="Z519" s="6">
        <f>[1]Macro!Y105</f>
        <v>175.56630730000001</v>
      </c>
      <c r="AA519" s="6">
        <f>[1]Macro!Z105</f>
        <v>178.5779694</v>
      </c>
      <c r="AB519" s="6">
        <f>[1]Macro!AA105</f>
        <v>181.75338840000001</v>
      </c>
      <c r="AC519" s="6">
        <f>[1]Macro!AB105</f>
        <v>185.18572470000001</v>
      </c>
      <c r="AD519" s="6">
        <f>[1]Macro!AC105</f>
        <v>188.8871666</v>
      </c>
      <c r="AE519" s="6">
        <f>[1]Macro!AD105</f>
        <v>192.85702069999999</v>
      </c>
      <c r="AF519" s="6">
        <f>[1]Macro!AE105</f>
        <v>197.05647329999999</v>
      </c>
      <c r="AG519" s="6">
        <f>[1]Macro!AF105</f>
        <v>201.4297277</v>
      </c>
      <c r="AH519" s="6">
        <f>[1]Macro!AG105</f>
        <v>205.92727210000001</v>
      </c>
      <c r="AI519" s="6">
        <f>[1]Macro!AH105</f>
        <v>210.50985460000001</v>
      </c>
      <c r="AJ519" s="6">
        <f>[1]Macro!AI105</f>
        <v>215.142281</v>
      </c>
      <c r="AK519" s="6">
        <f>[1]Macro!AJ105</f>
        <v>219.79067330000001</v>
      </c>
      <c r="AL519" s="6">
        <f>[1]Macro!AK105</f>
        <v>224.421404</v>
      </c>
    </row>
    <row r="520" spans="2:38" x14ac:dyDescent="0.35">
      <c r="B520" s="6" t="str">
        <f>[1]Macro!A106</f>
        <v>m_toe_0</v>
      </c>
      <c r="C520" s="6">
        <f>[1]Macro!B106</f>
        <v>150.64917389999999</v>
      </c>
      <c r="D520" s="6">
        <f>[1]Macro!C106</f>
        <v>151.0937084</v>
      </c>
      <c r="E520" s="6">
        <f>[1]Macro!D106</f>
        <v>151.4163872</v>
      </c>
      <c r="F520" s="6">
        <f>[1]Macro!E106</f>
        <v>151.63132999999999</v>
      </c>
      <c r="G520" s="6">
        <f>[1]Macro!F106</f>
        <v>152.37310579999999</v>
      </c>
      <c r="H520" s="6">
        <f>[1]Macro!G106</f>
        <v>153.5436206</v>
      </c>
      <c r="I520" s="6">
        <f>[1]Macro!H106</f>
        <v>154.66241500000001</v>
      </c>
      <c r="J520" s="6">
        <f>[1]Macro!I106</f>
        <v>155.7254868</v>
      </c>
      <c r="K520" s="6">
        <f>[1]Macro!J106</f>
        <v>156.7439382</v>
      </c>
      <c r="L520" s="6">
        <f>[1]Macro!K106</f>
        <v>157.7421664</v>
      </c>
      <c r="M520" s="6">
        <f>[1]Macro!L106</f>
        <v>158.78720279999999</v>
      </c>
      <c r="N520" s="6">
        <f>[1]Macro!M106</f>
        <v>159.8342342</v>
      </c>
      <c r="O520" s="6">
        <f>[1]Macro!N106</f>
        <v>160.85908140000001</v>
      </c>
      <c r="P520" s="6">
        <f>[1]Macro!O106</f>
        <v>161.77472259999999</v>
      </c>
      <c r="Q520" s="6">
        <f>[1]Macro!P106</f>
        <v>162.6241866</v>
      </c>
      <c r="R520" s="6">
        <f>[1]Macro!Q106</f>
        <v>163.46338030000001</v>
      </c>
      <c r="S520" s="6">
        <f>[1]Macro!R106</f>
        <v>164.5701042</v>
      </c>
      <c r="T520" s="6">
        <f>[1]Macro!S106</f>
        <v>165.95095459999999</v>
      </c>
      <c r="U520" s="6">
        <f>[1]Macro!T106</f>
        <v>167.6022792</v>
      </c>
      <c r="V520" s="6">
        <f>[1]Macro!U106</f>
        <v>169.50912500000001</v>
      </c>
      <c r="W520" s="6">
        <f>[1]Macro!V106</f>
        <v>171.63366769999999</v>
      </c>
      <c r="X520" s="6">
        <f>[1]Macro!W106</f>
        <v>174.01155449999999</v>
      </c>
      <c r="Y520" s="6">
        <f>[1]Macro!X106</f>
        <v>176.65067099999999</v>
      </c>
      <c r="Z520" s="6">
        <f>[1]Macro!Y106</f>
        <v>179.5589573</v>
      </c>
      <c r="AA520" s="6">
        <f>[1]Macro!Z106</f>
        <v>182.73273169999999</v>
      </c>
      <c r="AB520" s="6">
        <f>[1]Macro!AA106</f>
        <v>186.0883355</v>
      </c>
      <c r="AC520" s="6">
        <f>[1]Macro!AB106</f>
        <v>189.70463950000001</v>
      </c>
      <c r="AD520" s="6">
        <f>[1]Macro!AC106</f>
        <v>193.60086860000001</v>
      </c>
      <c r="AE520" s="6">
        <f>[1]Macro!AD106</f>
        <v>197.7833388</v>
      </c>
      <c r="AF520" s="6">
        <f>[1]Macro!AE106</f>
        <v>202.22140909999999</v>
      </c>
      <c r="AG520" s="6">
        <f>[1]Macro!AF106</f>
        <v>206.86430680000001</v>
      </c>
      <c r="AH520" s="6">
        <f>[1]Macro!AG106</f>
        <v>211.6641132</v>
      </c>
      <c r="AI520" s="6">
        <f>[1]Macro!AH106</f>
        <v>216.5813861</v>
      </c>
      <c r="AJ520" s="6">
        <f>[1]Macro!AI106</f>
        <v>221.57957579999999</v>
      </c>
      <c r="AK520" s="6">
        <f>[1]Macro!AJ106</f>
        <v>226.6219055</v>
      </c>
      <c r="AL520" s="6">
        <f>[1]Macro!AK106</f>
        <v>231.67015950000001</v>
      </c>
    </row>
    <row r="521" spans="2:38" x14ac:dyDescent="0.35">
      <c r="B521" s="6" t="str">
        <f>[1]Macro!A107</f>
        <v>ci_toe_0</v>
      </c>
      <c r="C521" s="6">
        <f>[1]Macro!B107</f>
        <v>192.35883179999999</v>
      </c>
      <c r="D521" s="6">
        <f>[1]Macro!C107</f>
        <v>193.71082100000001</v>
      </c>
      <c r="E521" s="6">
        <f>[1]Macro!D107</f>
        <v>194.9458759</v>
      </c>
      <c r="F521" s="6">
        <f>[1]Macro!E107</f>
        <v>196.11533979999999</v>
      </c>
      <c r="G521" s="6">
        <f>[1]Macro!F107</f>
        <v>197.71929940000001</v>
      </c>
      <c r="H521" s="6">
        <f>[1]Macro!G107</f>
        <v>199.7650295</v>
      </c>
      <c r="I521" s="6">
        <f>[1]Macro!H107</f>
        <v>201.91582629999999</v>
      </c>
      <c r="J521" s="6">
        <f>[1]Macro!I107</f>
        <v>204.08800020000001</v>
      </c>
      <c r="K521" s="6">
        <f>[1]Macro!J107</f>
        <v>206.2445754</v>
      </c>
      <c r="L521" s="6">
        <f>[1]Macro!K107</f>
        <v>208.38497430000001</v>
      </c>
      <c r="M521" s="6">
        <f>[1]Macro!L107</f>
        <v>210.5896553</v>
      </c>
      <c r="N521" s="6">
        <f>[1]Macro!M107</f>
        <v>212.78046950000001</v>
      </c>
      <c r="O521" s="6">
        <f>[1]Macro!N107</f>
        <v>214.90815380000001</v>
      </c>
      <c r="P521" s="6">
        <f>[1]Macro!O107</f>
        <v>216.82492500000001</v>
      </c>
      <c r="Q521" s="6">
        <f>[1]Macro!P107</f>
        <v>218.59867689999999</v>
      </c>
      <c r="R521" s="6">
        <f>[1]Macro!Q107</f>
        <v>220.32612069999999</v>
      </c>
      <c r="S521" s="6">
        <f>[1]Macro!R107</f>
        <v>222.2510589</v>
      </c>
      <c r="T521" s="6">
        <f>[1]Macro!S107</f>
        <v>224.48381800000001</v>
      </c>
      <c r="U521" s="6">
        <f>[1]Macro!T107</f>
        <v>227.0843903</v>
      </c>
      <c r="V521" s="6">
        <f>[1]Macro!U107</f>
        <v>230.07206020000001</v>
      </c>
      <c r="W521" s="6">
        <f>[1]Macro!V107</f>
        <v>233.41478040000001</v>
      </c>
      <c r="X521" s="6">
        <f>[1]Macro!W107</f>
        <v>237.18220249999999</v>
      </c>
      <c r="Y521" s="6">
        <f>[1]Macro!X107</f>
        <v>241.3929613</v>
      </c>
      <c r="Z521" s="6">
        <f>[1]Macro!Y107</f>
        <v>246.06170750000001</v>
      </c>
      <c r="AA521" s="6">
        <f>[1]Macro!Z107</f>
        <v>251.1855467</v>
      </c>
      <c r="AB521" s="6">
        <f>[1]Macro!AA107</f>
        <v>256.63586270000002</v>
      </c>
      <c r="AC521" s="6">
        <f>[1]Macro!AB107</f>
        <v>262.53440399999999</v>
      </c>
      <c r="AD521" s="6">
        <f>[1]Macro!AC107</f>
        <v>268.9082737</v>
      </c>
      <c r="AE521" s="6">
        <f>[1]Macro!AD107</f>
        <v>275.76318270000002</v>
      </c>
      <c r="AF521" s="6">
        <f>[1]Macro!AE107</f>
        <v>283.0408759</v>
      </c>
      <c r="AG521" s="6">
        <f>[1]Macro!AF107</f>
        <v>290.64928579999997</v>
      </c>
      <c r="AH521" s="6">
        <f>[1]Macro!AG107</f>
        <v>298.50232720000002</v>
      </c>
      <c r="AI521" s="6">
        <f>[1]Macro!AH107</f>
        <v>306.52907970000001</v>
      </c>
      <c r="AJ521" s="6">
        <f>[1]Macro!AI107</f>
        <v>314.66479220000002</v>
      </c>
      <c r="AK521" s="6">
        <f>[1]Macro!AJ107</f>
        <v>322.8461289</v>
      </c>
      <c r="AL521" s="6">
        <f>[1]Macro!AK107</f>
        <v>331.00928950000002</v>
      </c>
    </row>
    <row r="522" spans="2:3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63.916926349999997</v>
      </c>
      <c r="E522" s="6">
        <f>[1]Macro!D108</f>
        <v>63.417061930000003</v>
      </c>
      <c r="F522" s="6">
        <f>[1]Macro!E108</f>
        <v>62.91976459</v>
      </c>
      <c r="G522" s="6">
        <f>[1]Macro!F108</f>
        <v>62.64937406</v>
      </c>
      <c r="H522" s="6">
        <f>[1]Macro!G108</f>
        <v>62.53723454</v>
      </c>
      <c r="I522" s="6">
        <f>[1]Macro!H108</f>
        <v>62.373026189999997</v>
      </c>
      <c r="J522" s="6">
        <f>[1]Macro!I108</f>
        <v>62.192817609999999</v>
      </c>
      <c r="K522" s="6">
        <f>[1]Macro!J108</f>
        <v>62.013502219999999</v>
      </c>
      <c r="L522" s="6">
        <f>[1]Macro!K108</f>
        <v>61.844335119999997</v>
      </c>
      <c r="M522" s="6">
        <f>[1]Macro!L108</f>
        <v>61.715362159999998</v>
      </c>
      <c r="N522" s="6">
        <f>[1]Macro!M108</f>
        <v>61.58556669</v>
      </c>
      <c r="O522" s="6">
        <f>[1]Macro!N108</f>
        <v>61.46116602</v>
      </c>
      <c r="P522" s="6">
        <f>[1]Macro!O108</f>
        <v>61.346177699999998</v>
      </c>
      <c r="Q522" s="6">
        <f>[1]Macro!P108</f>
        <v>61.240763129999998</v>
      </c>
      <c r="R522" s="6">
        <f>[1]Macro!Q108</f>
        <v>61.142803149999999</v>
      </c>
      <c r="S522" s="6">
        <f>[1]Macro!R108</f>
        <v>61.140933689999997</v>
      </c>
      <c r="T522" s="6">
        <f>[1]Macro!S108</f>
        <v>61.193917149999997</v>
      </c>
      <c r="U522" s="6">
        <f>[1]Macro!T108</f>
        <v>61.275338529999999</v>
      </c>
      <c r="V522" s="6">
        <f>[1]Macro!U108</f>
        <v>61.368571009999997</v>
      </c>
      <c r="W522" s="6">
        <f>[1]Macro!V108</f>
        <v>61.447589030000003</v>
      </c>
      <c r="X522" s="6">
        <f>[1]Macro!W108</f>
        <v>61.536212040000002</v>
      </c>
      <c r="Y522" s="6">
        <f>[1]Macro!X108</f>
        <v>61.63478173</v>
      </c>
      <c r="Z522" s="6">
        <f>[1]Macro!Y108</f>
        <v>61.74877609</v>
      </c>
      <c r="AA522" s="6">
        <f>[1]Macro!Z108</f>
        <v>61.87961241</v>
      </c>
      <c r="AB522" s="6">
        <f>[1]Macro!AA108</f>
        <v>61.977811080000002</v>
      </c>
      <c r="AC522" s="6">
        <f>[1]Macro!AB108</f>
        <v>62.092468750000002</v>
      </c>
      <c r="AD522" s="6">
        <f>[1]Macro!AC108</f>
        <v>62.221902829999998</v>
      </c>
      <c r="AE522" s="6">
        <f>[1]Macro!AD108</f>
        <v>62.36637855</v>
      </c>
      <c r="AF522" s="6">
        <f>[1]Macro!AE108</f>
        <v>62.527540600000002</v>
      </c>
      <c r="AG522" s="6">
        <f>[1]Macro!AF108</f>
        <v>62.706661099999998</v>
      </c>
      <c r="AH522" s="6">
        <f>[1]Macro!AG108</f>
        <v>62.902975259999998</v>
      </c>
      <c r="AI522" s="6">
        <f>[1]Macro!AH108</f>
        <v>63.114669820000003</v>
      </c>
      <c r="AJ522" s="6">
        <f>[1]Macro!AI108</f>
        <v>63.339445269999999</v>
      </c>
      <c r="AK522" s="6">
        <f>[1]Macro!AJ108</f>
        <v>63.57444521</v>
      </c>
      <c r="AL522" s="6">
        <f>[1]Macro!AK108</f>
        <v>63.816332860000003</v>
      </c>
    </row>
    <row r="523" spans="2:38" x14ac:dyDescent="0.35">
      <c r="B523" s="6" t="str">
        <f>[1]Macro!A109</f>
        <v>x_toe_0</v>
      </c>
      <c r="C523" s="6">
        <f>[1]Macro!B109</f>
        <v>33.390972560000002</v>
      </c>
      <c r="D523" s="6">
        <f>[1]Macro!C109</f>
        <v>33.918503209999997</v>
      </c>
      <c r="E523" s="6">
        <f>[1]Macro!D109</f>
        <v>34.446749310000001</v>
      </c>
      <c r="F523" s="6">
        <f>[1]Macro!E109</f>
        <v>34.976159780000003</v>
      </c>
      <c r="G523" s="6">
        <f>[1]Macro!F109</f>
        <v>35.513379829999998</v>
      </c>
      <c r="H523" s="6">
        <f>[1]Macro!G109</f>
        <v>36.061349270000001</v>
      </c>
      <c r="I523" s="6">
        <f>[1]Macro!H109</f>
        <v>36.61775986</v>
      </c>
      <c r="J523" s="6">
        <f>[1]Macro!I109</f>
        <v>37.180911930000001</v>
      </c>
      <c r="K523" s="6">
        <f>[1]Macro!J109</f>
        <v>37.750096120000002</v>
      </c>
      <c r="L523" s="6">
        <f>[1]Macro!K109</f>
        <v>38.32550921</v>
      </c>
      <c r="M523" s="6">
        <f>[1]Macro!L109</f>
        <v>38.907921109999997</v>
      </c>
      <c r="N523" s="6">
        <f>[1]Macro!M109</f>
        <v>39.49748657</v>
      </c>
      <c r="O523" s="6">
        <f>[1]Macro!N109</f>
        <v>40.079495399999999</v>
      </c>
      <c r="P523" s="6">
        <f>[1]Macro!O109</f>
        <v>40.62280655</v>
      </c>
      <c r="Q523" s="6">
        <f>[1]Macro!P109</f>
        <v>41.151306239999997</v>
      </c>
      <c r="R523" s="6">
        <f>[1]Macro!Q109</f>
        <v>41.683103899999999</v>
      </c>
      <c r="S523" s="6">
        <f>[1]Macro!R109</f>
        <v>42.235636139999997</v>
      </c>
      <c r="T523" s="6">
        <f>[1]Macro!S109</f>
        <v>42.822228869999996</v>
      </c>
      <c r="U523" s="6">
        <f>[1]Macro!T109</f>
        <v>43.450977829999999</v>
      </c>
      <c r="V523" s="6">
        <f>[1]Macro!U109</f>
        <v>44.124044699999999</v>
      </c>
      <c r="W523" s="6">
        <f>[1]Macro!V109</f>
        <v>44.844305779999999</v>
      </c>
      <c r="X523" s="6">
        <f>[1]Macro!W109</f>
        <v>45.613363239999998</v>
      </c>
      <c r="Y523" s="6">
        <f>[1]Macro!X109</f>
        <v>46.436355210000002</v>
      </c>
      <c r="Z523" s="6">
        <f>[1]Macro!Y109</f>
        <v>47.314781029999999</v>
      </c>
      <c r="AA523" s="6">
        <f>[1]Macro!Z109</f>
        <v>48.24554191</v>
      </c>
      <c r="AB523" s="6">
        <f>[1]Macro!AA109</f>
        <v>49.228050150000001</v>
      </c>
      <c r="AC523" s="6">
        <f>[1]Macro!AB109</f>
        <v>50.263491559999999</v>
      </c>
      <c r="AD523" s="6">
        <f>[1]Macro!AC109</f>
        <v>51.357858630000003</v>
      </c>
      <c r="AE523" s="6">
        <f>[1]Macro!AD109</f>
        <v>52.510798250000001</v>
      </c>
      <c r="AF523" s="6">
        <f>[1]Macro!AE109</f>
        <v>53.709465960000003</v>
      </c>
      <c r="AG523" s="6">
        <f>[1]Macro!AF109</f>
        <v>54.938087580000001</v>
      </c>
      <c r="AH523" s="6">
        <f>[1]Macro!AG109</f>
        <v>56.186082839999997</v>
      </c>
      <c r="AI523" s="6">
        <f>[1]Macro!AH109</f>
        <v>57.447491210000003</v>
      </c>
      <c r="AJ523" s="6">
        <f>[1]Macro!AI109</f>
        <v>58.71761935</v>
      </c>
      <c r="AK523" s="6">
        <f>[1]Macro!AJ109</f>
        <v>59.992004659999999</v>
      </c>
      <c r="AL523" s="6">
        <f>[1]Macro!AK109</f>
        <v>61.265941089999998</v>
      </c>
    </row>
    <row r="525" spans="2:3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</row>
    <row r="526" spans="2:38" x14ac:dyDescent="0.35">
      <c r="B526" t="s">
        <v>105</v>
      </c>
      <c r="C526" s="9">
        <f>C513/C519-1</f>
        <v>0</v>
      </c>
      <c r="D526" s="9">
        <f t="shared" ref="D526:AL526" si="115">D513/D519-1</f>
        <v>7.1198447137987841E-10</v>
      </c>
      <c r="E526" s="9">
        <f t="shared" si="115"/>
        <v>0</v>
      </c>
      <c r="F526" s="9">
        <f t="shared" si="115"/>
        <v>0</v>
      </c>
      <c r="G526" s="9">
        <f t="shared" si="115"/>
        <v>0</v>
      </c>
      <c r="H526" s="9">
        <f t="shared" si="115"/>
        <v>0</v>
      </c>
      <c r="I526" s="9">
        <f t="shared" si="115"/>
        <v>1.2705051092853914E-4</v>
      </c>
      <c r="J526" s="9">
        <f t="shared" si="115"/>
        <v>7.7837460695298066E-3</v>
      </c>
      <c r="K526" s="9">
        <f t="shared" si="115"/>
        <v>1.6514444267853756E-2</v>
      </c>
      <c r="L526" s="9">
        <f t="shared" si="115"/>
        <v>2.9287550053443079E-2</v>
      </c>
      <c r="M526" s="9">
        <f t="shared" si="115"/>
        <v>4.2305639307925746E-2</v>
      </c>
      <c r="N526" s="9">
        <f t="shared" si="115"/>
        <v>5.4953124061207337E-2</v>
      </c>
      <c r="O526" s="9">
        <f t="shared" si="115"/>
        <v>6.7638036539914737E-2</v>
      </c>
      <c r="P526" s="9">
        <f t="shared" si="115"/>
        <v>8.0933286352323108E-2</v>
      </c>
      <c r="Q526" s="9">
        <f t="shared" si="115"/>
        <v>9.5523432653061402E-2</v>
      </c>
      <c r="R526" s="9">
        <f t="shared" si="115"/>
        <v>0.11161890021744902</v>
      </c>
      <c r="S526" s="9">
        <f t="shared" si="115"/>
        <v>0.1276385841087242</v>
      </c>
      <c r="T526" s="9">
        <f t="shared" si="115"/>
        <v>0.14459916964304842</v>
      </c>
      <c r="U526" s="9">
        <f t="shared" si="115"/>
        <v>0.16246305080779133</v>
      </c>
      <c r="V526" s="9">
        <f t="shared" si="115"/>
        <v>0.18139848754589361</v>
      </c>
      <c r="W526" s="9">
        <f t="shared" si="115"/>
        <v>0.20169800662268855</v>
      </c>
      <c r="X526" s="9">
        <f t="shared" si="115"/>
        <v>0.22375076289604645</v>
      </c>
      <c r="Y526" s="9">
        <f t="shared" si="115"/>
        <v>0.24796421938678836</v>
      </c>
      <c r="Z526" s="9">
        <f t="shared" si="115"/>
        <v>0.27472931988927241</v>
      </c>
      <c r="AA526" s="9">
        <f t="shared" si="115"/>
        <v>0.30452506366107213</v>
      </c>
      <c r="AB526" s="9">
        <f t="shared" si="115"/>
        <v>0.33793944828596123</v>
      </c>
      <c r="AC526" s="9">
        <f t="shared" si="115"/>
        <v>0.37620416267431644</v>
      </c>
      <c r="AD526" s="9">
        <f t="shared" si="115"/>
        <v>0.42006927060337396</v>
      </c>
      <c r="AE526" s="9">
        <f t="shared" si="115"/>
        <v>0.47067514198097338</v>
      </c>
      <c r="AF526" s="9">
        <f t="shared" si="115"/>
        <v>0.52944892929838105</v>
      </c>
      <c r="AG526" s="9">
        <f t="shared" si="115"/>
        <v>0.59825754805902953</v>
      </c>
      <c r="AH526" s="9">
        <f t="shared" si="115"/>
        <v>0.67969275352722924</v>
      </c>
      <c r="AI526" s="9">
        <f t="shared" si="115"/>
        <v>0.77736725965132059</v>
      </c>
      <c r="AJ526" s="9">
        <f t="shared" si="115"/>
        <v>0.89630081406453055</v>
      </c>
      <c r="AK526" s="9">
        <f t="shared" si="115"/>
        <v>1.0438236311640616</v>
      </c>
      <c r="AL526" s="9">
        <f t="shared" si="115"/>
        <v>1.2311152977191071</v>
      </c>
    </row>
    <row r="527" spans="2:38" x14ac:dyDescent="0.35">
      <c r="B527" t="s">
        <v>103</v>
      </c>
      <c r="C527" s="9">
        <f>(C516-C522)/C519</f>
        <v>0</v>
      </c>
      <c r="D527" s="9">
        <f t="shared" ref="D527:AL527" si="116">(D516-D522)/D519</f>
        <v>-7.1198422305510116E-10</v>
      </c>
      <c r="E527" s="9">
        <f t="shared" si="116"/>
        <v>-1.1315953885098625E-9</v>
      </c>
      <c r="F527" s="9">
        <f t="shared" si="116"/>
        <v>-1.6153961511944794E-9</v>
      </c>
      <c r="G527" s="9">
        <f t="shared" si="116"/>
        <v>-1.7420516540880537E-9</v>
      </c>
      <c r="H527" s="9">
        <f t="shared" si="116"/>
        <v>-1.7262809830870173E-9</v>
      </c>
      <c r="I527" s="9">
        <f t="shared" si="116"/>
        <v>9.8931610670525581E-4</v>
      </c>
      <c r="J527" s="9">
        <f t="shared" si="116"/>
        <v>-1.4282856112892255E-3</v>
      </c>
      <c r="K527" s="9">
        <f t="shared" si="116"/>
        <v>-4.0565507039651456E-3</v>
      </c>
      <c r="L527" s="9">
        <f t="shared" si="116"/>
        <v>-7.0271939690746575E-3</v>
      </c>
      <c r="M527" s="9">
        <f t="shared" si="116"/>
        <v>-1.0365828261922682E-2</v>
      </c>
      <c r="N527" s="9">
        <f t="shared" si="116"/>
        <v>-1.3247875192256054E-2</v>
      </c>
      <c r="O527" s="9">
        <f t="shared" si="116"/>
        <v>-1.5588047622201145E-2</v>
      </c>
      <c r="P527" s="9">
        <f t="shared" si="116"/>
        <v>-1.7352502819962697E-2</v>
      </c>
      <c r="Q527" s="9">
        <f t="shared" si="116"/>
        <v>-1.8569535358795821E-2</v>
      </c>
      <c r="R527" s="9">
        <f t="shared" si="116"/>
        <v>-1.9305382506483674E-2</v>
      </c>
      <c r="S527" s="9">
        <f t="shared" si="116"/>
        <v>-2.0476940820931974E-2</v>
      </c>
      <c r="T527" s="9">
        <f t="shared" si="116"/>
        <v>-2.184752568424601E-2</v>
      </c>
      <c r="U527" s="9">
        <f t="shared" si="116"/>
        <v>-2.3261369456814261E-2</v>
      </c>
      <c r="V527" s="9">
        <f t="shared" si="116"/>
        <v>-2.4599418058598929E-2</v>
      </c>
      <c r="W527" s="9">
        <f t="shared" si="116"/>
        <v>-2.5782322169856896E-2</v>
      </c>
      <c r="X527" s="9">
        <f t="shared" si="116"/>
        <v>-2.6744261143767527E-2</v>
      </c>
      <c r="Y527" s="9">
        <f t="shared" si="116"/>
        <v>-2.7511492621152378E-2</v>
      </c>
      <c r="Z527" s="9">
        <f t="shared" si="116"/>
        <v>-2.8111282032984929E-2</v>
      </c>
      <c r="AA527" s="9">
        <f t="shared" si="116"/>
        <v>-2.853383156455579E-2</v>
      </c>
      <c r="AB527" s="9">
        <f t="shared" si="116"/>
        <v>-2.8775827213133844E-2</v>
      </c>
      <c r="AC527" s="9">
        <f t="shared" si="116"/>
        <v>-2.8800358983610157E-2</v>
      </c>
      <c r="AD527" s="9">
        <f t="shared" si="116"/>
        <v>-2.8603757509060967E-2</v>
      </c>
      <c r="AE527" s="9">
        <f t="shared" si="116"/>
        <v>-2.8189299462718517E-2</v>
      </c>
      <c r="AF527" s="9">
        <f t="shared" si="116"/>
        <v>-2.7571849323256938E-2</v>
      </c>
      <c r="AG527" s="9">
        <f t="shared" si="116"/>
        <v>-2.6768367715963512E-2</v>
      </c>
      <c r="AH527" s="9">
        <f t="shared" si="116"/>
        <v>-2.5787972403291962E-2</v>
      </c>
      <c r="AI527" s="9">
        <f t="shared" si="116"/>
        <v>-2.4635354814405947E-2</v>
      </c>
      <c r="AJ527" s="9">
        <f t="shared" si="116"/>
        <v>-2.3304776711928609E-2</v>
      </c>
      <c r="AK527" s="9">
        <f t="shared" si="116"/>
        <v>-2.1776785239048628E-2</v>
      </c>
      <c r="AL527" s="9">
        <f t="shared" si="116"/>
        <v>-2.0014597404443665E-2</v>
      </c>
    </row>
    <row r="528" spans="2:38" x14ac:dyDescent="0.35">
      <c r="B528" t="s">
        <v>104</v>
      </c>
      <c r="C528" s="9">
        <f>(C515-C521)/C519</f>
        <v>7.1734962029435488E-10</v>
      </c>
      <c r="D528" s="9">
        <f t="shared" ref="D528:AL528" si="117">(D515-D521)/D519</f>
        <v>0</v>
      </c>
      <c r="E528" s="9">
        <f t="shared" si="117"/>
        <v>-7.0724704872088771E-10</v>
      </c>
      <c r="F528" s="9">
        <f t="shared" si="117"/>
        <v>-7.0234611797694157E-10</v>
      </c>
      <c r="G528" s="9">
        <f t="shared" si="117"/>
        <v>-1.3936414420994495E-9</v>
      </c>
      <c r="H528" s="9">
        <f t="shared" si="117"/>
        <v>-2.0715372582065912E-9</v>
      </c>
      <c r="I528" s="9">
        <f t="shared" si="117"/>
        <v>1.5822829494361683E-3</v>
      </c>
      <c r="J528" s="9">
        <f t="shared" si="117"/>
        <v>-4.7008458206838329E-3</v>
      </c>
      <c r="K528" s="9">
        <f t="shared" si="117"/>
        <v>-1.0976565775546124E-2</v>
      </c>
      <c r="L528" s="9">
        <f t="shared" si="117"/>
        <v>-1.0859012663129849E-2</v>
      </c>
      <c r="M528" s="9">
        <f t="shared" si="117"/>
        <v>-8.7064936444938967E-3</v>
      </c>
      <c r="N528" s="9">
        <f t="shared" si="117"/>
        <v>-4.5533827159113293E-3</v>
      </c>
      <c r="O528" s="9">
        <f t="shared" si="117"/>
        <v>1.0866475304683021E-3</v>
      </c>
      <c r="P528" s="9">
        <f t="shared" si="117"/>
        <v>8.298718948847969E-3</v>
      </c>
      <c r="Q528" s="9">
        <f t="shared" si="117"/>
        <v>1.7445602816868043E-2</v>
      </c>
      <c r="R528" s="9">
        <f t="shared" si="117"/>
        <v>2.8516897563752554E-2</v>
      </c>
      <c r="S528" s="9">
        <f t="shared" si="117"/>
        <v>3.9250726817640344E-2</v>
      </c>
      <c r="T528" s="9">
        <f t="shared" si="117"/>
        <v>4.9885223077904904E-2</v>
      </c>
      <c r="U528" s="9">
        <f t="shared" si="117"/>
        <v>6.067843442444517E-2</v>
      </c>
      <c r="V528" s="9">
        <f t="shared" si="117"/>
        <v>7.2050948781591781E-2</v>
      </c>
      <c r="W528" s="9">
        <f t="shared" si="117"/>
        <v>8.4505658599281233E-2</v>
      </c>
      <c r="X528" s="9">
        <f t="shared" si="117"/>
        <v>9.8619117416340427E-2</v>
      </c>
      <c r="Y528" s="9">
        <f t="shared" si="117"/>
        <v>0.11497037765189921</v>
      </c>
      <c r="Z528" s="9">
        <f t="shared" si="117"/>
        <v>0.13409860161705398</v>
      </c>
      <c r="AA528" s="9">
        <f t="shared" si="117"/>
        <v>0.15659353219188288</v>
      </c>
      <c r="AB528" s="9">
        <f t="shared" si="117"/>
        <v>0.18311230889822572</v>
      </c>
      <c r="AC528" s="9">
        <f t="shared" si="117"/>
        <v>0.21476957451461715</v>
      </c>
      <c r="AD528" s="9">
        <f t="shared" si="117"/>
        <v>0.25267471294685634</v>
      </c>
      <c r="AE528" s="9">
        <f t="shared" si="117"/>
        <v>0.29810631363756207</v>
      </c>
      <c r="AF528" s="9">
        <f t="shared" si="117"/>
        <v>0.35266653683687949</v>
      </c>
      <c r="AG528" s="9">
        <f t="shared" si="117"/>
        <v>0.41844905795402138</v>
      </c>
      <c r="AH528" s="9">
        <f t="shared" si="117"/>
        <v>0.49834163660540215</v>
      </c>
      <c r="AI528" s="9">
        <f t="shared" si="117"/>
        <v>0.59636644725514898</v>
      </c>
      <c r="AJ528" s="9">
        <f t="shared" si="117"/>
        <v>0.71813184271296249</v>
      </c>
      <c r="AK528" s="9">
        <f t="shared" si="117"/>
        <v>0.87183054186494457</v>
      </c>
      <c r="AL528" s="9">
        <f t="shared" si="117"/>
        <v>1.0699567145565132</v>
      </c>
    </row>
    <row r="529" spans="2:38" x14ac:dyDescent="0.35">
      <c r="B529" t="s">
        <v>20</v>
      </c>
      <c r="C529" s="9">
        <f>(C517-C514-(C523-C520))/C519</f>
        <v>-7.1734941641137608E-10</v>
      </c>
      <c r="D529" s="9">
        <f t="shared" ref="D529:AL529" si="118">(D517-D514-(D523-D520))/D519</f>
        <v>7.1198422305510116E-10</v>
      </c>
      <c r="E529" s="9">
        <f t="shared" si="118"/>
        <v>1.4144942984534885E-9</v>
      </c>
      <c r="F529" s="9">
        <f t="shared" si="118"/>
        <v>2.8093846715265511E-9</v>
      </c>
      <c r="G529" s="9">
        <f t="shared" si="118"/>
        <v>3.4144212855832212E-9</v>
      </c>
      <c r="H529" s="9">
        <f t="shared" si="118"/>
        <v>4.0740231240104696E-9</v>
      </c>
      <c r="I529" s="9">
        <f t="shared" si="118"/>
        <v>-2.4445484084553554E-3</v>
      </c>
      <c r="J529" s="9">
        <f t="shared" si="118"/>
        <v>1.3912877569191203E-2</v>
      </c>
      <c r="K529" s="9">
        <f t="shared" si="118"/>
        <v>3.1547561149336656E-2</v>
      </c>
      <c r="L529" s="9">
        <f t="shared" si="118"/>
        <v>4.7173756950877339E-2</v>
      </c>
      <c r="M529" s="9">
        <f t="shared" si="118"/>
        <v>6.1377962067216796E-2</v>
      </c>
      <c r="N529" s="9">
        <f t="shared" si="118"/>
        <v>7.2754381839529217E-2</v>
      </c>
      <c r="O529" s="9">
        <f t="shared" si="118"/>
        <v>8.2139436246017897E-2</v>
      </c>
      <c r="P529" s="9">
        <f t="shared" si="118"/>
        <v>8.9987070478183828E-2</v>
      </c>
      <c r="Q529" s="9">
        <f t="shared" si="118"/>
        <v>9.6647365068700156E-2</v>
      </c>
      <c r="R529" s="9">
        <f t="shared" si="118"/>
        <v>0.10240738503493649</v>
      </c>
      <c r="S529" s="9">
        <f t="shared" si="118"/>
        <v>0.10886479873291197</v>
      </c>
      <c r="T529" s="9">
        <f t="shared" si="118"/>
        <v>0.11656147268002882</v>
      </c>
      <c r="U529" s="9">
        <f t="shared" si="118"/>
        <v>0.12504598535297468</v>
      </c>
      <c r="V529" s="9">
        <f t="shared" si="118"/>
        <v>0.13394695694334247</v>
      </c>
      <c r="W529" s="9">
        <f t="shared" si="118"/>
        <v>0.14297467060974986</v>
      </c>
      <c r="X529" s="9">
        <f t="shared" si="118"/>
        <v>0.15187590697575115</v>
      </c>
      <c r="Y529" s="9">
        <f t="shared" si="118"/>
        <v>0.16050533481896861</v>
      </c>
      <c r="Z529" s="9">
        <f t="shared" si="118"/>
        <v>0.1687420007608714</v>
      </c>
      <c r="AA529" s="9">
        <f t="shared" si="118"/>
        <v>0.17646536381771627</v>
      </c>
      <c r="AB529" s="9">
        <f t="shared" si="118"/>
        <v>0.18360296649082994</v>
      </c>
      <c r="AC529" s="9">
        <f t="shared" si="118"/>
        <v>0.19023494660331128</v>
      </c>
      <c r="AD529" s="9">
        <f t="shared" si="118"/>
        <v>0.19599831511263727</v>
      </c>
      <c r="AE529" s="9">
        <f t="shared" si="118"/>
        <v>0.20075812785798153</v>
      </c>
      <c r="AF529" s="9">
        <f t="shared" si="118"/>
        <v>0.20435424097280835</v>
      </c>
      <c r="AG529" s="9">
        <f t="shared" si="118"/>
        <v>0.20657685757274655</v>
      </c>
      <c r="AH529" s="9">
        <f t="shared" si="118"/>
        <v>0.20713908937367978</v>
      </c>
      <c r="AI529" s="9">
        <f t="shared" si="118"/>
        <v>0.20563616678304425</v>
      </c>
      <c r="AJ529" s="9">
        <f t="shared" si="118"/>
        <v>0.20147374792405404</v>
      </c>
      <c r="AK529" s="9">
        <f t="shared" si="118"/>
        <v>0.19376987458366374</v>
      </c>
      <c r="AL529" s="9">
        <f t="shared" si="118"/>
        <v>0.18117318070071423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2022-02-23T13:00:49Z</dcterms:modified>
</cp:coreProperties>
</file>