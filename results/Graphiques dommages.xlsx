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chartsheets/sheet11.xml" ContentType="application/vnd.openxmlformats-officedocument.spreadsheetml.chartsheet+xml"/>
  <Override PartName="/xl/chartsheets/sheet12.xml" ContentType="application/vnd.openxmlformats-officedocument.spreadsheetml.chartsheet+xml"/>
  <Override PartName="/xl/chartsheets/sheet13.xml" ContentType="application/vnd.openxmlformats-officedocument.spreadsheetml.chartsheet+xml"/>
  <Override PartName="/xl/chartsheets/sheet14.xml" ContentType="application/vnd.openxmlformats-officedocument.spreadsheetml.chartsheet+xml"/>
  <Override PartName="/xl/chartsheets/sheet15.xml" ContentType="application/vnd.openxmlformats-officedocument.spreadsheetml.chartsheet+xml"/>
  <Override PartName="/xl/chartsheets/sheet16.xml" ContentType="application/vnd.openxmlformats-officedocument.spreadsheetml.chartsheet+xml"/>
  <Override PartName="/xl/chartsheets/sheet17.xml" ContentType="application/vnd.openxmlformats-officedocument.spreadsheetml.chartsheet+xml"/>
  <Override PartName="/xl/chartsheets/sheet18.xml" ContentType="application/vnd.openxmlformats-officedocument.spreadsheetml.chartsheet+xml"/>
  <Override PartName="/xl/chartsheets/sheet19.xml" ContentType="application/vnd.openxmlformats-officedocument.spreadsheetml.chartsheet+xml"/>
  <Override PartName="/xl/chartsheets/sheet20.xml" ContentType="application/vnd.openxmlformats-officedocument.spreadsheetml.chartsheet+xml"/>
  <Override PartName="/xl/chartsheets/sheet21.xml" ContentType="application/vnd.openxmlformats-officedocument.spreadsheetml.chartsheet+xml"/>
  <Override PartName="/xl/chartsheets/sheet22.xml" ContentType="application/vnd.openxmlformats-officedocument.spreadsheetml.chartsheet+xml"/>
  <Override PartName="/xl/chartsheets/sheet23.xml" ContentType="application/vnd.openxmlformats-officedocument.spreadsheetml.chartsheet+xml"/>
  <Override PartName="/xl/chartsheets/sheet24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2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3.xml" ContentType="application/vnd.openxmlformats-officedocument.drawingml.chartshapes+xml"/>
  <Override PartName="/xl/drawings/drawing24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5.xml" ContentType="application/vnd.openxmlformats-officedocument.drawingml.chartshapes+xml"/>
  <Override PartName="/xl/drawings/drawing26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/>
  <mc:AlternateContent xmlns:mc="http://schemas.openxmlformats.org/markup-compatibility/2006">
    <mc:Choice Requires="x15">
      <x15ac:absPath xmlns:x15ac="http://schemas.microsoft.com/office/spreadsheetml/2010/11/ac" url="C:\Users\flori\Documents\Github\ThreeME_V3-ADEME\results\"/>
    </mc:Choice>
  </mc:AlternateContent>
  <xr:revisionPtr revIDLastSave="0" documentId="13_ncr:1_{6D7F2AB5-2B28-44DD-AD6F-2E383FE1DFD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onnées" sheetId="2" r:id="rId1"/>
    <sheet name="Gr Macro" sheetId="5" r:id="rId2"/>
    <sheet name="Gr inflation" sheetId="6" r:id="rId3"/>
    <sheet name="Gr émissions" sheetId="7" r:id="rId4"/>
    <sheet name="Gr conso éner" sheetId="28" r:id="rId5"/>
    <sheet name="GR macro ener" sheetId="30" r:id="rId6"/>
    <sheet name="Gr éner prim" sheetId="29" r:id="rId7"/>
    <sheet name="BUIL (class,base)" sheetId="25" r:id="rId8"/>
    <sheet name="BUIL (class,shock)" sheetId="26" r:id="rId9"/>
    <sheet name="Auto (class,base)" sheetId="24" r:id="rId10"/>
    <sheet name="Auto (class,shock)" sheetId="23" r:id="rId11"/>
    <sheet name="Auto (ener,base)" sheetId="22" r:id="rId12"/>
    <sheet name="Auto (ener,shock)" sheetId="21" r:id="rId13"/>
    <sheet name="Employment" sheetId="16" r:id="rId14"/>
    <sheet name="Investissement" sheetId="31" r:id="rId15"/>
    <sheet name="Investissement ctrb" sheetId="32" r:id="rId16"/>
    <sheet name="Firms' emissions" sheetId="27" r:id="rId17"/>
    <sheet name="Capital intensity" sheetId="17" r:id="rId18"/>
    <sheet name="Energy intensity" sheetId="18" r:id="rId19"/>
    <sheet name="Gr VA secteurs (% dev)" sheetId="12" r:id="rId20"/>
    <sheet name="Gr VA secteurs (% dev2)" sheetId="33" r:id="rId21"/>
    <sheet name="Gr VA secteurs (% share)" sheetId="13" r:id="rId22"/>
    <sheet name="Gr Y secteurs (% dev)" sheetId="14" r:id="rId23"/>
    <sheet name="Gr Y secteurs ctrb" sheetId="34" r:id="rId24"/>
    <sheet name="Gr Y secteurs (% share)" sheetId="15" r:id="rId25"/>
  </sheets>
  <externalReferences>
    <externalReference r:id="rId2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L677" i="2" l="1"/>
  <c r="AK677" i="2"/>
  <c r="AJ677" i="2"/>
  <c r="AI677" i="2"/>
  <c r="AH677" i="2"/>
  <c r="AG677" i="2"/>
  <c r="AF677" i="2"/>
  <c r="AE677" i="2"/>
  <c r="AD677" i="2"/>
  <c r="AC677" i="2"/>
  <c r="AB677" i="2"/>
  <c r="AA677" i="2"/>
  <c r="Z677" i="2"/>
  <c r="Y677" i="2"/>
  <c r="X677" i="2"/>
  <c r="W677" i="2"/>
  <c r="V677" i="2"/>
  <c r="U677" i="2"/>
  <c r="T677" i="2"/>
  <c r="S677" i="2"/>
  <c r="R677" i="2"/>
  <c r="Q677" i="2"/>
  <c r="P677" i="2"/>
  <c r="O677" i="2"/>
  <c r="N677" i="2"/>
  <c r="M677" i="2"/>
  <c r="L677" i="2"/>
  <c r="K677" i="2"/>
  <c r="J677" i="2"/>
  <c r="I677" i="2"/>
  <c r="H677" i="2"/>
  <c r="G677" i="2"/>
  <c r="F677" i="2"/>
  <c r="E677" i="2"/>
  <c r="D677" i="2"/>
  <c r="C677" i="2"/>
  <c r="B677" i="2"/>
  <c r="AL676" i="2"/>
  <c r="AK676" i="2"/>
  <c r="AJ676" i="2"/>
  <c r="AI676" i="2"/>
  <c r="AH676" i="2"/>
  <c r="AG676" i="2"/>
  <c r="AF676" i="2"/>
  <c r="AE676" i="2"/>
  <c r="AD676" i="2"/>
  <c r="AC676" i="2"/>
  <c r="AB676" i="2"/>
  <c r="AA676" i="2"/>
  <c r="Z676" i="2"/>
  <c r="Y676" i="2"/>
  <c r="X676" i="2"/>
  <c r="W676" i="2"/>
  <c r="V676" i="2"/>
  <c r="U676" i="2"/>
  <c r="T676" i="2"/>
  <c r="S676" i="2"/>
  <c r="R676" i="2"/>
  <c r="Q676" i="2"/>
  <c r="P676" i="2"/>
  <c r="O676" i="2"/>
  <c r="N676" i="2"/>
  <c r="M676" i="2"/>
  <c r="L676" i="2"/>
  <c r="K676" i="2"/>
  <c r="J676" i="2"/>
  <c r="I676" i="2"/>
  <c r="H676" i="2"/>
  <c r="G676" i="2"/>
  <c r="F676" i="2"/>
  <c r="E676" i="2"/>
  <c r="D676" i="2"/>
  <c r="C676" i="2"/>
  <c r="B676" i="2"/>
  <c r="AL675" i="2"/>
  <c r="AK675" i="2"/>
  <c r="AJ675" i="2"/>
  <c r="AI675" i="2"/>
  <c r="AH675" i="2"/>
  <c r="AG675" i="2"/>
  <c r="AF675" i="2"/>
  <c r="AE675" i="2"/>
  <c r="AD675" i="2"/>
  <c r="AC675" i="2"/>
  <c r="AB675" i="2"/>
  <c r="AA675" i="2"/>
  <c r="Z675" i="2"/>
  <c r="Y675" i="2"/>
  <c r="X675" i="2"/>
  <c r="W675" i="2"/>
  <c r="V675" i="2"/>
  <c r="U675" i="2"/>
  <c r="T675" i="2"/>
  <c r="S675" i="2"/>
  <c r="R675" i="2"/>
  <c r="Q675" i="2"/>
  <c r="P675" i="2"/>
  <c r="O675" i="2"/>
  <c r="N675" i="2"/>
  <c r="M675" i="2"/>
  <c r="L675" i="2"/>
  <c r="K675" i="2"/>
  <c r="J675" i="2"/>
  <c r="I675" i="2"/>
  <c r="H675" i="2"/>
  <c r="G675" i="2"/>
  <c r="F675" i="2"/>
  <c r="E675" i="2"/>
  <c r="D675" i="2"/>
  <c r="C675" i="2"/>
  <c r="B675" i="2"/>
  <c r="AL674" i="2"/>
  <c r="AK674" i="2"/>
  <c r="AJ674" i="2"/>
  <c r="AI674" i="2"/>
  <c r="AH674" i="2"/>
  <c r="AG674" i="2"/>
  <c r="AF674" i="2"/>
  <c r="AE674" i="2"/>
  <c r="AD674" i="2"/>
  <c r="AC674" i="2"/>
  <c r="AB674" i="2"/>
  <c r="AA674" i="2"/>
  <c r="Z674" i="2"/>
  <c r="Y674" i="2"/>
  <c r="X674" i="2"/>
  <c r="W674" i="2"/>
  <c r="V674" i="2"/>
  <c r="U674" i="2"/>
  <c r="T674" i="2"/>
  <c r="S674" i="2"/>
  <c r="R674" i="2"/>
  <c r="Q674" i="2"/>
  <c r="P674" i="2"/>
  <c r="O674" i="2"/>
  <c r="N674" i="2"/>
  <c r="M674" i="2"/>
  <c r="L674" i="2"/>
  <c r="K674" i="2"/>
  <c r="J674" i="2"/>
  <c r="I674" i="2"/>
  <c r="H674" i="2"/>
  <c r="G674" i="2"/>
  <c r="F674" i="2"/>
  <c r="E674" i="2"/>
  <c r="D674" i="2"/>
  <c r="C674" i="2"/>
  <c r="B674" i="2"/>
  <c r="AL673" i="2"/>
  <c r="AK673" i="2"/>
  <c r="AJ673" i="2"/>
  <c r="AI673" i="2"/>
  <c r="AH673" i="2"/>
  <c r="AG673" i="2"/>
  <c r="AF673" i="2"/>
  <c r="AE673" i="2"/>
  <c r="AD673" i="2"/>
  <c r="AC673" i="2"/>
  <c r="AB673" i="2"/>
  <c r="AA673" i="2"/>
  <c r="Z673" i="2"/>
  <c r="Y673" i="2"/>
  <c r="X673" i="2"/>
  <c r="W673" i="2"/>
  <c r="V673" i="2"/>
  <c r="U673" i="2"/>
  <c r="T673" i="2"/>
  <c r="S673" i="2"/>
  <c r="R673" i="2"/>
  <c r="Q673" i="2"/>
  <c r="P673" i="2"/>
  <c r="O673" i="2"/>
  <c r="N673" i="2"/>
  <c r="M673" i="2"/>
  <c r="L673" i="2"/>
  <c r="K673" i="2"/>
  <c r="J673" i="2"/>
  <c r="I673" i="2"/>
  <c r="H673" i="2"/>
  <c r="G673" i="2"/>
  <c r="F673" i="2"/>
  <c r="E673" i="2"/>
  <c r="D673" i="2"/>
  <c r="C673" i="2"/>
  <c r="B673" i="2"/>
  <c r="AL671" i="2"/>
  <c r="AK671" i="2"/>
  <c r="AJ671" i="2"/>
  <c r="AI671" i="2"/>
  <c r="AH671" i="2"/>
  <c r="AG671" i="2"/>
  <c r="AF671" i="2"/>
  <c r="AE671" i="2"/>
  <c r="AD671" i="2"/>
  <c r="AC671" i="2"/>
  <c r="AB671" i="2"/>
  <c r="AA671" i="2"/>
  <c r="Z671" i="2"/>
  <c r="Y671" i="2"/>
  <c r="X671" i="2"/>
  <c r="W671" i="2"/>
  <c r="V671" i="2"/>
  <c r="U671" i="2"/>
  <c r="T671" i="2"/>
  <c r="S671" i="2"/>
  <c r="R671" i="2"/>
  <c r="Q671" i="2"/>
  <c r="P671" i="2"/>
  <c r="O671" i="2"/>
  <c r="N671" i="2"/>
  <c r="M671" i="2"/>
  <c r="L671" i="2"/>
  <c r="K671" i="2"/>
  <c r="J671" i="2"/>
  <c r="I671" i="2"/>
  <c r="H671" i="2"/>
  <c r="G671" i="2"/>
  <c r="F671" i="2"/>
  <c r="E671" i="2"/>
  <c r="D671" i="2"/>
  <c r="C671" i="2"/>
  <c r="B671" i="2"/>
  <c r="AL670" i="2"/>
  <c r="AK670" i="2"/>
  <c r="AJ670" i="2"/>
  <c r="AI670" i="2"/>
  <c r="AH670" i="2"/>
  <c r="AG670" i="2"/>
  <c r="AF670" i="2"/>
  <c r="AE670" i="2"/>
  <c r="AD670" i="2"/>
  <c r="AC670" i="2"/>
  <c r="AB670" i="2"/>
  <c r="AA670" i="2"/>
  <c r="Z670" i="2"/>
  <c r="Y670" i="2"/>
  <c r="X670" i="2"/>
  <c r="W670" i="2"/>
  <c r="V670" i="2"/>
  <c r="U670" i="2"/>
  <c r="T670" i="2"/>
  <c r="S670" i="2"/>
  <c r="R670" i="2"/>
  <c r="Q670" i="2"/>
  <c r="P670" i="2"/>
  <c r="O670" i="2"/>
  <c r="N670" i="2"/>
  <c r="M670" i="2"/>
  <c r="L670" i="2"/>
  <c r="K670" i="2"/>
  <c r="J670" i="2"/>
  <c r="I670" i="2"/>
  <c r="H670" i="2"/>
  <c r="G670" i="2"/>
  <c r="F670" i="2"/>
  <c r="E670" i="2"/>
  <c r="D670" i="2"/>
  <c r="C670" i="2"/>
  <c r="B670" i="2"/>
  <c r="AL669" i="2"/>
  <c r="AK669" i="2"/>
  <c r="AJ669" i="2"/>
  <c r="AI669" i="2"/>
  <c r="AH669" i="2"/>
  <c r="AG669" i="2"/>
  <c r="AF669" i="2"/>
  <c r="AE669" i="2"/>
  <c r="AD669" i="2"/>
  <c r="AC669" i="2"/>
  <c r="AB669" i="2"/>
  <c r="AA669" i="2"/>
  <c r="Z669" i="2"/>
  <c r="Y669" i="2"/>
  <c r="X669" i="2"/>
  <c r="W669" i="2"/>
  <c r="V669" i="2"/>
  <c r="U669" i="2"/>
  <c r="T669" i="2"/>
  <c r="S669" i="2"/>
  <c r="R669" i="2"/>
  <c r="Q669" i="2"/>
  <c r="P669" i="2"/>
  <c r="O669" i="2"/>
  <c r="N669" i="2"/>
  <c r="M669" i="2"/>
  <c r="L669" i="2"/>
  <c r="K669" i="2"/>
  <c r="J669" i="2"/>
  <c r="I669" i="2"/>
  <c r="H669" i="2"/>
  <c r="G669" i="2"/>
  <c r="F669" i="2"/>
  <c r="E669" i="2"/>
  <c r="D669" i="2"/>
  <c r="C669" i="2"/>
  <c r="B669" i="2"/>
  <c r="AL668" i="2"/>
  <c r="AK668" i="2"/>
  <c r="AJ668" i="2"/>
  <c r="AI668" i="2"/>
  <c r="AH668" i="2"/>
  <c r="AG668" i="2"/>
  <c r="AF668" i="2"/>
  <c r="AE668" i="2"/>
  <c r="AD668" i="2"/>
  <c r="AC668" i="2"/>
  <c r="AB668" i="2"/>
  <c r="AA668" i="2"/>
  <c r="Z668" i="2"/>
  <c r="Y668" i="2"/>
  <c r="X668" i="2"/>
  <c r="W668" i="2"/>
  <c r="V668" i="2"/>
  <c r="U668" i="2"/>
  <c r="T668" i="2"/>
  <c r="S668" i="2"/>
  <c r="R668" i="2"/>
  <c r="Q668" i="2"/>
  <c r="P668" i="2"/>
  <c r="O668" i="2"/>
  <c r="N668" i="2"/>
  <c r="M668" i="2"/>
  <c r="L668" i="2"/>
  <c r="K668" i="2"/>
  <c r="J668" i="2"/>
  <c r="I668" i="2"/>
  <c r="H668" i="2"/>
  <c r="G668" i="2"/>
  <c r="F668" i="2"/>
  <c r="E668" i="2"/>
  <c r="D668" i="2"/>
  <c r="C668" i="2"/>
  <c r="B668" i="2"/>
  <c r="AL667" i="2"/>
  <c r="AK667" i="2"/>
  <c r="AJ667" i="2"/>
  <c r="AI667" i="2"/>
  <c r="AH667" i="2"/>
  <c r="AG667" i="2"/>
  <c r="AF667" i="2"/>
  <c r="AE667" i="2"/>
  <c r="AD667" i="2"/>
  <c r="AC667" i="2"/>
  <c r="AB667" i="2"/>
  <c r="AA667" i="2"/>
  <c r="Z667" i="2"/>
  <c r="Y667" i="2"/>
  <c r="X667" i="2"/>
  <c r="W667" i="2"/>
  <c r="V667" i="2"/>
  <c r="U667" i="2"/>
  <c r="T667" i="2"/>
  <c r="S667" i="2"/>
  <c r="R667" i="2"/>
  <c r="Q667" i="2"/>
  <c r="P667" i="2"/>
  <c r="O667" i="2"/>
  <c r="N667" i="2"/>
  <c r="M667" i="2"/>
  <c r="L667" i="2"/>
  <c r="K667" i="2"/>
  <c r="J667" i="2"/>
  <c r="I667" i="2"/>
  <c r="H667" i="2"/>
  <c r="G667" i="2"/>
  <c r="F667" i="2"/>
  <c r="E667" i="2"/>
  <c r="D667" i="2"/>
  <c r="C667" i="2"/>
  <c r="B667" i="2"/>
  <c r="AL384" i="2"/>
  <c r="AK384" i="2"/>
  <c r="AJ384" i="2"/>
  <c r="AI384" i="2"/>
  <c r="AH384" i="2"/>
  <c r="AG384" i="2"/>
  <c r="AF384" i="2"/>
  <c r="AE384" i="2"/>
  <c r="AD384" i="2"/>
  <c r="AC384" i="2"/>
  <c r="AB384" i="2"/>
  <c r="AA384" i="2"/>
  <c r="Z384" i="2"/>
  <c r="Y384" i="2"/>
  <c r="X384" i="2"/>
  <c r="W384" i="2"/>
  <c r="V384" i="2"/>
  <c r="U384" i="2"/>
  <c r="T384" i="2"/>
  <c r="S384" i="2"/>
  <c r="R384" i="2"/>
  <c r="Q384" i="2"/>
  <c r="P384" i="2"/>
  <c r="O384" i="2"/>
  <c r="N384" i="2"/>
  <c r="M384" i="2"/>
  <c r="L384" i="2"/>
  <c r="K384" i="2"/>
  <c r="J384" i="2"/>
  <c r="I384" i="2"/>
  <c r="H384" i="2"/>
  <c r="G384" i="2"/>
  <c r="F384" i="2"/>
  <c r="E384" i="2"/>
  <c r="D384" i="2"/>
  <c r="C384" i="2"/>
  <c r="B384" i="2"/>
  <c r="AL383" i="2"/>
  <c r="AK383" i="2"/>
  <c r="AJ383" i="2"/>
  <c r="AI383" i="2"/>
  <c r="AH383" i="2"/>
  <c r="AG383" i="2"/>
  <c r="AF383" i="2"/>
  <c r="AE383" i="2"/>
  <c r="AD383" i="2"/>
  <c r="AC383" i="2"/>
  <c r="AB383" i="2"/>
  <c r="AA383" i="2"/>
  <c r="Z383" i="2"/>
  <c r="Y383" i="2"/>
  <c r="X383" i="2"/>
  <c r="W383" i="2"/>
  <c r="V383" i="2"/>
  <c r="U383" i="2"/>
  <c r="T383" i="2"/>
  <c r="S383" i="2"/>
  <c r="R383" i="2"/>
  <c r="Q383" i="2"/>
  <c r="P383" i="2"/>
  <c r="O383" i="2"/>
  <c r="N383" i="2"/>
  <c r="M383" i="2"/>
  <c r="L383" i="2"/>
  <c r="K383" i="2"/>
  <c r="J383" i="2"/>
  <c r="I383" i="2"/>
  <c r="H383" i="2"/>
  <c r="G383" i="2"/>
  <c r="F383" i="2"/>
  <c r="E383" i="2"/>
  <c r="D383" i="2"/>
  <c r="C383" i="2"/>
  <c r="B383" i="2"/>
  <c r="AL382" i="2"/>
  <c r="AK382" i="2"/>
  <c r="AJ382" i="2"/>
  <c r="AI382" i="2"/>
  <c r="AH382" i="2"/>
  <c r="AG382" i="2"/>
  <c r="AF382" i="2"/>
  <c r="AE382" i="2"/>
  <c r="AD382" i="2"/>
  <c r="AC382" i="2"/>
  <c r="AB382" i="2"/>
  <c r="AA382" i="2"/>
  <c r="Z382" i="2"/>
  <c r="Y382" i="2"/>
  <c r="X382" i="2"/>
  <c r="W382" i="2"/>
  <c r="V382" i="2"/>
  <c r="U382" i="2"/>
  <c r="T382" i="2"/>
  <c r="S382" i="2"/>
  <c r="R382" i="2"/>
  <c r="Q382" i="2"/>
  <c r="P382" i="2"/>
  <c r="O382" i="2"/>
  <c r="N382" i="2"/>
  <c r="M382" i="2"/>
  <c r="L382" i="2"/>
  <c r="K382" i="2"/>
  <c r="J382" i="2"/>
  <c r="I382" i="2"/>
  <c r="H382" i="2"/>
  <c r="G382" i="2"/>
  <c r="F382" i="2"/>
  <c r="E382" i="2"/>
  <c r="D382" i="2"/>
  <c r="C382" i="2"/>
  <c r="B382" i="2"/>
  <c r="AL381" i="2"/>
  <c r="AK381" i="2"/>
  <c r="AJ381" i="2"/>
  <c r="AI381" i="2"/>
  <c r="AH381" i="2"/>
  <c r="AG381" i="2"/>
  <c r="AF381" i="2"/>
  <c r="AE381" i="2"/>
  <c r="AD381" i="2"/>
  <c r="AC381" i="2"/>
  <c r="AB381" i="2"/>
  <c r="AA381" i="2"/>
  <c r="Z381" i="2"/>
  <c r="Y381" i="2"/>
  <c r="X381" i="2"/>
  <c r="W381" i="2"/>
  <c r="V381" i="2"/>
  <c r="U381" i="2"/>
  <c r="T381" i="2"/>
  <c r="S381" i="2"/>
  <c r="R381" i="2"/>
  <c r="Q381" i="2"/>
  <c r="P381" i="2"/>
  <c r="O381" i="2"/>
  <c r="N381" i="2"/>
  <c r="M381" i="2"/>
  <c r="L381" i="2"/>
  <c r="K381" i="2"/>
  <c r="J381" i="2"/>
  <c r="I381" i="2"/>
  <c r="H381" i="2"/>
  <c r="G381" i="2"/>
  <c r="F381" i="2"/>
  <c r="E381" i="2"/>
  <c r="D381" i="2"/>
  <c r="C381" i="2"/>
  <c r="B381" i="2"/>
  <c r="AL380" i="2"/>
  <c r="AK380" i="2"/>
  <c r="AJ380" i="2"/>
  <c r="AI380" i="2"/>
  <c r="AH380" i="2"/>
  <c r="AG380" i="2"/>
  <c r="AF380" i="2"/>
  <c r="AE380" i="2"/>
  <c r="AD380" i="2"/>
  <c r="AC380" i="2"/>
  <c r="AB380" i="2"/>
  <c r="AA380" i="2"/>
  <c r="Z380" i="2"/>
  <c r="Y380" i="2"/>
  <c r="X380" i="2"/>
  <c r="W380" i="2"/>
  <c r="V380" i="2"/>
  <c r="U380" i="2"/>
  <c r="T380" i="2"/>
  <c r="S380" i="2"/>
  <c r="R380" i="2"/>
  <c r="Q380" i="2"/>
  <c r="P380" i="2"/>
  <c r="O380" i="2"/>
  <c r="N380" i="2"/>
  <c r="M380" i="2"/>
  <c r="L380" i="2"/>
  <c r="K380" i="2"/>
  <c r="J380" i="2"/>
  <c r="I380" i="2"/>
  <c r="H380" i="2"/>
  <c r="G380" i="2"/>
  <c r="F380" i="2"/>
  <c r="E380" i="2"/>
  <c r="D380" i="2"/>
  <c r="C380" i="2"/>
  <c r="B380" i="2"/>
  <c r="AL379" i="2"/>
  <c r="AK379" i="2"/>
  <c r="AJ379" i="2"/>
  <c r="AI379" i="2"/>
  <c r="AH379" i="2"/>
  <c r="AG379" i="2"/>
  <c r="AF379" i="2"/>
  <c r="AE379" i="2"/>
  <c r="AD379" i="2"/>
  <c r="AC379" i="2"/>
  <c r="AB379" i="2"/>
  <c r="AA379" i="2"/>
  <c r="Z379" i="2"/>
  <c r="Y379" i="2"/>
  <c r="X379" i="2"/>
  <c r="W379" i="2"/>
  <c r="V379" i="2"/>
  <c r="U379" i="2"/>
  <c r="T379" i="2"/>
  <c r="S379" i="2"/>
  <c r="R379" i="2"/>
  <c r="Q379" i="2"/>
  <c r="P379" i="2"/>
  <c r="O379" i="2"/>
  <c r="N379" i="2"/>
  <c r="M379" i="2"/>
  <c r="L379" i="2"/>
  <c r="K379" i="2"/>
  <c r="J379" i="2"/>
  <c r="I379" i="2"/>
  <c r="H379" i="2"/>
  <c r="G379" i="2"/>
  <c r="F379" i="2"/>
  <c r="E379" i="2"/>
  <c r="D379" i="2"/>
  <c r="C379" i="2"/>
  <c r="B379" i="2"/>
  <c r="AL378" i="2"/>
  <c r="AK378" i="2"/>
  <c r="AJ378" i="2"/>
  <c r="AI378" i="2"/>
  <c r="AH378" i="2"/>
  <c r="AG378" i="2"/>
  <c r="AF378" i="2"/>
  <c r="AE378" i="2"/>
  <c r="AD378" i="2"/>
  <c r="AC378" i="2"/>
  <c r="AB378" i="2"/>
  <c r="AA378" i="2"/>
  <c r="Z378" i="2"/>
  <c r="Y378" i="2"/>
  <c r="X378" i="2"/>
  <c r="W378" i="2"/>
  <c r="V378" i="2"/>
  <c r="U378" i="2"/>
  <c r="T378" i="2"/>
  <c r="S378" i="2"/>
  <c r="R378" i="2"/>
  <c r="Q378" i="2"/>
  <c r="P378" i="2"/>
  <c r="O378" i="2"/>
  <c r="N378" i="2"/>
  <c r="M378" i="2"/>
  <c r="L378" i="2"/>
  <c r="K378" i="2"/>
  <c r="J378" i="2"/>
  <c r="I378" i="2"/>
  <c r="H378" i="2"/>
  <c r="G378" i="2"/>
  <c r="F378" i="2"/>
  <c r="E378" i="2"/>
  <c r="D378" i="2"/>
  <c r="C378" i="2"/>
  <c r="B378" i="2"/>
  <c r="AL377" i="2"/>
  <c r="AK377" i="2"/>
  <c r="AJ377" i="2"/>
  <c r="AI377" i="2"/>
  <c r="AH377" i="2"/>
  <c r="AG377" i="2"/>
  <c r="AF377" i="2"/>
  <c r="AE377" i="2"/>
  <c r="AD377" i="2"/>
  <c r="AC377" i="2"/>
  <c r="AB377" i="2"/>
  <c r="AA377" i="2"/>
  <c r="Z377" i="2"/>
  <c r="Y377" i="2"/>
  <c r="X377" i="2"/>
  <c r="W377" i="2"/>
  <c r="V377" i="2"/>
  <c r="U377" i="2"/>
  <c r="T377" i="2"/>
  <c r="S377" i="2"/>
  <c r="R377" i="2"/>
  <c r="Q377" i="2"/>
  <c r="P377" i="2"/>
  <c r="O377" i="2"/>
  <c r="N377" i="2"/>
  <c r="M377" i="2"/>
  <c r="L377" i="2"/>
  <c r="K377" i="2"/>
  <c r="J377" i="2"/>
  <c r="I377" i="2"/>
  <c r="H377" i="2"/>
  <c r="G377" i="2"/>
  <c r="F377" i="2"/>
  <c r="E377" i="2"/>
  <c r="D377" i="2"/>
  <c r="C377" i="2"/>
  <c r="B377" i="2"/>
  <c r="AL376" i="2"/>
  <c r="AK376" i="2"/>
  <c r="AJ376" i="2"/>
  <c r="AI376" i="2"/>
  <c r="AH376" i="2"/>
  <c r="AG376" i="2"/>
  <c r="AF376" i="2"/>
  <c r="AE376" i="2"/>
  <c r="AD376" i="2"/>
  <c r="AC376" i="2"/>
  <c r="AB376" i="2"/>
  <c r="AA376" i="2"/>
  <c r="Z376" i="2"/>
  <c r="Y376" i="2"/>
  <c r="X376" i="2"/>
  <c r="W376" i="2"/>
  <c r="V376" i="2"/>
  <c r="U376" i="2"/>
  <c r="T376" i="2"/>
  <c r="S376" i="2"/>
  <c r="R376" i="2"/>
  <c r="Q376" i="2"/>
  <c r="P376" i="2"/>
  <c r="O376" i="2"/>
  <c r="N376" i="2"/>
  <c r="M376" i="2"/>
  <c r="L376" i="2"/>
  <c r="K376" i="2"/>
  <c r="J376" i="2"/>
  <c r="I376" i="2"/>
  <c r="H376" i="2"/>
  <c r="G376" i="2"/>
  <c r="F376" i="2"/>
  <c r="E376" i="2"/>
  <c r="D376" i="2"/>
  <c r="C376" i="2"/>
  <c r="B376" i="2"/>
  <c r="AL375" i="2"/>
  <c r="AK375" i="2"/>
  <c r="AJ375" i="2"/>
  <c r="AI375" i="2"/>
  <c r="AH375" i="2"/>
  <c r="AG375" i="2"/>
  <c r="AF375" i="2"/>
  <c r="AE375" i="2"/>
  <c r="AD375" i="2"/>
  <c r="AC375" i="2"/>
  <c r="AB375" i="2"/>
  <c r="AA375" i="2"/>
  <c r="Z375" i="2"/>
  <c r="Y375" i="2"/>
  <c r="X375" i="2"/>
  <c r="W375" i="2"/>
  <c r="V375" i="2"/>
  <c r="U375" i="2"/>
  <c r="T375" i="2"/>
  <c r="S375" i="2"/>
  <c r="R375" i="2"/>
  <c r="Q375" i="2"/>
  <c r="P375" i="2"/>
  <c r="O375" i="2"/>
  <c r="N375" i="2"/>
  <c r="M375" i="2"/>
  <c r="L375" i="2"/>
  <c r="K375" i="2"/>
  <c r="J375" i="2"/>
  <c r="I375" i="2"/>
  <c r="H375" i="2"/>
  <c r="G375" i="2"/>
  <c r="F375" i="2"/>
  <c r="E375" i="2"/>
  <c r="D375" i="2"/>
  <c r="C375" i="2"/>
  <c r="B375" i="2"/>
  <c r="AL374" i="2"/>
  <c r="AK374" i="2"/>
  <c r="AJ374" i="2"/>
  <c r="AI374" i="2"/>
  <c r="AH374" i="2"/>
  <c r="AG374" i="2"/>
  <c r="AF374" i="2"/>
  <c r="AE374" i="2"/>
  <c r="AD374" i="2"/>
  <c r="AC374" i="2"/>
  <c r="AB374" i="2"/>
  <c r="AA374" i="2"/>
  <c r="Z374" i="2"/>
  <c r="Y374" i="2"/>
  <c r="X374" i="2"/>
  <c r="W374" i="2"/>
  <c r="V374" i="2"/>
  <c r="U374" i="2"/>
  <c r="T374" i="2"/>
  <c r="S374" i="2"/>
  <c r="R374" i="2"/>
  <c r="Q374" i="2"/>
  <c r="P374" i="2"/>
  <c r="O374" i="2"/>
  <c r="N374" i="2"/>
  <c r="M374" i="2"/>
  <c r="L374" i="2"/>
  <c r="K374" i="2"/>
  <c r="J374" i="2"/>
  <c r="I374" i="2"/>
  <c r="H374" i="2"/>
  <c r="G374" i="2"/>
  <c r="F374" i="2"/>
  <c r="E374" i="2"/>
  <c r="D374" i="2"/>
  <c r="C374" i="2"/>
  <c r="B374" i="2"/>
  <c r="AL373" i="2"/>
  <c r="AK373" i="2"/>
  <c r="AJ373" i="2"/>
  <c r="AI373" i="2"/>
  <c r="AH373" i="2"/>
  <c r="AG373" i="2"/>
  <c r="AF373" i="2"/>
  <c r="AE373" i="2"/>
  <c r="AD373" i="2"/>
  <c r="AC373" i="2"/>
  <c r="AB373" i="2"/>
  <c r="AA373" i="2"/>
  <c r="Z373" i="2"/>
  <c r="Y373" i="2"/>
  <c r="X373" i="2"/>
  <c r="W373" i="2"/>
  <c r="V373" i="2"/>
  <c r="U373" i="2"/>
  <c r="T373" i="2"/>
  <c r="S373" i="2"/>
  <c r="R373" i="2"/>
  <c r="Q373" i="2"/>
  <c r="P373" i="2"/>
  <c r="O373" i="2"/>
  <c r="N373" i="2"/>
  <c r="M373" i="2"/>
  <c r="L373" i="2"/>
  <c r="K373" i="2"/>
  <c r="J373" i="2"/>
  <c r="I373" i="2"/>
  <c r="H373" i="2"/>
  <c r="G373" i="2"/>
  <c r="F373" i="2"/>
  <c r="E373" i="2"/>
  <c r="D373" i="2"/>
  <c r="C373" i="2"/>
  <c r="B373" i="2"/>
  <c r="AL372" i="2"/>
  <c r="AK372" i="2"/>
  <c r="AJ372" i="2"/>
  <c r="AI372" i="2"/>
  <c r="AH372" i="2"/>
  <c r="AG372" i="2"/>
  <c r="AF372" i="2"/>
  <c r="AE372" i="2"/>
  <c r="AD372" i="2"/>
  <c r="AC372" i="2"/>
  <c r="AB372" i="2"/>
  <c r="AA372" i="2"/>
  <c r="Z372" i="2"/>
  <c r="Y372" i="2"/>
  <c r="X372" i="2"/>
  <c r="W372" i="2"/>
  <c r="V372" i="2"/>
  <c r="U372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G372" i="2"/>
  <c r="F372" i="2"/>
  <c r="E372" i="2"/>
  <c r="D372" i="2"/>
  <c r="C372" i="2"/>
  <c r="B372" i="2"/>
  <c r="AL371" i="2"/>
  <c r="AK371" i="2"/>
  <c r="AJ371" i="2"/>
  <c r="AI371" i="2"/>
  <c r="AH371" i="2"/>
  <c r="AG371" i="2"/>
  <c r="AF371" i="2"/>
  <c r="AE371" i="2"/>
  <c r="AD371" i="2"/>
  <c r="AC371" i="2"/>
  <c r="AB371" i="2"/>
  <c r="AA371" i="2"/>
  <c r="Z371" i="2"/>
  <c r="Y371" i="2"/>
  <c r="X371" i="2"/>
  <c r="W371" i="2"/>
  <c r="V371" i="2"/>
  <c r="U371" i="2"/>
  <c r="T371" i="2"/>
  <c r="S371" i="2"/>
  <c r="R371" i="2"/>
  <c r="Q371" i="2"/>
  <c r="P371" i="2"/>
  <c r="O371" i="2"/>
  <c r="N371" i="2"/>
  <c r="M371" i="2"/>
  <c r="L371" i="2"/>
  <c r="K371" i="2"/>
  <c r="J371" i="2"/>
  <c r="I371" i="2"/>
  <c r="H371" i="2"/>
  <c r="G371" i="2"/>
  <c r="F371" i="2"/>
  <c r="E371" i="2"/>
  <c r="D371" i="2"/>
  <c r="C371" i="2"/>
  <c r="B371" i="2"/>
  <c r="AL370" i="2"/>
  <c r="AK370" i="2"/>
  <c r="AJ370" i="2"/>
  <c r="AI370" i="2"/>
  <c r="AH370" i="2"/>
  <c r="AG370" i="2"/>
  <c r="AF370" i="2"/>
  <c r="AE370" i="2"/>
  <c r="AD370" i="2"/>
  <c r="AC370" i="2"/>
  <c r="AB370" i="2"/>
  <c r="AA370" i="2"/>
  <c r="Z370" i="2"/>
  <c r="Y370" i="2"/>
  <c r="X370" i="2"/>
  <c r="W370" i="2"/>
  <c r="V370" i="2"/>
  <c r="U370" i="2"/>
  <c r="T370" i="2"/>
  <c r="S370" i="2"/>
  <c r="R370" i="2"/>
  <c r="Q370" i="2"/>
  <c r="P370" i="2"/>
  <c r="O370" i="2"/>
  <c r="N370" i="2"/>
  <c r="M370" i="2"/>
  <c r="L370" i="2"/>
  <c r="K370" i="2"/>
  <c r="J370" i="2"/>
  <c r="I370" i="2"/>
  <c r="H370" i="2"/>
  <c r="G370" i="2"/>
  <c r="F370" i="2"/>
  <c r="E370" i="2"/>
  <c r="D370" i="2"/>
  <c r="C370" i="2"/>
  <c r="B370" i="2"/>
  <c r="AL369" i="2"/>
  <c r="AK369" i="2"/>
  <c r="AJ369" i="2"/>
  <c r="AI369" i="2"/>
  <c r="AH369" i="2"/>
  <c r="AG369" i="2"/>
  <c r="AF369" i="2"/>
  <c r="AE369" i="2"/>
  <c r="AD369" i="2"/>
  <c r="AC369" i="2"/>
  <c r="AB369" i="2"/>
  <c r="AA369" i="2"/>
  <c r="Z369" i="2"/>
  <c r="Y369" i="2"/>
  <c r="X369" i="2"/>
  <c r="W369" i="2"/>
  <c r="V369" i="2"/>
  <c r="U369" i="2"/>
  <c r="T369" i="2"/>
  <c r="S369" i="2"/>
  <c r="R369" i="2"/>
  <c r="Q369" i="2"/>
  <c r="P369" i="2"/>
  <c r="O369" i="2"/>
  <c r="N369" i="2"/>
  <c r="M369" i="2"/>
  <c r="L369" i="2"/>
  <c r="K369" i="2"/>
  <c r="J369" i="2"/>
  <c r="I369" i="2"/>
  <c r="H369" i="2"/>
  <c r="G369" i="2"/>
  <c r="F369" i="2"/>
  <c r="E369" i="2"/>
  <c r="D369" i="2"/>
  <c r="C369" i="2"/>
  <c r="B369" i="2"/>
  <c r="AL368" i="2"/>
  <c r="AK368" i="2"/>
  <c r="AJ368" i="2"/>
  <c r="AI368" i="2"/>
  <c r="AH368" i="2"/>
  <c r="AG368" i="2"/>
  <c r="AF368" i="2"/>
  <c r="AE368" i="2"/>
  <c r="AD368" i="2"/>
  <c r="AC368" i="2"/>
  <c r="AB368" i="2"/>
  <c r="AA368" i="2"/>
  <c r="Z368" i="2"/>
  <c r="Y368" i="2"/>
  <c r="X368" i="2"/>
  <c r="W368" i="2"/>
  <c r="V368" i="2"/>
  <c r="U368" i="2"/>
  <c r="T368" i="2"/>
  <c r="S368" i="2"/>
  <c r="R368" i="2"/>
  <c r="Q368" i="2"/>
  <c r="P368" i="2"/>
  <c r="O368" i="2"/>
  <c r="N368" i="2"/>
  <c r="M368" i="2"/>
  <c r="L368" i="2"/>
  <c r="K368" i="2"/>
  <c r="J368" i="2"/>
  <c r="I368" i="2"/>
  <c r="H368" i="2"/>
  <c r="G368" i="2"/>
  <c r="F368" i="2"/>
  <c r="E368" i="2"/>
  <c r="D368" i="2"/>
  <c r="C368" i="2"/>
  <c r="B368" i="2"/>
  <c r="AL367" i="2"/>
  <c r="AK367" i="2"/>
  <c r="AJ367" i="2"/>
  <c r="AI367" i="2"/>
  <c r="AH367" i="2"/>
  <c r="AG367" i="2"/>
  <c r="AF367" i="2"/>
  <c r="AE367" i="2"/>
  <c r="AD367" i="2"/>
  <c r="AC367" i="2"/>
  <c r="AB367" i="2"/>
  <c r="AA367" i="2"/>
  <c r="Z367" i="2"/>
  <c r="Y367" i="2"/>
  <c r="X367" i="2"/>
  <c r="W367" i="2"/>
  <c r="V367" i="2"/>
  <c r="U367" i="2"/>
  <c r="T367" i="2"/>
  <c r="S367" i="2"/>
  <c r="R367" i="2"/>
  <c r="Q367" i="2"/>
  <c r="P367" i="2"/>
  <c r="O367" i="2"/>
  <c r="N367" i="2"/>
  <c r="M367" i="2"/>
  <c r="L367" i="2"/>
  <c r="K367" i="2"/>
  <c r="J367" i="2"/>
  <c r="I367" i="2"/>
  <c r="H367" i="2"/>
  <c r="G367" i="2"/>
  <c r="F367" i="2"/>
  <c r="E367" i="2"/>
  <c r="D367" i="2"/>
  <c r="C367" i="2"/>
  <c r="B367" i="2"/>
  <c r="AL366" i="2"/>
  <c r="AK366" i="2"/>
  <c r="AJ366" i="2"/>
  <c r="AI366" i="2"/>
  <c r="AH366" i="2"/>
  <c r="AG366" i="2"/>
  <c r="AF366" i="2"/>
  <c r="AE366" i="2"/>
  <c r="AD366" i="2"/>
  <c r="AC366" i="2"/>
  <c r="AB366" i="2"/>
  <c r="AA366" i="2"/>
  <c r="Z366" i="2"/>
  <c r="Y366" i="2"/>
  <c r="X366" i="2"/>
  <c r="W366" i="2"/>
  <c r="V366" i="2"/>
  <c r="U366" i="2"/>
  <c r="T366" i="2"/>
  <c r="S366" i="2"/>
  <c r="R366" i="2"/>
  <c r="Q366" i="2"/>
  <c r="P366" i="2"/>
  <c r="O366" i="2"/>
  <c r="N366" i="2"/>
  <c r="M366" i="2"/>
  <c r="L366" i="2"/>
  <c r="K366" i="2"/>
  <c r="J366" i="2"/>
  <c r="I366" i="2"/>
  <c r="H366" i="2"/>
  <c r="G366" i="2"/>
  <c r="F366" i="2"/>
  <c r="E366" i="2"/>
  <c r="D366" i="2"/>
  <c r="C366" i="2"/>
  <c r="B366" i="2"/>
  <c r="AL365" i="2"/>
  <c r="AK365" i="2"/>
  <c r="AJ365" i="2"/>
  <c r="AI365" i="2"/>
  <c r="AH365" i="2"/>
  <c r="AG365" i="2"/>
  <c r="AF365" i="2"/>
  <c r="AE365" i="2"/>
  <c r="AD365" i="2"/>
  <c r="AC365" i="2"/>
  <c r="AB365" i="2"/>
  <c r="AA365" i="2"/>
  <c r="Z365" i="2"/>
  <c r="Y365" i="2"/>
  <c r="X365" i="2"/>
  <c r="W365" i="2"/>
  <c r="V365" i="2"/>
  <c r="U365" i="2"/>
  <c r="T365" i="2"/>
  <c r="S365" i="2"/>
  <c r="R365" i="2"/>
  <c r="Q365" i="2"/>
  <c r="P365" i="2"/>
  <c r="O365" i="2"/>
  <c r="N365" i="2"/>
  <c r="M365" i="2"/>
  <c r="L365" i="2"/>
  <c r="K365" i="2"/>
  <c r="J365" i="2"/>
  <c r="I365" i="2"/>
  <c r="H365" i="2"/>
  <c r="G365" i="2"/>
  <c r="F365" i="2"/>
  <c r="E365" i="2"/>
  <c r="D365" i="2"/>
  <c r="C365" i="2"/>
  <c r="B365" i="2"/>
  <c r="AL364" i="2"/>
  <c r="AK364" i="2"/>
  <c r="AJ364" i="2"/>
  <c r="AI364" i="2"/>
  <c r="AH364" i="2"/>
  <c r="AG364" i="2"/>
  <c r="AF364" i="2"/>
  <c r="AE364" i="2"/>
  <c r="AD364" i="2"/>
  <c r="AC364" i="2"/>
  <c r="AB364" i="2"/>
  <c r="AA364" i="2"/>
  <c r="Z364" i="2"/>
  <c r="Y364" i="2"/>
  <c r="X364" i="2"/>
  <c r="W364" i="2"/>
  <c r="V364" i="2"/>
  <c r="U364" i="2"/>
  <c r="T364" i="2"/>
  <c r="S364" i="2"/>
  <c r="R364" i="2"/>
  <c r="Q364" i="2"/>
  <c r="P364" i="2"/>
  <c r="O364" i="2"/>
  <c r="N364" i="2"/>
  <c r="M364" i="2"/>
  <c r="L364" i="2"/>
  <c r="K364" i="2"/>
  <c r="J364" i="2"/>
  <c r="I364" i="2"/>
  <c r="H364" i="2"/>
  <c r="G364" i="2"/>
  <c r="F364" i="2"/>
  <c r="E364" i="2"/>
  <c r="D364" i="2"/>
  <c r="C364" i="2"/>
  <c r="B364" i="2"/>
  <c r="AL353" i="2"/>
  <c r="AK353" i="2"/>
  <c r="AJ353" i="2"/>
  <c r="AI353" i="2"/>
  <c r="AH353" i="2"/>
  <c r="AG353" i="2"/>
  <c r="AF353" i="2"/>
  <c r="AE353" i="2"/>
  <c r="AD353" i="2"/>
  <c r="AC353" i="2"/>
  <c r="AB353" i="2"/>
  <c r="AA353" i="2"/>
  <c r="Z353" i="2"/>
  <c r="Y353" i="2"/>
  <c r="X353" i="2"/>
  <c r="W353" i="2"/>
  <c r="V353" i="2"/>
  <c r="U353" i="2"/>
  <c r="T353" i="2"/>
  <c r="S353" i="2"/>
  <c r="R353" i="2"/>
  <c r="Q353" i="2"/>
  <c r="P353" i="2"/>
  <c r="O353" i="2"/>
  <c r="N353" i="2"/>
  <c r="M353" i="2"/>
  <c r="L353" i="2"/>
  <c r="K353" i="2"/>
  <c r="J353" i="2"/>
  <c r="I353" i="2"/>
  <c r="H353" i="2"/>
  <c r="G353" i="2"/>
  <c r="F353" i="2"/>
  <c r="E353" i="2"/>
  <c r="D353" i="2"/>
  <c r="C353" i="2"/>
  <c r="B353" i="2"/>
  <c r="AL352" i="2"/>
  <c r="AK352" i="2"/>
  <c r="AJ352" i="2"/>
  <c r="AI352" i="2"/>
  <c r="AH352" i="2"/>
  <c r="AG352" i="2"/>
  <c r="AF352" i="2"/>
  <c r="AE352" i="2"/>
  <c r="AD352" i="2"/>
  <c r="AC352" i="2"/>
  <c r="AB352" i="2"/>
  <c r="AA352" i="2"/>
  <c r="Z352" i="2"/>
  <c r="Y352" i="2"/>
  <c r="X352" i="2"/>
  <c r="W352" i="2"/>
  <c r="V352" i="2"/>
  <c r="U352" i="2"/>
  <c r="T352" i="2"/>
  <c r="S352" i="2"/>
  <c r="R352" i="2"/>
  <c r="Q352" i="2"/>
  <c r="P352" i="2"/>
  <c r="O352" i="2"/>
  <c r="N352" i="2"/>
  <c r="M352" i="2"/>
  <c r="L352" i="2"/>
  <c r="K352" i="2"/>
  <c r="J352" i="2"/>
  <c r="I352" i="2"/>
  <c r="H352" i="2"/>
  <c r="G352" i="2"/>
  <c r="F352" i="2"/>
  <c r="E352" i="2"/>
  <c r="D352" i="2"/>
  <c r="C352" i="2"/>
  <c r="B352" i="2"/>
  <c r="AL351" i="2"/>
  <c r="AK351" i="2"/>
  <c r="AJ351" i="2"/>
  <c r="AI351" i="2"/>
  <c r="AH351" i="2"/>
  <c r="AG351" i="2"/>
  <c r="AF351" i="2"/>
  <c r="AE351" i="2"/>
  <c r="AD351" i="2"/>
  <c r="AC351" i="2"/>
  <c r="AB351" i="2"/>
  <c r="AA351" i="2"/>
  <c r="Z351" i="2"/>
  <c r="Y351" i="2"/>
  <c r="X351" i="2"/>
  <c r="W351" i="2"/>
  <c r="V351" i="2"/>
  <c r="U351" i="2"/>
  <c r="T351" i="2"/>
  <c r="S351" i="2"/>
  <c r="R351" i="2"/>
  <c r="Q351" i="2"/>
  <c r="P351" i="2"/>
  <c r="O351" i="2"/>
  <c r="N351" i="2"/>
  <c r="M351" i="2"/>
  <c r="L351" i="2"/>
  <c r="K351" i="2"/>
  <c r="J351" i="2"/>
  <c r="I351" i="2"/>
  <c r="H351" i="2"/>
  <c r="G351" i="2"/>
  <c r="F351" i="2"/>
  <c r="E351" i="2"/>
  <c r="D351" i="2"/>
  <c r="C351" i="2"/>
  <c r="B351" i="2"/>
  <c r="AL350" i="2"/>
  <c r="AK350" i="2"/>
  <c r="AJ350" i="2"/>
  <c r="AI350" i="2"/>
  <c r="AH350" i="2"/>
  <c r="AG350" i="2"/>
  <c r="AF350" i="2"/>
  <c r="AE350" i="2"/>
  <c r="AD350" i="2"/>
  <c r="AC350" i="2"/>
  <c r="AB350" i="2"/>
  <c r="AA350" i="2"/>
  <c r="Z350" i="2"/>
  <c r="Y350" i="2"/>
  <c r="X350" i="2"/>
  <c r="W350" i="2"/>
  <c r="V350" i="2"/>
  <c r="U350" i="2"/>
  <c r="T350" i="2"/>
  <c r="S350" i="2"/>
  <c r="R350" i="2"/>
  <c r="Q350" i="2"/>
  <c r="P350" i="2"/>
  <c r="O350" i="2"/>
  <c r="N350" i="2"/>
  <c r="M350" i="2"/>
  <c r="L350" i="2"/>
  <c r="K350" i="2"/>
  <c r="J350" i="2"/>
  <c r="I350" i="2"/>
  <c r="H350" i="2"/>
  <c r="G350" i="2"/>
  <c r="F350" i="2"/>
  <c r="E350" i="2"/>
  <c r="D350" i="2"/>
  <c r="C350" i="2"/>
  <c r="B350" i="2"/>
  <c r="AL349" i="2"/>
  <c r="AK349" i="2"/>
  <c r="AJ349" i="2"/>
  <c r="AI349" i="2"/>
  <c r="AH349" i="2"/>
  <c r="AG349" i="2"/>
  <c r="AF349" i="2"/>
  <c r="AE349" i="2"/>
  <c r="AD349" i="2"/>
  <c r="AC349" i="2"/>
  <c r="AB349" i="2"/>
  <c r="AA349" i="2"/>
  <c r="Z349" i="2"/>
  <c r="Y349" i="2"/>
  <c r="X349" i="2"/>
  <c r="W349" i="2"/>
  <c r="V349" i="2"/>
  <c r="U349" i="2"/>
  <c r="T349" i="2"/>
  <c r="S349" i="2"/>
  <c r="R349" i="2"/>
  <c r="Q349" i="2"/>
  <c r="P349" i="2"/>
  <c r="O349" i="2"/>
  <c r="N349" i="2"/>
  <c r="M349" i="2"/>
  <c r="L349" i="2"/>
  <c r="K349" i="2"/>
  <c r="J349" i="2"/>
  <c r="I349" i="2"/>
  <c r="H349" i="2"/>
  <c r="G349" i="2"/>
  <c r="F349" i="2"/>
  <c r="E349" i="2"/>
  <c r="D349" i="2"/>
  <c r="C349" i="2"/>
  <c r="B349" i="2"/>
  <c r="AL348" i="2"/>
  <c r="AK348" i="2"/>
  <c r="AJ348" i="2"/>
  <c r="AI348" i="2"/>
  <c r="AH348" i="2"/>
  <c r="AG348" i="2"/>
  <c r="AF348" i="2"/>
  <c r="AE348" i="2"/>
  <c r="AD348" i="2"/>
  <c r="AC348" i="2"/>
  <c r="AB348" i="2"/>
  <c r="AA348" i="2"/>
  <c r="Z348" i="2"/>
  <c r="Y348" i="2"/>
  <c r="X348" i="2"/>
  <c r="W348" i="2"/>
  <c r="V348" i="2"/>
  <c r="U348" i="2"/>
  <c r="T348" i="2"/>
  <c r="S348" i="2"/>
  <c r="R348" i="2"/>
  <c r="Q348" i="2"/>
  <c r="P348" i="2"/>
  <c r="O348" i="2"/>
  <c r="N348" i="2"/>
  <c r="M348" i="2"/>
  <c r="L348" i="2"/>
  <c r="K348" i="2"/>
  <c r="J348" i="2"/>
  <c r="I348" i="2"/>
  <c r="H348" i="2"/>
  <c r="G348" i="2"/>
  <c r="F348" i="2"/>
  <c r="E348" i="2"/>
  <c r="D348" i="2"/>
  <c r="C348" i="2"/>
  <c r="B348" i="2"/>
  <c r="AL347" i="2"/>
  <c r="AK347" i="2"/>
  <c r="AJ347" i="2"/>
  <c r="AI347" i="2"/>
  <c r="AH347" i="2"/>
  <c r="AG347" i="2"/>
  <c r="AF347" i="2"/>
  <c r="AE347" i="2"/>
  <c r="AD347" i="2"/>
  <c r="AC347" i="2"/>
  <c r="AB347" i="2"/>
  <c r="AA347" i="2"/>
  <c r="Z347" i="2"/>
  <c r="Y347" i="2"/>
  <c r="X347" i="2"/>
  <c r="W347" i="2"/>
  <c r="V347" i="2"/>
  <c r="U347" i="2"/>
  <c r="T347" i="2"/>
  <c r="S347" i="2"/>
  <c r="R347" i="2"/>
  <c r="Q347" i="2"/>
  <c r="P347" i="2"/>
  <c r="O347" i="2"/>
  <c r="N347" i="2"/>
  <c r="M347" i="2"/>
  <c r="L347" i="2"/>
  <c r="K347" i="2"/>
  <c r="J347" i="2"/>
  <c r="I347" i="2"/>
  <c r="H347" i="2"/>
  <c r="G347" i="2"/>
  <c r="F347" i="2"/>
  <c r="E347" i="2"/>
  <c r="D347" i="2"/>
  <c r="C347" i="2"/>
  <c r="B347" i="2"/>
  <c r="AL346" i="2"/>
  <c r="AK346" i="2"/>
  <c r="AJ346" i="2"/>
  <c r="AI346" i="2"/>
  <c r="AH346" i="2"/>
  <c r="AG346" i="2"/>
  <c r="AF346" i="2"/>
  <c r="AE346" i="2"/>
  <c r="AD346" i="2"/>
  <c r="AC346" i="2"/>
  <c r="AB346" i="2"/>
  <c r="AA346" i="2"/>
  <c r="Z346" i="2"/>
  <c r="Y346" i="2"/>
  <c r="X346" i="2"/>
  <c r="W346" i="2"/>
  <c r="V346" i="2"/>
  <c r="U346" i="2"/>
  <c r="T346" i="2"/>
  <c r="S346" i="2"/>
  <c r="R346" i="2"/>
  <c r="Q346" i="2"/>
  <c r="P346" i="2"/>
  <c r="O346" i="2"/>
  <c r="N346" i="2"/>
  <c r="M346" i="2"/>
  <c r="L346" i="2"/>
  <c r="K346" i="2"/>
  <c r="J346" i="2"/>
  <c r="I346" i="2"/>
  <c r="H346" i="2"/>
  <c r="G346" i="2"/>
  <c r="F346" i="2"/>
  <c r="E346" i="2"/>
  <c r="D346" i="2"/>
  <c r="C346" i="2"/>
  <c r="B346" i="2"/>
  <c r="AL345" i="2"/>
  <c r="AK345" i="2"/>
  <c r="AJ345" i="2"/>
  <c r="AI345" i="2"/>
  <c r="AH345" i="2"/>
  <c r="AG345" i="2"/>
  <c r="AF345" i="2"/>
  <c r="AE345" i="2"/>
  <c r="AD345" i="2"/>
  <c r="AC345" i="2"/>
  <c r="AB345" i="2"/>
  <c r="AA345" i="2"/>
  <c r="Z345" i="2"/>
  <c r="Y345" i="2"/>
  <c r="X345" i="2"/>
  <c r="W345" i="2"/>
  <c r="V345" i="2"/>
  <c r="U345" i="2"/>
  <c r="T345" i="2"/>
  <c r="S345" i="2"/>
  <c r="R345" i="2"/>
  <c r="Q345" i="2"/>
  <c r="P345" i="2"/>
  <c r="O345" i="2"/>
  <c r="N345" i="2"/>
  <c r="M345" i="2"/>
  <c r="L345" i="2"/>
  <c r="K345" i="2"/>
  <c r="J345" i="2"/>
  <c r="I345" i="2"/>
  <c r="H345" i="2"/>
  <c r="G345" i="2"/>
  <c r="F345" i="2"/>
  <c r="E345" i="2"/>
  <c r="D345" i="2"/>
  <c r="C345" i="2"/>
  <c r="B345" i="2"/>
  <c r="AL344" i="2"/>
  <c r="AK344" i="2"/>
  <c r="AJ344" i="2"/>
  <c r="AI344" i="2"/>
  <c r="AH344" i="2"/>
  <c r="AG344" i="2"/>
  <c r="AF344" i="2"/>
  <c r="AE344" i="2"/>
  <c r="AD344" i="2"/>
  <c r="AC344" i="2"/>
  <c r="AB344" i="2"/>
  <c r="AA344" i="2"/>
  <c r="Z344" i="2"/>
  <c r="Y344" i="2"/>
  <c r="X344" i="2"/>
  <c r="W344" i="2"/>
  <c r="V344" i="2"/>
  <c r="U344" i="2"/>
  <c r="T344" i="2"/>
  <c r="S344" i="2"/>
  <c r="R344" i="2"/>
  <c r="Q344" i="2"/>
  <c r="P344" i="2"/>
  <c r="O344" i="2"/>
  <c r="N344" i="2"/>
  <c r="M344" i="2"/>
  <c r="L344" i="2"/>
  <c r="K344" i="2"/>
  <c r="J344" i="2"/>
  <c r="I344" i="2"/>
  <c r="H344" i="2"/>
  <c r="G344" i="2"/>
  <c r="F344" i="2"/>
  <c r="E344" i="2"/>
  <c r="D344" i="2"/>
  <c r="C344" i="2"/>
  <c r="B344" i="2"/>
  <c r="AL343" i="2"/>
  <c r="AK343" i="2"/>
  <c r="AJ343" i="2"/>
  <c r="AI343" i="2"/>
  <c r="AH343" i="2"/>
  <c r="AG343" i="2"/>
  <c r="AF343" i="2"/>
  <c r="AE343" i="2"/>
  <c r="AD343" i="2"/>
  <c r="AC343" i="2"/>
  <c r="AB343" i="2"/>
  <c r="AA343" i="2"/>
  <c r="Z343" i="2"/>
  <c r="Y343" i="2"/>
  <c r="X343" i="2"/>
  <c r="W343" i="2"/>
  <c r="V343" i="2"/>
  <c r="U343" i="2"/>
  <c r="T343" i="2"/>
  <c r="S343" i="2"/>
  <c r="R343" i="2"/>
  <c r="Q343" i="2"/>
  <c r="P343" i="2"/>
  <c r="O343" i="2"/>
  <c r="N343" i="2"/>
  <c r="M343" i="2"/>
  <c r="L343" i="2"/>
  <c r="K343" i="2"/>
  <c r="J343" i="2"/>
  <c r="I343" i="2"/>
  <c r="H343" i="2"/>
  <c r="G343" i="2"/>
  <c r="F343" i="2"/>
  <c r="E343" i="2"/>
  <c r="D343" i="2"/>
  <c r="C343" i="2"/>
  <c r="B343" i="2"/>
  <c r="AL342" i="2"/>
  <c r="AK342" i="2"/>
  <c r="AJ342" i="2"/>
  <c r="AI342" i="2"/>
  <c r="AH342" i="2"/>
  <c r="AG342" i="2"/>
  <c r="AF342" i="2"/>
  <c r="AE342" i="2"/>
  <c r="AD342" i="2"/>
  <c r="AC342" i="2"/>
  <c r="AB342" i="2"/>
  <c r="AA342" i="2"/>
  <c r="Z342" i="2"/>
  <c r="Y342" i="2"/>
  <c r="X342" i="2"/>
  <c r="W342" i="2"/>
  <c r="V342" i="2"/>
  <c r="U342" i="2"/>
  <c r="T342" i="2"/>
  <c r="S342" i="2"/>
  <c r="R342" i="2"/>
  <c r="Q342" i="2"/>
  <c r="P342" i="2"/>
  <c r="O342" i="2"/>
  <c r="N342" i="2"/>
  <c r="M342" i="2"/>
  <c r="L342" i="2"/>
  <c r="K342" i="2"/>
  <c r="J342" i="2"/>
  <c r="I342" i="2"/>
  <c r="H342" i="2"/>
  <c r="G342" i="2"/>
  <c r="F342" i="2"/>
  <c r="E342" i="2"/>
  <c r="D342" i="2"/>
  <c r="C342" i="2"/>
  <c r="B342" i="2"/>
  <c r="AL341" i="2"/>
  <c r="AK341" i="2"/>
  <c r="AJ341" i="2"/>
  <c r="AI341" i="2"/>
  <c r="AH341" i="2"/>
  <c r="AG341" i="2"/>
  <c r="AF341" i="2"/>
  <c r="AE341" i="2"/>
  <c r="AD341" i="2"/>
  <c r="AC341" i="2"/>
  <c r="AB341" i="2"/>
  <c r="AA341" i="2"/>
  <c r="Z341" i="2"/>
  <c r="Y341" i="2"/>
  <c r="X341" i="2"/>
  <c r="W341" i="2"/>
  <c r="V341" i="2"/>
  <c r="U341" i="2"/>
  <c r="T341" i="2"/>
  <c r="S341" i="2"/>
  <c r="R341" i="2"/>
  <c r="Q341" i="2"/>
  <c r="P341" i="2"/>
  <c r="O341" i="2"/>
  <c r="N341" i="2"/>
  <c r="M341" i="2"/>
  <c r="L341" i="2"/>
  <c r="K341" i="2"/>
  <c r="J341" i="2"/>
  <c r="I341" i="2"/>
  <c r="H341" i="2"/>
  <c r="G341" i="2"/>
  <c r="F341" i="2"/>
  <c r="E341" i="2"/>
  <c r="D341" i="2"/>
  <c r="C341" i="2"/>
  <c r="B341" i="2"/>
  <c r="AL340" i="2"/>
  <c r="AK340" i="2"/>
  <c r="AJ340" i="2"/>
  <c r="AI340" i="2"/>
  <c r="AH340" i="2"/>
  <c r="AG340" i="2"/>
  <c r="AF340" i="2"/>
  <c r="AE340" i="2"/>
  <c r="AD340" i="2"/>
  <c r="AC340" i="2"/>
  <c r="AB340" i="2"/>
  <c r="AA340" i="2"/>
  <c r="Z340" i="2"/>
  <c r="Y340" i="2"/>
  <c r="X340" i="2"/>
  <c r="W340" i="2"/>
  <c r="V340" i="2"/>
  <c r="U340" i="2"/>
  <c r="T340" i="2"/>
  <c r="S340" i="2"/>
  <c r="R340" i="2"/>
  <c r="Q340" i="2"/>
  <c r="P340" i="2"/>
  <c r="O340" i="2"/>
  <c r="N340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AL339" i="2"/>
  <c r="AK339" i="2"/>
  <c r="AJ339" i="2"/>
  <c r="AI339" i="2"/>
  <c r="AH339" i="2"/>
  <c r="AG339" i="2"/>
  <c r="AF339" i="2"/>
  <c r="AE339" i="2"/>
  <c r="AD339" i="2"/>
  <c r="AC339" i="2"/>
  <c r="AB339" i="2"/>
  <c r="AA339" i="2"/>
  <c r="Z339" i="2"/>
  <c r="Y339" i="2"/>
  <c r="X339" i="2"/>
  <c r="W339" i="2"/>
  <c r="V339" i="2"/>
  <c r="U339" i="2"/>
  <c r="T339" i="2"/>
  <c r="S339" i="2"/>
  <c r="R339" i="2"/>
  <c r="Q339" i="2"/>
  <c r="P339" i="2"/>
  <c r="O339" i="2"/>
  <c r="N339" i="2"/>
  <c r="M339" i="2"/>
  <c r="L339" i="2"/>
  <c r="K339" i="2"/>
  <c r="J339" i="2"/>
  <c r="I339" i="2"/>
  <c r="H339" i="2"/>
  <c r="G339" i="2"/>
  <c r="F339" i="2"/>
  <c r="E339" i="2"/>
  <c r="D339" i="2"/>
  <c r="C339" i="2"/>
  <c r="B339" i="2"/>
  <c r="AL338" i="2"/>
  <c r="AK338" i="2"/>
  <c r="AJ338" i="2"/>
  <c r="AI338" i="2"/>
  <c r="AH338" i="2"/>
  <c r="AG338" i="2"/>
  <c r="AF338" i="2"/>
  <c r="AE338" i="2"/>
  <c r="AD338" i="2"/>
  <c r="AC338" i="2"/>
  <c r="AB338" i="2"/>
  <c r="AA338" i="2"/>
  <c r="Z338" i="2"/>
  <c r="Y338" i="2"/>
  <c r="X338" i="2"/>
  <c r="W338" i="2"/>
  <c r="V338" i="2"/>
  <c r="U338" i="2"/>
  <c r="T338" i="2"/>
  <c r="S338" i="2"/>
  <c r="R338" i="2"/>
  <c r="Q338" i="2"/>
  <c r="P338" i="2"/>
  <c r="O338" i="2"/>
  <c r="N338" i="2"/>
  <c r="M338" i="2"/>
  <c r="L338" i="2"/>
  <c r="K338" i="2"/>
  <c r="J338" i="2"/>
  <c r="I338" i="2"/>
  <c r="H338" i="2"/>
  <c r="G338" i="2"/>
  <c r="F338" i="2"/>
  <c r="E338" i="2"/>
  <c r="D338" i="2"/>
  <c r="C338" i="2"/>
  <c r="B338" i="2"/>
  <c r="AL337" i="2"/>
  <c r="AK337" i="2"/>
  <c r="AJ337" i="2"/>
  <c r="AI337" i="2"/>
  <c r="AH337" i="2"/>
  <c r="AG337" i="2"/>
  <c r="AF337" i="2"/>
  <c r="AE337" i="2"/>
  <c r="AD337" i="2"/>
  <c r="AC337" i="2"/>
  <c r="AB337" i="2"/>
  <c r="AA337" i="2"/>
  <c r="Z337" i="2"/>
  <c r="Y337" i="2"/>
  <c r="X337" i="2"/>
  <c r="W337" i="2"/>
  <c r="V337" i="2"/>
  <c r="U337" i="2"/>
  <c r="T337" i="2"/>
  <c r="S337" i="2"/>
  <c r="R337" i="2"/>
  <c r="Q337" i="2"/>
  <c r="P337" i="2"/>
  <c r="O337" i="2"/>
  <c r="N337" i="2"/>
  <c r="M337" i="2"/>
  <c r="L337" i="2"/>
  <c r="K337" i="2"/>
  <c r="J337" i="2"/>
  <c r="I337" i="2"/>
  <c r="H337" i="2"/>
  <c r="G337" i="2"/>
  <c r="F337" i="2"/>
  <c r="E337" i="2"/>
  <c r="D337" i="2"/>
  <c r="C337" i="2"/>
  <c r="B337" i="2"/>
  <c r="AL336" i="2"/>
  <c r="AK336" i="2"/>
  <c r="AJ336" i="2"/>
  <c r="AI336" i="2"/>
  <c r="AH336" i="2"/>
  <c r="AG336" i="2"/>
  <c r="AF336" i="2"/>
  <c r="AE336" i="2"/>
  <c r="AD336" i="2"/>
  <c r="AC336" i="2"/>
  <c r="AB336" i="2"/>
  <c r="AA336" i="2"/>
  <c r="Z336" i="2"/>
  <c r="Y336" i="2"/>
  <c r="X336" i="2"/>
  <c r="W336" i="2"/>
  <c r="V336" i="2"/>
  <c r="U336" i="2"/>
  <c r="T336" i="2"/>
  <c r="S336" i="2"/>
  <c r="R336" i="2"/>
  <c r="Q336" i="2"/>
  <c r="P336" i="2"/>
  <c r="O336" i="2"/>
  <c r="N336" i="2"/>
  <c r="M336" i="2"/>
  <c r="L336" i="2"/>
  <c r="K336" i="2"/>
  <c r="J336" i="2"/>
  <c r="I336" i="2"/>
  <c r="H336" i="2"/>
  <c r="G336" i="2"/>
  <c r="F336" i="2"/>
  <c r="E336" i="2"/>
  <c r="D336" i="2"/>
  <c r="C336" i="2"/>
  <c r="B336" i="2"/>
  <c r="AL335" i="2"/>
  <c r="AK335" i="2"/>
  <c r="AJ335" i="2"/>
  <c r="AI335" i="2"/>
  <c r="AH335" i="2"/>
  <c r="AG335" i="2"/>
  <c r="AF335" i="2"/>
  <c r="AE335" i="2"/>
  <c r="AD335" i="2"/>
  <c r="AC335" i="2"/>
  <c r="AB335" i="2"/>
  <c r="AA335" i="2"/>
  <c r="Z335" i="2"/>
  <c r="Y335" i="2"/>
  <c r="X335" i="2"/>
  <c r="W335" i="2"/>
  <c r="V335" i="2"/>
  <c r="U335" i="2"/>
  <c r="T335" i="2"/>
  <c r="S335" i="2"/>
  <c r="R335" i="2"/>
  <c r="Q335" i="2"/>
  <c r="P335" i="2"/>
  <c r="O335" i="2"/>
  <c r="N335" i="2"/>
  <c r="M335" i="2"/>
  <c r="L335" i="2"/>
  <c r="K335" i="2"/>
  <c r="J335" i="2"/>
  <c r="I335" i="2"/>
  <c r="H335" i="2"/>
  <c r="G335" i="2"/>
  <c r="F335" i="2"/>
  <c r="E335" i="2"/>
  <c r="D335" i="2"/>
  <c r="C335" i="2"/>
  <c r="B335" i="2"/>
  <c r="AL334" i="2"/>
  <c r="AK334" i="2"/>
  <c r="AJ334" i="2"/>
  <c r="AI334" i="2"/>
  <c r="AH334" i="2"/>
  <c r="AG334" i="2"/>
  <c r="AF334" i="2"/>
  <c r="AE334" i="2"/>
  <c r="AD334" i="2"/>
  <c r="AC334" i="2"/>
  <c r="AB334" i="2"/>
  <c r="AA334" i="2"/>
  <c r="Z334" i="2"/>
  <c r="Y334" i="2"/>
  <c r="X334" i="2"/>
  <c r="W334" i="2"/>
  <c r="V334" i="2"/>
  <c r="U334" i="2"/>
  <c r="T334" i="2"/>
  <c r="S334" i="2"/>
  <c r="R334" i="2"/>
  <c r="Q334" i="2"/>
  <c r="P334" i="2"/>
  <c r="O334" i="2"/>
  <c r="N334" i="2"/>
  <c r="M334" i="2"/>
  <c r="L334" i="2"/>
  <c r="K334" i="2"/>
  <c r="J334" i="2"/>
  <c r="I334" i="2"/>
  <c r="H334" i="2"/>
  <c r="G334" i="2"/>
  <c r="F334" i="2"/>
  <c r="E334" i="2"/>
  <c r="D334" i="2"/>
  <c r="C334" i="2"/>
  <c r="B334" i="2"/>
  <c r="AL333" i="2"/>
  <c r="AK333" i="2"/>
  <c r="AJ333" i="2"/>
  <c r="AI333" i="2"/>
  <c r="AH333" i="2"/>
  <c r="AG333" i="2"/>
  <c r="AF333" i="2"/>
  <c r="AE333" i="2"/>
  <c r="AD333" i="2"/>
  <c r="AC333" i="2"/>
  <c r="AB333" i="2"/>
  <c r="AA333" i="2"/>
  <c r="Z333" i="2"/>
  <c r="Y333" i="2"/>
  <c r="X333" i="2"/>
  <c r="W333" i="2"/>
  <c r="V333" i="2"/>
  <c r="U333" i="2"/>
  <c r="T333" i="2"/>
  <c r="S333" i="2"/>
  <c r="R333" i="2"/>
  <c r="Q333" i="2"/>
  <c r="P333" i="2"/>
  <c r="O333" i="2"/>
  <c r="N333" i="2"/>
  <c r="M333" i="2"/>
  <c r="L333" i="2"/>
  <c r="K333" i="2"/>
  <c r="J333" i="2"/>
  <c r="I333" i="2"/>
  <c r="H333" i="2"/>
  <c r="G333" i="2"/>
  <c r="F333" i="2"/>
  <c r="E333" i="2"/>
  <c r="D333" i="2"/>
  <c r="C333" i="2"/>
  <c r="B333" i="2"/>
  <c r="AL197" i="2"/>
  <c r="AK197" i="2"/>
  <c r="AJ197" i="2"/>
  <c r="AI197" i="2"/>
  <c r="AH197" i="2"/>
  <c r="AG197" i="2"/>
  <c r="AF197" i="2"/>
  <c r="AE197" i="2"/>
  <c r="AD197" i="2"/>
  <c r="AC197" i="2"/>
  <c r="AB197" i="2"/>
  <c r="AA197" i="2"/>
  <c r="Z197" i="2"/>
  <c r="Y197" i="2"/>
  <c r="X197" i="2"/>
  <c r="W197" i="2"/>
  <c r="V197" i="2"/>
  <c r="U197" i="2"/>
  <c r="T197" i="2"/>
  <c r="S197" i="2"/>
  <c r="R197" i="2"/>
  <c r="Q197" i="2"/>
  <c r="P197" i="2"/>
  <c r="O197" i="2"/>
  <c r="N197" i="2"/>
  <c r="M197" i="2"/>
  <c r="L197" i="2"/>
  <c r="K197" i="2"/>
  <c r="J197" i="2"/>
  <c r="I197" i="2"/>
  <c r="H197" i="2"/>
  <c r="G197" i="2"/>
  <c r="F197" i="2"/>
  <c r="E197" i="2"/>
  <c r="D197" i="2"/>
  <c r="C197" i="2"/>
  <c r="AL196" i="2"/>
  <c r="AK196" i="2"/>
  <c r="AJ196" i="2"/>
  <c r="AI196" i="2"/>
  <c r="AH196" i="2"/>
  <c r="AG196" i="2"/>
  <c r="AF196" i="2"/>
  <c r="AE196" i="2"/>
  <c r="AD196" i="2"/>
  <c r="AC196" i="2"/>
  <c r="AB196" i="2"/>
  <c r="AA196" i="2"/>
  <c r="Z196" i="2"/>
  <c r="Y196" i="2"/>
  <c r="X196" i="2"/>
  <c r="W196" i="2"/>
  <c r="V196" i="2"/>
  <c r="U196" i="2"/>
  <c r="T196" i="2"/>
  <c r="S196" i="2"/>
  <c r="R196" i="2"/>
  <c r="Q196" i="2"/>
  <c r="P196" i="2"/>
  <c r="O196" i="2"/>
  <c r="N196" i="2"/>
  <c r="M196" i="2"/>
  <c r="L196" i="2"/>
  <c r="K196" i="2"/>
  <c r="J196" i="2"/>
  <c r="I196" i="2"/>
  <c r="H196" i="2"/>
  <c r="G196" i="2"/>
  <c r="F196" i="2"/>
  <c r="E196" i="2"/>
  <c r="D196" i="2"/>
  <c r="C196" i="2"/>
  <c r="AL195" i="2"/>
  <c r="AK195" i="2"/>
  <c r="AJ195" i="2"/>
  <c r="AI195" i="2"/>
  <c r="AH195" i="2"/>
  <c r="AG195" i="2"/>
  <c r="AF195" i="2"/>
  <c r="AE195" i="2"/>
  <c r="AD195" i="2"/>
  <c r="AC195" i="2"/>
  <c r="AB195" i="2"/>
  <c r="AA195" i="2"/>
  <c r="Z195" i="2"/>
  <c r="Y195" i="2"/>
  <c r="X195" i="2"/>
  <c r="W195" i="2"/>
  <c r="V195" i="2"/>
  <c r="U195" i="2"/>
  <c r="T195" i="2"/>
  <c r="S195" i="2"/>
  <c r="R195" i="2"/>
  <c r="Q195" i="2"/>
  <c r="P195" i="2"/>
  <c r="O195" i="2"/>
  <c r="N195" i="2"/>
  <c r="M195" i="2"/>
  <c r="L195" i="2"/>
  <c r="K195" i="2"/>
  <c r="J195" i="2"/>
  <c r="I195" i="2"/>
  <c r="H195" i="2"/>
  <c r="G195" i="2"/>
  <c r="F195" i="2"/>
  <c r="E195" i="2"/>
  <c r="D195" i="2"/>
  <c r="C195" i="2"/>
  <c r="AL194" i="2"/>
  <c r="AK194" i="2"/>
  <c r="AJ194" i="2"/>
  <c r="AI194" i="2"/>
  <c r="AH194" i="2"/>
  <c r="AG194" i="2"/>
  <c r="AF194" i="2"/>
  <c r="AE194" i="2"/>
  <c r="AD194" i="2"/>
  <c r="AC194" i="2"/>
  <c r="AB194" i="2"/>
  <c r="AA194" i="2"/>
  <c r="Z194" i="2"/>
  <c r="Y194" i="2"/>
  <c r="X194" i="2"/>
  <c r="W194" i="2"/>
  <c r="V194" i="2"/>
  <c r="U194" i="2"/>
  <c r="T194" i="2"/>
  <c r="S194" i="2"/>
  <c r="R194" i="2"/>
  <c r="Q194" i="2"/>
  <c r="P194" i="2"/>
  <c r="O194" i="2"/>
  <c r="N194" i="2"/>
  <c r="M194" i="2"/>
  <c r="L194" i="2"/>
  <c r="K194" i="2"/>
  <c r="J194" i="2"/>
  <c r="I194" i="2"/>
  <c r="H194" i="2"/>
  <c r="G194" i="2"/>
  <c r="F194" i="2"/>
  <c r="E194" i="2"/>
  <c r="D194" i="2"/>
  <c r="C194" i="2"/>
  <c r="AL193" i="2"/>
  <c r="AK193" i="2"/>
  <c r="AJ193" i="2"/>
  <c r="AI193" i="2"/>
  <c r="AH193" i="2"/>
  <c r="AG193" i="2"/>
  <c r="AF193" i="2"/>
  <c r="AE193" i="2"/>
  <c r="AD193" i="2"/>
  <c r="AC193" i="2"/>
  <c r="AB193" i="2"/>
  <c r="AA193" i="2"/>
  <c r="Z193" i="2"/>
  <c r="Y193" i="2"/>
  <c r="X193" i="2"/>
  <c r="W193" i="2"/>
  <c r="V193" i="2"/>
  <c r="U193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G193" i="2"/>
  <c r="F193" i="2"/>
  <c r="E193" i="2"/>
  <c r="D193" i="2"/>
  <c r="C193" i="2"/>
  <c r="AL192" i="2"/>
  <c r="AK192" i="2"/>
  <c r="AJ192" i="2"/>
  <c r="AI192" i="2"/>
  <c r="AH192" i="2"/>
  <c r="AG192" i="2"/>
  <c r="AF192" i="2"/>
  <c r="AE192" i="2"/>
  <c r="AD192" i="2"/>
  <c r="AC192" i="2"/>
  <c r="AB192" i="2"/>
  <c r="AA192" i="2"/>
  <c r="Z192" i="2"/>
  <c r="Y192" i="2"/>
  <c r="X192" i="2"/>
  <c r="W192" i="2"/>
  <c r="V192" i="2"/>
  <c r="U192" i="2"/>
  <c r="T192" i="2"/>
  <c r="S192" i="2"/>
  <c r="R192" i="2"/>
  <c r="Q192" i="2"/>
  <c r="P192" i="2"/>
  <c r="O192" i="2"/>
  <c r="N192" i="2"/>
  <c r="M192" i="2"/>
  <c r="L192" i="2"/>
  <c r="K192" i="2"/>
  <c r="J192" i="2"/>
  <c r="I192" i="2"/>
  <c r="H192" i="2"/>
  <c r="G192" i="2"/>
  <c r="F192" i="2"/>
  <c r="E192" i="2"/>
  <c r="D192" i="2"/>
  <c r="C192" i="2"/>
  <c r="AL191" i="2"/>
  <c r="AK191" i="2"/>
  <c r="AJ191" i="2"/>
  <c r="AI191" i="2"/>
  <c r="AH191" i="2"/>
  <c r="AG191" i="2"/>
  <c r="AF191" i="2"/>
  <c r="AE191" i="2"/>
  <c r="AD191" i="2"/>
  <c r="AC191" i="2"/>
  <c r="AB191" i="2"/>
  <c r="AA191" i="2"/>
  <c r="Z191" i="2"/>
  <c r="Y191" i="2"/>
  <c r="X191" i="2"/>
  <c r="W191" i="2"/>
  <c r="V191" i="2"/>
  <c r="U191" i="2"/>
  <c r="T191" i="2"/>
  <c r="S191" i="2"/>
  <c r="R191" i="2"/>
  <c r="Q191" i="2"/>
  <c r="P191" i="2"/>
  <c r="O191" i="2"/>
  <c r="N191" i="2"/>
  <c r="M191" i="2"/>
  <c r="L191" i="2"/>
  <c r="K191" i="2"/>
  <c r="J191" i="2"/>
  <c r="I191" i="2"/>
  <c r="H191" i="2"/>
  <c r="G191" i="2"/>
  <c r="F191" i="2"/>
  <c r="E191" i="2"/>
  <c r="D191" i="2"/>
  <c r="C191" i="2"/>
  <c r="AL190" i="2"/>
  <c r="AK190" i="2"/>
  <c r="AJ190" i="2"/>
  <c r="AI190" i="2"/>
  <c r="AH190" i="2"/>
  <c r="AG190" i="2"/>
  <c r="AF190" i="2"/>
  <c r="AE190" i="2"/>
  <c r="AD190" i="2"/>
  <c r="AC190" i="2"/>
  <c r="AB190" i="2"/>
  <c r="AA190" i="2"/>
  <c r="Z190" i="2"/>
  <c r="Y190" i="2"/>
  <c r="X190" i="2"/>
  <c r="W190" i="2"/>
  <c r="V190" i="2"/>
  <c r="U190" i="2"/>
  <c r="T190" i="2"/>
  <c r="S190" i="2"/>
  <c r="R190" i="2"/>
  <c r="Q190" i="2"/>
  <c r="P190" i="2"/>
  <c r="O190" i="2"/>
  <c r="N190" i="2"/>
  <c r="M190" i="2"/>
  <c r="L190" i="2"/>
  <c r="K190" i="2"/>
  <c r="J190" i="2"/>
  <c r="I190" i="2"/>
  <c r="H190" i="2"/>
  <c r="G190" i="2"/>
  <c r="F190" i="2"/>
  <c r="E190" i="2"/>
  <c r="D190" i="2"/>
  <c r="C190" i="2"/>
  <c r="AL187" i="2"/>
  <c r="AK187" i="2"/>
  <c r="AJ187" i="2"/>
  <c r="AI187" i="2"/>
  <c r="AH187" i="2"/>
  <c r="AG187" i="2"/>
  <c r="AF187" i="2"/>
  <c r="AE187" i="2"/>
  <c r="AD187" i="2"/>
  <c r="AC187" i="2"/>
  <c r="AB187" i="2"/>
  <c r="AA187" i="2"/>
  <c r="Z187" i="2"/>
  <c r="Y187" i="2"/>
  <c r="X187" i="2"/>
  <c r="W187" i="2"/>
  <c r="V187" i="2"/>
  <c r="U187" i="2"/>
  <c r="T187" i="2"/>
  <c r="S187" i="2"/>
  <c r="R187" i="2"/>
  <c r="Q187" i="2"/>
  <c r="P187" i="2"/>
  <c r="O187" i="2"/>
  <c r="N187" i="2"/>
  <c r="M187" i="2"/>
  <c r="L187" i="2"/>
  <c r="K187" i="2"/>
  <c r="J187" i="2"/>
  <c r="I187" i="2"/>
  <c r="H187" i="2"/>
  <c r="G187" i="2"/>
  <c r="F187" i="2"/>
  <c r="E187" i="2"/>
  <c r="D187" i="2"/>
  <c r="C187" i="2"/>
  <c r="AL186" i="2"/>
  <c r="AK186" i="2"/>
  <c r="AJ186" i="2"/>
  <c r="AI186" i="2"/>
  <c r="AH186" i="2"/>
  <c r="AG186" i="2"/>
  <c r="AF186" i="2"/>
  <c r="AE186" i="2"/>
  <c r="AD186" i="2"/>
  <c r="AC186" i="2"/>
  <c r="AB186" i="2"/>
  <c r="AA186" i="2"/>
  <c r="Z186" i="2"/>
  <c r="Y186" i="2"/>
  <c r="X186" i="2"/>
  <c r="W186" i="2"/>
  <c r="V186" i="2"/>
  <c r="U186" i="2"/>
  <c r="T186" i="2"/>
  <c r="S186" i="2"/>
  <c r="R186" i="2"/>
  <c r="Q186" i="2"/>
  <c r="P186" i="2"/>
  <c r="O186" i="2"/>
  <c r="N186" i="2"/>
  <c r="M186" i="2"/>
  <c r="L186" i="2"/>
  <c r="K186" i="2"/>
  <c r="J186" i="2"/>
  <c r="I186" i="2"/>
  <c r="H186" i="2"/>
  <c r="G186" i="2"/>
  <c r="F186" i="2"/>
  <c r="E186" i="2"/>
  <c r="D186" i="2"/>
  <c r="C186" i="2"/>
  <c r="AL185" i="2"/>
  <c r="AK185" i="2"/>
  <c r="AJ185" i="2"/>
  <c r="AI185" i="2"/>
  <c r="AH185" i="2"/>
  <c r="AG185" i="2"/>
  <c r="AF185" i="2"/>
  <c r="AE185" i="2"/>
  <c r="AD185" i="2"/>
  <c r="AC185" i="2"/>
  <c r="AB185" i="2"/>
  <c r="AA185" i="2"/>
  <c r="Z185" i="2"/>
  <c r="Y185" i="2"/>
  <c r="X185" i="2"/>
  <c r="W185" i="2"/>
  <c r="V185" i="2"/>
  <c r="U185" i="2"/>
  <c r="T185" i="2"/>
  <c r="S185" i="2"/>
  <c r="R185" i="2"/>
  <c r="Q185" i="2"/>
  <c r="P185" i="2"/>
  <c r="O185" i="2"/>
  <c r="N185" i="2"/>
  <c r="M185" i="2"/>
  <c r="L185" i="2"/>
  <c r="K185" i="2"/>
  <c r="J185" i="2"/>
  <c r="I185" i="2"/>
  <c r="H185" i="2"/>
  <c r="G185" i="2"/>
  <c r="F185" i="2"/>
  <c r="E185" i="2"/>
  <c r="D185" i="2"/>
  <c r="C185" i="2"/>
  <c r="AL184" i="2"/>
  <c r="AK184" i="2"/>
  <c r="AJ184" i="2"/>
  <c r="AI184" i="2"/>
  <c r="AH184" i="2"/>
  <c r="AG184" i="2"/>
  <c r="AF184" i="2"/>
  <c r="AE184" i="2"/>
  <c r="AD184" i="2"/>
  <c r="AC184" i="2"/>
  <c r="AB184" i="2"/>
  <c r="AA184" i="2"/>
  <c r="Z184" i="2"/>
  <c r="Y184" i="2"/>
  <c r="X184" i="2"/>
  <c r="W184" i="2"/>
  <c r="V184" i="2"/>
  <c r="U184" i="2"/>
  <c r="T184" i="2"/>
  <c r="S184" i="2"/>
  <c r="R184" i="2"/>
  <c r="Q184" i="2"/>
  <c r="P184" i="2"/>
  <c r="O184" i="2"/>
  <c r="N184" i="2"/>
  <c r="M184" i="2"/>
  <c r="L184" i="2"/>
  <c r="K184" i="2"/>
  <c r="J184" i="2"/>
  <c r="I184" i="2"/>
  <c r="H184" i="2"/>
  <c r="G184" i="2"/>
  <c r="F184" i="2"/>
  <c r="E184" i="2"/>
  <c r="D184" i="2"/>
  <c r="C184" i="2"/>
  <c r="AL183" i="2"/>
  <c r="AK183" i="2"/>
  <c r="AJ183" i="2"/>
  <c r="AI183" i="2"/>
  <c r="AH183" i="2"/>
  <c r="AG183" i="2"/>
  <c r="AF183" i="2"/>
  <c r="AE183" i="2"/>
  <c r="AD183" i="2"/>
  <c r="AC183" i="2"/>
  <c r="AB183" i="2"/>
  <c r="AA183" i="2"/>
  <c r="Z183" i="2"/>
  <c r="Y183" i="2"/>
  <c r="X183" i="2"/>
  <c r="W183" i="2"/>
  <c r="V183" i="2"/>
  <c r="U183" i="2"/>
  <c r="T183" i="2"/>
  <c r="S183" i="2"/>
  <c r="R183" i="2"/>
  <c r="Q183" i="2"/>
  <c r="P183" i="2"/>
  <c r="O183" i="2"/>
  <c r="N183" i="2"/>
  <c r="M183" i="2"/>
  <c r="L183" i="2"/>
  <c r="K183" i="2"/>
  <c r="J183" i="2"/>
  <c r="I183" i="2"/>
  <c r="H183" i="2"/>
  <c r="G183" i="2"/>
  <c r="F183" i="2"/>
  <c r="E183" i="2"/>
  <c r="D183" i="2"/>
  <c r="C183" i="2"/>
  <c r="AL182" i="2"/>
  <c r="AK182" i="2"/>
  <c r="AJ182" i="2"/>
  <c r="AI182" i="2"/>
  <c r="AH182" i="2"/>
  <c r="AG182" i="2"/>
  <c r="AF182" i="2"/>
  <c r="AE182" i="2"/>
  <c r="AD182" i="2"/>
  <c r="AC182" i="2"/>
  <c r="AB182" i="2"/>
  <c r="AA182" i="2"/>
  <c r="Z182" i="2"/>
  <c r="Y182" i="2"/>
  <c r="X182" i="2"/>
  <c r="W182" i="2"/>
  <c r="V182" i="2"/>
  <c r="U182" i="2"/>
  <c r="T182" i="2"/>
  <c r="S182" i="2"/>
  <c r="R182" i="2"/>
  <c r="Q182" i="2"/>
  <c r="P182" i="2"/>
  <c r="O182" i="2"/>
  <c r="N182" i="2"/>
  <c r="M182" i="2"/>
  <c r="L182" i="2"/>
  <c r="K182" i="2"/>
  <c r="J182" i="2"/>
  <c r="I182" i="2"/>
  <c r="H182" i="2"/>
  <c r="G182" i="2"/>
  <c r="F182" i="2"/>
  <c r="E182" i="2"/>
  <c r="D182" i="2"/>
  <c r="C182" i="2"/>
  <c r="AL181" i="2"/>
  <c r="AK181" i="2"/>
  <c r="AJ181" i="2"/>
  <c r="AI181" i="2"/>
  <c r="AH181" i="2"/>
  <c r="AG181" i="2"/>
  <c r="AF181" i="2"/>
  <c r="AE181" i="2"/>
  <c r="AD181" i="2"/>
  <c r="AC181" i="2"/>
  <c r="AB181" i="2"/>
  <c r="AA181" i="2"/>
  <c r="Z181" i="2"/>
  <c r="Y181" i="2"/>
  <c r="X181" i="2"/>
  <c r="W181" i="2"/>
  <c r="V181" i="2"/>
  <c r="U181" i="2"/>
  <c r="T181" i="2"/>
  <c r="S181" i="2"/>
  <c r="R181" i="2"/>
  <c r="Q181" i="2"/>
  <c r="P181" i="2"/>
  <c r="O181" i="2"/>
  <c r="N181" i="2"/>
  <c r="M181" i="2"/>
  <c r="L181" i="2"/>
  <c r="K181" i="2"/>
  <c r="J181" i="2"/>
  <c r="I181" i="2"/>
  <c r="H181" i="2"/>
  <c r="G181" i="2"/>
  <c r="F181" i="2"/>
  <c r="E181" i="2"/>
  <c r="D181" i="2"/>
  <c r="C181" i="2"/>
  <c r="AL180" i="2"/>
  <c r="AK180" i="2"/>
  <c r="AJ180" i="2"/>
  <c r="AI180" i="2"/>
  <c r="AH180" i="2"/>
  <c r="AG180" i="2"/>
  <c r="AF180" i="2"/>
  <c r="AE180" i="2"/>
  <c r="AD180" i="2"/>
  <c r="AC180" i="2"/>
  <c r="AB180" i="2"/>
  <c r="AA180" i="2"/>
  <c r="Z180" i="2"/>
  <c r="Y180" i="2"/>
  <c r="X180" i="2"/>
  <c r="W180" i="2"/>
  <c r="V180" i="2"/>
  <c r="U180" i="2"/>
  <c r="T180" i="2"/>
  <c r="S180" i="2"/>
  <c r="R180" i="2"/>
  <c r="Q180" i="2"/>
  <c r="P180" i="2"/>
  <c r="O180" i="2"/>
  <c r="N180" i="2"/>
  <c r="M180" i="2"/>
  <c r="L180" i="2"/>
  <c r="K180" i="2"/>
  <c r="J180" i="2"/>
  <c r="I180" i="2"/>
  <c r="H180" i="2"/>
  <c r="G180" i="2"/>
  <c r="F180" i="2"/>
  <c r="E180" i="2"/>
  <c r="D180" i="2"/>
  <c r="C180" i="2"/>
  <c r="AL148" i="2"/>
  <c r="AK148" i="2"/>
  <c r="AJ148" i="2"/>
  <c r="AI148" i="2"/>
  <c r="AH148" i="2"/>
  <c r="AG148" i="2"/>
  <c r="AF148" i="2"/>
  <c r="AE148" i="2"/>
  <c r="AD148" i="2"/>
  <c r="AC148" i="2"/>
  <c r="AB148" i="2"/>
  <c r="AA148" i="2"/>
  <c r="Z148" i="2"/>
  <c r="Y148" i="2"/>
  <c r="X148" i="2"/>
  <c r="W148" i="2"/>
  <c r="V148" i="2"/>
  <c r="U148" i="2"/>
  <c r="T148" i="2"/>
  <c r="S148" i="2"/>
  <c r="R148" i="2"/>
  <c r="Q148" i="2"/>
  <c r="P148" i="2"/>
  <c r="O148" i="2"/>
  <c r="N148" i="2"/>
  <c r="M148" i="2"/>
  <c r="L148" i="2"/>
  <c r="K148" i="2"/>
  <c r="J148" i="2"/>
  <c r="I148" i="2"/>
  <c r="H148" i="2"/>
  <c r="G148" i="2"/>
  <c r="F148" i="2"/>
  <c r="E148" i="2"/>
  <c r="D148" i="2"/>
  <c r="C148" i="2"/>
  <c r="AL147" i="2"/>
  <c r="AK147" i="2"/>
  <c r="AJ147" i="2"/>
  <c r="AI147" i="2"/>
  <c r="AH147" i="2"/>
  <c r="AG147" i="2"/>
  <c r="AF147" i="2"/>
  <c r="AE147" i="2"/>
  <c r="AD147" i="2"/>
  <c r="AC147" i="2"/>
  <c r="AB147" i="2"/>
  <c r="AA147" i="2"/>
  <c r="Z147" i="2"/>
  <c r="Y147" i="2"/>
  <c r="X147" i="2"/>
  <c r="W147" i="2"/>
  <c r="V147" i="2"/>
  <c r="U147" i="2"/>
  <c r="T147" i="2"/>
  <c r="S147" i="2"/>
  <c r="R147" i="2"/>
  <c r="Q147" i="2"/>
  <c r="P147" i="2"/>
  <c r="O147" i="2"/>
  <c r="N147" i="2"/>
  <c r="M147" i="2"/>
  <c r="L147" i="2"/>
  <c r="K147" i="2"/>
  <c r="J147" i="2"/>
  <c r="I147" i="2"/>
  <c r="H147" i="2"/>
  <c r="G147" i="2"/>
  <c r="F147" i="2"/>
  <c r="E147" i="2"/>
  <c r="D147" i="2"/>
  <c r="C147" i="2"/>
  <c r="AL146" i="2"/>
  <c r="AK146" i="2"/>
  <c r="AJ146" i="2"/>
  <c r="AI146" i="2"/>
  <c r="AH146" i="2"/>
  <c r="AG146" i="2"/>
  <c r="AF146" i="2"/>
  <c r="AE146" i="2"/>
  <c r="AD146" i="2"/>
  <c r="AC146" i="2"/>
  <c r="AB146" i="2"/>
  <c r="AA146" i="2"/>
  <c r="Z146" i="2"/>
  <c r="Y146" i="2"/>
  <c r="X146" i="2"/>
  <c r="W146" i="2"/>
  <c r="V146" i="2"/>
  <c r="U146" i="2"/>
  <c r="T146" i="2"/>
  <c r="S146" i="2"/>
  <c r="R146" i="2"/>
  <c r="Q146" i="2"/>
  <c r="P146" i="2"/>
  <c r="O146" i="2"/>
  <c r="N146" i="2"/>
  <c r="M146" i="2"/>
  <c r="L146" i="2"/>
  <c r="K146" i="2"/>
  <c r="J146" i="2"/>
  <c r="I146" i="2"/>
  <c r="H146" i="2"/>
  <c r="G146" i="2"/>
  <c r="F146" i="2"/>
  <c r="E146" i="2"/>
  <c r="D146" i="2"/>
  <c r="C146" i="2"/>
  <c r="AL145" i="2"/>
  <c r="AK145" i="2"/>
  <c r="AJ145" i="2"/>
  <c r="AI145" i="2"/>
  <c r="AH145" i="2"/>
  <c r="AG145" i="2"/>
  <c r="AF145" i="2"/>
  <c r="AE145" i="2"/>
  <c r="AD145" i="2"/>
  <c r="AC145" i="2"/>
  <c r="AB145" i="2"/>
  <c r="AA145" i="2"/>
  <c r="Z145" i="2"/>
  <c r="Y145" i="2"/>
  <c r="X145" i="2"/>
  <c r="W145" i="2"/>
  <c r="V145" i="2"/>
  <c r="U145" i="2"/>
  <c r="T145" i="2"/>
  <c r="S145" i="2"/>
  <c r="R145" i="2"/>
  <c r="Q145" i="2"/>
  <c r="P145" i="2"/>
  <c r="O145" i="2"/>
  <c r="N145" i="2"/>
  <c r="M145" i="2"/>
  <c r="L145" i="2"/>
  <c r="K145" i="2"/>
  <c r="J145" i="2"/>
  <c r="I145" i="2"/>
  <c r="H145" i="2"/>
  <c r="G145" i="2"/>
  <c r="F145" i="2"/>
  <c r="E145" i="2"/>
  <c r="D145" i="2"/>
  <c r="C145" i="2"/>
  <c r="AL144" i="2"/>
  <c r="AK144" i="2"/>
  <c r="AJ144" i="2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W144" i="2"/>
  <c r="V144" i="2"/>
  <c r="U144" i="2"/>
  <c r="T144" i="2"/>
  <c r="S144" i="2"/>
  <c r="R144" i="2"/>
  <c r="Q144" i="2"/>
  <c r="P144" i="2"/>
  <c r="O144" i="2"/>
  <c r="N144" i="2"/>
  <c r="M144" i="2"/>
  <c r="L144" i="2"/>
  <c r="K144" i="2"/>
  <c r="J144" i="2"/>
  <c r="I144" i="2"/>
  <c r="H144" i="2"/>
  <c r="G144" i="2"/>
  <c r="F144" i="2"/>
  <c r="E144" i="2"/>
  <c r="D144" i="2"/>
  <c r="C144" i="2"/>
  <c r="AL143" i="2"/>
  <c r="AK143" i="2"/>
  <c r="AJ143" i="2"/>
  <c r="AI143" i="2"/>
  <c r="AH143" i="2"/>
  <c r="AG143" i="2"/>
  <c r="AF143" i="2"/>
  <c r="AE143" i="2"/>
  <c r="AD143" i="2"/>
  <c r="AC143" i="2"/>
  <c r="AB143" i="2"/>
  <c r="AA143" i="2"/>
  <c r="Z143" i="2"/>
  <c r="Y143" i="2"/>
  <c r="X143" i="2"/>
  <c r="W143" i="2"/>
  <c r="V143" i="2"/>
  <c r="U143" i="2"/>
  <c r="T143" i="2"/>
  <c r="S143" i="2"/>
  <c r="R143" i="2"/>
  <c r="Q143" i="2"/>
  <c r="P143" i="2"/>
  <c r="O143" i="2"/>
  <c r="N143" i="2"/>
  <c r="M143" i="2"/>
  <c r="L143" i="2"/>
  <c r="K143" i="2"/>
  <c r="J143" i="2"/>
  <c r="I143" i="2"/>
  <c r="H143" i="2"/>
  <c r="G143" i="2"/>
  <c r="F143" i="2"/>
  <c r="E143" i="2"/>
  <c r="D143" i="2"/>
  <c r="C143" i="2"/>
  <c r="AL142" i="2"/>
  <c r="AK142" i="2"/>
  <c r="AJ142" i="2"/>
  <c r="AI142" i="2"/>
  <c r="AH142" i="2"/>
  <c r="AG142" i="2"/>
  <c r="AF142" i="2"/>
  <c r="AE142" i="2"/>
  <c r="AD142" i="2"/>
  <c r="AC142" i="2"/>
  <c r="AB142" i="2"/>
  <c r="AA142" i="2"/>
  <c r="Z142" i="2"/>
  <c r="Y142" i="2"/>
  <c r="X142" i="2"/>
  <c r="W142" i="2"/>
  <c r="V142" i="2"/>
  <c r="U142" i="2"/>
  <c r="T142" i="2"/>
  <c r="S142" i="2"/>
  <c r="R142" i="2"/>
  <c r="Q142" i="2"/>
  <c r="P142" i="2"/>
  <c r="O142" i="2"/>
  <c r="N142" i="2"/>
  <c r="M142" i="2"/>
  <c r="L142" i="2"/>
  <c r="K142" i="2"/>
  <c r="J142" i="2"/>
  <c r="I142" i="2"/>
  <c r="H142" i="2"/>
  <c r="G142" i="2"/>
  <c r="F142" i="2"/>
  <c r="E142" i="2"/>
  <c r="D142" i="2"/>
  <c r="C142" i="2"/>
  <c r="AL141" i="2"/>
  <c r="AK141" i="2"/>
  <c r="AJ141" i="2"/>
  <c r="AI141" i="2"/>
  <c r="AH141" i="2"/>
  <c r="AG141" i="2"/>
  <c r="AF141" i="2"/>
  <c r="AE141" i="2"/>
  <c r="AD141" i="2"/>
  <c r="AC141" i="2"/>
  <c r="AB141" i="2"/>
  <c r="AA141" i="2"/>
  <c r="Z141" i="2"/>
  <c r="Y141" i="2"/>
  <c r="X141" i="2"/>
  <c r="W141" i="2"/>
  <c r="V141" i="2"/>
  <c r="U141" i="2"/>
  <c r="T141" i="2"/>
  <c r="S141" i="2"/>
  <c r="R141" i="2"/>
  <c r="Q141" i="2"/>
  <c r="P141" i="2"/>
  <c r="O141" i="2"/>
  <c r="N141" i="2"/>
  <c r="M141" i="2"/>
  <c r="L141" i="2"/>
  <c r="K141" i="2"/>
  <c r="J141" i="2"/>
  <c r="I141" i="2"/>
  <c r="H141" i="2"/>
  <c r="G141" i="2"/>
  <c r="F141" i="2"/>
  <c r="E141" i="2"/>
  <c r="D141" i="2"/>
  <c r="C141" i="2"/>
  <c r="AL136" i="2"/>
  <c r="AK136" i="2"/>
  <c r="AJ136" i="2"/>
  <c r="AI136" i="2"/>
  <c r="AH136" i="2"/>
  <c r="AG136" i="2"/>
  <c r="AF136" i="2"/>
  <c r="AE136" i="2"/>
  <c r="AD136" i="2"/>
  <c r="AC136" i="2"/>
  <c r="AB136" i="2"/>
  <c r="AA136" i="2"/>
  <c r="Z136" i="2"/>
  <c r="Y136" i="2"/>
  <c r="X136" i="2"/>
  <c r="W136" i="2"/>
  <c r="V136" i="2"/>
  <c r="U136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G136" i="2"/>
  <c r="F136" i="2"/>
  <c r="E136" i="2"/>
  <c r="D136" i="2"/>
  <c r="C136" i="2"/>
  <c r="AL135" i="2"/>
  <c r="AK135" i="2"/>
  <c r="AJ135" i="2"/>
  <c r="AI135" i="2"/>
  <c r="AH135" i="2"/>
  <c r="AG135" i="2"/>
  <c r="AF135" i="2"/>
  <c r="AE135" i="2"/>
  <c r="AD135" i="2"/>
  <c r="AC135" i="2"/>
  <c r="AB135" i="2"/>
  <c r="AA135" i="2"/>
  <c r="Z135" i="2"/>
  <c r="Y135" i="2"/>
  <c r="X135" i="2"/>
  <c r="W135" i="2"/>
  <c r="V135" i="2"/>
  <c r="U135" i="2"/>
  <c r="T135" i="2"/>
  <c r="S135" i="2"/>
  <c r="R135" i="2"/>
  <c r="Q135" i="2"/>
  <c r="P135" i="2"/>
  <c r="O135" i="2"/>
  <c r="N135" i="2"/>
  <c r="M135" i="2"/>
  <c r="L135" i="2"/>
  <c r="K135" i="2"/>
  <c r="J135" i="2"/>
  <c r="I135" i="2"/>
  <c r="H135" i="2"/>
  <c r="G135" i="2"/>
  <c r="F135" i="2"/>
  <c r="E135" i="2"/>
  <c r="D135" i="2"/>
  <c r="C135" i="2"/>
  <c r="AL134" i="2"/>
  <c r="AK134" i="2"/>
  <c r="AJ134" i="2"/>
  <c r="AI134" i="2"/>
  <c r="AH134" i="2"/>
  <c r="AG134" i="2"/>
  <c r="AF134" i="2"/>
  <c r="AE134" i="2"/>
  <c r="AD134" i="2"/>
  <c r="AC134" i="2"/>
  <c r="AB134" i="2"/>
  <c r="AA134" i="2"/>
  <c r="Z134" i="2"/>
  <c r="Y134" i="2"/>
  <c r="X134" i="2"/>
  <c r="W134" i="2"/>
  <c r="V134" i="2"/>
  <c r="U134" i="2"/>
  <c r="T134" i="2"/>
  <c r="S134" i="2"/>
  <c r="R134" i="2"/>
  <c r="Q134" i="2"/>
  <c r="P134" i="2"/>
  <c r="O134" i="2"/>
  <c r="N134" i="2"/>
  <c r="M134" i="2"/>
  <c r="L134" i="2"/>
  <c r="K134" i="2"/>
  <c r="J134" i="2"/>
  <c r="I134" i="2"/>
  <c r="H134" i="2"/>
  <c r="G134" i="2"/>
  <c r="F134" i="2"/>
  <c r="E134" i="2"/>
  <c r="D134" i="2"/>
  <c r="C134" i="2"/>
  <c r="AL133" i="2"/>
  <c r="AK133" i="2"/>
  <c r="AJ133" i="2"/>
  <c r="AI133" i="2"/>
  <c r="AH133" i="2"/>
  <c r="AG133" i="2"/>
  <c r="AF133" i="2"/>
  <c r="AE133" i="2"/>
  <c r="AD133" i="2"/>
  <c r="AC133" i="2"/>
  <c r="AB133" i="2"/>
  <c r="AA133" i="2"/>
  <c r="Z133" i="2"/>
  <c r="Y133" i="2"/>
  <c r="X133" i="2"/>
  <c r="W133" i="2"/>
  <c r="V133" i="2"/>
  <c r="U133" i="2"/>
  <c r="T133" i="2"/>
  <c r="S133" i="2"/>
  <c r="R133" i="2"/>
  <c r="Q133" i="2"/>
  <c r="P133" i="2"/>
  <c r="O133" i="2"/>
  <c r="N133" i="2"/>
  <c r="M133" i="2"/>
  <c r="L133" i="2"/>
  <c r="K133" i="2"/>
  <c r="J133" i="2"/>
  <c r="I133" i="2"/>
  <c r="H133" i="2"/>
  <c r="G133" i="2"/>
  <c r="F133" i="2"/>
  <c r="E133" i="2"/>
  <c r="D133" i="2"/>
  <c r="C133" i="2"/>
  <c r="AL132" i="2"/>
  <c r="AK132" i="2"/>
  <c r="AJ132" i="2"/>
  <c r="AI132" i="2"/>
  <c r="AH132" i="2"/>
  <c r="AG132" i="2"/>
  <c r="AF132" i="2"/>
  <c r="AE132" i="2"/>
  <c r="AD132" i="2"/>
  <c r="AC132" i="2"/>
  <c r="AB132" i="2"/>
  <c r="AA132" i="2"/>
  <c r="Z132" i="2"/>
  <c r="Y132" i="2"/>
  <c r="X132" i="2"/>
  <c r="W132" i="2"/>
  <c r="V132" i="2"/>
  <c r="U132" i="2"/>
  <c r="T132" i="2"/>
  <c r="S132" i="2"/>
  <c r="R132" i="2"/>
  <c r="Q132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AL131" i="2"/>
  <c r="AK131" i="2"/>
  <c r="AJ131" i="2"/>
  <c r="AI131" i="2"/>
  <c r="AH131" i="2"/>
  <c r="AG131" i="2"/>
  <c r="AF131" i="2"/>
  <c r="AE131" i="2"/>
  <c r="AD131" i="2"/>
  <c r="AC131" i="2"/>
  <c r="AB131" i="2"/>
  <c r="AA131" i="2"/>
  <c r="Z131" i="2"/>
  <c r="Y131" i="2"/>
  <c r="X131" i="2"/>
  <c r="W131" i="2"/>
  <c r="V131" i="2"/>
  <c r="U131" i="2"/>
  <c r="T131" i="2"/>
  <c r="S131" i="2"/>
  <c r="R131" i="2"/>
  <c r="Q131" i="2"/>
  <c r="P131" i="2"/>
  <c r="O131" i="2"/>
  <c r="N131" i="2"/>
  <c r="M131" i="2"/>
  <c r="L131" i="2"/>
  <c r="K131" i="2"/>
  <c r="J131" i="2"/>
  <c r="I131" i="2"/>
  <c r="H131" i="2"/>
  <c r="G131" i="2"/>
  <c r="F131" i="2"/>
  <c r="E131" i="2"/>
  <c r="D131" i="2"/>
  <c r="C131" i="2"/>
  <c r="AL130" i="2"/>
  <c r="AK130" i="2"/>
  <c r="AJ130" i="2"/>
  <c r="AI130" i="2"/>
  <c r="AH130" i="2"/>
  <c r="AG130" i="2"/>
  <c r="AF130" i="2"/>
  <c r="AE130" i="2"/>
  <c r="AD130" i="2"/>
  <c r="AC130" i="2"/>
  <c r="AB130" i="2"/>
  <c r="AA130" i="2"/>
  <c r="Z130" i="2"/>
  <c r="Y130" i="2"/>
  <c r="X130" i="2"/>
  <c r="W130" i="2"/>
  <c r="V130" i="2"/>
  <c r="U130" i="2"/>
  <c r="T130" i="2"/>
  <c r="S130" i="2"/>
  <c r="R130" i="2"/>
  <c r="Q130" i="2"/>
  <c r="P130" i="2"/>
  <c r="O130" i="2"/>
  <c r="N130" i="2"/>
  <c r="M130" i="2"/>
  <c r="L130" i="2"/>
  <c r="K130" i="2"/>
  <c r="J130" i="2"/>
  <c r="I130" i="2"/>
  <c r="H130" i="2"/>
  <c r="G130" i="2"/>
  <c r="F130" i="2"/>
  <c r="E130" i="2"/>
  <c r="D130" i="2"/>
  <c r="C130" i="2"/>
  <c r="AL129" i="2"/>
  <c r="AK129" i="2"/>
  <c r="AJ129" i="2"/>
  <c r="AI129" i="2"/>
  <c r="AH129" i="2"/>
  <c r="AG129" i="2"/>
  <c r="AF129" i="2"/>
  <c r="AE129" i="2"/>
  <c r="AD129" i="2"/>
  <c r="AC129" i="2"/>
  <c r="AB129" i="2"/>
  <c r="AA129" i="2"/>
  <c r="Z129" i="2"/>
  <c r="Y129" i="2"/>
  <c r="X129" i="2"/>
  <c r="W129" i="2"/>
  <c r="V129" i="2"/>
  <c r="U129" i="2"/>
  <c r="T129" i="2"/>
  <c r="S129" i="2"/>
  <c r="R129" i="2"/>
  <c r="Q129" i="2"/>
  <c r="P129" i="2"/>
  <c r="O129" i="2"/>
  <c r="N129" i="2"/>
  <c r="M129" i="2"/>
  <c r="L129" i="2"/>
  <c r="K129" i="2"/>
  <c r="J129" i="2"/>
  <c r="I129" i="2"/>
  <c r="H129" i="2"/>
  <c r="G129" i="2"/>
  <c r="F129" i="2"/>
  <c r="E129" i="2"/>
  <c r="D129" i="2"/>
  <c r="C129" i="2"/>
  <c r="AL571" i="2"/>
  <c r="AK571" i="2"/>
  <c r="AJ571" i="2"/>
  <c r="AI571" i="2"/>
  <c r="AH571" i="2"/>
  <c r="AG571" i="2"/>
  <c r="AF571" i="2"/>
  <c r="AE571" i="2"/>
  <c r="AD571" i="2"/>
  <c r="AC571" i="2"/>
  <c r="AB571" i="2"/>
  <c r="AA571" i="2"/>
  <c r="Z571" i="2"/>
  <c r="Y571" i="2"/>
  <c r="X571" i="2"/>
  <c r="W571" i="2"/>
  <c r="V571" i="2"/>
  <c r="U571" i="2"/>
  <c r="T571" i="2"/>
  <c r="S571" i="2"/>
  <c r="R571" i="2"/>
  <c r="Q571" i="2"/>
  <c r="P571" i="2"/>
  <c r="O571" i="2"/>
  <c r="N571" i="2"/>
  <c r="M571" i="2"/>
  <c r="L571" i="2"/>
  <c r="K571" i="2"/>
  <c r="J571" i="2"/>
  <c r="I571" i="2"/>
  <c r="H571" i="2"/>
  <c r="G571" i="2"/>
  <c r="F571" i="2"/>
  <c r="E571" i="2"/>
  <c r="D571" i="2"/>
  <c r="C571" i="2"/>
  <c r="AL569" i="2"/>
  <c r="AK569" i="2"/>
  <c r="AJ569" i="2"/>
  <c r="AI569" i="2"/>
  <c r="AH569" i="2"/>
  <c r="AG569" i="2"/>
  <c r="AF569" i="2"/>
  <c r="AE569" i="2"/>
  <c r="AD569" i="2"/>
  <c r="AC569" i="2"/>
  <c r="AB569" i="2"/>
  <c r="AA569" i="2"/>
  <c r="Z569" i="2"/>
  <c r="Y569" i="2"/>
  <c r="X569" i="2"/>
  <c r="W569" i="2"/>
  <c r="V569" i="2"/>
  <c r="U569" i="2"/>
  <c r="T569" i="2"/>
  <c r="S569" i="2"/>
  <c r="R569" i="2"/>
  <c r="Q569" i="2"/>
  <c r="P569" i="2"/>
  <c r="O569" i="2"/>
  <c r="N569" i="2"/>
  <c r="M569" i="2"/>
  <c r="L569" i="2"/>
  <c r="K569" i="2"/>
  <c r="J569" i="2"/>
  <c r="I569" i="2"/>
  <c r="H569" i="2"/>
  <c r="G569" i="2"/>
  <c r="F569" i="2"/>
  <c r="E569" i="2"/>
  <c r="D569" i="2"/>
  <c r="C569" i="2"/>
  <c r="B569" i="2"/>
  <c r="AL568" i="2"/>
  <c r="AK568" i="2"/>
  <c r="AJ568" i="2"/>
  <c r="AI568" i="2"/>
  <c r="AH568" i="2"/>
  <c r="AG568" i="2"/>
  <c r="AF568" i="2"/>
  <c r="AE568" i="2"/>
  <c r="AD568" i="2"/>
  <c r="AC568" i="2"/>
  <c r="AB568" i="2"/>
  <c r="AA568" i="2"/>
  <c r="Z568" i="2"/>
  <c r="Y568" i="2"/>
  <c r="X568" i="2"/>
  <c r="W568" i="2"/>
  <c r="V568" i="2"/>
  <c r="U568" i="2"/>
  <c r="T568" i="2"/>
  <c r="S568" i="2"/>
  <c r="R568" i="2"/>
  <c r="Q568" i="2"/>
  <c r="P568" i="2"/>
  <c r="O568" i="2"/>
  <c r="N568" i="2"/>
  <c r="M568" i="2"/>
  <c r="L568" i="2"/>
  <c r="K568" i="2"/>
  <c r="J568" i="2"/>
  <c r="I568" i="2"/>
  <c r="H568" i="2"/>
  <c r="G568" i="2"/>
  <c r="F568" i="2"/>
  <c r="E568" i="2"/>
  <c r="D568" i="2"/>
  <c r="C568" i="2"/>
  <c r="B568" i="2"/>
  <c r="AL567" i="2"/>
  <c r="AK567" i="2"/>
  <c r="AJ567" i="2"/>
  <c r="AI567" i="2"/>
  <c r="AH567" i="2"/>
  <c r="AG567" i="2"/>
  <c r="AF567" i="2"/>
  <c r="AE567" i="2"/>
  <c r="AD567" i="2"/>
  <c r="AC567" i="2"/>
  <c r="AB567" i="2"/>
  <c r="AA567" i="2"/>
  <c r="Z567" i="2"/>
  <c r="Y567" i="2"/>
  <c r="X567" i="2"/>
  <c r="W567" i="2"/>
  <c r="V567" i="2"/>
  <c r="U567" i="2"/>
  <c r="T567" i="2"/>
  <c r="S567" i="2"/>
  <c r="R567" i="2"/>
  <c r="Q567" i="2"/>
  <c r="P567" i="2"/>
  <c r="O567" i="2"/>
  <c r="N567" i="2"/>
  <c r="M567" i="2"/>
  <c r="L567" i="2"/>
  <c r="K567" i="2"/>
  <c r="J567" i="2"/>
  <c r="I567" i="2"/>
  <c r="H567" i="2"/>
  <c r="G567" i="2"/>
  <c r="F567" i="2"/>
  <c r="E567" i="2"/>
  <c r="D567" i="2"/>
  <c r="C567" i="2"/>
  <c r="B567" i="2"/>
  <c r="AL566" i="2"/>
  <c r="AK566" i="2"/>
  <c r="AJ566" i="2"/>
  <c r="AI566" i="2"/>
  <c r="AH566" i="2"/>
  <c r="AG566" i="2"/>
  <c r="AF566" i="2"/>
  <c r="AE566" i="2"/>
  <c r="AD566" i="2"/>
  <c r="AC566" i="2"/>
  <c r="AB566" i="2"/>
  <c r="AA566" i="2"/>
  <c r="Z566" i="2"/>
  <c r="Y566" i="2"/>
  <c r="X566" i="2"/>
  <c r="W566" i="2"/>
  <c r="V566" i="2"/>
  <c r="U566" i="2"/>
  <c r="T566" i="2"/>
  <c r="S566" i="2"/>
  <c r="R566" i="2"/>
  <c r="Q566" i="2"/>
  <c r="P566" i="2"/>
  <c r="O566" i="2"/>
  <c r="N566" i="2"/>
  <c r="M566" i="2"/>
  <c r="L566" i="2"/>
  <c r="K566" i="2"/>
  <c r="J566" i="2"/>
  <c r="I566" i="2"/>
  <c r="H566" i="2"/>
  <c r="G566" i="2"/>
  <c r="F566" i="2"/>
  <c r="E566" i="2"/>
  <c r="D566" i="2"/>
  <c r="C566" i="2"/>
  <c r="B566" i="2"/>
  <c r="AL565" i="2"/>
  <c r="AK565" i="2"/>
  <c r="AJ565" i="2"/>
  <c r="AI565" i="2"/>
  <c r="AH565" i="2"/>
  <c r="AG565" i="2"/>
  <c r="AF565" i="2"/>
  <c r="AE565" i="2"/>
  <c r="AD565" i="2"/>
  <c r="AC565" i="2"/>
  <c r="AB565" i="2"/>
  <c r="AA565" i="2"/>
  <c r="Z565" i="2"/>
  <c r="Y565" i="2"/>
  <c r="X565" i="2"/>
  <c r="W565" i="2"/>
  <c r="V565" i="2"/>
  <c r="U565" i="2"/>
  <c r="T565" i="2"/>
  <c r="S565" i="2"/>
  <c r="R565" i="2"/>
  <c r="Q565" i="2"/>
  <c r="P565" i="2"/>
  <c r="O565" i="2"/>
  <c r="N565" i="2"/>
  <c r="M565" i="2"/>
  <c r="L565" i="2"/>
  <c r="K565" i="2"/>
  <c r="J565" i="2"/>
  <c r="I565" i="2"/>
  <c r="H565" i="2"/>
  <c r="G565" i="2"/>
  <c r="F565" i="2"/>
  <c r="E565" i="2"/>
  <c r="D565" i="2"/>
  <c r="C565" i="2"/>
  <c r="B565" i="2"/>
  <c r="AL564" i="2"/>
  <c r="AK564" i="2"/>
  <c r="AJ564" i="2"/>
  <c r="AI564" i="2"/>
  <c r="AH564" i="2"/>
  <c r="AG564" i="2"/>
  <c r="AF564" i="2"/>
  <c r="AE564" i="2"/>
  <c r="AD564" i="2"/>
  <c r="AC564" i="2"/>
  <c r="AB564" i="2"/>
  <c r="AA564" i="2"/>
  <c r="Z564" i="2"/>
  <c r="Y564" i="2"/>
  <c r="X564" i="2"/>
  <c r="W564" i="2"/>
  <c r="V564" i="2"/>
  <c r="U564" i="2"/>
  <c r="T564" i="2"/>
  <c r="S564" i="2"/>
  <c r="R564" i="2"/>
  <c r="Q564" i="2"/>
  <c r="P564" i="2"/>
  <c r="O564" i="2"/>
  <c r="N564" i="2"/>
  <c r="M564" i="2"/>
  <c r="L564" i="2"/>
  <c r="K564" i="2"/>
  <c r="J564" i="2"/>
  <c r="I564" i="2"/>
  <c r="H564" i="2"/>
  <c r="G564" i="2"/>
  <c r="F564" i="2"/>
  <c r="E564" i="2"/>
  <c r="D564" i="2"/>
  <c r="C564" i="2"/>
  <c r="B564" i="2"/>
  <c r="AL563" i="2"/>
  <c r="AK563" i="2"/>
  <c r="AJ563" i="2"/>
  <c r="AI563" i="2"/>
  <c r="AH563" i="2"/>
  <c r="AG563" i="2"/>
  <c r="AF563" i="2"/>
  <c r="AE563" i="2"/>
  <c r="AD563" i="2"/>
  <c r="AC563" i="2"/>
  <c r="AB563" i="2"/>
  <c r="AA563" i="2"/>
  <c r="Z563" i="2"/>
  <c r="Y563" i="2"/>
  <c r="X563" i="2"/>
  <c r="W563" i="2"/>
  <c r="V563" i="2"/>
  <c r="U563" i="2"/>
  <c r="T563" i="2"/>
  <c r="S563" i="2"/>
  <c r="R563" i="2"/>
  <c r="Q563" i="2"/>
  <c r="P563" i="2"/>
  <c r="O563" i="2"/>
  <c r="N563" i="2"/>
  <c r="M563" i="2"/>
  <c r="L563" i="2"/>
  <c r="K563" i="2"/>
  <c r="J563" i="2"/>
  <c r="I563" i="2"/>
  <c r="H563" i="2"/>
  <c r="G563" i="2"/>
  <c r="F563" i="2"/>
  <c r="E563" i="2"/>
  <c r="D563" i="2"/>
  <c r="C563" i="2"/>
  <c r="B563" i="2"/>
  <c r="AL562" i="2"/>
  <c r="AK562" i="2"/>
  <c r="AJ562" i="2"/>
  <c r="AI562" i="2"/>
  <c r="AH562" i="2"/>
  <c r="AG562" i="2"/>
  <c r="AF562" i="2"/>
  <c r="AE562" i="2"/>
  <c r="AD562" i="2"/>
  <c r="AC562" i="2"/>
  <c r="AB562" i="2"/>
  <c r="AA562" i="2"/>
  <c r="Z562" i="2"/>
  <c r="Y562" i="2"/>
  <c r="X562" i="2"/>
  <c r="W562" i="2"/>
  <c r="V562" i="2"/>
  <c r="U562" i="2"/>
  <c r="T562" i="2"/>
  <c r="S562" i="2"/>
  <c r="R562" i="2"/>
  <c r="Q562" i="2"/>
  <c r="P562" i="2"/>
  <c r="O562" i="2"/>
  <c r="N562" i="2"/>
  <c r="M562" i="2"/>
  <c r="L562" i="2"/>
  <c r="K562" i="2"/>
  <c r="J562" i="2"/>
  <c r="I562" i="2"/>
  <c r="H562" i="2"/>
  <c r="G562" i="2"/>
  <c r="F562" i="2"/>
  <c r="E562" i="2"/>
  <c r="D562" i="2"/>
  <c r="C562" i="2"/>
  <c r="B562" i="2"/>
  <c r="AL561" i="2"/>
  <c r="AK561" i="2"/>
  <c r="AJ561" i="2"/>
  <c r="AI561" i="2"/>
  <c r="AH561" i="2"/>
  <c r="AG561" i="2"/>
  <c r="AF561" i="2"/>
  <c r="AE561" i="2"/>
  <c r="AD561" i="2"/>
  <c r="AC561" i="2"/>
  <c r="AB561" i="2"/>
  <c r="AA561" i="2"/>
  <c r="Z561" i="2"/>
  <c r="Y561" i="2"/>
  <c r="X561" i="2"/>
  <c r="W561" i="2"/>
  <c r="V561" i="2"/>
  <c r="U561" i="2"/>
  <c r="T561" i="2"/>
  <c r="S561" i="2"/>
  <c r="R561" i="2"/>
  <c r="Q561" i="2"/>
  <c r="P561" i="2"/>
  <c r="O561" i="2"/>
  <c r="N561" i="2"/>
  <c r="M561" i="2"/>
  <c r="L561" i="2"/>
  <c r="K561" i="2"/>
  <c r="J561" i="2"/>
  <c r="I561" i="2"/>
  <c r="H561" i="2"/>
  <c r="G561" i="2"/>
  <c r="F561" i="2"/>
  <c r="E561" i="2"/>
  <c r="D561" i="2"/>
  <c r="C561" i="2"/>
  <c r="B561" i="2"/>
  <c r="AL560" i="2"/>
  <c r="AK560" i="2"/>
  <c r="AJ560" i="2"/>
  <c r="AI560" i="2"/>
  <c r="AH560" i="2"/>
  <c r="AG560" i="2"/>
  <c r="AF560" i="2"/>
  <c r="AE560" i="2"/>
  <c r="AD560" i="2"/>
  <c r="AC560" i="2"/>
  <c r="AB560" i="2"/>
  <c r="AA560" i="2"/>
  <c r="Z560" i="2"/>
  <c r="Y560" i="2"/>
  <c r="X560" i="2"/>
  <c r="W560" i="2"/>
  <c r="V560" i="2"/>
  <c r="U560" i="2"/>
  <c r="T560" i="2"/>
  <c r="S560" i="2"/>
  <c r="R560" i="2"/>
  <c r="Q560" i="2"/>
  <c r="P560" i="2"/>
  <c r="O560" i="2"/>
  <c r="N560" i="2"/>
  <c r="M560" i="2"/>
  <c r="L560" i="2"/>
  <c r="K560" i="2"/>
  <c r="J560" i="2"/>
  <c r="I560" i="2"/>
  <c r="H560" i="2"/>
  <c r="G560" i="2"/>
  <c r="F560" i="2"/>
  <c r="E560" i="2"/>
  <c r="D560" i="2"/>
  <c r="C560" i="2"/>
  <c r="B560" i="2"/>
  <c r="AL559" i="2"/>
  <c r="AK559" i="2"/>
  <c r="AJ559" i="2"/>
  <c r="AI559" i="2"/>
  <c r="AH559" i="2"/>
  <c r="AG559" i="2"/>
  <c r="AF559" i="2"/>
  <c r="AE559" i="2"/>
  <c r="AD559" i="2"/>
  <c r="AC559" i="2"/>
  <c r="AB559" i="2"/>
  <c r="AA559" i="2"/>
  <c r="Z559" i="2"/>
  <c r="Y559" i="2"/>
  <c r="X559" i="2"/>
  <c r="W559" i="2"/>
  <c r="V559" i="2"/>
  <c r="U559" i="2"/>
  <c r="T559" i="2"/>
  <c r="S559" i="2"/>
  <c r="R559" i="2"/>
  <c r="Q559" i="2"/>
  <c r="P559" i="2"/>
  <c r="O559" i="2"/>
  <c r="N559" i="2"/>
  <c r="M559" i="2"/>
  <c r="L559" i="2"/>
  <c r="K559" i="2"/>
  <c r="J559" i="2"/>
  <c r="I559" i="2"/>
  <c r="H559" i="2"/>
  <c r="G559" i="2"/>
  <c r="F559" i="2"/>
  <c r="E559" i="2"/>
  <c r="D559" i="2"/>
  <c r="C559" i="2"/>
  <c r="B559" i="2"/>
  <c r="AL558" i="2"/>
  <c r="AK558" i="2"/>
  <c r="AJ558" i="2"/>
  <c r="AI558" i="2"/>
  <c r="AH558" i="2"/>
  <c r="AG558" i="2"/>
  <c r="AF558" i="2"/>
  <c r="AE558" i="2"/>
  <c r="AD558" i="2"/>
  <c r="AC558" i="2"/>
  <c r="AB558" i="2"/>
  <c r="AA558" i="2"/>
  <c r="Z558" i="2"/>
  <c r="Y558" i="2"/>
  <c r="X558" i="2"/>
  <c r="W558" i="2"/>
  <c r="V558" i="2"/>
  <c r="U558" i="2"/>
  <c r="T558" i="2"/>
  <c r="S558" i="2"/>
  <c r="R558" i="2"/>
  <c r="Q558" i="2"/>
  <c r="P558" i="2"/>
  <c r="O558" i="2"/>
  <c r="N558" i="2"/>
  <c r="M558" i="2"/>
  <c r="L558" i="2"/>
  <c r="K558" i="2"/>
  <c r="J558" i="2"/>
  <c r="I558" i="2"/>
  <c r="H558" i="2"/>
  <c r="G558" i="2"/>
  <c r="F558" i="2"/>
  <c r="E558" i="2"/>
  <c r="D558" i="2"/>
  <c r="C558" i="2"/>
  <c r="B558" i="2"/>
  <c r="AL557" i="2"/>
  <c r="AK557" i="2"/>
  <c r="AJ557" i="2"/>
  <c r="AI557" i="2"/>
  <c r="AH557" i="2"/>
  <c r="AG557" i="2"/>
  <c r="AF557" i="2"/>
  <c r="AE557" i="2"/>
  <c r="AD557" i="2"/>
  <c r="AC557" i="2"/>
  <c r="AB557" i="2"/>
  <c r="AA557" i="2"/>
  <c r="Z557" i="2"/>
  <c r="Y557" i="2"/>
  <c r="X557" i="2"/>
  <c r="W557" i="2"/>
  <c r="V557" i="2"/>
  <c r="U557" i="2"/>
  <c r="T557" i="2"/>
  <c r="S557" i="2"/>
  <c r="R557" i="2"/>
  <c r="Q557" i="2"/>
  <c r="P557" i="2"/>
  <c r="O557" i="2"/>
  <c r="N557" i="2"/>
  <c r="M557" i="2"/>
  <c r="L557" i="2"/>
  <c r="K557" i="2"/>
  <c r="J557" i="2"/>
  <c r="I557" i="2"/>
  <c r="H557" i="2"/>
  <c r="G557" i="2"/>
  <c r="F557" i="2"/>
  <c r="E557" i="2"/>
  <c r="D557" i="2"/>
  <c r="C557" i="2"/>
  <c r="B557" i="2"/>
  <c r="AL556" i="2"/>
  <c r="AK556" i="2"/>
  <c r="AJ556" i="2"/>
  <c r="AI556" i="2"/>
  <c r="AH556" i="2"/>
  <c r="AG556" i="2"/>
  <c r="AF556" i="2"/>
  <c r="AE556" i="2"/>
  <c r="AD556" i="2"/>
  <c r="AC556" i="2"/>
  <c r="AB556" i="2"/>
  <c r="AA556" i="2"/>
  <c r="Z556" i="2"/>
  <c r="Y556" i="2"/>
  <c r="X556" i="2"/>
  <c r="W556" i="2"/>
  <c r="V556" i="2"/>
  <c r="U556" i="2"/>
  <c r="T556" i="2"/>
  <c r="S556" i="2"/>
  <c r="R556" i="2"/>
  <c r="Q556" i="2"/>
  <c r="P556" i="2"/>
  <c r="O556" i="2"/>
  <c r="N556" i="2"/>
  <c r="M556" i="2"/>
  <c r="L556" i="2"/>
  <c r="K556" i="2"/>
  <c r="J556" i="2"/>
  <c r="I556" i="2"/>
  <c r="H556" i="2"/>
  <c r="G556" i="2"/>
  <c r="F556" i="2"/>
  <c r="E556" i="2"/>
  <c r="D556" i="2"/>
  <c r="C556" i="2"/>
  <c r="B556" i="2"/>
  <c r="AL555" i="2"/>
  <c r="AK555" i="2"/>
  <c r="AJ555" i="2"/>
  <c r="AI555" i="2"/>
  <c r="AH555" i="2"/>
  <c r="AG555" i="2"/>
  <c r="AF555" i="2"/>
  <c r="AE555" i="2"/>
  <c r="AD555" i="2"/>
  <c r="AC555" i="2"/>
  <c r="AB555" i="2"/>
  <c r="AA555" i="2"/>
  <c r="Z555" i="2"/>
  <c r="Y555" i="2"/>
  <c r="X555" i="2"/>
  <c r="W555" i="2"/>
  <c r="V555" i="2"/>
  <c r="U555" i="2"/>
  <c r="T555" i="2"/>
  <c r="S555" i="2"/>
  <c r="R555" i="2"/>
  <c r="Q555" i="2"/>
  <c r="P555" i="2"/>
  <c r="O555" i="2"/>
  <c r="N555" i="2"/>
  <c r="M555" i="2"/>
  <c r="L555" i="2"/>
  <c r="K555" i="2"/>
  <c r="J555" i="2"/>
  <c r="I555" i="2"/>
  <c r="H555" i="2"/>
  <c r="G555" i="2"/>
  <c r="F555" i="2"/>
  <c r="E555" i="2"/>
  <c r="D555" i="2"/>
  <c r="C555" i="2"/>
  <c r="B555" i="2"/>
  <c r="AL554" i="2"/>
  <c r="AK554" i="2"/>
  <c r="AJ554" i="2"/>
  <c r="AI554" i="2"/>
  <c r="AH554" i="2"/>
  <c r="AG554" i="2"/>
  <c r="AF554" i="2"/>
  <c r="AE554" i="2"/>
  <c r="AD554" i="2"/>
  <c r="AC554" i="2"/>
  <c r="AB554" i="2"/>
  <c r="AA554" i="2"/>
  <c r="Z554" i="2"/>
  <c r="Y554" i="2"/>
  <c r="X554" i="2"/>
  <c r="W554" i="2"/>
  <c r="V554" i="2"/>
  <c r="U554" i="2"/>
  <c r="T554" i="2"/>
  <c r="S554" i="2"/>
  <c r="R554" i="2"/>
  <c r="Q554" i="2"/>
  <c r="P554" i="2"/>
  <c r="O554" i="2"/>
  <c r="N554" i="2"/>
  <c r="M554" i="2"/>
  <c r="L554" i="2"/>
  <c r="K554" i="2"/>
  <c r="J554" i="2"/>
  <c r="I554" i="2"/>
  <c r="H554" i="2"/>
  <c r="G554" i="2"/>
  <c r="F554" i="2"/>
  <c r="E554" i="2"/>
  <c r="D554" i="2"/>
  <c r="C554" i="2"/>
  <c r="B554" i="2"/>
  <c r="AL553" i="2"/>
  <c r="AK553" i="2"/>
  <c r="AJ553" i="2"/>
  <c r="AI553" i="2"/>
  <c r="AH553" i="2"/>
  <c r="AG553" i="2"/>
  <c r="AF553" i="2"/>
  <c r="AE553" i="2"/>
  <c r="AD553" i="2"/>
  <c r="AC553" i="2"/>
  <c r="AB553" i="2"/>
  <c r="AA553" i="2"/>
  <c r="Z553" i="2"/>
  <c r="Y553" i="2"/>
  <c r="X553" i="2"/>
  <c r="W553" i="2"/>
  <c r="V553" i="2"/>
  <c r="U553" i="2"/>
  <c r="T553" i="2"/>
  <c r="S553" i="2"/>
  <c r="R553" i="2"/>
  <c r="Q553" i="2"/>
  <c r="P553" i="2"/>
  <c r="O553" i="2"/>
  <c r="N553" i="2"/>
  <c r="M553" i="2"/>
  <c r="L553" i="2"/>
  <c r="K553" i="2"/>
  <c r="J553" i="2"/>
  <c r="I553" i="2"/>
  <c r="H553" i="2"/>
  <c r="G553" i="2"/>
  <c r="F553" i="2"/>
  <c r="E553" i="2"/>
  <c r="D553" i="2"/>
  <c r="C553" i="2"/>
  <c r="B553" i="2"/>
  <c r="AL552" i="2"/>
  <c r="AK552" i="2"/>
  <c r="AJ552" i="2"/>
  <c r="AI552" i="2"/>
  <c r="AH552" i="2"/>
  <c r="AG552" i="2"/>
  <c r="AF552" i="2"/>
  <c r="AE552" i="2"/>
  <c r="AD552" i="2"/>
  <c r="AC552" i="2"/>
  <c r="AB552" i="2"/>
  <c r="AA552" i="2"/>
  <c r="Z552" i="2"/>
  <c r="Y552" i="2"/>
  <c r="X552" i="2"/>
  <c r="W552" i="2"/>
  <c r="V552" i="2"/>
  <c r="U552" i="2"/>
  <c r="T552" i="2"/>
  <c r="S552" i="2"/>
  <c r="R552" i="2"/>
  <c r="Q552" i="2"/>
  <c r="P552" i="2"/>
  <c r="O552" i="2"/>
  <c r="N552" i="2"/>
  <c r="M552" i="2"/>
  <c r="L552" i="2"/>
  <c r="K552" i="2"/>
  <c r="J552" i="2"/>
  <c r="I552" i="2"/>
  <c r="H552" i="2"/>
  <c r="G552" i="2"/>
  <c r="F552" i="2"/>
  <c r="E552" i="2"/>
  <c r="D552" i="2"/>
  <c r="C552" i="2"/>
  <c r="B552" i="2"/>
  <c r="AL551" i="2"/>
  <c r="AK551" i="2"/>
  <c r="AJ551" i="2"/>
  <c r="AI551" i="2"/>
  <c r="AH551" i="2"/>
  <c r="AG551" i="2"/>
  <c r="AF551" i="2"/>
  <c r="AE551" i="2"/>
  <c r="AD551" i="2"/>
  <c r="AC551" i="2"/>
  <c r="AB551" i="2"/>
  <c r="AA551" i="2"/>
  <c r="Z551" i="2"/>
  <c r="Y551" i="2"/>
  <c r="X551" i="2"/>
  <c r="W551" i="2"/>
  <c r="V551" i="2"/>
  <c r="U551" i="2"/>
  <c r="T551" i="2"/>
  <c r="S551" i="2"/>
  <c r="R551" i="2"/>
  <c r="Q551" i="2"/>
  <c r="P551" i="2"/>
  <c r="O551" i="2"/>
  <c r="N551" i="2"/>
  <c r="M551" i="2"/>
  <c r="L551" i="2"/>
  <c r="K551" i="2"/>
  <c r="J551" i="2"/>
  <c r="I551" i="2"/>
  <c r="H551" i="2"/>
  <c r="G551" i="2"/>
  <c r="F551" i="2"/>
  <c r="E551" i="2"/>
  <c r="D551" i="2"/>
  <c r="C551" i="2"/>
  <c r="B551" i="2"/>
  <c r="AL550" i="2"/>
  <c r="AK550" i="2"/>
  <c r="AJ550" i="2"/>
  <c r="AI550" i="2"/>
  <c r="AH550" i="2"/>
  <c r="AG550" i="2"/>
  <c r="AF550" i="2"/>
  <c r="AE550" i="2"/>
  <c r="AD550" i="2"/>
  <c r="AC550" i="2"/>
  <c r="AB550" i="2"/>
  <c r="AA550" i="2"/>
  <c r="Z550" i="2"/>
  <c r="Y550" i="2"/>
  <c r="X550" i="2"/>
  <c r="W550" i="2"/>
  <c r="V550" i="2"/>
  <c r="U550" i="2"/>
  <c r="T550" i="2"/>
  <c r="S550" i="2"/>
  <c r="R550" i="2"/>
  <c r="Q550" i="2"/>
  <c r="P550" i="2"/>
  <c r="O550" i="2"/>
  <c r="N550" i="2"/>
  <c r="M550" i="2"/>
  <c r="L550" i="2"/>
  <c r="K550" i="2"/>
  <c r="J550" i="2"/>
  <c r="I550" i="2"/>
  <c r="H550" i="2"/>
  <c r="G550" i="2"/>
  <c r="F550" i="2"/>
  <c r="E550" i="2"/>
  <c r="D550" i="2"/>
  <c r="C550" i="2"/>
  <c r="B550" i="2"/>
  <c r="AL549" i="2"/>
  <c r="AK549" i="2"/>
  <c r="AJ549" i="2"/>
  <c r="AI549" i="2"/>
  <c r="AH549" i="2"/>
  <c r="AG549" i="2"/>
  <c r="AF549" i="2"/>
  <c r="AE549" i="2"/>
  <c r="AD549" i="2"/>
  <c r="AC549" i="2"/>
  <c r="AB549" i="2"/>
  <c r="AA549" i="2"/>
  <c r="Z549" i="2"/>
  <c r="Y549" i="2"/>
  <c r="X549" i="2"/>
  <c r="W549" i="2"/>
  <c r="V549" i="2"/>
  <c r="U549" i="2"/>
  <c r="T549" i="2"/>
  <c r="S549" i="2"/>
  <c r="R549" i="2"/>
  <c r="Q549" i="2"/>
  <c r="P549" i="2"/>
  <c r="O549" i="2"/>
  <c r="N549" i="2"/>
  <c r="M549" i="2"/>
  <c r="L549" i="2"/>
  <c r="K549" i="2"/>
  <c r="J549" i="2"/>
  <c r="I549" i="2"/>
  <c r="H549" i="2"/>
  <c r="G549" i="2"/>
  <c r="F549" i="2"/>
  <c r="E549" i="2"/>
  <c r="D549" i="2"/>
  <c r="C549" i="2"/>
  <c r="B549" i="2"/>
  <c r="AL548" i="2"/>
  <c r="AK548" i="2"/>
  <c r="AJ548" i="2"/>
  <c r="AI548" i="2"/>
  <c r="AH548" i="2"/>
  <c r="AG548" i="2"/>
  <c r="AF548" i="2"/>
  <c r="AE548" i="2"/>
  <c r="AD548" i="2"/>
  <c r="AC548" i="2"/>
  <c r="AB548" i="2"/>
  <c r="AA548" i="2"/>
  <c r="Z548" i="2"/>
  <c r="Y548" i="2"/>
  <c r="X548" i="2"/>
  <c r="W548" i="2"/>
  <c r="V548" i="2"/>
  <c r="U548" i="2"/>
  <c r="T548" i="2"/>
  <c r="S548" i="2"/>
  <c r="R548" i="2"/>
  <c r="Q548" i="2"/>
  <c r="P548" i="2"/>
  <c r="O548" i="2"/>
  <c r="N548" i="2"/>
  <c r="M548" i="2"/>
  <c r="L548" i="2"/>
  <c r="K548" i="2"/>
  <c r="J548" i="2"/>
  <c r="I548" i="2"/>
  <c r="H548" i="2"/>
  <c r="G548" i="2"/>
  <c r="F548" i="2"/>
  <c r="E548" i="2"/>
  <c r="D548" i="2"/>
  <c r="C548" i="2"/>
  <c r="B548" i="2"/>
  <c r="AL547" i="2"/>
  <c r="AK547" i="2"/>
  <c r="AJ547" i="2"/>
  <c r="AI547" i="2"/>
  <c r="AH547" i="2"/>
  <c r="AG547" i="2"/>
  <c r="AF547" i="2"/>
  <c r="AE547" i="2"/>
  <c r="AD547" i="2"/>
  <c r="AC547" i="2"/>
  <c r="AB547" i="2"/>
  <c r="AA547" i="2"/>
  <c r="Z547" i="2"/>
  <c r="Y547" i="2"/>
  <c r="X547" i="2"/>
  <c r="W547" i="2"/>
  <c r="V547" i="2"/>
  <c r="U547" i="2"/>
  <c r="T547" i="2"/>
  <c r="S547" i="2"/>
  <c r="R547" i="2"/>
  <c r="Q547" i="2"/>
  <c r="P547" i="2"/>
  <c r="O547" i="2"/>
  <c r="N547" i="2"/>
  <c r="M547" i="2"/>
  <c r="L547" i="2"/>
  <c r="K547" i="2"/>
  <c r="J547" i="2"/>
  <c r="I547" i="2"/>
  <c r="H547" i="2"/>
  <c r="G547" i="2"/>
  <c r="F547" i="2"/>
  <c r="E547" i="2"/>
  <c r="D547" i="2"/>
  <c r="C547" i="2"/>
  <c r="B547" i="2"/>
  <c r="AL546" i="2"/>
  <c r="AK546" i="2"/>
  <c r="AJ546" i="2"/>
  <c r="AI546" i="2"/>
  <c r="AH546" i="2"/>
  <c r="AG546" i="2"/>
  <c r="AF546" i="2"/>
  <c r="AE546" i="2"/>
  <c r="AD546" i="2"/>
  <c r="AC546" i="2"/>
  <c r="AB546" i="2"/>
  <c r="AA546" i="2"/>
  <c r="Z546" i="2"/>
  <c r="Y546" i="2"/>
  <c r="X546" i="2"/>
  <c r="W546" i="2"/>
  <c r="V546" i="2"/>
  <c r="U546" i="2"/>
  <c r="T546" i="2"/>
  <c r="S546" i="2"/>
  <c r="R546" i="2"/>
  <c r="Q546" i="2"/>
  <c r="P546" i="2"/>
  <c r="O546" i="2"/>
  <c r="N546" i="2"/>
  <c r="M546" i="2"/>
  <c r="L546" i="2"/>
  <c r="K546" i="2"/>
  <c r="J546" i="2"/>
  <c r="I546" i="2"/>
  <c r="H546" i="2"/>
  <c r="G546" i="2"/>
  <c r="F546" i="2"/>
  <c r="E546" i="2"/>
  <c r="D546" i="2"/>
  <c r="C546" i="2"/>
  <c r="B546" i="2"/>
  <c r="AL545" i="2"/>
  <c r="AK545" i="2"/>
  <c r="AJ545" i="2"/>
  <c r="AI545" i="2"/>
  <c r="AH545" i="2"/>
  <c r="AG545" i="2"/>
  <c r="AF545" i="2"/>
  <c r="AE545" i="2"/>
  <c r="AD545" i="2"/>
  <c r="AC545" i="2"/>
  <c r="AB545" i="2"/>
  <c r="AA545" i="2"/>
  <c r="Z545" i="2"/>
  <c r="Y545" i="2"/>
  <c r="X545" i="2"/>
  <c r="W545" i="2"/>
  <c r="V545" i="2"/>
  <c r="U545" i="2"/>
  <c r="T545" i="2"/>
  <c r="S545" i="2"/>
  <c r="R545" i="2"/>
  <c r="Q545" i="2"/>
  <c r="P545" i="2"/>
  <c r="O545" i="2"/>
  <c r="N545" i="2"/>
  <c r="M545" i="2"/>
  <c r="L545" i="2"/>
  <c r="K545" i="2"/>
  <c r="J545" i="2"/>
  <c r="I545" i="2"/>
  <c r="H545" i="2"/>
  <c r="G545" i="2"/>
  <c r="F545" i="2"/>
  <c r="E545" i="2"/>
  <c r="D545" i="2"/>
  <c r="C545" i="2"/>
  <c r="B545" i="2"/>
  <c r="AL544" i="2"/>
  <c r="AK544" i="2"/>
  <c r="AJ544" i="2"/>
  <c r="AI544" i="2"/>
  <c r="AH544" i="2"/>
  <c r="AG544" i="2"/>
  <c r="AF544" i="2"/>
  <c r="AE544" i="2"/>
  <c r="AD544" i="2"/>
  <c r="AC544" i="2"/>
  <c r="AB544" i="2"/>
  <c r="AA544" i="2"/>
  <c r="Z544" i="2"/>
  <c r="Y544" i="2"/>
  <c r="X544" i="2"/>
  <c r="W544" i="2"/>
  <c r="V544" i="2"/>
  <c r="U544" i="2"/>
  <c r="T544" i="2"/>
  <c r="S544" i="2"/>
  <c r="R544" i="2"/>
  <c r="Q544" i="2"/>
  <c r="P544" i="2"/>
  <c r="O544" i="2"/>
  <c r="N544" i="2"/>
  <c r="M544" i="2"/>
  <c r="L544" i="2"/>
  <c r="K544" i="2"/>
  <c r="J544" i="2"/>
  <c r="I544" i="2"/>
  <c r="H544" i="2"/>
  <c r="G544" i="2"/>
  <c r="F544" i="2"/>
  <c r="E544" i="2"/>
  <c r="D544" i="2"/>
  <c r="C544" i="2"/>
  <c r="B544" i="2"/>
  <c r="AL543" i="2"/>
  <c r="AK543" i="2"/>
  <c r="AJ543" i="2"/>
  <c r="AI543" i="2"/>
  <c r="AH543" i="2"/>
  <c r="AG543" i="2"/>
  <c r="AF543" i="2"/>
  <c r="AE543" i="2"/>
  <c r="AD543" i="2"/>
  <c r="AC543" i="2"/>
  <c r="AB543" i="2"/>
  <c r="AA543" i="2"/>
  <c r="Z543" i="2"/>
  <c r="Y543" i="2"/>
  <c r="X543" i="2"/>
  <c r="W543" i="2"/>
  <c r="V543" i="2"/>
  <c r="U543" i="2"/>
  <c r="T543" i="2"/>
  <c r="S543" i="2"/>
  <c r="R543" i="2"/>
  <c r="Q543" i="2"/>
  <c r="P543" i="2"/>
  <c r="O543" i="2"/>
  <c r="N543" i="2"/>
  <c r="M543" i="2"/>
  <c r="L543" i="2"/>
  <c r="K543" i="2"/>
  <c r="J543" i="2"/>
  <c r="I543" i="2"/>
  <c r="H543" i="2"/>
  <c r="G543" i="2"/>
  <c r="F543" i="2"/>
  <c r="E543" i="2"/>
  <c r="D543" i="2"/>
  <c r="C543" i="2"/>
  <c r="B543" i="2"/>
  <c r="AL542" i="2"/>
  <c r="AK542" i="2"/>
  <c r="AJ542" i="2"/>
  <c r="AI542" i="2"/>
  <c r="AH542" i="2"/>
  <c r="AG542" i="2"/>
  <c r="AF542" i="2"/>
  <c r="AE542" i="2"/>
  <c r="AD542" i="2"/>
  <c r="AC542" i="2"/>
  <c r="AB542" i="2"/>
  <c r="AA542" i="2"/>
  <c r="Z542" i="2"/>
  <c r="Y542" i="2"/>
  <c r="X542" i="2"/>
  <c r="W542" i="2"/>
  <c r="V542" i="2"/>
  <c r="U542" i="2"/>
  <c r="T542" i="2"/>
  <c r="S542" i="2"/>
  <c r="R542" i="2"/>
  <c r="Q542" i="2"/>
  <c r="P542" i="2"/>
  <c r="O542" i="2"/>
  <c r="N542" i="2"/>
  <c r="M542" i="2"/>
  <c r="L542" i="2"/>
  <c r="K542" i="2"/>
  <c r="J542" i="2"/>
  <c r="I542" i="2"/>
  <c r="H542" i="2"/>
  <c r="G542" i="2"/>
  <c r="F542" i="2"/>
  <c r="E542" i="2"/>
  <c r="D542" i="2"/>
  <c r="C542" i="2"/>
  <c r="B542" i="2"/>
  <c r="AL541" i="2"/>
  <c r="AK541" i="2"/>
  <c r="AJ541" i="2"/>
  <c r="AI541" i="2"/>
  <c r="AH541" i="2"/>
  <c r="AG541" i="2"/>
  <c r="AF541" i="2"/>
  <c r="AE541" i="2"/>
  <c r="AD541" i="2"/>
  <c r="AC541" i="2"/>
  <c r="AB541" i="2"/>
  <c r="AA541" i="2"/>
  <c r="Z541" i="2"/>
  <c r="Y541" i="2"/>
  <c r="X541" i="2"/>
  <c r="W541" i="2"/>
  <c r="V541" i="2"/>
  <c r="U541" i="2"/>
  <c r="T541" i="2"/>
  <c r="S541" i="2"/>
  <c r="R541" i="2"/>
  <c r="Q541" i="2"/>
  <c r="P541" i="2"/>
  <c r="O541" i="2"/>
  <c r="N541" i="2"/>
  <c r="M541" i="2"/>
  <c r="L541" i="2"/>
  <c r="K541" i="2"/>
  <c r="J541" i="2"/>
  <c r="I541" i="2"/>
  <c r="H541" i="2"/>
  <c r="G541" i="2"/>
  <c r="F541" i="2"/>
  <c r="E541" i="2"/>
  <c r="D541" i="2"/>
  <c r="C541" i="2"/>
  <c r="B541" i="2"/>
  <c r="AL540" i="2"/>
  <c r="AK540" i="2"/>
  <c r="AJ540" i="2"/>
  <c r="AI540" i="2"/>
  <c r="AH540" i="2"/>
  <c r="AG540" i="2"/>
  <c r="AF540" i="2"/>
  <c r="AE540" i="2"/>
  <c r="AD540" i="2"/>
  <c r="AC540" i="2"/>
  <c r="AB540" i="2"/>
  <c r="AA540" i="2"/>
  <c r="Z540" i="2"/>
  <c r="Y540" i="2"/>
  <c r="X540" i="2"/>
  <c r="W540" i="2"/>
  <c r="V540" i="2"/>
  <c r="U540" i="2"/>
  <c r="T540" i="2"/>
  <c r="S540" i="2"/>
  <c r="R540" i="2"/>
  <c r="Q540" i="2"/>
  <c r="P540" i="2"/>
  <c r="O540" i="2"/>
  <c r="N540" i="2"/>
  <c r="M540" i="2"/>
  <c r="L540" i="2"/>
  <c r="K540" i="2"/>
  <c r="J540" i="2"/>
  <c r="I540" i="2"/>
  <c r="H540" i="2"/>
  <c r="G540" i="2"/>
  <c r="F540" i="2"/>
  <c r="E540" i="2"/>
  <c r="D540" i="2"/>
  <c r="C540" i="2"/>
  <c r="B540" i="2"/>
  <c r="AL539" i="2"/>
  <c r="AK539" i="2"/>
  <c r="AJ539" i="2"/>
  <c r="AI539" i="2"/>
  <c r="AH539" i="2"/>
  <c r="AG539" i="2"/>
  <c r="AF539" i="2"/>
  <c r="AE539" i="2"/>
  <c r="AD539" i="2"/>
  <c r="AC539" i="2"/>
  <c r="AB539" i="2"/>
  <c r="AA539" i="2"/>
  <c r="Z539" i="2"/>
  <c r="Y539" i="2"/>
  <c r="X539" i="2"/>
  <c r="W539" i="2"/>
  <c r="V539" i="2"/>
  <c r="U539" i="2"/>
  <c r="T539" i="2"/>
  <c r="S539" i="2"/>
  <c r="R539" i="2"/>
  <c r="Q539" i="2"/>
  <c r="P539" i="2"/>
  <c r="O539" i="2"/>
  <c r="N539" i="2"/>
  <c r="M539" i="2"/>
  <c r="L539" i="2"/>
  <c r="K539" i="2"/>
  <c r="J539" i="2"/>
  <c r="I539" i="2"/>
  <c r="H539" i="2"/>
  <c r="G539" i="2"/>
  <c r="F539" i="2"/>
  <c r="E539" i="2"/>
  <c r="D539" i="2"/>
  <c r="C539" i="2"/>
  <c r="B539" i="2"/>
  <c r="AL538" i="2"/>
  <c r="AK538" i="2"/>
  <c r="AJ538" i="2"/>
  <c r="AI538" i="2"/>
  <c r="AH538" i="2"/>
  <c r="AG538" i="2"/>
  <c r="AF538" i="2"/>
  <c r="AE538" i="2"/>
  <c r="AD538" i="2"/>
  <c r="AC538" i="2"/>
  <c r="AB538" i="2"/>
  <c r="AA538" i="2"/>
  <c r="Z538" i="2"/>
  <c r="Y538" i="2"/>
  <c r="X538" i="2"/>
  <c r="W538" i="2"/>
  <c r="V538" i="2"/>
  <c r="U538" i="2"/>
  <c r="T538" i="2"/>
  <c r="S538" i="2"/>
  <c r="R538" i="2"/>
  <c r="Q538" i="2"/>
  <c r="P538" i="2"/>
  <c r="O538" i="2"/>
  <c r="N538" i="2"/>
  <c r="M538" i="2"/>
  <c r="L538" i="2"/>
  <c r="K538" i="2"/>
  <c r="J538" i="2"/>
  <c r="I538" i="2"/>
  <c r="H538" i="2"/>
  <c r="G538" i="2"/>
  <c r="F538" i="2"/>
  <c r="E538" i="2"/>
  <c r="D538" i="2"/>
  <c r="C538" i="2"/>
  <c r="B538" i="2"/>
  <c r="AL537" i="2"/>
  <c r="AK537" i="2"/>
  <c r="AJ537" i="2"/>
  <c r="AI537" i="2"/>
  <c r="AH537" i="2"/>
  <c r="AG537" i="2"/>
  <c r="AF537" i="2"/>
  <c r="AE537" i="2"/>
  <c r="AD537" i="2"/>
  <c r="AC537" i="2"/>
  <c r="AB537" i="2"/>
  <c r="AA537" i="2"/>
  <c r="Z537" i="2"/>
  <c r="Y537" i="2"/>
  <c r="X537" i="2"/>
  <c r="W537" i="2"/>
  <c r="V537" i="2"/>
  <c r="U537" i="2"/>
  <c r="T537" i="2"/>
  <c r="S537" i="2"/>
  <c r="R537" i="2"/>
  <c r="Q537" i="2"/>
  <c r="P537" i="2"/>
  <c r="O537" i="2"/>
  <c r="N537" i="2"/>
  <c r="M537" i="2"/>
  <c r="L537" i="2"/>
  <c r="K537" i="2"/>
  <c r="J537" i="2"/>
  <c r="I537" i="2"/>
  <c r="H537" i="2"/>
  <c r="G537" i="2"/>
  <c r="F537" i="2"/>
  <c r="E537" i="2"/>
  <c r="D537" i="2"/>
  <c r="C537" i="2"/>
  <c r="B537" i="2"/>
  <c r="AL536" i="2"/>
  <c r="AK536" i="2"/>
  <c r="AJ536" i="2"/>
  <c r="AI536" i="2"/>
  <c r="AH536" i="2"/>
  <c r="AG536" i="2"/>
  <c r="AF536" i="2"/>
  <c r="AE536" i="2"/>
  <c r="AD536" i="2"/>
  <c r="AC536" i="2"/>
  <c r="AB536" i="2"/>
  <c r="AA536" i="2"/>
  <c r="Z536" i="2"/>
  <c r="Y536" i="2"/>
  <c r="X536" i="2"/>
  <c r="W536" i="2"/>
  <c r="V536" i="2"/>
  <c r="U536" i="2"/>
  <c r="T536" i="2"/>
  <c r="S536" i="2"/>
  <c r="R536" i="2"/>
  <c r="Q536" i="2"/>
  <c r="P536" i="2"/>
  <c r="O536" i="2"/>
  <c r="N536" i="2"/>
  <c r="M536" i="2"/>
  <c r="L536" i="2"/>
  <c r="K536" i="2"/>
  <c r="J536" i="2"/>
  <c r="I536" i="2"/>
  <c r="H536" i="2"/>
  <c r="G536" i="2"/>
  <c r="F536" i="2"/>
  <c r="E536" i="2"/>
  <c r="D536" i="2"/>
  <c r="C536" i="2"/>
  <c r="B536" i="2"/>
  <c r="AL535" i="2"/>
  <c r="AK535" i="2"/>
  <c r="AJ535" i="2"/>
  <c r="AI535" i="2"/>
  <c r="AH535" i="2"/>
  <c r="AG535" i="2"/>
  <c r="AF535" i="2"/>
  <c r="AE535" i="2"/>
  <c r="AD535" i="2"/>
  <c r="AC535" i="2"/>
  <c r="AB535" i="2"/>
  <c r="AA535" i="2"/>
  <c r="Z535" i="2"/>
  <c r="Y535" i="2"/>
  <c r="X535" i="2"/>
  <c r="W535" i="2"/>
  <c r="V535" i="2"/>
  <c r="U535" i="2"/>
  <c r="T535" i="2"/>
  <c r="S535" i="2"/>
  <c r="R535" i="2"/>
  <c r="Q535" i="2"/>
  <c r="P535" i="2"/>
  <c r="O535" i="2"/>
  <c r="N535" i="2"/>
  <c r="M535" i="2"/>
  <c r="L535" i="2"/>
  <c r="K535" i="2"/>
  <c r="J535" i="2"/>
  <c r="I535" i="2"/>
  <c r="H535" i="2"/>
  <c r="G535" i="2"/>
  <c r="F535" i="2"/>
  <c r="E535" i="2"/>
  <c r="D535" i="2"/>
  <c r="C535" i="2"/>
  <c r="B535" i="2"/>
  <c r="AL534" i="2"/>
  <c r="AK534" i="2"/>
  <c r="AJ534" i="2"/>
  <c r="AI534" i="2"/>
  <c r="AH534" i="2"/>
  <c r="AG534" i="2"/>
  <c r="AF534" i="2"/>
  <c r="AE534" i="2"/>
  <c r="AD534" i="2"/>
  <c r="AC534" i="2"/>
  <c r="AB534" i="2"/>
  <c r="AA534" i="2"/>
  <c r="Z534" i="2"/>
  <c r="Y534" i="2"/>
  <c r="X534" i="2"/>
  <c r="W534" i="2"/>
  <c r="V534" i="2"/>
  <c r="U534" i="2"/>
  <c r="T534" i="2"/>
  <c r="S534" i="2"/>
  <c r="R534" i="2"/>
  <c r="Q534" i="2"/>
  <c r="P534" i="2"/>
  <c r="O534" i="2"/>
  <c r="N534" i="2"/>
  <c r="M534" i="2"/>
  <c r="L534" i="2"/>
  <c r="K534" i="2"/>
  <c r="J534" i="2"/>
  <c r="I534" i="2"/>
  <c r="H534" i="2"/>
  <c r="G534" i="2"/>
  <c r="F534" i="2"/>
  <c r="E534" i="2"/>
  <c r="D534" i="2"/>
  <c r="C534" i="2"/>
  <c r="B534" i="2"/>
  <c r="AL533" i="2"/>
  <c r="AK533" i="2"/>
  <c r="AJ533" i="2"/>
  <c r="AI533" i="2"/>
  <c r="AH533" i="2"/>
  <c r="AG533" i="2"/>
  <c r="AF533" i="2"/>
  <c r="AE533" i="2"/>
  <c r="AD533" i="2"/>
  <c r="AC533" i="2"/>
  <c r="AB533" i="2"/>
  <c r="AA533" i="2"/>
  <c r="Z533" i="2"/>
  <c r="Y533" i="2"/>
  <c r="X533" i="2"/>
  <c r="W533" i="2"/>
  <c r="V533" i="2"/>
  <c r="U533" i="2"/>
  <c r="T533" i="2"/>
  <c r="S533" i="2"/>
  <c r="R533" i="2"/>
  <c r="Q533" i="2"/>
  <c r="P533" i="2"/>
  <c r="O533" i="2"/>
  <c r="N533" i="2"/>
  <c r="M533" i="2"/>
  <c r="L533" i="2"/>
  <c r="K533" i="2"/>
  <c r="J533" i="2"/>
  <c r="I533" i="2"/>
  <c r="H533" i="2"/>
  <c r="G533" i="2"/>
  <c r="F533" i="2"/>
  <c r="E533" i="2"/>
  <c r="D533" i="2"/>
  <c r="C533" i="2"/>
  <c r="B533" i="2"/>
  <c r="AL532" i="2"/>
  <c r="AK532" i="2"/>
  <c r="AJ532" i="2"/>
  <c r="AI532" i="2"/>
  <c r="AH532" i="2"/>
  <c r="AG532" i="2"/>
  <c r="AF532" i="2"/>
  <c r="AE532" i="2"/>
  <c r="AD532" i="2"/>
  <c r="AC532" i="2"/>
  <c r="AB532" i="2"/>
  <c r="AA532" i="2"/>
  <c r="Z532" i="2"/>
  <c r="Y532" i="2"/>
  <c r="X532" i="2"/>
  <c r="W532" i="2"/>
  <c r="V532" i="2"/>
  <c r="U532" i="2"/>
  <c r="T532" i="2"/>
  <c r="S532" i="2"/>
  <c r="R532" i="2"/>
  <c r="Q532" i="2"/>
  <c r="P532" i="2"/>
  <c r="O532" i="2"/>
  <c r="N532" i="2"/>
  <c r="M532" i="2"/>
  <c r="L532" i="2"/>
  <c r="K532" i="2"/>
  <c r="J532" i="2"/>
  <c r="I532" i="2"/>
  <c r="H532" i="2"/>
  <c r="G532" i="2"/>
  <c r="F532" i="2"/>
  <c r="E532" i="2"/>
  <c r="D532" i="2"/>
  <c r="C532" i="2"/>
  <c r="B532" i="2"/>
  <c r="AL531" i="2"/>
  <c r="AK531" i="2"/>
  <c r="AJ531" i="2"/>
  <c r="AI531" i="2"/>
  <c r="AH531" i="2"/>
  <c r="AG531" i="2"/>
  <c r="AF531" i="2"/>
  <c r="AE531" i="2"/>
  <c r="AD531" i="2"/>
  <c r="AC531" i="2"/>
  <c r="AB531" i="2"/>
  <c r="AA531" i="2"/>
  <c r="Z531" i="2"/>
  <c r="Y531" i="2"/>
  <c r="X531" i="2"/>
  <c r="W531" i="2"/>
  <c r="V531" i="2"/>
  <c r="U531" i="2"/>
  <c r="T531" i="2"/>
  <c r="S531" i="2"/>
  <c r="R531" i="2"/>
  <c r="Q531" i="2"/>
  <c r="P531" i="2"/>
  <c r="O531" i="2"/>
  <c r="N531" i="2"/>
  <c r="M531" i="2"/>
  <c r="L531" i="2"/>
  <c r="K531" i="2"/>
  <c r="J531" i="2"/>
  <c r="I531" i="2"/>
  <c r="H531" i="2"/>
  <c r="G531" i="2"/>
  <c r="F531" i="2"/>
  <c r="E531" i="2"/>
  <c r="D531" i="2"/>
  <c r="C531" i="2"/>
  <c r="B531" i="2"/>
  <c r="AL530" i="2"/>
  <c r="AK530" i="2"/>
  <c r="AJ530" i="2"/>
  <c r="AI530" i="2"/>
  <c r="AH530" i="2"/>
  <c r="AG530" i="2"/>
  <c r="AF530" i="2"/>
  <c r="AE530" i="2"/>
  <c r="AD530" i="2"/>
  <c r="AC530" i="2"/>
  <c r="AB530" i="2"/>
  <c r="AA530" i="2"/>
  <c r="Z530" i="2"/>
  <c r="Y530" i="2"/>
  <c r="X530" i="2"/>
  <c r="W530" i="2"/>
  <c r="V530" i="2"/>
  <c r="U530" i="2"/>
  <c r="T530" i="2"/>
  <c r="S530" i="2"/>
  <c r="R530" i="2"/>
  <c r="Q530" i="2"/>
  <c r="P530" i="2"/>
  <c r="O530" i="2"/>
  <c r="N530" i="2"/>
  <c r="M530" i="2"/>
  <c r="L530" i="2"/>
  <c r="K530" i="2"/>
  <c r="J530" i="2"/>
  <c r="I530" i="2"/>
  <c r="H530" i="2"/>
  <c r="G530" i="2"/>
  <c r="F530" i="2"/>
  <c r="E530" i="2"/>
  <c r="D530" i="2"/>
  <c r="C530" i="2"/>
  <c r="B530" i="2"/>
  <c r="AL529" i="2"/>
  <c r="AK529" i="2"/>
  <c r="AJ529" i="2"/>
  <c r="AI529" i="2"/>
  <c r="AH529" i="2"/>
  <c r="AG529" i="2"/>
  <c r="AF529" i="2"/>
  <c r="AE529" i="2"/>
  <c r="AD529" i="2"/>
  <c r="AC529" i="2"/>
  <c r="AB529" i="2"/>
  <c r="AA529" i="2"/>
  <c r="Z529" i="2"/>
  <c r="Y529" i="2"/>
  <c r="X529" i="2"/>
  <c r="W529" i="2"/>
  <c r="V529" i="2"/>
  <c r="U529" i="2"/>
  <c r="T529" i="2"/>
  <c r="S529" i="2"/>
  <c r="R529" i="2"/>
  <c r="Q529" i="2"/>
  <c r="P529" i="2"/>
  <c r="O529" i="2"/>
  <c r="N529" i="2"/>
  <c r="M529" i="2"/>
  <c r="L529" i="2"/>
  <c r="K529" i="2"/>
  <c r="J529" i="2"/>
  <c r="I529" i="2"/>
  <c r="H529" i="2"/>
  <c r="G529" i="2"/>
  <c r="F529" i="2"/>
  <c r="E529" i="2"/>
  <c r="D529" i="2"/>
  <c r="C529" i="2"/>
  <c r="B529" i="2"/>
  <c r="AL528" i="2"/>
  <c r="AK528" i="2"/>
  <c r="AJ528" i="2"/>
  <c r="AI528" i="2"/>
  <c r="AH528" i="2"/>
  <c r="AG528" i="2"/>
  <c r="AF528" i="2"/>
  <c r="AE528" i="2"/>
  <c r="AD528" i="2"/>
  <c r="AC528" i="2"/>
  <c r="AB528" i="2"/>
  <c r="AA528" i="2"/>
  <c r="Z528" i="2"/>
  <c r="Y528" i="2"/>
  <c r="X528" i="2"/>
  <c r="W528" i="2"/>
  <c r="V528" i="2"/>
  <c r="U528" i="2"/>
  <c r="T528" i="2"/>
  <c r="S528" i="2"/>
  <c r="R528" i="2"/>
  <c r="Q528" i="2"/>
  <c r="P528" i="2"/>
  <c r="O528" i="2"/>
  <c r="N528" i="2"/>
  <c r="M528" i="2"/>
  <c r="L528" i="2"/>
  <c r="K528" i="2"/>
  <c r="J528" i="2"/>
  <c r="I528" i="2"/>
  <c r="H528" i="2"/>
  <c r="G528" i="2"/>
  <c r="F528" i="2"/>
  <c r="E528" i="2"/>
  <c r="D528" i="2"/>
  <c r="C528" i="2"/>
  <c r="B528" i="2"/>
  <c r="AL527" i="2"/>
  <c r="AK527" i="2"/>
  <c r="AJ527" i="2"/>
  <c r="AI527" i="2"/>
  <c r="AH527" i="2"/>
  <c r="AG527" i="2"/>
  <c r="AF527" i="2"/>
  <c r="AE527" i="2"/>
  <c r="AD527" i="2"/>
  <c r="AC527" i="2"/>
  <c r="AB527" i="2"/>
  <c r="AA527" i="2"/>
  <c r="Z527" i="2"/>
  <c r="Y527" i="2"/>
  <c r="X527" i="2"/>
  <c r="W527" i="2"/>
  <c r="V527" i="2"/>
  <c r="U527" i="2"/>
  <c r="T527" i="2"/>
  <c r="S527" i="2"/>
  <c r="R527" i="2"/>
  <c r="Q527" i="2"/>
  <c r="P527" i="2"/>
  <c r="O527" i="2"/>
  <c r="N527" i="2"/>
  <c r="M527" i="2"/>
  <c r="L527" i="2"/>
  <c r="K527" i="2"/>
  <c r="J527" i="2"/>
  <c r="I527" i="2"/>
  <c r="H527" i="2"/>
  <c r="G527" i="2"/>
  <c r="F527" i="2"/>
  <c r="E527" i="2"/>
  <c r="D527" i="2"/>
  <c r="C527" i="2"/>
  <c r="B527" i="2"/>
  <c r="AL526" i="2"/>
  <c r="AK526" i="2"/>
  <c r="AJ526" i="2"/>
  <c r="AI526" i="2"/>
  <c r="AH526" i="2"/>
  <c r="AG526" i="2"/>
  <c r="AF526" i="2"/>
  <c r="AE526" i="2"/>
  <c r="AD526" i="2"/>
  <c r="AC526" i="2"/>
  <c r="AB526" i="2"/>
  <c r="AA526" i="2"/>
  <c r="Z526" i="2"/>
  <c r="Y526" i="2"/>
  <c r="X526" i="2"/>
  <c r="W526" i="2"/>
  <c r="V526" i="2"/>
  <c r="U526" i="2"/>
  <c r="T526" i="2"/>
  <c r="S526" i="2"/>
  <c r="R526" i="2"/>
  <c r="Q526" i="2"/>
  <c r="P526" i="2"/>
  <c r="O526" i="2"/>
  <c r="N526" i="2"/>
  <c r="M526" i="2"/>
  <c r="L526" i="2"/>
  <c r="K526" i="2"/>
  <c r="J526" i="2"/>
  <c r="I526" i="2"/>
  <c r="H526" i="2"/>
  <c r="G526" i="2"/>
  <c r="F526" i="2"/>
  <c r="E526" i="2"/>
  <c r="D526" i="2"/>
  <c r="C526" i="2"/>
  <c r="B526" i="2"/>
  <c r="AL525" i="2"/>
  <c r="AK525" i="2"/>
  <c r="AJ525" i="2"/>
  <c r="AI525" i="2"/>
  <c r="AH525" i="2"/>
  <c r="AG525" i="2"/>
  <c r="AF525" i="2"/>
  <c r="AE525" i="2"/>
  <c r="AD525" i="2"/>
  <c r="AC525" i="2"/>
  <c r="AB525" i="2"/>
  <c r="AA525" i="2"/>
  <c r="Z525" i="2"/>
  <c r="Y525" i="2"/>
  <c r="X525" i="2"/>
  <c r="W525" i="2"/>
  <c r="V525" i="2"/>
  <c r="U525" i="2"/>
  <c r="T525" i="2"/>
  <c r="S525" i="2"/>
  <c r="R525" i="2"/>
  <c r="Q525" i="2"/>
  <c r="P525" i="2"/>
  <c r="O525" i="2"/>
  <c r="N525" i="2"/>
  <c r="M525" i="2"/>
  <c r="L525" i="2"/>
  <c r="K525" i="2"/>
  <c r="J525" i="2"/>
  <c r="I525" i="2"/>
  <c r="H525" i="2"/>
  <c r="G525" i="2"/>
  <c r="F525" i="2"/>
  <c r="E525" i="2"/>
  <c r="D525" i="2"/>
  <c r="C525" i="2"/>
  <c r="B525" i="2"/>
  <c r="AL524" i="2"/>
  <c r="AK524" i="2"/>
  <c r="AJ524" i="2"/>
  <c r="AI524" i="2"/>
  <c r="AH524" i="2"/>
  <c r="AG524" i="2"/>
  <c r="AF524" i="2"/>
  <c r="AE524" i="2"/>
  <c r="AD524" i="2"/>
  <c r="AC524" i="2"/>
  <c r="AB524" i="2"/>
  <c r="AA524" i="2"/>
  <c r="Z524" i="2"/>
  <c r="Y524" i="2"/>
  <c r="X524" i="2"/>
  <c r="W524" i="2"/>
  <c r="V524" i="2"/>
  <c r="U524" i="2"/>
  <c r="T524" i="2"/>
  <c r="S524" i="2"/>
  <c r="R524" i="2"/>
  <c r="Q524" i="2"/>
  <c r="P524" i="2"/>
  <c r="O524" i="2"/>
  <c r="N524" i="2"/>
  <c r="M524" i="2"/>
  <c r="L524" i="2"/>
  <c r="K524" i="2"/>
  <c r="J524" i="2"/>
  <c r="I524" i="2"/>
  <c r="H524" i="2"/>
  <c r="G524" i="2"/>
  <c r="F524" i="2"/>
  <c r="E524" i="2"/>
  <c r="D524" i="2"/>
  <c r="C524" i="2"/>
  <c r="B524" i="2"/>
  <c r="AL523" i="2"/>
  <c r="AK523" i="2"/>
  <c r="AJ523" i="2"/>
  <c r="AI523" i="2"/>
  <c r="AH523" i="2"/>
  <c r="AG523" i="2"/>
  <c r="AF523" i="2"/>
  <c r="AE523" i="2"/>
  <c r="AD523" i="2"/>
  <c r="AC523" i="2"/>
  <c r="AB523" i="2"/>
  <c r="AA523" i="2"/>
  <c r="Z523" i="2"/>
  <c r="Y523" i="2"/>
  <c r="X523" i="2"/>
  <c r="W523" i="2"/>
  <c r="V523" i="2"/>
  <c r="U523" i="2"/>
  <c r="T523" i="2"/>
  <c r="S523" i="2"/>
  <c r="R523" i="2"/>
  <c r="Q523" i="2"/>
  <c r="P523" i="2"/>
  <c r="O523" i="2"/>
  <c r="N523" i="2"/>
  <c r="M523" i="2"/>
  <c r="L523" i="2"/>
  <c r="K523" i="2"/>
  <c r="J523" i="2"/>
  <c r="I523" i="2"/>
  <c r="H523" i="2"/>
  <c r="G523" i="2"/>
  <c r="F523" i="2"/>
  <c r="E523" i="2"/>
  <c r="D523" i="2"/>
  <c r="C523" i="2"/>
  <c r="B523" i="2"/>
  <c r="AL522" i="2"/>
  <c r="AK522" i="2"/>
  <c r="AJ522" i="2"/>
  <c r="AI522" i="2"/>
  <c r="AH522" i="2"/>
  <c r="AG522" i="2"/>
  <c r="AF522" i="2"/>
  <c r="AE522" i="2"/>
  <c r="AD522" i="2"/>
  <c r="AC522" i="2"/>
  <c r="AB522" i="2"/>
  <c r="AA522" i="2"/>
  <c r="Z522" i="2"/>
  <c r="Y522" i="2"/>
  <c r="X522" i="2"/>
  <c r="W522" i="2"/>
  <c r="V522" i="2"/>
  <c r="U522" i="2"/>
  <c r="T522" i="2"/>
  <c r="S522" i="2"/>
  <c r="R522" i="2"/>
  <c r="Q522" i="2"/>
  <c r="P522" i="2"/>
  <c r="O522" i="2"/>
  <c r="N522" i="2"/>
  <c r="M522" i="2"/>
  <c r="L522" i="2"/>
  <c r="K522" i="2"/>
  <c r="J522" i="2"/>
  <c r="I522" i="2"/>
  <c r="H522" i="2"/>
  <c r="G522" i="2"/>
  <c r="F522" i="2"/>
  <c r="E522" i="2"/>
  <c r="D522" i="2"/>
  <c r="C522" i="2"/>
  <c r="B522" i="2"/>
  <c r="AL521" i="2"/>
  <c r="AK521" i="2"/>
  <c r="AJ521" i="2"/>
  <c r="AI521" i="2"/>
  <c r="AH521" i="2"/>
  <c r="AG521" i="2"/>
  <c r="AF521" i="2"/>
  <c r="AE521" i="2"/>
  <c r="AD521" i="2"/>
  <c r="AC521" i="2"/>
  <c r="AB521" i="2"/>
  <c r="AA521" i="2"/>
  <c r="Z521" i="2"/>
  <c r="Y521" i="2"/>
  <c r="X521" i="2"/>
  <c r="W521" i="2"/>
  <c r="V521" i="2"/>
  <c r="U521" i="2"/>
  <c r="T521" i="2"/>
  <c r="S521" i="2"/>
  <c r="R521" i="2"/>
  <c r="Q521" i="2"/>
  <c r="P521" i="2"/>
  <c r="O521" i="2"/>
  <c r="N521" i="2"/>
  <c r="M521" i="2"/>
  <c r="L521" i="2"/>
  <c r="K521" i="2"/>
  <c r="J521" i="2"/>
  <c r="I521" i="2"/>
  <c r="H521" i="2"/>
  <c r="G521" i="2"/>
  <c r="F521" i="2"/>
  <c r="E521" i="2"/>
  <c r="D521" i="2"/>
  <c r="C521" i="2"/>
  <c r="B521" i="2"/>
  <c r="AL520" i="2"/>
  <c r="AK520" i="2"/>
  <c r="AJ520" i="2"/>
  <c r="AI520" i="2"/>
  <c r="AH520" i="2"/>
  <c r="AG520" i="2"/>
  <c r="AF520" i="2"/>
  <c r="AE520" i="2"/>
  <c r="AD520" i="2"/>
  <c r="AC520" i="2"/>
  <c r="AB520" i="2"/>
  <c r="AA520" i="2"/>
  <c r="Z520" i="2"/>
  <c r="Y520" i="2"/>
  <c r="X520" i="2"/>
  <c r="W520" i="2"/>
  <c r="V520" i="2"/>
  <c r="U520" i="2"/>
  <c r="T520" i="2"/>
  <c r="S520" i="2"/>
  <c r="R520" i="2"/>
  <c r="Q520" i="2"/>
  <c r="P520" i="2"/>
  <c r="O520" i="2"/>
  <c r="N520" i="2"/>
  <c r="M520" i="2"/>
  <c r="L520" i="2"/>
  <c r="K520" i="2"/>
  <c r="J520" i="2"/>
  <c r="I520" i="2"/>
  <c r="H520" i="2"/>
  <c r="G520" i="2"/>
  <c r="F520" i="2"/>
  <c r="E520" i="2"/>
  <c r="D520" i="2"/>
  <c r="C520" i="2"/>
  <c r="B520" i="2"/>
  <c r="AL519" i="2"/>
  <c r="AK519" i="2"/>
  <c r="AJ519" i="2"/>
  <c r="AI519" i="2"/>
  <c r="AH519" i="2"/>
  <c r="AG519" i="2"/>
  <c r="AF519" i="2"/>
  <c r="AE519" i="2"/>
  <c r="AD519" i="2"/>
  <c r="AC519" i="2"/>
  <c r="AB519" i="2"/>
  <c r="AA519" i="2"/>
  <c r="Z519" i="2"/>
  <c r="Y519" i="2"/>
  <c r="X519" i="2"/>
  <c r="W519" i="2"/>
  <c r="V519" i="2"/>
  <c r="U519" i="2"/>
  <c r="T519" i="2"/>
  <c r="S519" i="2"/>
  <c r="R519" i="2"/>
  <c r="Q519" i="2"/>
  <c r="P519" i="2"/>
  <c r="O519" i="2"/>
  <c r="N519" i="2"/>
  <c r="M519" i="2"/>
  <c r="L519" i="2"/>
  <c r="K519" i="2"/>
  <c r="J519" i="2"/>
  <c r="I519" i="2"/>
  <c r="H519" i="2"/>
  <c r="G519" i="2"/>
  <c r="F519" i="2"/>
  <c r="E519" i="2"/>
  <c r="D519" i="2"/>
  <c r="C519" i="2"/>
  <c r="B519" i="2"/>
  <c r="AL518" i="2"/>
  <c r="AK518" i="2"/>
  <c r="AJ518" i="2"/>
  <c r="AI518" i="2"/>
  <c r="AH518" i="2"/>
  <c r="AG518" i="2"/>
  <c r="AF518" i="2"/>
  <c r="AE518" i="2"/>
  <c r="AD518" i="2"/>
  <c r="AC518" i="2"/>
  <c r="AB518" i="2"/>
  <c r="AA518" i="2"/>
  <c r="Z518" i="2"/>
  <c r="Y518" i="2"/>
  <c r="X518" i="2"/>
  <c r="W518" i="2"/>
  <c r="V518" i="2"/>
  <c r="U518" i="2"/>
  <c r="T518" i="2"/>
  <c r="S518" i="2"/>
  <c r="R518" i="2"/>
  <c r="Q518" i="2"/>
  <c r="P518" i="2"/>
  <c r="O518" i="2"/>
  <c r="N518" i="2"/>
  <c r="M518" i="2"/>
  <c r="L518" i="2"/>
  <c r="K518" i="2"/>
  <c r="J518" i="2"/>
  <c r="I518" i="2"/>
  <c r="H518" i="2"/>
  <c r="G518" i="2"/>
  <c r="F518" i="2"/>
  <c r="E518" i="2"/>
  <c r="D518" i="2"/>
  <c r="C518" i="2"/>
  <c r="B518" i="2"/>
  <c r="AL517" i="2"/>
  <c r="AK517" i="2"/>
  <c r="AJ517" i="2"/>
  <c r="AI517" i="2"/>
  <c r="AH517" i="2"/>
  <c r="AG517" i="2"/>
  <c r="AF517" i="2"/>
  <c r="AE517" i="2"/>
  <c r="AD517" i="2"/>
  <c r="AC517" i="2"/>
  <c r="AB517" i="2"/>
  <c r="AA517" i="2"/>
  <c r="Z517" i="2"/>
  <c r="Y517" i="2"/>
  <c r="X517" i="2"/>
  <c r="W517" i="2"/>
  <c r="V517" i="2"/>
  <c r="U517" i="2"/>
  <c r="T517" i="2"/>
  <c r="S517" i="2"/>
  <c r="R517" i="2"/>
  <c r="Q517" i="2"/>
  <c r="P517" i="2"/>
  <c r="O517" i="2"/>
  <c r="N517" i="2"/>
  <c r="M517" i="2"/>
  <c r="L517" i="2"/>
  <c r="K517" i="2"/>
  <c r="J517" i="2"/>
  <c r="I517" i="2"/>
  <c r="H517" i="2"/>
  <c r="G517" i="2"/>
  <c r="F517" i="2"/>
  <c r="E517" i="2"/>
  <c r="D517" i="2"/>
  <c r="C517" i="2"/>
  <c r="B517" i="2"/>
  <c r="AL516" i="2"/>
  <c r="AK516" i="2"/>
  <c r="AJ516" i="2"/>
  <c r="AI516" i="2"/>
  <c r="AH516" i="2"/>
  <c r="AG516" i="2"/>
  <c r="AF516" i="2"/>
  <c r="AE516" i="2"/>
  <c r="AD516" i="2"/>
  <c r="AC516" i="2"/>
  <c r="AB516" i="2"/>
  <c r="AA516" i="2"/>
  <c r="Z516" i="2"/>
  <c r="Y516" i="2"/>
  <c r="X516" i="2"/>
  <c r="W516" i="2"/>
  <c r="V516" i="2"/>
  <c r="U516" i="2"/>
  <c r="T516" i="2"/>
  <c r="S516" i="2"/>
  <c r="R516" i="2"/>
  <c r="Q516" i="2"/>
  <c r="P516" i="2"/>
  <c r="O516" i="2"/>
  <c r="N516" i="2"/>
  <c r="M516" i="2"/>
  <c r="L516" i="2"/>
  <c r="K516" i="2"/>
  <c r="J516" i="2"/>
  <c r="I516" i="2"/>
  <c r="H516" i="2"/>
  <c r="G516" i="2"/>
  <c r="F516" i="2"/>
  <c r="E516" i="2"/>
  <c r="D516" i="2"/>
  <c r="C516" i="2"/>
  <c r="B516" i="2"/>
  <c r="AL515" i="2"/>
  <c r="AK515" i="2"/>
  <c r="AJ515" i="2"/>
  <c r="AI515" i="2"/>
  <c r="AH515" i="2"/>
  <c r="AG515" i="2"/>
  <c r="AF515" i="2"/>
  <c r="AE515" i="2"/>
  <c r="AD515" i="2"/>
  <c r="AC515" i="2"/>
  <c r="AB515" i="2"/>
  <c r="AA515" i="2"/>
  <c r="Z515" i="2"/>
  <c r="Y515" i="2"/>
  <c r="X515" i="2"/>
  <c r="W515" i="2"/>
  <c r="V515" i="2"/>
  <c r="U515" i="2"/>
  <c r="T515" i="2"/>
  <c r="S515" i="2"/>
  <c r="R515" i="2"/>
  <c r="Q515" i="2"/>
  <c r="P515" i="2"/>
  <c r="O515" i="2"/>
  <c r="N515" i="2"/>
  <c r="M515" i="2"/>
  <c r="L515" i="2"/>
  <c r="K515" i="2"/>
  <c r="J515" i="2"/>
  <c r="I515" i="2"/>
  <c r="H515" i="2"/>
  <c r="G515" i="2"/>
  <c r="F515" i="2"/>
  <c r="E515" i="2"/>
  <c r="D515" i="2"/>
  <c r="C515" i="2"/>
  <c r="B515" i="2"/>
  <c r="AL514" i="2"/>
  <c r="AK514" i="2"/>
  <c r="AJ514" i="2"/>
  <c r="AI514" i="2"/>
  <c r="AH514" i="2"/>
  <c r="AG514" i="2"/>
  <c r="AF514" i="2"/>
  <c r="AE514" i="2"/>
  <c r="AD514" i="2"/>
  <c r="AC514" i="2"/>
  <c r="AB514" i="2"/>
  <c r="AA514" i="2"/>
  <c r="Z514" i="2"/>
  <c r="Y514" i="2"/>
  <c r="X514" i="2"/>
  <c r="W514" i="2"/>
  <c r="V514" i="2"/>
  <c r="U514" i="2"/>
  <c r="T514" i="2"/>
  <c r="S514" i="2"/>
  <c r="R514" i="2"/>
  <c r="Q514" i="2"/>
  <c r="P514" i="2"/>
  <c r="O514" i="2"/>
  <c r="N514" i="2"/>
  <c r="M514" i="2"/>
  <c r="L514" i="2"/>
  <c r="K514" i="2"/>
  <c r="J514" i="2"/>
  <c r="I514" i="2"/>
  <c r="H514" i="2"/>
  <c r="G514" i="2"/>
  <c r="F514" i="2"/>
  <c r="E514" i="2"/>
  <c r="D514" i="2"/>
  <c r="C514" i="2"/>
  <c r="B514" i="2"/>
  <c r="AL513" i="2"/>
  <c r="AK513" i="2"/>
  <c r="AJ513" i="2"/>
  <c r="AI513" i="2"/>
  <c r="AH513" i="2"/>
  <c r="AG513" i="2"/>
  <c r="AF513" i="2"/>
  <c r="AE513" i="2"/>
  <c r="AD513" i="2"/>
  <c r="AC513" i="2"/>
  <c r="AB513" i="2"/>
  <c r="AA513" i="2"/>
  <c r="Z513" i="2"/>
  <c r="Y513" i="2"/>
  <c r="X513" i="2"/>
  <c r="W513" i="2"/>
  <c r="V513" i="2"/>
  <c r="U513" i="2"/>
  <c r="T513" i="2"/>
  <c r="S513" i="2"/>
  <c r="R513" i="2"/>
  <c r="Q513" i="2"/>
  <c r="P513" i="2"/>
  <c r="O513" i="2"/>
  <c r="N513" i="2"/>
  <c r="M513" i="2"/>
  <c r="L513" i="2"/>
  <c r="K513" i="2"/>
  <c r="J513" i="2"/>
  <c r="I513" i="2"/>
  <c r="H513" i="2"/>
  <c r="G513" i="2"/>
  <c r="F513" i="2"/>
  <c r="E513" i="2"/>
  <c r="D513" i="2"/>
  <c r="C513" i="2"/>
  <c r="B513" i="2"/>
  <c r="AL512" i="2"/>
  <c r="AK512" i="2"/>
  <c r="AJ512" i="2"/>
  <c r="AI512" i="2"/>
  <c r="AH512" i="2"/>
  <c r="AG512" i="2"/>
  <c r="AF512" i="2"/>
  <c r="AE512" i="2"/>
  <c r="AD512" i="2"/>
  <c r="AC512" i="2"/>
  <c r="AB512" i="2"/>
  <c r="AA512" i="2"/>
  <c r="Z512" i="2"/>
  <c r="Y512" i="2"/>
  <c r="X512" i="2"/>
  <c r="W512" i="2"/>
  <c r="V512" i="2"/>
  <c r="U512" i="2"/>
  <c r="T512" i="2"/>
  <c r="S512" i="2"/>
  <c r="R512" i="2"/>
  <c r="Q512" i="2"/>
  <c r="P512" i="2"/>
  <c r="O512" i="2"/>
  <c r="N512" i="2"/>
  <c r="M512" i="2"/>
  <c r="L512" i="2"/>
  <c r="K512" i="2"/>
  <c r="J512" i="2"/>
  <c r="I512" i="2"/>
  <c r="H512" i="2"/>
  <c r="G512" i="2"/>
  <c r="F512" i="2"/>
  <c r="E512" i="2"/>
  <c r="D512" i="2"/>
  <c r="C512" i="2"/>
  <c r="B512" i="2"/>
  <c r="AL511" i="2"/>
  <c r="AK511" i="2"/>
  <c r="AJ511" i="2"/>
  <c r="AI511" i="2"/>
  <c r="AH511" i="2"/>
  <c r="AG511" i="2"/>
  <c r="AF511" i="2"/>
  <c r="AE511" i="2"/>
  <c r="AD511" i="2"/>
  <c r="AC511" i="2"/>
  <c r="AB511" i="2"/>
  <c r="AA511" i="2"/>
  <c r="Z511" i="2"/>
  <c r="Y511" i="2"/>
  <c r="X511" i="2"/>
  <c r="W511" i="2"/>
  <c r="V511" i="2"/>
  <c r="U511" i="2"/>
  <c r="T511" i="2"/>
  <c r="S511" i="2"/>
  <c r="R511" i="2"/>
  <c r="Q511" i="2"/>
  <c r="P511" i="2"/>
  <c r="O511" i="2"/>
  <c r="N511" i="2"/>
  <c r="M511" i="2"/>
  <c r="L511" i="2"/>
  <c r="K511" i="2"/>
  <c r="J511" i="2"/>
  <c r="I511" i="2"/>
  <c r="H511" i="2"/>
  <c r="G511" i="2"/>
  <c r="F511" i="2"/>
  <c r="E511" i="2"/>
  <c r="D511" i="2"/>
  <c r="C511" i="2"/>
  <c r="B511" i="2"/>
  <c r="AL510" i="2"/>
  <c r="AK510" i="2"/>
  <c r="AJ510" i="2"/>
  <c r="AI510" i="2"/>
  <c r="AH510" i="2"/>
  <c r="AG510" i="2"/>
  <c r="AF510" i="2"/>
  <c r="AE510" i="2"/>
  <c r="AD510" i="2"/>
  <c r="AC510" i="2"/>
  <c r="AB510" i="2"/>
  <c r="AA510" i="2"/>
  <c r="Z510" i="2"/>
  <c r="Y510" i="2"/>
  <c r="X510" i="2"/>
  <c r="W510" i="2"/>
  <c r="V510" i="2"/>
  <c r="U510" i="2"/>
  <c r="T510" i="2"/>
  <c r="S510" i="2"/>
  <c r="R510" i="2"/>
  <c r="Q510" i="2"/>
  <c r="P510" i="2"/>
  <c r="O510" i="2"/>
  <c r="N510" i="2"/>
  <c r="M510" i="2"/>
  <c r="L510" i="2"/>
  <c r="K510" i="2"/>
  <c r="J510" i="2"/>
  <c r="I510" i="2"/>
  <c r="H510" i="2"/>
  <c r="G510" i="2"/>
  <c r="F510" i="2"/>
  <c r="E510" i="2"/>
  <c r="D510" i="2"/>
  <c r="C510" i="2"/>
  <c r="B510" i="2"/>
  <c r="AL509" i="2"/>
  <c r="AK509" i="2"/>
  <c r="AJ509" i="2"/>
  <c r="AI509" i="2"/>
  <c r="AH509" i="2"/>
  <c r="AG509" i="2"/>
  <c r="AF509" i="2"/>
  <c r="AE509" i="2"/>
  <c r="AD509" i="2"/>
  <c r="AC509" i="2"/>
  <c r="AB509" i="2"/>
  <c r="AA509" i="2"/>
  <c r="Z509" i="2"/>
  <c r="Y509" i="2"/>
  <c r="X509" i="2"/>
  <c r="W509" i="2"/>
  <c r="V509" i="2"/>
  <c r="U509" i="2"/>
  <c r="T509" i="2"/>
  <c r="S509" i="2"/>
  <c r="R509" i="2"/>
  <c r="Q509" i="2"/>
  <c r="P509" i="2"/>
  <c r="O509" i="2"/>
  <c r="N509" i="2"/>
  <c r="M509" i="2"/>
  <c r="L509" i="2"/>
  <c r="K509" i="2"/>
  <c r="J509" i="2"/>
  <c r="I509" i="2"/>
  <c r="H509" i="2"/>
  <c r="G509" i="2"/>
  <c r="F509" i="2"/>
  <c r="E509" i="2"/>
  <c r="D509" i="2"/>
  <c r="C509" i="2"/>
  <c r="B509" i="2"/>
  <c r="AL508" i="2"/>
  <c r="AK508" i="2"/>
  <c r="AJ508" i="2"/>
  <c r="AI508" i="2"/>
  <c r="AH508" i="2"/>
  <c r="AG508" i="2"/>
  <c r="AF508" i="2"/>
  <c r="AE508" i="2"/>
  <c r="AD508" i="2"/>
  <c r="AC508" i="2"/>
  <c r="AB508" i="2"/>
  <c r="AA508" i="2"/>
  <c r="Z508" i="2"/>
  <c r="Y508" i="2"/>
  <c r="X508" i="2"/>
  <c r="W508" i="2"/>
  <c r="V508" i="2"/>
  <c r="U508" i="2"/>
  <c r="T508" i="2"/>
  <c r="S508" i="2"/>
  <c r="R508" i="2"/>
  <c r="Q508" i="2"/>
  <c r="P508" i="2"/>
  <c r="O508" i="2"/>
  <c r="N508" i="2"/>
  <c r="M508" i="2"/>
  <c r="L508" i="2"/>
  <c r="K508" i="2"/>
  <c r="J508" i="2"/>
  <c r="I508" i="2"/>
  <c r="H508" i="2"/>
  <c r="G508" i="2"/>
  <c r="F508" i="2"/>
  <c r="E508" i="2"/>
  <c r="D508" i="2"/>
  <c r="C508" i="2"/>
  <c r="B508" i="2"/>
  <c r="AL507" i="2"/>
  <c r="AK507" i="2"/>
  <c r="AJ507" i="2"/>
  <c r="AI507" i="2"/>
  <c r="AH507" i="2"/>
  <c r="AG507" i="2"/>
  <c r="AF507" i="2"/>
  <c r="AE507" i="2"/>
  <c r="AD507" i="2"/>
  <c r="AC507" i="2"/>
  <c r="AB507" i="2"/>
  <c r="AA507" i="2"/>
  <c r="Z507" i="2"/>
  <c r="Y507" i="2"/>
  <c r="X507" i="2"/>
  <c r="W507" i="2"/>
  <c r="V507" i="2"/>
  <c r="U507" i="2"/>
  <c r="T507" i="2"/>
  <c r="S507" i="2"/>
  <c r="R507" i="2"/>
  <c r="Q507" i="2"/>
  <c r="P507" i="2"/>
  <c r="O507" i="2"/>
  <c r="N507" i="2"/>
  <c r="M507" i="2"/>
  <c r="L507" i="2"/>
  <c r="K507" i="2"/>
  <c r="J507" i="2"/>
  <c r="I507" i="2"/>
  <c r="H507" i="2"/>
  <c r="G507" i="2"/>
  <c r="F507" i="2"/>
  <c r="E507" i="2"/>
  <c r="D507" i="2"/>
  <c r="C507" i="2"/>
  <c r="B507" i="2"/>
  <c r="AL506" i="2"/>
  <c r="AK506" i="2"/>
  <c r="AJ506" i="2"/>
  <c r="AI506" i="2"/>
  <c r="AH506" i="2"/>
  <c r="AG506" i="2"/>
  <c r="AF506" i="2"/>
  <c r="AE506" i="2"/>
  <c r="AD506" i="2"/>
  <c r="AC506" i="2"/>
  <c r="AB506" i="2"/>
  <c r="AA506" i="2"/>
  <c r="Z506" i="2"/>
  <c r="Y506" i="2"/>
  <c r="X506" i="2"/>
  <c r="W506" i="2"/>
  <c r="V506" i="2"/>
  <c r="U506" i="2"/>
  <c r="T506" i="2"/>
  <c r="S506" i="2"/>
  <c r="R506" i="2"/>
  <c r="Q506" i="2"/>
  <c r="P506" i="2"/>
  <c r="O506" i="2"/>
  <c r="N506" i="2"/>
  <c r="M506" i="2"/>
  <c r="L506" i="2"/>
  <c r="K506" i="2"/>
  <c r="J506" i="2"/>
  <c r="I506" i="2"/>
  <c r="H506" i="2"/>
  <c r="G506" i="2"/>
  <c r="F506" i="2"/>
  <c r="E506" i="2"/>
  <c r="D506" i="2"/>
  <c r="C506" i="2"/>
  <c r="B506" i="2"/>
  <c r="AL505" i="2"/>
  <c r="AK505" i="2"/>
  <c r="AJ505" i="2"/>
  <c r="AI505" i="2"/>
  <c r="AH505" i="2"/>
  <c r="AG505" i="2"/>
  <c r="AF505" i="2"/>
  <c r="AE505" i="2"/>
  <c r="AD505" i="2"/>
  <c r="AC505" i="2"/>
  <c r="AB505" i="2"/>
  <c r="AA505" i="2"/>
  <c r="Z505" i="2"/>
  <c r="Y505" i="2"/>
  <c r="X505" i="2"/>
  <c r="W505" i="2"/>
  <c r="V505" i="2"/>
  <c r="U505" i="2"/>
  <c r="T505" i="2"/>
  <c r="S505" i="2"/>
  <c r="R505" i="2"/>
  <c r="Q505" i="2"/>
  <c r="P505" i="2"/>
  <c r="O505" i="2"/>
  <c r="N505" i="2"/>
  <c r="M505" i="2"/>
  <c r="L505" i="2"/>
  <c r="K505" i="2"/>
  <c r="J505" i="2"/>
  <c r="I505" i="2"/>
  <c r="H505" i="2"/>
  <c r="G505" i="2"/>
  <c r="F505" i="2"/>
  <c r="E505" i="2"/>
  <c r="D505" i="2"/>
  <c r="C505" i="2"/>
  <c r="B505" i="2"/>
  <c r="AL504" i="2"/>
  <c r="AK504" i="2"/>
  <c r="AJ504" i="2"/>
  <c r="AI504" i="2"/>
  <c r="AH504" i="2"/>
  <c r="AG504" i="2"/>
  <c r="AF504" i="2"/>
  <c r="AE504" i="2"/>
  <c r="AD504" i="2"/>
  <c r="AC504" i="2"/>
  <c r="AB504" i="2"/>
  <c r="AA504" i="2"/>
  <c r="Z504" i="2"/>
  <c r="Y504" i="2"/>
  <c r="X504" i="2"/>
  <c r="W504" i="2"/>
  <c r="V504" i="2"/>
  <c r="U504" i="2"/>
  <c r="T504" i="2"/>
  <c r="S504" i="2"/>
  <c r="R504" i="2"/>
  <c r="Q504" i="2"/>
  <c r="P504" i="2"/>
  <c r="O504" i="2"/>
  <c r="N504" i="2"/>
  <c r="M504" i="2"/>
  <c r="L504" i="2"/>
  <c r="K504" i="2"/>
  <c r="J504" i="2"/>
  <c r="I504" i="2"/>
  <c r="H504" i="2"/>
  <c r="G504" i="2"/>
  <c r="F504" i="2"/>
  <c r="E504" i="2"/>
  <c r="D504" i="2"/>
  <c r="C504" i="2"/>
  <c r="B504" i="2"/>
  <c r="AL503" i="2"/>
  <c r="AK503" i="2"/>
  <c r="AJ503" i="2"/>
  <c r="AI503" i="2"/>
  <c r="AH503" i="2"/>
  <c r="AG503" i="2"/>
  <c r="AF503" i="2"/>
  <c r="AE503" i="2"/>
  <c r="AD503" i="2"/>
  <c r="AC503" i="2"/>
  <c r="AB503" i="2"/>
  <c r="AA503" i="2"/>
  <c r="Z503" i="2"/>
  <c r="Y503" i="2"/>
  <c r="X503" i="2"/>
  <c r="W503" i="2"/>
  <c r="V503" i="2"/>
  <c r="U503" i="2"/>
  <c r="T503" i="2"/>
  <c r="S503" i="2"/>
  <c r="R503" i="2"/>
  <c r="Q503" i="2"/>
  <c r="P503" i="2"/>
  <c r="O503" i="2"/>
  <c r="N503" i="2"/>
  <c r="M503" i="2"/>
  <c r="L503" i="2"/>
  <c r="K503" i="2"/>
  <c r="J503" i="2"/>
  <c r="I503" i="2"/>
  <c r="H503" i="2"/>
  <c r="G503" i="2"/>
  <c r="F503" i="2"/>
  <c r="E503" i="2"/>
  <c r="D503" i="2"/>
  <c r="C503" i="2"/>
  <c r="B503" i="2"/>
  <c r="AL502" i="2"/>
  <c r="AK502" i="2"/>
  <c r="AJ502" i="2"/>
  <c r="AI502" i="2"/>
  <c r="AH502" i="2"/>
  <c r="AG502" i="2"/>
  <c r="AF502" i="2"/>
  <c r="AE502" i="2"/>
  <c r="AD502" i="2"/>
  <c r="AC502" i="2"/>
  <c r="AB502" i="2"/>
  <c r="AA502" i="2"/>
  <c r="Z502" i="2"/>
  <c r="Y502" i="2"/>
  <c r="X502" i="2"/>
  <c r="W502" i="2"/>
  <c r="V502" i="2"/>
  <c r="U502" i="2"/>
  <c r="T502" i="2"/>
  <c r="S502" i="2"/>
  <c r="R502" i="2"/>
  <c r="Q502" i="2"/>
  <c r="P502" i="2"/>
  <c r="O502" i="2"/>
  <c r="N502" i="2"/>
  <c r="M502" i="2"/>
  <c r="L502" i="2"/>
  <c r="K502" i="2"/>
  <c r="J502" i="2"/>
  <c r="I502" i="2"/>
  <c r="H502" i="2"/>
  <c r="G502" i="2"/>
  <c r="F502" i="2"/>
  <c r="E502" i="2"/>
  <c r="D502" i="2"/>
  <c r="C502" i="2"/>
  <c r="B502" i="2"/>
  <c r="AL501" i="2"/>
  <c r="AK501" i="2"/>
  <c r="AJ501" i="2"/>
  <c r="AI501" i="2"/>
  <c r="AH501" i="2"/>
  <c r="AG501" i="2"/>
  <c r="AF501" i="2"/>
  <c r="AE501" i="2"/>
  <c r="AD501" i="2"/>
  <c r="AC501" i="2"/>
  <c r="AB501" i="2"/>
  <c r="AA501" i="2"/>
  <c r="Z501" i="2"/>
  <c r="Y501" i="2"/>
  <c r="X501" i="2"/>
  <c r="W501" i="2"/>
  <c r="V501" i="2"/>
  <c r="U501" i="2"/>
  <c r="T501" i="2"/>
  <c r="S501" i="2"/>
  <c r="R501" i="2"/>
  <c r="Q501" i="2"/>
  <c r="P501" i="2"/>
  <c r="O501" i="2"/>
  <c r="N501" i="2"/>
  <c r="M501" i="2"/>
  <c r="L501" i="2"/>
  <c r="K501" i="2"/>
  <c r="J501" i="2"/>
  <c r="I501" i="2"/>
  <c r="H501" i="2"/>
  <c r="G501" i="2"/>
  <c r="F501" i="2"/>
  <c r="E501" i="2"/>
  <c r="D501" i="2"/>
  <c r="C501" i="2"/>
  <c r="B501" i="2"/>
  <c r="AL500" i="2"/>
  <c r="AK500" i="2"/>
  <c r="AJ500" i="2"/>
  <c r="AI500" i="2"/>
  <c r="AH500" i="2"/>
  <c r="AG500" i="2"/>
  <c r="AF500" i="2"/>
  <c r="AE500" i="2"/>
  <c r="AD500" i="2"/>
  <c r="AC500" i="2"/>
  <c r="AB500" i="2"/>
  <c r="AA500" i="2"/>
  <c r="Z500" i="2"/>
  <c r="Y500" i="2"/>
  <c r="X500" i="2"/>
  <c r="W500" i="2"/>
  <c r="V500" i="2"/>
  <c r="U500" i="2"/>
  <c r="T500" i="2"/>
  <c r="S500" i="2"/>
  <c r="R500" i="2"/>
  <c r="Q500" i="2"/>
  <c r="P500" i="2"/>
  <c r="O500" i="2"/>
  <c r="N500" i="2"/>
  <c r="M500" i="2"/>
  <c r="L500" i="2"/>
  <c r="K500" i="2"/>
  <c r="J500" i="2"/>
  <c r="I500" i="2"/>
  <c r="H500" i="2"/>
  <c r="G500" i="2"/>
  <c r="F500" i="2"/>
  <c r="E500" i="2"/>
  <c r="D500" i="2"/>
  <c r="C500" i="2"/>
  <c r="B500" i="2"/>
  <c r="AL499" i="2"/>
  <c r="AK499" i="2"/>
  <c r="AJ499" i="2"/>
  <c r="AI499" i="2"/>
  <c r="AH499" i="2"/>
  <c r="AG499" i="2"/>
  <c r="AF499" i="2"/>
  <c r="AE499" i="2"/>
  <c r="AD499" i="2"/>
  <c r="AC499" i="2"/>
  <c r="AB499" i="2"/>
  <c r="AA499" i="2"/>
  <c r="Z499" i="2"/>
  <c r="Y499" i="2"/>
  <c r="X499" i="2"/>
  <c r="W499" i="2"/>
  <c r="V499" i="2"/>
  <c r="U499" i="2"/>
  <c r="T499" i="2"/>
  <c r="S499" i="2"/>
  <c r="R499" i="2"/>
  <c r="Q499" i="2"/>
  <c r="P499" i="2"/>
  <c r="O499" i="2"/>
  <c r="N499" i="2"/>
  <c r="M499" i="2"/>
  <c r="L499" i="2"/>
  <c r="K499" i="2"/>
  <c r="J499" i="2"/>
  <c r="I499" i="2"/>
  <c r="H499" i="2"/>
  <c r="G499" i="2"/>
  <c r="F499" i="2"/>
  <c r="E499" i="2"/>
  <c r="D499" i="2"/>
  <c r="C499" i="2"/>
  <c r="B499" i="2"/>
  <c r="AL498" i="2"/>
  <c r="AK498" i="2"/>
  <c r="AJ498" i="2"/>
  <c r="AI498" i="2"/>
  <c r="AH498" i="2"/>
  <c r="AG498" i="2"/>
  <c r="AF498" i="2"/>
  <c r="AE498" i="2"/>
  <c r="AD498" i="2"/>
  <c r="AC498" i="2"/>
  <c r="AB498" i="2"/>
  <c r="AA498" i="2"/>
  <c r="Z498" i="2"/>
  <c r="Y498" i="2"/>
  <c r="X498" i="2"/>
  <c r="W498" i="2"/>
  <c r="V498" i="2"/>
  <c r="U498" i="2"/>
  <c r="T498" i="2"/>
  <c r="S498" i="2"/>
  <c r="R498" i="2"/>
  <c r="Q498" i="2"/>
  <c r="P498" i="2"/>
  <c r="O498" i="2"/>
  <c r="N498" i="2"/>
  <c r="M498" i="2"/>
  <c r="L498" i="2"/>
  <c r="K498" i="2"/>
  <c r="J498" i="2"/>
  <c r="I498" i="2"/>
  <c r="H498" i="2"/>
  <c r="G498" i="2"/>
  <c r="F498" i="2"/>
  <c r="E498" i="2"/>
  <c r="D498" i="2"/>
  <c r="C498" i="2"/>
  <c r="B498" i="2"/>
  <c r="AL497" i="2"/>
  <c r="AK497" i="2"/>
  <c r="AJ497" i="2"/>
  <c r="AI497" i="2"/>
  <c r="AH497" i="2"/>
  <c r="AG497" i="2"/>
  <c r="AF497" i="2"/>
  <c r="AE497" i="2"/>
  <c r="AD497" i="2"/>
  <c r="AC497" i="2"/>
  <c r="AB497" i="2"/>
  <c r="AA497" i="2"/>
  <c r="Z497" i="2"/>
  <c r="Y497" i="2"/>
  <c r="X497" i="2"/>
  <c r="W497" i="2"/>
  <c r="V497" i="2"/>
  <c r="U497" i="2"/>
  <c r="T497" i="2"/>
  <c r="S497" i="2"/>
  <c r="R497" i="2"/>
  <c r="Q497" i="2"/>
  <c r="P497" i="2"/>
  <c r="O497" i="2"/>
  <c r="N497" i="2"/>
  <c r="M497" i="2"/>
  <c r="L497" i="2"/>
  <c r="K497" i="2"/>
  <c r="J497" i="2"/>
  <c r="I497" i="2"/>
  <c r="H497" i="2"/>
  <c r="G497" i="2"/>
  <c r="F497" i="2"/>
  <c r="E497" i="2"/>
  <c r="D497" i="2"/>
  <c r="C497" i="2"/>
  <c r="B497" i="2"/>
  <c r="AL496" i="2"/>
  <c r="AK496" i="2"/>
  <c r="AJ496" i="2"/>
  <c r="AI496" i="2"/>
  <c r="AH496" i="2"/>
  <c r="AG496" i="2"/>
  <c r="AF496" i="2"/>
  <c r="AE496" i="2"/>
  <c r="AD496" i="2"/>
  <c r="AC496" i="2"/>
  <c r="AB496" i="2"/>
  <c r="AA496" i="2"/>
  <c r="Z496" i="2"/>
  <c r="Y496" i="2"/>
  <c r="X496" i="2"/>
  <c r="W496" i="2"/>
  <c r="V496" i="2"/>
  <c r="U496" i="2"/>
  <c r="T496" i="2"/>
  <c r="S496" i="2"/>
  <c r="R496" i="2"/>
  <c r="Q496" i="2"/>
  <c r="P496" i="2"/>
  <c r="O496" i="2"/>
  <c r="N496" i="2"/>
  <c r="M496" i="2"/>
  <c r="L496" i="2"/>
  <c r="K496" i="2"/>
  <c r="J496" i="2"/>
  <c r="I496" i="2"/>
  <c r="H496" i="2"/>
  <c r="G496" i="2"/>
  <c r="F496" i="2"/>
  <c r="E496" i="2"/>
  <c r="D496" i="2"/>
  <c r="C496" i="2"/>
  <c r="B496" i="2"/>
  <c r="AL495" i="2"/>
  <c r="AK495" i="2"/>
  <c r="AJ495" i="2"/>
  <c r="AI495" i="2"/>
  <c r="AH495" i="2"/>
  <c r="AG495" i="2"/>
  <c r="AF495" i="2"/>
  <c r="AE495" i="2"/>
  <c r="AD495" i="2"/>
  <c r="AC495" i="2"/>
  <c r="AB495" i="2"/>
  <c r="AA495" i="2"/>
  <c r="Z495" i="2"/>
  <c r="Y495" i="2"/>
  <c r="X495" i="2"/>
  <c r="W495" i="2"/>
  <c r="V495" i="2"/>
  <c r="U495" i="2"/>
  <c r="T495" i="2"/>
  <c r="S495" i="2"/>
  <c r="R495" i="2"/>
  <c r="Q495" i="2"/>
  <c r="P495" i="2"/>
  <c r="O495" i="2"/>
  <c r="N495" i="2"/>
  <c r="M495" i="2"/>
  <c r="L495" i="2"/>
  <c r="K495" i="2"/>
  <c r="J495" i="2"/>
  <c r="I495" i="2"/>
  <c r="H495" i="2"/>
  <c r="G495" i="2"/>
  <c r="F495" i="2"/>
  <c r="E495" i="2"/>
  <c r="D495" i="2"/>
  <c r="C495" i="2"/>
  <c r="B495" i="2"/>
  <c r="AL494" i="2"/>
  <c r="AK494" i="2"/>
  <c r="AJ494" i="2"/>
  <c r="AI494" i="2"/>
  <c r="AH494" i="2"/>
  <c r="AG494" i="2"/>
  <c r="AF494" i="2"/>
  <c r="AE494" i="2"/>
  <c r="AD494" i="2"/>
  <c r="AC494" i="2"/>
  <c r="AB494" i="2"/>
  <c r="AA494" i="2"/>
  <c r="Z494" i="2"/>
  <c r="Y494" i="2"/>
  <c r="X494" i="2"/>
  <c r="W494" i="2"/>
  <c r="V494" i="2"/>
  <c r="U494" i="2"/>
  <c r="T494" i="2"/>
  <c r="S494" i="2"/>
  <c r="R494" i="2"/>
  <c r="Q494" i="2"/>
  <c r="P494" i="2"/>
  <c r="O494" i="2"/>
  <c r="N494" i="2"/>
  <c r="M494" i="2"/>
  <c r="L494" i="2"/>
  <c r="K494" i="2"/>
  <c r="J494" i="2"/>
  <c r="I494" i="2"/>
  <c r="H494" i="2"/>
  <c r="G494" i="2"/>
  <c r="F494" i="2"/>
  <c r="E494" i="2"/>
  <c r="D494" i="2"/>
  <c r="C494" i="2"/>
  <c r="B494" i="2"/>
  <c r="AL493" i="2"/>
  <c r="AK493" i="2"/>
  <c r="AJ493" i="2"/>
  <c r="AI493" i="2"/>
  <c r="AH493" i="2"/>
  <c r="AG493" i="2"/>
  <c r="AF493" i="2"/>
  <c r="AE493" i="2"/>
  <c r="AD493" i="2"/>
  <c r="AC493" i="2"/>
  <c r="AB493" i="2"/>
  <c r="AA493" i="2"/>
  <c r="Z493" i="2"/>
  <c r="Y493" i="2"/>
  <c r="X493" i="2"/>
  <c r="W493" i="2"/>
  <c r="V493" i="2"/>
  <c r="U493" i="2"/>
  <c r="T493" i="2"/>
  <c r="S493" i="2"/>
  <c r="R493" i="2"/>
  <c r="Q493" i="2"/>
  <c r="P493" i="2"/>
  <c r="O493" i="2"/>
  <c r="N493" i="2"/>
  <c r="M493" i="2"/>
  <c r="L493" i="2"/>
  <c r="K493" i="2"/>
  <c r="J493" i="2"/>
  <c r="I493" i="2"/>
  <c r="H493" i="2"/>
  <c r="G493" i="2"/>
  <c r="F493" i="2"/>
  <c r="E493" i="2"/>
  <c r="D493" i="2"/>
  <c r="C493" i="2"/>
  <c r="B493" i="2"/>
  <c r="AL492" i="2"/>
  <c r="AK492" i="2"/>
  <c r="AJ492" i="2"/>
  <c r="AI492" i="2"/>
  <c r="AH492" i="2"/>
  <c r="AG492" i="2"/>
  <c r="AF492" i="2"/>
  <c r="AE492" i="2"/>
  <c r="AD492" i="2"/>
  <c r="AC492" i="2"/>
  <c r="AB492" i="2"/>
  <c r="AA492" i="2"/>
  <c r="Z492" i="2"/>
  <c r="Y492" i="2"/>
  <c r="X492" i="2"/>
  <c r="W492" i="2"/>
  <c r="V492" i="2"/>
  <c r="U492" i="2"/>
  <c r="T492" i="2"/>
  <c r="S492" i="2"/>
  <c r="R492" i="2"/>
  <c r="Q492" i="2"/>
  <c r="P492" i="2"/>
  <c r="O492" i="2"/>
  <c r="N492" i="2"/>
  <c r="M492" i="2"/>
  <c r="L492" i="2"/>
  <c r="K492" i="2"/>
  <c r="J492" i="2"/>
  <c r="I492" i="2"/>
  <c r="H492" i="2"/>
  <c r="G492" i="2"/>
  <c r="F492" i="2"/>
  <c r="E492" i="2"/>
  <c r="D492" i="2"/>
  <c r="C492" i="2"/>
  <c r="B492" i="2"/>
  <c r="AL490" i="2"/>
  <c r="AK490" i="2"/>
  <c r="AJ490" i="2"/>
  <c r="AI490" i="2"/>
  <c r="AH490" i="2"/>
  <c r="AG490" i="2"/>
  <c r="AF490" i="2"/>
  <c r="AE490" i="2"/>
  <c r="AD490" i="2"/>
  <c r="AC490" i="2"/>
  <c r="AB490" i="2"/>
  <c r="AA490" i="2"/>
  <c r="Z490" i="2"/>
  <c r="Y490" i="2"/>
  <c r="X490" i="2"/>
  <c r="W490" i="2"/>
  <c r="V490" i="2"/>
  <c r="U490" i="2"/>
  <c r="T490" i="2"/>
  <c r="S490" i="2"/>
  <c r="R490" i="2"/>
  <c r="Q490" i="2"/>
  <c r="P490" i="2"/>
  <c r="O490" i="2"/>
  <c r="N490" i="2"/>
  <c r="M490" i="2"/>
  <c r="L490" i="2"/>
  <c r="K490" i="2"/>
  <c r="J490" i="2"/>
  <c r="I490" i="2"/>
  <c r="H490" i="2"/>
  <c r="G490" i="2"/>
  <c r="F490" i="2"/>
  <c r="E490" i="2"/>
  <c r="D490" i="2"/>
  <c r="C490" i="2"/>
  <c r="B490" i="2"/>
  <c r="AL489" i="2"/>
  <c r="AK489" i="2"/>
  <c r="AJ489" i="2"/>
  <c r="AI489" i="2"/>
  <c r="AH489" i="2"/>
  <c r="AG489" i="2"/>
  <c r="AF489" i="2"/>
  <c r="AE489" i="2"/>
  <c r="AD489" i="2"/>
  <c r="AC489" i="2"/>
  <c r="AB489" i="2"/>
  <c r="AA489" i="2"/>
  <c r="Z489" i="2"/>
  <c r="Y489" i="2"/>
  <c r="X489" i="2"/>
  <c r="W489" i="2"/>
  <c r="V489" i="2"/>
  <c r="U489" i="2"/>
  <c r="T489" i="2"/>
  <c r="S489" i="2"/>
  <c r="R489" i="2"/>
  <c r="Q489" i="2"/>
  <c r="P489" i="2"/>
  <c r="O489" i="2"/>
  <c r="N489" i="2"/>
  <c r="M489" i="2"/>
  <c r="L489" i="2"/>
  <c r="K489" i="2"/>
  <c r="J489" i="2"/>
  <c r="I489" i="2"/>
  <c r="H489" i="2"/>
  <c r="G489" i="2"/>
  <c r="F489" i="2"/>
  <c r="E489" i="2"/>
  <c r="D489" i="2"/>
  <c r="C489" i="2"/>
  <c r="B489" i="2"/>
  <c r="AL488" i="2"/>
  <c r="AK488" i="2"/>
  <c r="AJ488" i="2"/>
  <c r="AI488" i="2"/>
  <c r="AH488" i="2"/>
  <c r="AG488" i="2"/>
  <c r="AF488" i="2"/>
  <c r="AE488" i="2"/>
  <c r="AD488" i="2"/>
  <c r="AC488" i="2"/>
  <c r="AB488" i="2"/>
  <c r="AA488" i="2"/>
  <c r="Z488" i="2"/>
  <c r="Y488" i="2"/>
  <c r="X488" i="2"/>
  <c r="W488" i="2"/>
  <c r="V488" i="2"/>
  <c r="U488" i="2"/>
  <c r="T488" i="2"/>
  <c r="S488" i="2"/>
  <c r="R488" i="2"/>
  <c r="Q488" i="2"/>
  <c r="P488" i="2"/>
  <c r="O488" i="2"/>
  <c r="N488" i="2"/>
  <c r="M488" i="2"/>
  <c r="L488" i="2"/>
  <c r="K488" i="2"/>
  <c r="J488" i="2"/>
  <c r="I488" i="2"/>
  <c r="H488" i="2"/>
  <c r="G488" i="2"/>
  <c r="F488" i="2"/>
  <c r="E488" i="2"/>
  <c r="D488" i="2"/>
  <c r="C488" i="2"/>
  <c r="B488" i="2"/>
  <c r="AL487" i="2"/>
  <c r="AK487" i="2"/>
  <c r="AJ487" i="2"/>
  <c r="AI487" i="2"/>
  <c r="AH487" i="2"/>
  <c r="AG487" i="2"/>
  <c r="AF487" i="2"/>
  <c r="AE487" i="2"/>
  <c r="AD487" i="2"/>
  <c r="AC487" i="2"/>
  <c r="AB487" i="2"/>
  <c r="AA487" i="2"/>
  <c r="Z487" i="2"/>
  <c r="Y487" i="2"/>
  <c r="X487" i="2"/>
  <c r="W487" i="2"/>
  <c r="V487" i="2"/>
  <c r="U487" i="2"/>
  <c r="T487" i="2"/>
  <c r="S487" i="2"/>
  <c r="R487" i="2"/>
  <c r="Q487" i="2"/>
  <c r="P487" i="2"/>
  <c r="O487" i="2"/>
  <c r="N487" i="2"/>
  <c r="M487" i="2"/>
  <c r="L487" i="2"/>
  <c r="K487" i="2"/>
  <c r="J487" i="2"/>
  <c r="I487" i="2"/>
  <c r="H487" i="2"/>
  <c r="G487" i="2"/>
  <c r="F487" i="2"/>
  <c r="E487" i="2"/>
  <c r="D487" i="2"/>
  <c r="C487" i="2"/>
  <c r="B487" i="2"/>
  <c r="AL486" i="2"/>
  <c r="AK486" i="2"/>
  <c r="AJ486" i="2"/>
  <c r="AI486" i="2"/>
  <c r="AH486" i="2"/>
  <c r="AG486" i="2"/>
  <c r="AF486" i="2"/>
  <c r="AE486" i="2"/>
  <c r="AD486" i="2"/>
  <c r="AC486" i="2"/>
  <c r="AB486" i="2"/>
  <c r="AA486" i="2"/>
  <c r="Z486" i="2"/>
  <c r="Y486" i="2"/>
  <c r="X486" i="2"/>
  <c r="W486" i="2"/>
  <c r="V486" i="2"/>
  <c r="U486" i="2"/>
  <c r="T486" i="2"/>
  <c r="S486" i="2"/>
  <c r="R486" i="2"/>
  <c r="Q486" i="2"/>
  <c r="P486" i="2"/>
  <c r="O486" i="2"/>
  <c r="N486" i="2"/>
  <c r="M486" i="2"/>
  <c r="L486" i="2"/>
  <c r="K486" i="2"/>
  <c r="J486" i="2"/>
  <c r="I486" i="2"/>
  <c r="H486" i="2"/>
  <c r="G486" i="2"/>
  <c r="F486" i="2"/>
  <c r="E486" i="2"/>
  <c r="D486" i="2"/>
  <c r="C486" i="2"/>
  <c r="B486" i="2"/>
  <c r="AL485" i="2"/>
  <c r="AK485" i="2"/>
  <c r="AJ485" i="2"/>
  <c r="AI485" i="2"/>
  <c r="AH485" i="2"/>
  <c r="AG485" i="2"/>
  <c r="AF485" i="2"/>
  <c r="AE485" i="2"/>
  <c r="AD485" i="2"/>
  <c r="AC485" i="2"/>
  <c r="AB485" i="2"/>
  <c r="AA485" i="2"/>
  <c r="Z485" i="2"/>
  <c r="Y485" i="2"/>
  <c r="X485" i="2"/>
  <c r="W485" i="2"/>
  <c r="V485" i="2"/>
  <c r="U485" i="2"/>
  <c r="T485" i="2"/>
  <c r="S485" i="2"/>
  <c r="R485" i="2"/>
  <c r="Q485" i="2"/>
  <c r="P485" i="2"/>
  <c r="O485" i="2"/>
  <c r="N485" i="2"/>
  <c r="M485" i="2"/>
  <c r="L485" i="2"/>
  <c r="K485" i="2"/>
  <c r="J485" i="2"/>
  <c r="I485" i="2"/>
  <c r="H485" i="2"/>
  <c r="G485" i="2"/>
  <c r="F485" i="2"/>
  <c r="E485" i="2"/>
  <c r="D485" i="2"/>
  <c r="C485" i="2"/>
  <c r="B485" i="2"/>
  <c r="AL484" i="2"/>
  <c r="AK484" i="2"/>
  <c r="AJ484" i="2"/>
  <c r="AI484" i="2"/>
  <c r="AH484" i="2"/>
  <c r="AG484" i="2"/>
  <c r="AF484" i="2"/>
  <c r="AE484" i="2"/>
  <c r="AD484" i="2"/>
  <c r="AC484" i="2"/>
  <c r="AB484" i="2"/>
  <c r="AA484" i="2"/>
  <c r="Z484" i="2"/>
  <c r="Y484" i="2"/>
  <c r="X484" i="2"/>
  <c r="W484" i="2"/>
  <c r="V484" i="2"/>
  <c r="U484" i="2"/>
  <c r="T484" i="2"/>
  <c r="S484" i="2"/>
  <c r="R484" i="2"/>
  <c r="Q484" i="2"/>
  <c r="P484" i="2"/>
  <c r="O484" i="2"/>
  <c r="N484" i="2"/>
  <c r="M484" i="2"/>
  <c r="L484" i="2"/>
  <c r="K484" i="2"/>
  <c r="J484" i="2"/>
  <c r="I484" i="2"/>
  <c r="H484" i="2"/>
  <c r="G484" i="2"/>
  <c r="F484" i="2"/>
  <c r="E484" i="2"/>
  <c r="D484" i="2"/>
  <c r="C484" i="2"/>
  <c r="B484" i="2"/>
  <c r="AL483" i="2"/>
  <c r="AK483" i="2"/>
  <c r="AJ483" i="2"/>
  <c r="AI483" i="2"/>
  <c r="AH483" i="2"/>
  <c r="AG483" i="2"/>
  <c r="AF483" i="2"/>
  <c r="AE483" i="2"/>
  <c r="AD483" i="2"/>
  <c r="AC483" i="2"/>
  <c r="AB483" i="2"/>
  <c r="AA483" i="2"/>
  <c r="Z483" i="2"/>
  <c r="Y483" i="2"/>
  <c r="X483" i="2"/>
  <c r="W483" i="2"/>
  <c r="V483" i="2"/>
  <c r="U483" i="2"/>
  <c r="T483" i="2"/>
  <c r="S483" i="2"/>
  <c r="R483" i="2"/>
  <c r="Q483" i="2"/>
  <c r="P483" i="2"/>
  <c r="O483" i="2"/>
  <c r="N483" i="2"/>
  <c r="M483" i="2"/>
  <c r="L483" i="2"/>
  <c r="K483" i="2"/>
  <c r="J483" i="2"/>
  <c r="I483" i="2"/>
  <c r="H483" i="2"/>
  <c r="G483" i="2"/>
  <c r="F483" i="2"/>
  <c r="E483" i="2"/>
  <c r="D483" i="2"/>
  <c r="C483" i="2"/>
  <c r="B483" i="2"/>
  <c r="AL482" i="2"/>
  <c r="AK482" i="2"/>
  <c r="AJ482" i="2"/>
  <c r="AI482" i="2"/>
  <c r="AH482" i="2"/>
  <c r="AG482" i="2"/>
  <c r="AF482" i="2"/>
  <c r="AE482" i="2"/>
  <c r="AD482" i="2"/>
  <c r="AC482" i="2"/>
  <c r="AB482" i="2"/>
  <c r="AA482" i="2"/>
  <c r="Z482" i="2"/>
  <c r="Y482" i="2"/>
  <c r="X482" i="2"/>
  <c r="W482" i="2"/>
  <c r="V482" i="2"/>
  <c r="U482" i="2"/>
  <c r="T482" i="2"/>
  <c r="S482" i="2"/>
  <c r="R482" i="2"/>
  <c r="Q482" i="2"/>
  <c r="P482" i="2"/>
  <c r="O482" i="2"/>
  <c r="N482" i="2"/>
  <c r="M482" i="2"/>
  <c r="L482" i="2"/>
  <c r="K482" i="2"/>
  <c r="J482" i="2"/>
  <c r="I482" i="2"/>
  <c r="H482" i="2"/>
  <c r="G482" i="2"/>
  <c r="F482" i="2"/>
  <c r="E482" i="2"/>
  <c r="D482" i="2"/>
  <c r="C482" i="2"/>
  <c r="B482" i="2"/>
  <c r="AL481" i="2"/>
  <c r="AK481" i="2"/>
  <c r="AJ481" i="2"/>
  <c r="AI481" i="2"/>
  <c r="AH481" i="2"/>
  <c r="AG481" i="2"/>
  <c r="AF481" i="2"/>
  <c r="AE481" i="2"/>
  <c r="AD481" i="2"/>
  <c r="AC481" i="2"/>
  <c r="AB481" i="2"/>
  <c r="AA481" i="2"/>
  <c r="Z481" i="2"/>
  <c r="Y481" i="2"/>
  <c r="X481" i="2"/>
  <c r="W481" i="2"/>
  <c r="V481" i="2"/>
  <c r="U481" i="2"/>
  <c r="T481" i="2"/>
  <c r="S481" i="2"/>
  <c r="R481" i="2"/>
  <c r="Q481" i="2"/>
  <c r="P481" i="2"/>
  <c r="O481" i="2"/>
  <c r="N481" i="2"/>
  <c r="M481" i="2"/>
  <c r="L481" i="2"/>
  <c r="K481" i="2"/>
  <c r="J481" i="2"/>
  <c r="I481" i="2"/>
  <c r="H481" i="2"/>
  <c r="G481" i="2"/>
  <c r="F481" i="2"/>
  <c r="E481" i="2"/>
  <c r="D481" i="2"/>
  <c r="C481" i="2"/>
  <c r="B481" i="2"/>
  <c r="AL480" i="2"/>
  <c r="AK480" i="2"/>
  <c r="AJ480" i="2"/>
  <c r="AI480" i="2"/>
  <c r="AH480" i="2"/>
  <c r="AG480" i="2"/>
  <c r="AF480" i="2"/>
  <c r="AE480" i="2"/>
  <c r="AD480" i="2"/>
  <c r="AC480" i="2"/>
  <c r="AB480" i="2"/>
  <c r="AA480" i="2"/>
  <c r="Z480" i="2"/>
  <c r="Y480" i="2"/>
  <c r="X480" i="2"/>
  <c r="W480" i="2"/>
  <c r="V480" i="2"/>
  <c r="U480" i="2"/>
  <c r="T480" i="2"/>
  <c r="S480" i="2"/>
  <c r="R480" i="2"/>
  <c r="Q480" i="2"/>
  <c r="P480" i="2"/>
  <c r="O480" i="2"/>
  <c r="N480" i="2"/>
  <c r="M480" i="2"/>
  <c r="L480" i="2"/>
  <c r="K480" i="2"/>
  <c r="J480" i="2"/>
  <c r="I480" i="2"/>
  <c r="H480" i="2"/>
  <c r="G480" i="2"/>
  <c r="F480" i="2"/>
  <c r="E480" i="2"/>
  <c r="D480" i="2"/>
  <c r="C480" i="2"/>
  <c r="B480" i="2"/>
  <c r="AL479" i="2"/>
  <c r="AK479" i="2"/>
  <c r="AJ479" i="2"/>
  <c r="AI479" i="2"/>
  <c r="AH479" i="2"/>
  <c r="AG479" i="2"/>
  <c r="AF479" i="2"/>
  <c r="AE479" i="2"/>
  <c r="AD479" i="2"/>
  <c r="AC479" i="2"/>
  <c r="AB479" i="2"/>
  <c r="AA479" i="2"/>
  <c r="Z479" i="2"/>
  <c r="Y479" i="2"/>
  <c r="X479" i="2"/>
  <c r="W479" i="2"/>
  <c r="V479" i="2"/>
  <c r="U479" i="2"/>
  <c r="T479" i="2"/>
  <c r="S479" i="2"/>
  <c r="R479" i="2"/>
  <c r="Q479" i="2"/>
  <c r="P479" i="2"/>
  <c r="O479" i="2"/>
  <c r="N479" i="2"/>
  <c r="M479" i="2"/>
  <c r="L479" i="2"/>
  <c r="K479" i="2"/>
  <c r="J479" i="2"/>
  <c r="I479" i="2"/>
  <c r="H479" i="2"/>
  <c r="G479" i="2"/>
  <c r="F479" i="2"/>
  <c r="E479" i="2"/>
  <c r="D479" i="2"/>
  <c r="C479" i="2"/>
  <c r="B479" i="2"/>
  <c r="AL478" i="2"/>
  <c r="AK478" i="2"/>
  <c r="AJ478" i="2"/>
  <c r="AI478" i="2"/>
  <c r="AH478" i="2"/>
  <c r="AG478" i="2"/>
  <c r="AF478" i="2"/>
  <c r="AE478" i="2"/>
  <c r="AD478" i="2"/>
  <c r="AC478" i="2"/>
  <c r="AB478" i="2"/>
  <c r="AA478" i="2"/>
  <c r="Z478" i="2"/>
  <c r="Y478" i="2"/>
  <c r="X478" i="2"/>
  <c r="W478" i="2"/>
  <c r="V478" i="2"/>
  <c r="U478" i="2"/>
  <c r="T478" i="2"/>
  <c r="S478" i="2"/>
  <c r="R478" i="2"/>
  <c r="Q478" i="2"/>
  <c r="P478" i="2"/>
  <c r="O478" i="2"/>
  <c r="N478" i="2"/>
  <c r="M478" i="2"/>
  <c r="L478" i="2"/>
  <c r="K478" i="2"/>
  <c r="J478" i="2"/>
  <c r="I478" i="2"/>
  <c r="H478" i="2"/>
  <c r="G478" i="2"/>
  <c r="F478" i="2"/>
  <c r="E478" i="2"/>
  <c r="D478" i="2"/>
  <c r="C478" i="2"/>
  <c r="B478" i="2"/>
  <c r="AL477" i="2"/>
  <c r="AK477" i="2"/>
  <c r="AJ477" i="2"/>
  <c r="AI477" i="2"/>
  <c r="AH477" i="2"/>
  <c r="AG477" i="2"/>
  <c r="AF477" i="2"/>
  <c r="AE477" i="2"/>
  <c r="AD477" i="2"/>
  <c r="AC477" i="2"/>
  <c r="AB477" i="2"/>
  <c r="AA477" i="2"/>
  <c r="Z477" i="2"/>
  <c r="Y477" i="2"/>
  <c r="X477" i="2"/>
  <c r="W477" i="2"/>
  <c r="V477" i="2"/>
  <c r="U477" i="2"/>
  <c r="T477" i="2"/>
  <c r="S477" i="2"/>
  <c r="R477" i="2"/>
  <c r="Q477" i="2"/>
  <c r="P477" i="2"/>
  <c r="O477" i="2"/>
  <c r="N477" i="2"/>
  <c r="M477" i="2"/>
  <c r="L477" i="2"/>
  <c r="K477" i="2"/>
  <c r="J477" i="2"/>
  <c r="I477" i="2"/>
  <c r="H477" i="2"/>
  <c r="G477" i="2"/>
  <c r="F477" i="2"/>
  <c r="E477" i="2"/>
  <c r="D477" i="2"/>
  <c r="C477" i="2"/>
  <c r="B477" i="2"/>
  <c r="AL476" i="2"/>
  <c r="AK476" i="2"/>
  <c r="AJ476" i="2"/>
  <c r="AI476" i="2"/>
  <c r="AH476" i="2"/>
  <c r="AG476" i="2"/>
  <c r="AF476" i="2"/>
  <c r="AE476" i="2"/>
  <c r="AD476" i="2"/>
  <c r="AC476" i="2"/>
  <c r="AB476" i="2"/>
  <c r="AA476" i="2"/>
  <c r="Z476" i="2"/>
  <c r="Y476" i="2"/>
  <c r="X476" i="2"/>
  <c r="W476" i="2"/>
  <c r="V476" i="2"/>
  <c r="U476" i="2"/>
  <c r="T476" i="2"/>
  <c r="S476" i="2"/>
  <c r="R476" i="2"/>
  <c r="Q476" i="2"/>
  <c r="P476" i="2"/>
  <c r="O476" i="2"/>
  <c r="N476" i="2"/>
  <c r="M476" i="2"/>
  <c r="L476" i="2"/>
  <c r="K476" i="2"/>
  <c r="J476" i="2"/>
  <c r="I476" i="2"/>
  <c r="H476" i="2"/>
  <c r="G476" i="2"/>
  <c r="F476" i="2"/>
  <c r="E476" i="2"/>
  <c r="D476" i="2"/>
  <c r="C476" i="2"/>
  <c r="B476" i="2"/>
  <c r="AL475" i="2"/>
  <c r="AK475" i="2"/>
  <c r="AJ475" i="2"/>
  <c r="AI475" i="2"/>
  <c r="AH475" i="2"/>
  <c r="AG475" i="2"/>
  <c r="AF475" i="2"/>
  <c r="AE475" i="2"/>
  <c r="AD475" i="2"/>
  <c r="AC475" i="2"/>
  <c r="AB475" i="2"/>
  <c r="AA475" i="2"/>
  <c r="Z475" i="2"/>
  <c r="Y475" i="2"/>
  <c r="X475" i="2"/>
  <c r="W475" i="2"/>
  <c r="V475" i="2"/>
  <c r="U475" i="2"/>
  <c r="T475" i="2"/>
  <c r="S475" i="2"/>
  <c r="R475" i="2"/>
  <c r="Q475" i="2"/>
  <c r="P475" i="2"/>
  <c r="O475" i="2"/>
  <c r="N475" i="2"/>
  <c r="M475" i="2"/>
  <c r="L475" i="2"/>
  <c r="K475" i="2"/>
  <c r="J475" i="2"/>
  <c r="I475" i="2"/>
  <c r="H475" i="2"/>
  <c r="G475" i="2"/>
  <c r="F475" i="2"/>
  <c r="E475" i="2"/>
  <c r="D475" i="2"/>
  <c r="C475" i="2"/>
  <c r="B475" i="2"/>
  <c r="AL474" i="2"/>
  <c r="AK474" i="2"/>
  <c r="AJ474" i="2"/>
  <c r="AI474" i="2"/>
  <c r="AH474" i="2"/>
  <c r="AG474" i="2"/>
  <c r="AF474" i="2"/>
  <c r="AE474" i="2"/>
  <c r="AD474" i="2"/>
  <c r="AC474" i="2"/>
  <c r="AB474" i="2"/>
  <c r="AA474" i="2"/>
  <c r="Z474" i="2"/>
  <c r="Y474" i="2"/>
  <c r="X474" i="2"/>
  <c r="W474" i="2"/>
  <c r="V474" i="2"/>
  <c r="U474" i="2"/>
  <c r="T474" i="2"/>
  <c r="S474" i="2"/>
  <c r="R474" i="2"/>
  <c r="Q474" i="2"/>
  <c r="P474" i="2"/>
  <c r="O474" i="2"/>
  <c r="N474" i="2"/>
  <c r="M474" i="2"/>
  <c r="L474" i="2"/>
  <c r="K474" i="2"/>
  <c r="J474" i="2"/>
  <c r="I474" i="2"/>
  <c r="H474" i="2"/>
  <c r="G474" i="2"/>
  <c r="F474" i="2"/>
  <c r="E474" i="2"/>
  <c r="D474" i="2"/>
  <c r="C474" i="2"/>
  <c r="B474" i="2"/>
  <c r="AL473" i="2"/>
  <c r="AK473" i="2"/>
  <c r="AJ473" i="2"/>
  <c r="AI473" i="2"/>
  <c r="AH473" i="2"/>
  <c r="AG473" i="2"/>
  <c r="AF473" i="2"/>
  <c r="AE473" i="2"/>
  <c r="AD473" i="2"/>
  <c r="AC473" i="2"/>
  <c r="AB473" i="2"/>
  <c r="AA473" i="2"/>
  <c r="Z473" i="2"/>
  <c r="Y473" i="2"/>
  <c r="X473" i="2"/>
  <c r="W473" i="2"/>
  <c r="V473" i="2"/>
  <c r="U473" i="2"/>
  <c r="T473" i="2"/>
  <c r="S473" i="2"/>
  <c r="R473" i="2"/>
  <c r="Q473" i="2"/>
  <c r="P473" i="2"/>
  <c r="O473" i="2"/>
  <c r="N473" i="2"/>
  <c r="M473" i="2"/>
  <c r="L473" i="2"/>
  <c r="K473" i="2"/>
  <c r="J473" i="2"/>
  <c r="I473" i="2"/>
  <c r="H473" i="2"/>
  <c r="G473" i="2"/>
  <c r="F473" i="2"/>
  <c r="E473" i="2"/>
  <c r="D473" i="2"/>
  <c r="C473" i="2"/>
  <c r="B473" i="2"/>
  <c r="AL472" i="2"/>
  <c r="AK472" i="2"/>
  <c r="AJ472" i="2"/>
  <c r="AI472" i="2"/>
  <c r="AH472" i="2"/>
  <c r="AG472" i="2"/>
  <c r="AF472" i="2"/>
  <c r="AE472" i="2"/>
  <c r="AD472" i="2"/>
  <c r="AC472" i="2"/>
  <c r="AB472" i="2"/>
  <c r="AA472" i="2"/>
  <c r="Z472" i="2"/>
  <c r="Y472" i="2"/>
  <c r="X472" i="2"/>
  <c r="W472" i="2"/>
  <c r="V472" i="2"/>
  <c r="U472" i="2"/>
  <c r="T472" i="2"/>
  <c r="S472" i="2"/>
  <c r="R472" i="2"/>
  <c r="Q472" i="2"/>
  <c r="P472" i="2"/>
  <c r="O472" i="2"/>
  <c r="N472" i="2"/>
  <c r="M472" i="2"/>
  <c r="L472" i="2"/>
  <c r="K472" i="2"/>
  <c r="J472" i="2"/>
  <c r="I472" i="2"/>
  <c r="H472" i="2"/>
  <c r="G472" i="2"/>
  <c r="F472" i="2"/>
  <c r="E472" i="2"/>
  <c r="D472" i="2"/>
  <c r="C472" i="2"/>
  <c r="B472" i="2"/>
  <c r="AL471" i="2"/>
  <c r="AK471" i="2"/>
  <c r="AJ471" i="2"/>
  <c r="AI471" i="2"/>
  <c r="AH471" i="2"/>
  <c r="AG471" i="2"/>
  <c r="AF471" i="2"/>
  <c r="AE471" i="2"/>
  <c r="AD471" i="2"/>
  <c r="AC471" i="2"/>
  <c r="AB471" i="2"/>
  <c r="AA471" i="2"/>
  <c r="Z471" i="2"/>
  <c r="Y471" i="2"/>
  <c r="X471" i="2"/>
  <c r="W471" i="2"/>
  <c r="V471" i="2"/>
  <c r="U471" i="2"/>
  <c r="T471" i="2"/>
  <c r="S471" i="2"/>
  <c r="R471" i="2"/>
  <c r="Q471" i="2"/>
  <c r="P471" i="2"/>
  <c r="O471" i="2"/>
  <c r="N471" i="2"/>
  <c r="M471" i="2"/>
  <c r="L471" i="2"/>
  <c r="K471" i="2"/>
  <c r="J471" i="2"/>
  <c r="I471" i="2"/>
  <c r="H471" i="2"/>
  <c r="G471" i="2"/>
  <c r="F471" i="2"/>
  <c r="E471" i="2"/>
  <c r="D471" i="2"/>
  <c r="C471" i="2"/>
  <c r="B471" i="2"/>
  <c r="AL470" i="2"/>
  <c r="AK470" i="2"/>
  <c r="AJ470" i="2"/>
  <c r="AI470" i="2"/>
  <c r="AH470" i="2"/>
  <c r="AG470" i="2"/>
  <c r="AF470" i="2"/>
  <c r="AE470" i="2"/>
  <c r="AD470" i="2"/>
  <c r="AC470" i="2"/>
  <c r="AB470" i="2"/>
  <c r="AA470" i="2"/>
  <c r="Z470" i="2"/>
  <c r="Y470" i="2"/>
  <c r="X470" i="2"/>
  <c r="W470" i="2"/>
  <c r="V470" i="2"/>
  <c r="U470" i="2"/>
  <c r="T470" i="2"/>
  <c r="S470" i="2"/>
  <c r="R470" i="2"/>
  <c r="Q470" i="2"/>
  <c r="P470" i="2"/>
  <c r="O470" i="2"/>
  <c r="N470" i="2"/>
  <c r="M470" i="2"/>
  <c r="L470" i="2"/>
  <c r="K470" i="2"/>
  <c r="J470" i="2"/>
  <c r="I470" i="2"/>
  <c r="H470" i="2"/>
  <c r="G470" i="2"/>
  <c r="F470" i="2"/>
  <c r="E470" i="2"/>
  <c r="D470" i="2"/>
  <c r="C470" i="2"/>
  <c r="B470" i="2"/>
  <c r="AL469" i="2"/>
  <c r="AK469" i="2"/>
  <c r="AJ469" i="2"/>
  <c r="AI469" i="2"/>
  <c r="AH469" i="2"/>
  <c r="AG469" i="2"/>
  <c r="AF469" i="2"/>
  <c r="AE469" i="2"/>
  <c r="AD469" i="2"/>
  <c r="AC469" i="2"/>
  <c r="AB469" i="2"/>
  <c r="AA469" i="2"/>
  <c r="Z469" i="2"/>
  <c r="Y469" i="2"/>
  <c r="X469" i="2"/>
  <c r="W469" i="2"/>
  <c r="V469" i="2"/>
  <c r="U469" i="2"/>
  <c r="T469" i="2"/>
  <c r="S469" i="2"/>
  <c r="R469" i="2"/>
  <c r="Q469" i="2"/>
  <c r="P469" i="2"/>
  <c r="O469" i="2"/>
  <c r="N469" i="2"/>
  <c r="M469" i="2"/>
  <c r="L469" i="2"/>
  <c r="K469" i="2"/>
  <c r="J469" i="2"/>
  <c r="I469" i="2"/>
  <c r="H469" i="2"/>
  <c r="G469" i="2"/>
  <c r="F469" i="2"/>
  <c r="E469" i="2"/>
  <c r="D469" i="2"/>
  <c r="C469" i="2"/>
  <c r="B469" i="2"/>
  <c r="AL468" i="2"/>
  <c r="AK468" i="2"/>
  <c r="AJ468" i="2"/>
  <c r="AI468" i="2"/>
  <c r="AH468" i="2"/>
  <c r="AG468" i="2"/>
  <c r="AF468" i="2"/>
  <c r="AE468" i="2"/>
  <c r="AD468" i="2"/>
  <c r="AC468" i="2"/>
  <c r="AB468" i="2"/>
  <c r="AA468" i="2"/>
  <c r="Z468" i="2"/>
  <c r="Y468" i="2"/>
  <c r="X468" i="2"/>
  <c r="W468" i="2"/>
  <c r="V468" i="2"/>
  <c r="U468" i="2"/>
  <c r="T468" i="2"/>
  <c r="S468" i="2"/>
  <c r="R468" i="2"/>
  <c r="Q468" i="2"/>
  <c r="P468" i="2"/>
  <c r="O468" i="2"/>
  <c r="N468" i="2"/>
  <c r="M468" i="2"/>
  <c r="L468" i="2"/>
  <c r="K468" i="2"/>
  <c r="J468" i="2"/>
  <c r="I468" i="2"/>
  <c r="H468" i="2"/>
  <c r="G468" i="2"/>
  <c r="F468" i="2"/>
  <c r="E468" i="2"/>
  <c r="D468" i="2"/>
  <c r="C468" i="2"/>
  <c r="B468" i="2"/>
  <c r="AL467" i="2"/>
  <c r="AK467" i="2"/>
  <c r="AJ467" i="2"/>
  <c r="AI467" i="2"/>
  <c r="AH467" i="2"/>
  <c r="AG467" i="2"/>
  <c r="AF467" i="2"/>
  <c r="AE467" i="2"/>
  <c r="AD467" i="2"/>
  <c r="AC467" i="2"/>
  <c r="AB467" i="2"/>
  <c r="AA467" i="2"/>
  <c r="Z467" i="2"/>
  <c r="Y467" i="2"/>
  <c r="X467" i="2"/>
  <c r="W467" i="2"/>
  <c r="V467" i="2"/>
  <c r="U467" i="2"/>
  <c r="T467" i="2"/>
  <c r="S467" i="2"/>
  <c r="R467" i="2"/>
  <c r="Q467" i="2"/>
  <c r="P467" i="2"/>
  <c r="O467" i="2"/>
  <c r="N467" i="2"/>
  <c r="M467" i="2"/>
  <c r="L467" i="2"/>
  <c r="K467" i="2"/>
  <c r="J467" i="2"/>
  <c r="I467" i="2"/>
  <c r="H467" i="2"/>
  <c r="G467" i="2"/>
  <c r="F467" i="2"/>
  <c r="E467" i="2"/>
  <c r="D467" i="2"/>
  <c r="C467" i="2"/>
  <c r="B467" i="2"/>
  <c r="AL466" i="2"/>
  <c r="AK466" i="2"/>
  <c r="AJ466" i="2"/>
  <c r="AI466" i="2"/>
  <c r="AH466" i="2"/>
  <c r="AG466" i="2"/>
  <c r="AF466" i="2"/>
  <c r="AE466" i="2"/>
  <c r="AD466" i="2"/>
  <c r="AC466" i="2"/>
  <c r="AB466" i="2"/>
  <c r="AA466" i="2"/>
  <c r="Z466" i="2"/>
  <c r="Y466" i="2"/>
  <c r="X466" i="2"/>
  <c r="W466" i="2"/>
  <c r="V466" i="2"/>
  <c r="U466" i="2"/>
  <c r="T466" i="2"/>
  <c r="S466" i="2"/>
  <c r="R466" i="2"/>
  <c r="Q466" i="2"/>
  <c r="P466" i="2"/>
  <c r="O466" i="2"/>
  <c r="N466" i="2"/>
  <c r="M466" i="2"/>
  <c r="L466" i="2"/>
  <c r="K466" i="2"/>
  <c r="J466" i="2"/>
  <c r="I466" i="2"/>
  <c r="H466" i="2"/>
  <c r="G466" i="2"/>
  <c r="F466" i="2"/>
  <c r="E466" i="2"/>
  <c r="D466" i="2"/>
  <c r="C466" i="2"/>
  <c r="B466" i="2"/>
  <c r="AL465" i="2"/>
  <c r="AK465" i="2"/>
  <c r="AJ465" i="2"/>
  <c r="AI465" i="2"/>
  <c r="AH465" i="2"/>
  <c r="AG465" i="2"/>
  <c r="AF465" i="2"/>
  <c r="AE465" i="2"/>
  <c r="AD465" i="2"/>
  <c r="AC465" i="2"/>
  <c r="AB465" i="2"/>
  <c r="AA465" i="2"/>
  <c r="Z465" i="2"/>
  <c r="Y465" i="2"/>
  <c r="X465" i="2"/>
  <c r="W465" i="2"/>
  <c r="V465" i="2"/>
  <c r="U465" i="2"/>
  <c r="T465" i="2"/>
  <c r="S465" i="2"/>
  <c r="R465" i="2"/>
  <c r="Q465" i="2"/>
  <c r="P465" i="2"/>
  <c r="O465" i="2"/>
  <c r="N465" i="2"/>
  <c r="M465" i="2"/>
  <c r="L465" i="2"/>
  <c r="K465" i="2"/>
  <c r="J465" i="2"/>
  <c r="I465" i="2"/>
  <c r="H465" i="2"/>
  <c r="G465" i="2"/>
  <c r="F465" i="2"/>
  <c r="E465" i="2"/>
  <c r="D465" i="2"/>
  <c r="C465" i="2"/>
  <c r="B465" i="2"/>
  <c r="AL464" i="2"/>
  <c r="AK464" i="2"/>
  <c r="AJ464" i="2"/>
  <c r="AI464" i="2"/>
  <c r="AH464" i="2"/>
  <c r="AG464" i="2"/>
  <c r="AF464" i="2"/>
  <c r="AE464" i="2"/>
  <c r="AD464" i="2"/>
  <c r="AC464" i="2"/>
  <c r="AB464" i="2"/>
  <c r="AA464" i="2"/>
  <c r="Z464" i="2"/>
  <c r="Y464" i="2"/>
  <c r="X464" i="2"/>
  <c r="W464" i="2"/>
  <c r="V464" i="2"/>
  <c r="U464" i="2"/>
  <c r="T464" i="2"/>
  <c r="S464" i="2"/>
  <c r="R464" i="2"/>
  <c r="Q464" i="2"/>
  <c r="P464" i="2"/>
  <c r="O464" i="2"/>
  <c r="N464" i="2"/>
  <c r="M464" i="2"/>
  <c r="L464" i="2"/>
  <c r="K464" i="2"/>
  <c r="J464" i="2"/>
  <c r="I464" i="2"/>
  <c r="H464" i="2"/>
  <c r="G464" i="2"/>
  <c r="F464" i="2"/>
  <c r="E464" i="2"/>
  <c r="D464" i="2"/>
  <c r="C464" i="2"/>
  <c r="B464" i="2"/>
  <c r="AL463" i="2"/>
  <c r="AK463" i="2"/>
  <c r="AJ463" i="2"/>
  <c r="AI463" i="2"/>
  <c r="AH463" i="2"/>
  <c r="AG463" i="2"/>
  <c r="AF463" i="2"/>
  <c r="AE463" i="2"/>
  <c r="AD463" i="2"/>
  <c r="AC463" i="2"/>
  <c r="AB463" i="2"/>
  <c r="AA463" i="2"/>
  <c r="Z463" i="2"/>
  <c r="Y463" i="2"/>
  <c r="X463" i="2"/>
  <c r="W463" i="2"/>
  <c r="V463" i="2"/>
  <c r="U463" i="2"/>
  <c r="T463" i="2"/>
  <c r="S463" i="2"/>
  <c r="R463" i="2"/>
  <c r="Q463" i="2"/>
  <c r="P463" i="2"/>
  <c r="O463" i="2"/>
  <c r="N463" i="2"/>
  <c r="M463" i="2"/>
  <c r="L463" i="2"/>
  <c r="K463" i="2"/>
  <c r="J463" i="2"/>
  <c r="I463" i="2"/>
  <c r="H463" i="2"/>
  <c r="G463" i="2"/>
  <c r="F463" i="2"/>
  <c r="E463" i="2"/>
  <c r="D463" i="2"/>
  <c r="C463" i="2"/>
  <c r="B463" i="2"/>
  <c r="AL462" i="2"/>
  <c r="AK462" i="2"/>
  <c r="AJ462" i="2"/>
  <c r="AI462" i="2"/>
  <c r="AH462" i="2"/>
  <c r="AG462" i="2"/>
  <c r="AF462" i="2"/>
  <c r="AE462" i="2"/>
  <c r="AD462" i="2"/>
  <c r="AC462" i="2"/>
  <c r="AB462" i="2"/>
  <c r="AA462" i="2"/>
  <c r="Z462" i="2"/>
  <c r="Y462" i="2"/>
  <c r="X462" i="2"/>
  <c r="W462" i="2"/>
  <c r="V462" i="2"/>
  <c r="U462" i="2"/>
  <c r="T462" i="2"/>
  <c r="S462" i="2"/>
  <c r="R462" i="2"/>
  <c r="Q462" i="2"/>
  <c r="P462" i="2"/>
  <c r="O462" i="2"/>
  <c r="N462" i="2"/>
  <c r="M462" i="2"/>
  <c r="L462" i="2"/>
  <c r="K462" i="2"/>
  <c r="J462" i="2"/>
  <c r="I462" i="2"/>
  <c r="H462" i="2"/>
  <c r="G462" i="2"/>
  <c r="F462" i="2"/>
  <c r="E462" i="2"/>
  <c r="D462" i="2"/>
  <c r="C462" i="2"/>
  <c r="B462" i="2"/>
  <c r="AL461" i="2"/>
  <c r="AK461" i="2"/>
  <c r="AJ461" i="2"/>
  <c r="AI461" i="2"/>
  <c r="AH461" i="2"/>
  <c r="AG461" i="2"/>
  <c r="AF461" i="2"/>
  <c r="AE461" i="2"/>
  <c r="AD461" i="2"/>
  <c r="AC461" i="2"/>
  <c r="AB461" i="2"/>
  <c r="AA461" i="2"/>
  <c r="Z461" i="2"/>
  <c r="Y461" i="2"/>
  <c r="X461" i="2"/>
  <c r="W461" i="2"/>
  <c r="V461" i="2"/>
  <c r="U461" i="2"/>
  <c r="T461" i="2"/>
  <c r="S461" i="2"/>
  <c r="R461" i="2"/>
  <c r="Q461" i="2"/>
  <c r="P461" i="2"/>
  <c r="O461" i="2"/>
  <c r="N461" i="2"/>
  <c r="M461" i="2"/>
  <c r="L461" i="2"/>
  <c r="K461" i="2"/>
  <c r="J461" i="2"/>
  <c r="I461" i="2"/>
  <c r="H461" i="2"/>
  <c r="G461" i="2"/>
  <c r="F461" i="2"/>
  <c r="E461" i="2"/>
  <c r="D461" i="2"/>
  <c r="C461" i="2"/>
  <c r="B461" i="2"/>
  <c r="AL460" i="2"/>
  <c r="AK460" i="2"/>
  <c r="AJ460" i="2"/>
  <c r="AI460" i="2"/>
  <c r="AH460" i="2"/>
  <c r="AG460" i="2"/>
  <c r="AF460" i="2"/>
  <c r="AE460" i="2"/>
  <c r="AD460" i="2"/>
  <c r="AC460" i="2"/>
  <c r="AB460" i="2"/>
  <c r="AA460" i="2"/>
  <c r="Z460" i="2"/>
  <c r="Y460" i="2"/>
  <c r="X460" i="2"/>
  <c r="W460" i="2"/>
  <c r="V460" i="2"/>
  <c r="U460" i="2"/>
  <c r="T460" i="2"/>
  <c r="S460" i="2"/>
  <c r="R460" i="2"/>
  <c r="Q460" i="2"/>
  <c r="P460" i="2"/>
  <c r="O460" i="2"/>
  <c r="N460" i="2"/>
  <c r="M460" i="2"/>
  <c r="L460" i="2"/>
  <c r="K460" i="2"/>
  <c r="J460" i="2"/>
  <c r="I460" i="2"/>
  <c r="H460" i="2"/>
  <c r="G460" i="2"/>
  <c r="F460" i="2"/>
  <c r="E460" i="2"/>
  <c r="D460" i="2"/>
  <c r="C460" i="2"/>
  <c r="B460" i="2"/>
  <c r="AL459" i="2"/>
  <c r="AK459" i="2"/>
  <c r="AJ459" i="2"/>
  <c r="AI459" i="2"/>
  <c r="AH459" i="2"/>
  <c r="AG459" i="2"/>
  <c r="AF459" i="2"/>
  <c r="AE459" i="2"/>
  <c r="AD459" i="2"/>
  <c r="AC459" i="2"/>
  <c r="AB459" i="2"/>
  <c r="AA459" i="2"/>
  <c r="Z459" i="2"/>
  <c r="Y459" i="2"/>
  <c r="X459" i="2"/>
  <c r="W459" i="2"/>
  <c r="V459" i="2"/>
  <c r="U459" i="2"/>
  <c r="T459" i="2"/>
  <c r="S459" i="2"/>
  <c r="R459" i="2"/>
  <c r="Q459" i="2"/>
  <c r="P459" i="2"/>
  <c r="O459" i="2"/>
  <c r="N459" i="2"/>
  <c r="M459" i="2"/>
  <c r="L459" i="2"/>
  <c r="K459" i="2"/>
  <c r="J459" i="2"/>
  <c r="I459" i="2"/>
  <c r="H459" i="2"/>
  <c r="G459" i="2"/>
  <c r="F459" i="2"/>
  <c r="E459" i="2"/>
  <c r="D459" i="2"/>
  <c r="C459" i="2"/>
  <c r="B459" i="2"/>
  <c r="AL458" i="2"/>
  <c r="AK458" i="2"/>
  <c r="AJ458" i="2"/>
  <c r="AI458" i="2"/>
  <c r="AH458" i="2"/>
  <c r="AG458" i="2"/>
  <c r="AF458" i="2"/>
  <c r="AE458" i="2"/>
  <c r="AD458" i="2"/>
  <c r="AC458" i="2"/>
  <c r="AB458" i="2"/>
  <c r="AA458" i="2"/>
  <c r="Z458" i="2"/>
  <c r="Y458" i="2"/>
  <c r="X458" i="2"/>
  <c r="W458" i="2"/>
  <c r="V458" i="2"/>
  <c r="U458" i="2"/>
  <c r="T458" i="2"/>
  <c r="S458" i="2"/>
  <c r="R458" i="2"/>
  <c r="Q458" i="2"/>
  <c r="P458" i="2"/>
  <c r="O458" i="2"/>
  <c r="N458" i="2"/>
  <c r="M458" i="2"/>
  <c r="L458" i="2"/>
  <c r="K458" i="2"/>
  <c r="J458" i="2"/>
  <c r="I458" i="2"/>
  <c r="H458" i="2"/>
  <c r="G458" i="2"/>
  <c r="F458" i="2"/>
  <c r="E458" i="2"/>
  <c r="D458" i="2"/>
  <c r="C458" i="2"/>
  <c r="B458" i="2"/>
  <c r="AL457" i="2"/>
  <c r="AK457" i="2"/>
  <c r="AJ457" i="2"/>
  <c r="AI457" i="2"/>
  <c r="AH457" i="2"/>
  <c r="AG457" i="2"/>
  <c r="AF457" i="2"/>
  <c r="AE457" i="2"/>
  <c r="AD457" i="2"/>
  <c r="AC457" i="2"/>
  <c r="AB457" i="2"/>
  <c r="AA457" i="2"/>
  <c r="Z457" i="2"/>
  <c r="Y457" i="2"/>
  <c r="X457" i="2"/>
  <c r="W457" i="2"/>
  <c r="V457" i="2"/>
  <c r="U457" i="2"/>
  <c r="T457" i="2"/>
  <c r="S457" i="2"/>
  <c r="R457" i="2"/>
  <c r="Q457" i="2"/>
  <c r="P457" i="2"/>
  <c r="O457" i="2"/>
  <c r="N457" i="2"/>
  <c r="M457" i="2"/>
  <c r="L457" i="2"/>
  <c r="K457" i="2"/>
  <c r="J457" i="2"/>
  <c r="I457" i="2"/>
  <c r="H457" i="2"/>
  <c r="G457" i="2"/>
  <c r="F457" i="2"/>
  <c r="E457" i="2"/>
  <c r="D457" i="2"/>
  <c r="C457" i="2"/>
  <c r="B457" i="2"/>
  <c r="AL456" i="2"/>
  <c r="AK456" i="2"/>
  <c r="AJ456" i="2"/>
  <c r="AI456" i="2"/>
  <c r="AH456" i="2"/>
  <c r="AG456" i="2"/>
  <c r="AF456" i="2"/>
  <c r="AE456" i="2"/>
  <c r="AD456" i="2"/>
  <c r="AC456" i="2"/>
  <c r="AB456" i="2"/>
  <c r="AA456" i="2"/>
  <c r="Z456" i="2"/>
  <c r="Y456" i="2"/>
  <c r="X456" i="2"/>
  <c r="W456" i="2"/>
  <c r="V456" i="2"/>
  <c r="U456" i="2"/>
  <c r="T456" i="2"/>
  <c r="S456" i="2"/>
  <c r="R456" i="2"/>
  <c r="Q456" i="2"/>
  <c r="P456" i="2"/>
  <c r="O456" i="2"/>
  <c r="N456" i="2"/>
  <c r="M456" i="2"/>
  <c r="L456" i="2"/>
  <c r="K456" i="2"/>
  <c r="J456" i="2"/>
  <c r="I456" i="2"/>
  <c r="H456" i="2"/>
  <c r="G456" i="2"/>
  <c r="F456" i="2"/>
  <c r="E456" i="2"/>
  <c r="D456" i="2"/>
  <c r="C456" i="2"/>
  <c r="B456" i="2"/>
  <c r="AL455" i="2"/>
  <c r="AK455" i="2"/>
  <c r="AJ455" i="2"/>
  <c r="AI455" i="2"/>
  <c r="AH455" i="2"/>
  <c r="AG455" i="2"/>
  <c r="AF455" i="2"/>
  <c r="AE455" i="2"/>
  <c r="AD455" i="2"/>
  <c r="AC455" i="2"/>
  <c r="AB455" i="2"/>
  <c r="AA455" i="2"/>
  <c r="Z455" i="2"/>
  <c r="Y455" i="2"/>
  <c r="X455" i="2"/>
  <c r="W455" i="2"/>
  <c r="V455" i="2"/>
  <c r="U455" i="2"/>
  <c r="T455" i="2"/>
  <c r="S455" i="2"/>
  <c r="R455" i="2"/>
  <c r="Q455" i="2"/>
  <c r="P455" i="2"/>
  <c r="O455" i="2"/>
  <c r="N455" i="2"/>
  <c r="M455" i="2"/>
  <c r="L455" i="2"/>
  <c r="K455" i="2"/>
  <c r="J455" i="2"/>
  <c r="I455" i="2"/>
  <c r="H455" i="2"/>
  <c r="G455" i="2"/>
  <c r="F455" i="2"/>
  <c r="E455" i="2"/>
  <c r="D455" i="2"/>
  <c r="C455" i="2"/>
  <c r="B455" i="2"/>
  <c r="AL454" i="2"/>
  <c r="AK454" i="2"/>
  <c r="AJ454" i="2"/>
  <c r="AI454" i="2"/>
  <c r="AH454" i="2"/>
  <c r="AG454" i="2"/>
  <c r="AF454" i="2"/>
  <c r="AE454" i="2"/>
  <c r="AD454" i="2"/>
  <c r="AC454" i="2"/>
  <c r="AB454" i="2"/>
  <c r="AA454" i="2"/>
  <c r="Z454" i="2"/>
  <c r="Y454" i="2"/>
  <c r="X454" i="2"/>
  <c r="W454" i="2"/>
  <c r="V454" i="2"/>
  <c r="U454" i="2"/>
  <c r="T454" i="2"/>
  <c r="S454" i="2"/>
  <c r="R454" i="2"/>
  <c r="Q454" i="2"/>
  <c r="P454" i="2"/>
  <c r="O454" i="2"/>
  <c r="N454" i="2"/>
  <c r="M454" i="2"/>
  <c r="L454" i="2"/>
  <c r="K454" i="2"/>
  <c r="J454" i="2"/>
  <c r="I454" i="2"/>
  <c r="H454" i="2"/>
  <c r="G454" i="2"/>
  <c r="F454" i="2"/>
  <c r="E454" i="2"/>
  <c r="D454" i="2"/>
  <c r="C454" i="2"/>
  <c r="B454" i="2"/>
  <c r="AL453" i="2"/>
  <c r="AK453" i="2"/>
  <c r="AJ453" i="2"/>
  <c r="AI453" i="2"/>
  <c r="AH453" i="2"/>
  <c r="AG453" i="2"/>
  <c r="AF453" i="2"/>
  <c r="AE453" i="2"/>
  <c r="AD453" i="2"/>
  <c r="AC453" i="2"/>
  <c r="AB453" i="2"/>
  <c r="AA453" i="2"/>
  <c r="Z453" i="2"/>
  <c r="Y453" i="2"/>
  <c r="X453" i="2"/>
  <c r="W453" i="2"/>
  <c r="V453" i="2"/>
  <c r="U453" i="2"/>
  <c r="T453" i="2"/>
  <c r="S453" i="2"/>
  <c r="R453" i="2"/>
  <c r="Q453" i="2"/>
  <c r="P453" i="2"/>
  <c r="O453" i="2"/>
  <c r="N453" i="2"/>
  <c r="M453" i="2"/>
  <c r="L453" i="2"/>
  <c r="K453" i="2"/>
  <c r="J453" i="2"/>
  <c r="I453" i="2"/>
  <c r="H453" i="2"/>
  <c r="G453" i="2"/>
  <c r="F453" i="2"/>
  <c r="E453" i="2"/>
  <c r="D453" i="2"/>
  <c r="C453" i="2"/>
  <c r="B453" i="2"/>
  <c r="AL452" i="2"/>
  <c r="AK452" i="2"/>
  <c r="AJ452" i="2"/>
  <c r="AI452" i="2"/>
  <c r="AH452" i="2"/>
  <c r="AG452" i="2"/>
  <c r="AF452" i="2"/>
  <c r="AE452" i="2"/>
  <c r="AD452" i="2"/>
  <c r="AC452" i="2"/>
  <c r="AB452" i="2"/>
  <c r="AA452" i="2"/>
  <c r="Z452" i="2"/>
  <c r="Y452" i="2"/>
  <c r="X452" i="2"/>
  <c r="W452" i="2"/>
  <c r="V452" i="2"/>
  <c r="U452" i="2"/>
  <c r="T452" i="2"/>
  <c r="S452" i="2"/>
  <c r="R452" i="2"/>
  <c r="Q452" i="2"/>
  <c r="P452" i="2"/>
  <c r="O452" i="2"/>
  <c r="N452" i="2"/>
  <c r="M452" i="2"/>
  <c r="L452" i="2"/>
  <c r="K452" i="2"/>
  <c r="J452" i="2"/>
  <c r="I452" i="2"/>
  <c r="H452" i="2"/>
  <c r="G452" i="2"/>
  <c r="F452" i="2"/>
  <c r="E452" i="2"/>
  <c r="D452" i="2"/>
  <c r="C452" i="2"/>
  <c r="B452" i="2"/>
  <c r="AL451" i="2"/>
  <c r="AK451" i="2"/>
  <c r="AJ451" i="2"/>
  <c r="AI451" i="2"/>
  <c r="AH451" i="2"/>
  <c r="AG451" i="2"/>
  <c r="AF451" i="2"/>
  <c r="AE451" i="2"/>
  <c r="AD451" i="2"/>
  <c r="AC451" i="2"/>
  <c r="AB451" i="2"/>
  <c r="AA451" i="2"/>
  <c r="Z451" i="2"/>
  <c r="Y451" i="2"/>
  <c r="X451" i="2"/>
  <c r="W451" i="2"/>
  <c r="V451" i="2"/>
  <c r="U451" i="2"/>
  <c r="T451" i="2"/>
  <c r="S451" i="2"/>
  <c r="R451" i="2"/>
  <c r="Q451" i="2"/>
  <c r="P451" i="2"/>
  <c r="O451" i="2"/>
  <c r="N451" i="2"/>
  <c r="M451" i="2"/>
  <c r="L451" i="2"/>
  <c r="K451" i="2"/>
  <c r="J451" i="2"/>
  <c r="I451" i="2"/>
  <c r="H451" i="2"/>
  <c r="G451" i="2"/>
  <c r="F451" i="2"/>
  <c r="E451" i="2"/>
  <c r="D451" i="2"/>
  <c r="C451" i="2"/>
  <c r="B451" i="2"/>
  <c r="AL450" i="2"/>
  <c r="AK450" i="2"/>
  <c r="AJ450" i="2"/>
  <c r="AI450" i="2"/>
  <c r="AH450" i="2"/>
  <c r="AG450" i="2"/>
  <c r="AF450" i="2"/>
  <c r="AE450" i="2"/>
  <c r="AD450" i="2"/>
  <c r="AC450" i="2"/>
  <c r="AB450" i="2"/>
  <c r="AA450" i="2"/>
  <c r="Z450" i="2"/>
  <c r="Y450" i="2"/>
  <c r="X450" i="2"/>
  <c r="W450" i="2"/>
  <c r="V450" i="2"/>
  <c r="U450" i="2"/>
  <c r="T450" i="2"/>
  <c r="S450" i="2"/>
  <c r="R450" i="2"/>
  <c r="Q450" i="2"/>
  <c r="P450" i="2"/>
  <c r="O450" i="2"/>
  <c r="N450" i="2"/>
  <c r="M450" i="2"/>
  <c r="L450" i="2"/>
  <c r="K450" i="2"/>
  <c r="J450" i="2"/>
  <c r="I450" i="2"/>
  <c r="H450" i="2"/>
  <c r="G450" i="2"/>
  <c r="F450" i="2"/>
  <c r="E450" i="2"/>
  <c r="D450" i="2"/>
  <c r="C450" i="2"/>
  <c r="B450" i="2"/>
  <c r="AL449" i="2"/>
  <c r="AK449" i="2"/>
  <c r="AJ449" i="2"/>
  <c r="AI449" i="2"/>
  <c r="AH449" i="2"/>
  <c r="AG449" i="2"/>
  <c r="AF449" i="2"/>
  <c r="AE449" i="2"/>
  <c r="AD449" i="2"/>
  <c r="AC449" i="2"/>
  <c r="AB449" i="2"/>
  <c r="AA449" i="2"/>
  <c r="Z449" i="2"/>
  <c r="Y449" i="2"/>
  <c r="X449" i="2"/>
  <c r="W449" i="2"/>
  <c r="V449" i="2"/>
  <c r="U449" i="2"/>
  <c r="T449" i="2"/>
  <c r="S449" i="2"/>
  <c r="R449" i="2"/>
  <c r="Q449" i="2"/>
  <c r="P449" i="2"/>
  <c r="O449" i="2"/>
  <c r="N449" i="2"/>
  <c r="M449" i="2"/>
  <c r="L449" i="2"/>
  <c r="K449" i="2"/>
  <c r="J449" i="2"/>
  <c r="I449" i="2"/>
  <c r="H449" i="2"/>
  <c r="G449" i="2"/>
  <c r="F449" i="2"/>
  <c r="E449" i="2"/>
  <c r="D449" i="2"/>
  <c r="C449" i="2"/>
  <c r="B449" i="2"/>
  <c r="AL448" i="2"/>
  <c r="AK448" i="2"/>
  <c r="AJ448" i="2"/>
  <c r="AI448" i="2"/>
  <c r="AH448" i="2"/>
  <c r="AG448" i="2"/>
  <c r="AF448" i="2"/>
  <c r="AE448" i="2"/>
  <c r="AD448" i="2"/>
  <c r="AC448" i="2"/>
  <c r="AB448" i="2"/>
  <c r="AA448" i="2"/>
  <c r="Z448" i="2"/>
  <c r="Y448" i="2"/>
  <c r="X448" i="2"/>
  <c r="W448" i="2"/>
  <c r="V448" i="2"/>
  <c r="U448" i="2"/>
  <c r="T448" i="2"/>
  <c r="S448" i="2"/>
  <c r="R448" i="2"/>
  <c r="Q448" i="2"/>
  <c r="P448" i="2"/>
  <c r="O448" i="2"/>
  <c r="N448" i="2"/>
  <c r="M448" i="2"/>
  <c r="L448" i="2"/>
  <c r="K448" i="2"/>
  <c r="J448" i="2"/>
  <c r="I448" i="2"/>
  <c r="H448" i="2"/>
  <c r="G448" i="2"/>
  <c r="F448" i="2"/>
  <c r="E448" i="2"/>
  <c r="D448" i="2"/>
  <c r="C448" i="2"/>
  <c r="B448" i="2"/>
  <c r="AL447" i="2"/>
  <c r="AK447" i="2"/>
  <c r="AJ447" i="2"/>
  <c r="AI447" i="2"/>
  <c r="AH447" i="2"/>
  <c r="AG447" i="2"/>
  <c r="AF447" i="2"/>
  <c r="AE447" i="2"/>
  <c r="AD447" i="2"/>
  <c r="AC447" i="2"/>
  <c r="AB447" i="2"/>
  <c r="AA447" i="2"/>
  <c r="Z447" i="2"/>
  <c r="Y447" i="2"/>
  <c r="X447" i="2"/>
  <c r="W447" i="2"/>
  <c r="V447" i="2"/>
  <c r="U447" i="2"/>
  <c r="T447" i="2"/>
  <c r="S447" i="2"/>
  <c r="R447" i="2"/>
  <c r="Q447" i="2"/>
  <c r="P447" i="2"/>
  <c r="O447" i="2"/>
  <c r="N447" i="2"/>
  <c r="M447" i="2"/>
  <c r="L447" i="2"/>
  <c r="K447" i="2"/>
  <c r="J447" i="2"/>
  <c r="I447" i="2"/>
  <c r="H447" i="2"/>
  <c r="G447" i="2"/>
  <c r="F447" i="2"/>
  <c r="E447" i="2"/>
  <c r="D447" i="2"/>
  <c r="C447" i="2"/>
  <c r="B447" i="2"/>
  <c r="AL446" i="2"/>
  <c r="AK446" i="2"/>
  <c r="AJ446" i="2"/>
  <c r="AI446" i="2"/>
  <c r="AH446" i="2"/>
  <c r="AG446" i="2"/>
  <c r="AF446" i="2"/>
  <c r="AE446" i="2"/>
  <c r="AD446" i="2"/>
  <c r="AC446" i="2"/>
  <c r="AB446" i="2"/>
  <c r="AA446" i="2"/>
  <c r="Z446" i="2"/>
  <c r="Y446" i="2"/>
  <c r="X446" i="2"/>
  <c r="W446" i="2"/>
  <c r="V446" i="2"/>
  <c r="U446" i="2"/>
  <c r="T446" i="2"/>
  <c r="S446" i="2"/>
  <c r="R446" i="2"/>
  <c r="Q446" i="2"/>
  <c r="P446" i="2"/>
  <c r="O446" i="2"/>
  <c r="N446" i="2"/>
  <c r="M446" i="2"/>
  <c r="L446" i="2"/>
  <c r="K446" i="2"/>
  <c r="J446" i="2"/>
  <c r="I446" i="2"/>
  <c r="H446" i="2"/>
  <c r="G446" i="2"/>
  <c r="F446" i="2"/>
  <c r="E446" i="2"/>
  <c r="D446" i="2"/>
  <c r="C446" i="2"/>
  <c r="B446" i="2"/>
  <c r="AL445" i="2"/>
  <c r="AK445" i="2"/>
  <c r="AJ445" i="2"/>
  <c r="AI445" i="2"/>
  <c r="AH445" i="2"/>
  <c r="AG445" i="2"/>
  <c r="AF445" i="2"/>
  <c r="AE445" i="2"/>
  <c r="AD445" i="2"/>
  <c r="AC445" i="2"/>
  <c r="AB445" i="2"/>
  <c r="AA445" i="2"/>
  <c r="Z445" i="2"/>
  <c r="Y445" i="2"/>
  <c r="X445" i="2"/>
  <c r="W445" i="2"/>
  <c r="V445" i="2"/>
  <c r="U445" i="2"/>
  <c r="T445" i="2"/>
  <c r="S445" i="2"/>
  <c r="R445" i="2"/>
  <c r="Q445" i="2"/>
  <c r="P445" i="2"/>
  <c r="O445" i="2"/>
  <c r="N445" i="2"/>
  <c r="M445" i="2"/>
  <c r="L445" i="2"/>
  <c r="K445" i="2"/>
  <c r="J445" i="2"/>
  <c r="I445" i="2"/>
  <c r="H445" i="2"/>
  <c r="G445" i="2"/>
  <c r="F445" i="2"/>
  <c r="E445" i="2"/>
  <c r="D445" i="2"/>
  <c r="C445" i="2"/>
  <c r="B445" i="2"/>
  <c r="AL444" i="2"/>
  <c r="AK444" i="2"/>
  <c r="AJ444" i="2"/>
  <c r="AI444" i="2"/>
  <c r="AH444" i="2"/>
  <c r="AG444" i="2"/>
  <c r="AF444" i="2"/>
  <c r="AE444" i="2"/>
  <c r="AD444" i="2"/>
  <c r="AC444" i="2"/>
  <c r="AB444" i="2"/>
  <c r="AA444" i="2"/>
  <c r="Z444" i="2"/>
  <c r="Y444" i="2"/>
  <c r="X444" i="2"/>
  <c r="W444" i="2"/>
  <c r="V444" i="2"/>
  <c r="U444" i="2"/>
  <c r="T444" i="2"/>
  <c r="S444" i="2"/>
  <c r="R444" i="2"/>
  <c r="Q444" i="2"/>
  <c r="P444" i="2"/>
  <c r="O444" i="2"/>
  <c r="N444" i="2"/>
  <c r="M444" i="2"/>
  <c r="L444" i="2"/>
  <c r="K444" i="2"/>
  <c r="J444" i="2"/>
  <c r="I444" i="2"/>
  <c r="H444" i="2"/>
  <c r="G444" i="2"/>
  <c r="F444" i="2"/>
  <c r="E444" i="2"/>
  <c r="D444" i="2"/>
  <c r="C444" i="2"/>
  <c r="B444" i="2"/>
  <c r="AL443" i="2"/>
  <c r="AK443" i="2"/>
  <c r="AJ443" i="2"/>
  <c r="AI443" i="2"/>
  <c r="AH443" i="2"/>
  <c r="AG443" i="2"/>
  <c r="AF443" i="2"/>
  <c r="AE443" i="2"/>
  <c r="AD443" i="2"/>
  <c r="AC443" i="2"/>
  <c r="AB443" i="2"/>
  <c r="AA443" i="2"/>
  <c r="Z443" i="2"/>
  <c r="Y443" i="2"/>
  <c r="X443" i="2"/>
  <c r="W443" i="2"/>
  <c r="V443" i="2"/>
  <c r="U443" i="2"/>
  <c r="T443" i="2"/>
  <c r="S443" i="2"/>
  <c r="R443" i="2"/>
  <c r="Q443" i="2"/>
  <c r="P443" i="2"/>
  <c r="O443" i="2"/>
  <c r="N443" i="2"/>
  <c r="M443" i="2"/>
  <c r="L443" i="2"/>
  <c r="K443" i="2"/>
  <c r="J443" i="2"/>
  <c r="I443" i="2"/>
  <c r="H443" i="2"/>
  <c r="G443" i="2"/>
  <c r="F443" i="2"/>
  <c r="E443" i="2"/>
  <c r="D443" i="2"/>
  <c r="C443" i="2"/>
  <c r="B443" i="2"/>
  <c r="AL442" i="2"/>
  <c r="AK442" i="2"/>
  <c r="AJ442" i="2"/>
  <c r="AI442" i="2"/>
  <c r="AH442" i="2"/>
  <c r="AG442" i="2"/>
  <c r="AF442" i="2"/>
  <c r="AE442" i="2"/>
  <c r="AD442" i="2"/>
  <c r="AC442" i="2"/>
  <c r="AB442" i="2"/>
  <c r="AA442" i="2"/>
  <c r="Z442" i="2"/>
  <c r="Y442" i="2"/>
  <c r="X442" i="2"/>
  <c r="W442" i="2"/>
  <c r="V442" i="2"/>
  <c r="U442" i="2"/>
  <c r="T442" i="2"/>
  <c r="S442" i="2"/>
  <c r="R442" i="2"/>
  <c r="Q442" i="2"/>
  <c r="P442" i="2"/>
  <c r="O442" i="2"/>
  <c r="N442" i="2"/>
  <c r="M442" i="2"/>
  <c r="L442" i="2"/>
  <c r="K442" i="2"/>
  <c r="J442" i="2"/>
  <c r="I442" i="2"/>
  <c r="H442" i="2"/>
  <c r="G442" i="2"/>
  <c r="F442" i="2"/>
  <c r="E442" i="2"/>
  <c r="D442" i="2"/>
  <c r="C442" i="2"/>
  <c r="B442" i="2"/>
  <c r="AL441" i="2"/>
  <c r="AK441" i="2"/>
  <c r="AJ441" i="2"/>
  <c r="AI441" i="2"/>
  <c r="AH441" i="2"/>
  <c r="AG441" i="2"/>
  <c r="AF441" i="2"/>
  <c r="AE441" i="2"/>
  <c r="AD441" i="2"/>
  <c r="AC441" i="2"/>
  <c r="AB441" i="2"/>
  <c r="AA441" i="2"/>
  <c r="Z441" i="2"/>
  <c r="Y441" i="2"/>
  <c r="X441" i="2"/>
  <c r="W441" i="2"/>
  <c r="V441" i="2"/>
  <c r="U441" i="2"/>
  <c r="T441" i="2"/>
  <c r="S441" i="2"/>
  <c r="R441" i="2"/>
  <c r="Q441" i="2"/>
  <c r="P441" i="2"/>
  <c r="O441" i="2"/>
  <c r="N441" i="2"/>
  <c r="M441" i="2"/>
  <c r="L441" i="2"/>
  <c r="K441" i="2"/>
  <c r="J441" i="2"/>
  <c r="I441" i="2"/>
  <c r="H441" i="2"/>
  <c r="G441" i="2"/>
  <c r="F441" i="2"/>
  <c r="E441" i="2"/>
  <c r="D441" i="2"/>
  <c r="C441" i="2"/>
  <c r="B441" i="2"/>
  <c r="AL440" i="2"/>
  <c r="AK440" i="2"/>
  <c r="AJ440" i="2"/>
  <c r="AI440" i="2"/>
  <c r="AH440" i="2"/>
  <c r="AG440" i="2"/>
  <c r="AF440" i="2"/>
  <c r="AE440" i="2"/>
  <c r="AD440" i="2"/>
  <c r="AC440" i="2"/>
  <c r="AB440" i="2"/>
  <c r="AA440" i="2"/>
  <c r="Z440" i="2"/>
  <c r="Y440" i="2"/>
  <c r="X440" i="2"/>
  <c r="W440" i="2"/>
  <c r="V440" i="2"/>
  <c r="U440" i="2"/>
  <c r="T440" i="2"/>
  <c r="S440" i="2"/>
  <c r="R440" i="2"/>
  <c r="Q440" i="2"/>
  <c r="P440" i="2"/>
  <c r="O440" i="2"/>
  <c r="N440" i="2"/>
  <c r="M440" i="2"/>
  <c r="L440" i="2"/>
  <c r="K440" i="2"/>
  <c r="J440" i="2"/>
  <c r="I440" i="2"/>
  <c r="H440" i="2"/>
  <c r="G440" i="2"/>
  <c r="F440" i="2"/>
  <c r="E440" i="2"/>
  <c r="D440" i="2"/>
  <c r="C440" i="2"/>
  <c r="B440" i="2"/>
  <c r="AL439" i="2"/>
  <c r="AK439" i="2"/>
  <c r="AJ439" i="2"/>
  <c r="AI439" i="2"/>
  <c r="AH439" i="2"/>
  <c r="AG439" i="2"/>
  <c r="AF439" i="2"/>
  <c r="AE439" i="2"/>
  <c r="AD439" i="2"/>
  <c r="AC439" i="2"/>
  <c r="AB439" i="2"/>
  <c r="AA439" i="2"/>
  <c r="Z439" i="2"/>
  <c r="Y439" i="2"/>
  <c r="X439" i="2"/>
  <c r="W439" i="2"/>
  <c r="V439" i="2"/>
  <c r="U439" i="2"/>
  <c r="T439" i="2"/>
  <c r="S439" i="2"/>
  <c r="R439" i="2"/>
  <c r="Q439" i="2"/>
  <c r="P439" i="2"/>
  <c r="O439" i="2"/>
  <c r="N439" i="2"/>
  <c r="M439" i="2"/>
  <c r="L439" i="2"/>
  <c r="K439" i="2"/>
  <c r="J439" i="2"/>
  <c r="I439" i="2"/>
  <c r="H439" i="2"/>
  <c r="G439" i="2"/>
  <c r="F439" i="2"/>
  <c r="E439" i="2"/>
  <c r="D439" i="2"/>
  <c r="C439" i="2"/>
  <c r="B439" i="2"/>
  <c r="AL438" i="2"/>
  <c r="AK438" i="2"/>
  <c r="AJ438" i="2"/>
  <c r="AI438" i="2"/>
  <c r="AH438" i="2"/>
  <c r="AG438" i="2"/>
  <c r="AF438" i="2"/>
  <c r="AE438" i="2"/>
  <c r="AD438" i="2"/>
  <c r="AC438" i="2"/>
  <c r="AB438" i="2"/>
  <c r="AA438" i="2"/>
  <c r="Z438" i="2"/>
  <c r="Y438" i="2"/>
  <c r="X438" i="2"/>
  <c r="W438" i="2"/>
  <c r="V438" i="2"/>
  <c r="U438" i="2"/>
  <c r="T438" i="2"/>
  <c r="S438" i="2"/>
  <c r="R438" i="2"/>
  <c r="Q438" i="2"/>
  <c r="P438" i="2"/>
  <c r="O438" i="2"/>
  <c r="N438" i="2"/>
  <c r="M438" i="2"/>
  <c r="L438" i="2"/>
  <c r="K438" i="2"/>
  <c r="J438" i="2"/>
  <c r="I438" i="2"/>
  <c r="H438" i="2"/>
  <c r="G438" i="2"/>
  <c r="F438" i="2"/>
  <c r="E438" i="2"/>
  <c r="D438" i="2"/>
  <c r="C438" i="2"/>
  <c r="B438" i="2"/>
  <c r="AL437" i="2"/>
  <c r="AK437" i="2"/>
  <c r="AJ437" i="2"/>
  <c r="AI437" i="2"/>
  <c r="AH437" i="2"/>
  <c r="AG437" i="2"/>
  <c r="AF437" i="2"/>
  <c r="AE437" i="2"/>
  <c r="AD437" i="2"/>
  <c r="AC437" i="2"/>
  <c r="AB437" i="2"/>
  <c r="AA437" i="2"/>
  <c r="Z437" i="2"/>
  <c r="Y437" i="2"/>
  <c r="X437" i="2"/>
  <c r="W437" i="2"/>
  <c r="V437" i="2"/>
  <c r="U437" i="2"/>
  <c r="T437" i="2"/>
  <c r="S437" i="2"/>
  <c r="R437" i="2"/>
  <c r="Q437" i="2"/>
  <c r="P437" i="2"/>
  <c r="O437" i="2"/>
  <c r="N437" i="2"/>
  <c r="M437" i="2"/>
  <c r="L437" i="2"/>
  <c r="K437" i="2"/>
  <c r="J437" i="2"/>
  <c r="I437" i="2"/>
  <c r="H437" i="2"/>
  <c r="G437" i="2"/>
  <c r="F437" i="2"/>
  <c r="E437" i="2"/>
  <c r="D437" i="2"/>
  <c r="C437" i="2"/>
  <c r="B437" i="2"/>
  <c r="AL436" i="2"/>
  <c r="AK436" i="2"/>
  <c r="AJ436" i="2"/>
  <c r="AI436" i="2"/>
  <c r="AH436" i="2"/>
  <c r="AG436" i="2"/>
  <c r="AF436" i="2"/>
  <c r="AE436" i="2"/>
  <c r="AD436" i="2"/>
  <c r="AC436" i="2"/>
  <c r="AB436" i="2"/>
  <c r="AA436" i="2"/>
  <c r="Z436" i="2"/>
  <c r="Y436" i="2"/>
  <c r="X436" i="2"/>
  <c r="W436" i="2"/>
  <c r="V436" i="2"/>
  <c r="U436" i="2"/>
  <c r="T436" i="2"/>
  <c r="S436" i="2"/>
  <c r="R436" i="2"/>
  <c r="Q436" i="2"/>
  <c r="P436" i="2"/>
  <c r="O436" i="2"/>
  <c r="N436" i="2"/>
  <c r="M436" i="2"/>
  <c r="L436" i="2"/>
  <c r="K436" i="2"/>
  <c r="J436" i="2"/>
  <c r="I436" i="2"/>
  <c r="H436" i="2"/>
  <c r="G436" i="2"/>
  <c r="F436" i="2"/>
  <c r="E436" i="2"/>
  <c r="D436" i="2"/>
  <c r="C436" i="2"/>
  <c r="B436" i="2"/>
  <c r="AL435" i="2"/>
  <c r="AK435" i="2"/>
  <c r="AJ435" i="2"/>
  <c r="AI435" i="2"/>
  <c r="AH435" i="2"/>
  <c r="AG435" i="2"/>
  <c r="AF435" i="2"/>
  <c r="AE435" i="2"/>
  <c r="AD435" i="2"/>
  <c r="AC435" i="2"/>
  <c r="AB435" i="2"/>
  <c r="AA435" i="2"/>
  <c r="Z435" i="2"/>
  <c r="Y435" i="2"/>
  <c r="X435" i="2"/>
  <c r="W435" i="2"/>
  <c r="V435" i="2"/>
  <c r="U435" i="2"/>
  <c r="T435" i="2"/>
  <c r="S435" i="2"/>
  <c r="R435" i="2"/>
  <c r="Q435" i="2"/>
  <c r="P435" i="2"/>
  <c r="O435" i="2"/>
  <c r="N435" i="2"/>
  <c r="M435" i="2"/>
  <c r="L435" i="2"/>
  <c r="K435" i="2"/>
  <c r="J435" i="2"/>
  <c r="I435" i="2"/>
  <c r="H435" i="2"/>
  <c r="G435" i="2"/>
  <c r="F435" i="2"/>
  <c r="E435" i="2"/>
  <c r="D435" i="2"/>
  <c r="C435" i="2"/>
  <c r="B435" i="2"/>
  <c r="AL434" i="2"/>
  <c r="AK434" i="2"/>
  <c r="AJ434" i="2"/>
  <c r="AI434" i="2"/>
  <c r="AH434" i="2"/>
  <c r="AG434" i="2"/>
  <c r="AF434" i="2"/>
  <c r="AE434" i="2"/>
  <c r="AD434" i="2"/>
  <c r="AC434" i="2"/>
  <c r="AB434" i="2"/>
  <c r="AA434" i="2"/>
  <c r="Z434" i="2"/>
  <c r="Y434" i="2"/>
  <c r="X434" i="2"/>
  <c r="W434" i="2"/>
  <c r="V434" i="2"/>
  <c r="U434" i="2"/>
  <c r="T434" i="2"/>
  <c r="S434" i="2"/>
  <c r="R434" i="2"/>
  <c r="Q434" i="2"/>
  <c r="P434" i="2"/>
  <c r="O434" i="2"/>
  <c r="N434" i="2"/>
  <c r="M434" i="2"/>
  <c r="L434" i="2"/>
  <c r="K434" i="2"/>
  <c r="J434" i="2"/>
  <c r="I434" i="2"/>
  <c r="H434" i="2"/>
  <c r="G434" i="2"/>
  <c r="F434" i="2"/>
  <c r="E434" i="2"/>
  <c r="D434" i="2"/>
  <c r="C434" i="2"/>
  <c r="B434" i="2"/>
  <c r="AL433" i="2"/>
  <c r="AK433" i="2"/>
  <c r="AJ433" i="2"/>
  <c r="AI433" i="2"/>
  <c r="AH433" i="2"/>
  <c r="AG433" i="2"/>
  <c r="AF433" i="2"/>
  <c r="AE433" i="2"/>
  <c r="AD433" i="2"/>
  <c r="AC433" i="2"/>
  <c r="AB433" i="2"/>
  <c r="AA433" i="2"/>
  <c r="Z433" i="2"/>
  <c r="Y433" i="2"/>
  <c r="X433" i="2"/>
  <c r="W433" i="2"/>
  <c r="V433" i="2"/>
  <c r="U433" i="2"/>
  <c r="T433" i="2"/>
  <c r="S433" i="2"/>
  <c r="R433" i="2"/>
  <c r="Q433" i="2"/>
  <c r="P433" i="2"/>
  <c r="O433" i="2"/>
  <c r="N433" i="2"/>
  <c r="M433" i="2"/>
  <c r="L433" i="2"/>
  <c r="K433" i="2"/>
  <c r="J433" i="2"/>
  <c r="I433" i="2"/>
  <c r="H433" i="2"/>
  <c r="G433" i="2"/>
  <c r="F433" i="2"/>
  <c r="E433" i="2"/>
  <c r="D433" i="2"/>
  <c r="C433" i="2"/>
  <c r="B433" i="2"/>
  <c r="AL432" i="2"/>
  <c r="AK432" i="2"/>
  <c r="AJ432" i="2"/>
  <c r="AI432" i="2"/>
  <c r="AH432" i="2"/>
  <c r="AG432" i="2"/>
  <c r="AF432" i="2"/>
  <c r="AE432" i="2"/>
  <c r="AD432" i="2"/>
  <c r="AC432" i="2"/>
  <c r="AB432" i="2"/>
  <c r="AA432" i="2"/>
  <c r="Z432" i="2"/>
  <c r="Y432" i="2"/>
  <c r="X432" i="2"/>
  <c r="W432" i="2"/>
  <c r="V432" i="2"/>
  <c r="U432" i="2"/>
  <c r="T432" i="2"/>
  <c r="S432" i="2"/>
  <c r="R432" i="2"/>
  <c r="Q432" i="2"/>
  <c r="P432" i="2"/>
  <c r="O432" i="2"/>
  <c r="N432" i="2"/>
  <c r="M432" i="2"/>
  <c r="L432" i="2"/>
  <c r="K432" i="2"/>
  <c r="J432" i="2"/>
  <c r="I432" i="2"/>
  <c r="H432" i="2"/>
  <c r="G432" i="2"/>
  <c r="F432" i="2"/>
  <c r="E432" i="2"/>
  <c r="D432" i="2"/>
  <c r="C432" i="2"/>
  <c r="B432" i="2"/>
  <c r="AL431" i="2"/>
  <c r="AK431" i="2"/>
  <c r="AJ431" i="2"/>
  <c r="AI431" i="2"/>
  <c r="AH431" i="2"/>
  <c r="AG431" i="2"/>
  <c r="AF431" i="2"/>
  <c r="AE431" i="2"/>
  <c r="AD431" i="2"/>
  <c r="AC431" i="2"/>
  <c r="AB431" i="2"/>
  <c r="AA431" i="2"/>
  <c r="Z431" i="2"/>
  <c r="Y431" i="2"/>
  <c r="X431" i="2"/>
  <c r="W431" i="2"/>
  <c r="V431" i="2"/>
  <c r="U431" i="2"/>
  <c r="T431" i="2"/>
  <c r="S431" i="2"/>
  <c r="R431" i="2"/>
  <c r="Q431" i="2"/>
  <c r="P431" i="2"/>
  <c r="O431" i="2"/>
  <c r="N431" i="2"/>
  <c r="M431" i="2"/>
  <c r="L431" i="2"/>
  <c r="K431" i="2"/>
  <c r="J431" i="2"/>
  <c r="I431" i="2"/>
  <c r="H431" i="2"/>
  <c r="G431" i="2"/>
  <c r="F431" i="2"/>
  <c r="E431" i="2"/>
  <c r="D431" i="2"/>
  <c r="C431" i="2"/>
  <c r="B431" i="2"/>
  <c r="AL430" i="2"/>
  <c r="AK430" i="2"/>
  <c r="AJ430" i="2"/>
  <c r="AI430" i="2"/>
  <c r="AH430" i="2"/>
  <c r="AG430" i="2"/>
  <c r="AF430" i="2"/>
  <c r="AE430" i="2"/>
  <c r="AD430" i="2"/>
  <c r="AC430" i="2"/>
  <c r="AB430" i="2"/>
  <c r="AA430" i="2"/>
  <c r="Z430" i="2"/>
  <c r="Y430" i="2"/>
  <c r="X430" i="2"/>
  <c r="W430" i="2"/>
  <c r="V430" i="2"/>
  <c r="U430" i="2"/>
  <c r="T430" i="2"/>
  <c r="S430" i="2"/>
  <c r="R430" i="2"/>
  <c r="Q430" i="2"/>
  <c r="P430" i="2"/>
  <c r="O430" i="2"/>
  <c r="N430" i="2"/>
  <c r="M430" i="2"/>
  <c r="L430" i="2"/>
  <c r="K430" i="2"/>
  <c r="J430" i="2"/>
  <c r="I430" i="2"/>
  <c r="H430" i="2"/>
  <c r="G430" i="2"/>
  <c r="F430" i="2"/>
  <c r="E430" i="2"/>
  <c r="D430" i="2"/>
  <c r="C430" i="2"/>
  <c r="B430" i="2"/>
  <c r="AL429" i="2"/>
  <c r="AK429" i="2"/>
  <c r="AJ429" i="2"/>
  <c r="AI429" i="2"/>
  <c r="AH429" i="2"/>
  <c r="AG429" i="2"/>
  <c r="AF429" i="2"/>
  <c r="AE429" i="2"/>
  <c r="AD429" i="2"/>
  <c r="AC429" i="2"/>
  <c r="AB429" i="2"/>
  <c r="AA429" i="2"/>
  <c r="Z429" i="2"/>
  <c r="Y429" i="2"/>
  <c r="X429" i="2"/>
  <c r="W429" i="2"/>
  <c r="V429" i="2"/>
  <c r="U429" i="2"/>
  <c r="T429" i="2"/>
  <c r="S429" i="2"/>
  <c r="R429" i="2"/>
  <c r="Q429" i="2"/>
  <c r="P429" i="2"/>
  <c r="O429" i="2"/>
  <c r="N429" i="2"/>
  <c r="M429" i="2"/>
  <c r="L429" i="2"/>
  <c r="K429" i="2"/>
  <c r="J429" i="2"/>
  <c r="I429" i="2"/>
  <c r="H429" i="2"/>
  <c r="G429" i="2"/>
  <c r="F429" i="2"/>
  <c r="E429" i="2"/>
  <c r="D429" i="2"/>
  <c r="C429" i="2"/>
  <c r="B429" i="2"/>
  <c r="AL428" i="2"/>
  <c r="AK428" i="2"/>
  <c r="AJ428" i="2"/>
  <c r="AI428" i="2"/>
  <c r="AH428" i="2"/>
  <c r="AG428" i="2"/>
  <c r="AF428" i="2"/>
  <c r="AE428" i="2"/>
  <c r="AD428" i="2"/>
  <c r="AC428" i="2"/>
  <c r="AB428" i="2"/>
  <c r="AA428" i="2"/>
  <c r="Z428" i="2"/>
  <c r="Y428" i="2"/>
  <c r="X428" i="2"/>
  <c r="W428" i="2"/>
  <c r="V428" i="2"/>
  <c r="U428" i="2"/>
  <c r="T428" i="2"/>
  <c r="S428" i="2"/>
  <c r="R428" i="2"/>
  <c r="Q428" i="2"/>
  <c r="P428" i="2"/>
  <c r="O428" i="2"/>
  <c r="N428" i="2"/>
  <c r="M428" i="2"/>
  <c r="L428" i="2"/>
  <c r="K428" i="2"/>
  <c r="J428" i="2"/>
  <c r="I428" i="2"/>
  <c r="H428" i="2"/>
  <c r="G428" i="2"/>
  <c r="F428" i="2"/>
  <c r="E428" i="2"/>
  <c r="D428" i="2"/>
  <c r="C428" i="2"/>
  <c r="B428" i="2"/>
  <c r="AL427" i="2"/>
  <c r="AK427" i="2"/>
  <c r="AJ427" i="2"/>
  <c r="AI427" i="2"/>
  <c r="AH427" i="2"/>
  <c r="AG427" i="2"/>
  <c r="AF427" i="2"/>
  <c r="AE427" i="2"/>
  <c r="AD427" i="2"/>
  <c r="AC427" i="2"/>
  <c r="AB427" i="2"/>
  <c r="AA427" i="2"/>
  <c r="Z427" i="2"/>
  <c r="Y427" i="2"/>
  <c r="X427" i="2"/>
  <c r="W427" i="2"/>
  <c r="V427" i="2"/>
  <c r="U427" i="2"/>
  <c r="T427" i="2"/>
  <c r="S427" i="2"/>
  <c r="R427" i="2"/>
  <c r="Q427" i="2"/>
  <c r="P427" i="2"/>
  <c r="O427" i="2"/>
  <c r="N427" i="2"/>
  <c r="M427" i="2"/>
  <c r="L427" i="2"/>
  <c r="K427" i="2"/>
  <c r="J427" i="2"/>
  <c r="I427" i="2"/>
  <c r="H427" i="2"/>
  <c r="G427" i="2"/>
  <c r="F427" i="2"/>
  <c r="E427" i="2"/>
  <c r="D427" i="2"/>
  <c r="C427" i="2"/>
  <c r="B427" i="2"/>
  <c r="AL426" i="2"/>
  <c r="AK426" i="2"/>
  <c r="AJ426" i="2"/>
  <c r="AI426" i="2"/>
  <c r="AH426" i="2"/>
  <c r="AG426" i="2"/>
  <c r="AF426" i="2"/>
  <c r="AE426" i="2"/>
  <c r="AD426" i="2"/>
  <c r="AC426" i="2"/>
  <c r="AB426" i="2"/>
  <c r="AA426" i="2"/>
  <c r="Z426" i="2"/>
  <c r="Y426" i="2"/>
  <c r="X426" i="2"/>
  <c r="W426" i="2"/>
  <c r="V426" i="2"/>
  <c r="U426" i="2"/>
  <c r="T426" i="2"/>
  <c r="S426" i="2"/>
  <c r="R426" i="2"/>
  <c r="Q426" i="2"/>
  <c r="P426" i="2"/>
  <c r="O426" i="2"/>
  <c r="N426" i="2"/>
  <c r="M426" i="2"/>
  <c r="L426" i="2"/>
  <c r="K426" i="2"/>
  <c r="J426" i="2"/>
  <c r="I426" i="2"/>
  <c r="H426" i="2"/>
  <c r="G426" i="2"/>
  <c r="F426" i="2"/>
  <c r="E426" i="2"/>
  <c r="D426" i="2"/>
  <c r="C426" i="2"/>
  <c r="B426" i="2"/>
  <c r="AL425" i="2"/>
  <c r="AK425" i="2"/>
  <c r="AJ425" i="2"/>
  <c r="AI425" i="2"/>
  <c r="AH425" i="2"/>
  <c r="AG425" i="2"/>
  <c r="AF425" i="2"/>
  <c r="AE425" i="2"/>
  <c r="AD425" i="2"/>
  <c r="AC425" i="2"/>
  <c r="AB425" i="2"/>
  <c r="AA425" i="2"/>
  <c r="Z425" i="2"/>
  <c r="Y425" i="2"/>
  <c r="X425" i="2"/>
  <c r="W425" i="2"/>
  <c r="V425" i="2"/>
  <c r="U425" i="2"/>
  <c r="T425" i="2"/>
  <c r="S425" i="2"/>
  <c r="R425" i="2"/>
  <c r="Q425" i="2"/>
  <c r="P425" i="2"/>
  <c r="O425" i="2"/>
  <c r="N425" i="2"/>
  <c r="M425" i="2"/>
  <c r="L425" i="2"/>
  <c r="K425" i="2"/>
  <c r="J425" i="2"/>
  <c r="I425" i="2"/>
  <c r="H425" i="2"/>
  <c r="G425" i="2"/>
  <c r="F425" i="2"/>
  <c r="E425" i="2"/>
  <c r="D425" i="2"/>
  <c r="C425" i="2"/>
  <c r="B425" i="2"/>
  <c r="AL424" i="2"/>
  <c r="AK424" i="2"/>
  <c r="AJ424" i="2"/>
  <c r="AI424" i="2"/>
  <c r="AH424" i="2"/>
  <c r="AG424" i="2"/>
  <c r="AF424" i="2"/>
  <c r="AE424" i="2"/>
  <c r="AD424" i="2"/>
  <c r="AC424" i="2"/>
  <c r="AB424" i="2"/>
  <c r="AA424" i="2"/>
  <c r="Z424" i="2"/>
  <c r="Y424" i="2"/>
  <c r="X424" i="2"/>
  <c r="W424" i="2"/>
  <c r="V424" i="2"/>
  <c r="U424" i="2"/>
  <c r="T424" i="2"/>
  <c r="S424" i="2"/>
  <c r="R424" i="2"/>
  <c r="Q424" i="2"/>
  <c r="P424" i="2"/>
  <c r="O424" i="2"/>
  <c r="N424" i="2"/>
  <c r="M424" i="2"/>
  <c r="L424" i="2"/>
  <c r="K424" i="2"/>
  <c r="J424" i="2"/>
  <c r="I424" i="2"/>
  <c r="H424" i="2"/>
  <c r="G424" i="2"/>
  <c r="F424" i="2"/>
  <c r="E424" i="2"/>
  <c r="D424" i="2"/>
  <c r="C424" i="2"/>
  <c r="B424" i="2"/>
  <c r="AL423" i="2"/>
  <c r="AK423" i="2"/>
  <c r="AJ423" i="2"/>
  <c r="AI423" i="2"/>
  <c r="AH423" i="2"/>
  <c r="AG423" i="2"/>
  <c r="AF423" i="2"/>
  <c r="AE423" i="2"/>
  <c r="AD423" i="2"/>
  <c r="AC423" i="2"/>
  <c r="AB423" i="2"/>
  <c r="AA423" i="2"/>
  <c r="Z423" i="2"/>
  <c r="Y423" i="2"/>
  <c r="X423" i="2"/>
  <c r="W423" i="2"/>
  <c r="V423" i="2"/>
  <c r="U423" i="2"/>
  <c r="T423" i="2"/>
  <c r="S423" i="2"/>
  <c r="R423" i="2"/>
  <c r="Q423" i="2"/>
  <c r="P423" i="2"/>
  <c r="O423" i="2"/>
  <c r="N423" i="2"/>
  <c r="M423" i="2"/>
  <c r="L423" i="2"/>
  <c r="K423" i="2"/>
  <c r="J423" i="2"/>
  <c r="I423" i="2"/>
  <c r="H423" i="2"/>
  <c r="G423" i="2"/>
  <c r="F423" i="2"/>
  <c r="E423" i="2"/>
  <c r="D423" i="2"/>
  <c r="C423" i="2"/>
  <c r="B423" i="2"/>
  <c r="AL422" i="2"/>
  <c r="AK422" i="2"/>
  <c r="AJ422" i="2"/>
  <c r="AI422" i="2"/>
  <c r="AH422" i="2"/>
  <c r="AG422" i="2"/>
  <c r="AF422" i="2"/>
  <c r="AE422" i="2"/>
  <c r="AD422" i="2"/>
  <c r="AC422" i="2"/>
  <c r="AB422" i="2"/>
  <c r="AA422" i="2"/>
  <c r="Z422" i="2"/>
  <c r="Y422" i="2"/>
  <c r="X422" i="2"/>
  <c r="W422" i="2"/>
  <c r="V422" i="2"/>
  <c r="U422" i="2"/>
  <c r="T422" i="2"/>
  <c r="S422" i="2"/>
  <c r="R422" i="2"/>
  <c r="Q422" i="2"/>
  <c r="P422" i="2"/>
  <c r="O422" i="2"/>
  <c r="N422" i="2"/>
  <c r="M422" i="2"/>
  <c r="L422" i="2"/>
  <c r="K422" i="2"/>
  <c r="J422" i="2"/>
  <c r="I422" i="2"/>
  <c r="H422" i="2"/>
  <c r="G422" i="2"/>
  <c r="F422" i="2"/>
  <c r="E422" i="2"/>
  <c r="D422" i="2"/>
  <c r="C422" i="2"/>
  <c r="B422" i="2"/>
  <c r="AL421" i="2"/>
  <c r="AK421" i="2"/>
  <c r="AJ421" i="2"/>
  <c r="AI421" i="2"/>
  <c r="AH421" i="2"/>
  <c r="AG421" i="2"/>
  <c r="AF421" i="2"/>
  <c r="AE421" i="2"/>
  <c r="AD421" i="2"/>
  <c r="AC421" i="2"/>
  <c r="AB421" i="2"/>
  <c r="AA421" i="2"/>
  <c r="Z421" i="2"/>
  <c r="Y421" i="2"/>
  <c r="X421" i="2"/>
  <c r="W421" i="2"/>
  <c r="V421" i="2"/>
  <c r="U421" i="2"/>
  <c r="T421" i="2"/>
  <c r="S421" i="2"/>
  <c r="R421" i="2"/>
  <c r="Q421" i="2"/>
  <c r="P421" i="2"/>
  <c r="O421" i="2"/>
  <c r="N421" i="2"/>
  <c r="M421" i="2"/>
  <c r="L421" i="2"/>
  <c r="K421" i="2"/>
  <c r="J421" i="2"/>
  <c r="I421" i="2"/>
  <c r="H421" i="2"/>
  <c r="G421" i="2"/>
  <c r="F421" i="2"/>
  <c r="E421" i="2"/>
  <c r="D421" i="2"/>
  <c r="C421" i="2"/>
  <c r="B421" i="2"/>
  <c r="AL420" i="2"/>
  <c r="AK420" i="2"/>
  <c r="AJ420" i="2"/>
  <c r="AI420" i="2"/>
  <c r="AH420" i="2"/>
  <c r="AG420" i="2"/>
  <c r="AF420" i="2"/>
  <c r="AE420" i="2"/>
  <c r="AD420" i="2"/>
  <c r="AC420" i="2"/>
  <c r="AB420" i="2"/>
  <c r="AA420" i="2"/>
  <c r="Z420" i="2"/>
  <c r="Y420" i="2"/>
  <c r="X420" i="2"/>
  <c r="W420" i="2"/>
  <c r="V420" i="2"/>
  <c r="U420" i="2"/>
  <c r="T420" i="2"/>
  <c r="S420" i="2"/>
  <c r="R420" i="2"/>
  <c r="Q420" i="2"/>
  <c r="P420" i="2"/>
  <c r="O420" i="2"/>
  <c r="N420" i="2"/>
  <c r="M420" i="2"/>
  <c r="L420" i="2"/>
  <c r="K420" i="2"/>
  <c r="J420" i="2"/>
  <c r="I420" i="2"/>
  <c r="H420" i="2"/>
  <c r="G420" i="2"/>
  <c r="F420" i="2"/>
  <c r="E420" i="2"/>
  <c r="D420" i="2"/>
  <c r="C420" i="2"/>
  <c r="B420" i="2"/>
  <c r="AL419" i="2"/>
  <c r="AK419" i="2"/>
  <c r="AJ419" i="2"/>
  <c r="AI419" i="2"/>
  <c r="AH419" i="2"/>
  <c r="AG419" i="2"/>
  <c r="AF419" i="2"/>
  <c r="AE419" i="2"/>
  <c r="AD419" i="2"/>
  <c r="AC419" i="2"/>
  <c r="AB419" i="2"/>
  <c r="AA419" i="2"/>
  <c r="Z419" i="2"/>
  <c r="Y419" i="2"/>
  <c r="X419" i="2"/>
  <c r="W419" i="2"/>
  <c r="V419" i="2"/>
  <c r="U419" i="2"/>
  <c r="T419" i="2"/>
  <c r="S419" i="2"/>
  <c r="R419" i="2"/>
  <c r="Q419" i="2"/>
  <c r="P419" i="2"/>
  <c r="O419" i="2"/>
  <c r="N419" i="2"/>
  <c r="M419" i="2"/>
  <c r="L419" i="2"/>
  <c r="K419" i="2"/>
  <c r="J419" i="2"/>
  <c r="I419" i="2"/>
  <c r="H419" i="2"/>
  <c r="G419" i="2"/>
  <c r="F419" i="2"/>
  <c r="E419" i="2"/>
  <c r="D419" i="2"/>
  <c r="C419" i="2"/>
  <c r="B419" i="2"/>
  <c r="AL418" i="2"/>
  <c r="AK418" i="2"/>
  <c r="AJ418" i="2"/>
  <c r="AI418" i="2"/>
  <c r="AH418" i="2"/>
  <c r="AG418" i="2"/>
  <c r="AF418" i="2"/>
  <c r="AE418" i="2"/>
  <c r="AD418" i="2"/>
  <c r="AC418" i="2"/>
  <c r="AB418" i="2"/>
  <c r="AA418" i="2"/>
  <c r="Z418" i="2"/>
  <c r="Y418" i="2"/>
  <c r="X418" i="2"/>
  <c r="W418" i="2"/>
  <c r="V418" i="2"/>
  <c r="U418" i="2"/>
  <c r="T418" i="2"/>
  <c r="S418" i="2"/>
  <c r="R418" i="2"/>
  <c r="Q418" i="2"/>
  <c r="P418" i="2"/>
  <c r="O418" i="2"/>
  <c r="N418" i="2"/>
  <c r="M418" i="2"/>
  <c r="L418" i="2"/>
  <c r="K418" i="2"/>
  <c r="J418" i="2"/>
  <c r="I418" i="2"/>
  <c r="H418" i="2"/>
  <c r="G418" i="2"/>
  <c r="F418" i="2"/>
  <c r="E418" i="2"/>
  <c r="D418" i="2"/>
  <c r="C418" i="2"/>
  <c r="B418" i="2"/>
  <c r="AL417" i="2"/>
  <c r="AK417" i="2"/>
  <c r="AJ417" i="2"/>
  <c r="AI417" i="2"/>
  <c r="AH417" i="2"/>
  <c r="AG417" i="2"/>
  <c r="AF417" i="2"/>
  <c r="AE417" i="2"/>
  <c r="AD417" i="2"/>
  <c r="AC417" i="2"/>
  <c r="AB417" i="2"/>
  <c r="AA417" i="2"/>
  <c r="Z417" i="2"/>
  <c r="Y417" i="2"/>
  <c r="X417" i="2"/>
  <c r="W417" i="2"/>
  <c r="V417" i="2"/>
  <c r="U417" i="2"/>
  <c r="T417" i="2"/>
  <c r="S417" i="2"/>
  <c r="R417" i="2"/>
  <c r="Q417" i="2"/>
  <c r="P417" i="2"/>
  <c r="O417" i="2"/>
  <c r="N417" i="2"/>
  <c r="M417" i="2"/>
  <c r="L417" i="2"/>
  <c r="K417" i="2"/>
  <c r="J417" i="2"/>
  <c r="I417" i="2"/>
  <c r="H417" i="2"/>
  <c r="G417" i="2"/>
  <c r="F417" i="2"/>
  <c r="E417" i="2"/>
  <c r="D417" i="2"/>
  <c r="C417" i="2"/>
  <c r="B417" i="2"/>
  <c r="AL416" i="2"/>
  <c r="AK416" i="2"/>
  <c r="AJ416" i="2"/>
  <c r="AI416" i="2"/>
  <c r="AH416" i="2"/>
  <c r="AG416" i="2"/>
  <c r="AF416" i="2"/>
  <c r="AE416" i="2"/>
  <c r="AD416" i="2"/>
  <c r="AC416" i="2"/>
  <c r="AB416" i="2"/>
  <c r="AA416" i="2"/>
  <c r="Z416" i="2"/>
  <c r="Y416" i="2"/>
  <c r="X416" i="2"/>
  <c r="W416" i="2"/>
  <c r="V416" i="2"/>
  <c r="U416" i="2"/>
  <c r="T416" i="2"/>
  <c r="S416" i="2"/>
  <c r="R416" i="2"/>
  <c r="Q416" i="2"/>
  <c r="P416" i="2"/>
  <c r="O416" i="2"/>
  <c r="N416" i="2"/>
  <c r="M416" i="2"/>
  <c r="L416" i="2"/>
  <c r="K416" i="2"/>
  <c r="J416" i="2"/>
  <c r="I416" i="2"/>
  <c r="H416" i="2"/>
  <c r="G416" i="2"/>
  <c r="F416" i="2"/>
  <c r="E416" i="2"/>
  <c r="D416" i="2"/>
  <c r="C416" i="2"/>
  <c r="B416" i="2"/>
  <c r="AL415" i="2"/>
  <c r="AK415" i="2"/>
  <c r="AJ415" i="2"/>
  <c r="AI415" i="2"/>
  <c r="AH415" i="2"/>
  <c r="AG415" i="2"/>
  <c r="AF415" i="2"/>
  <c r="AE415" i="2"/>
  <c r="AD415" i="2"/>
  <c r="AC415" i="2"/>
  <c r="AB415" i="2"/>
  <c r="AA415" i="2"/>
  <c r="Z415" i="2"/>
  <c r="Y415" i="2"/>
  <c r="X415" i="2"/>
  <c r="W415" i="2"/>
  <c r="V415" i="2"/>
  <c r="U415" i="2"/>
  <c r="T415" i="2"/>
  <c r="S415" i="2"/>
  <c r="R415" i="2"/>
  <c r="Q415" i="2"/>
  <c r="P415" i="2"/>
  <c r="O415" i="2"/>
  <c r="N415" i="2"/>
  <c r="M415" i="2"/>
  <c r="L415" i="2"/>
  <c r="K415" i="2"/>
  <c r="J415" i="2"/>
  <c r="I415" i="2"/>
  <c r="H415" i="2"/>
  <c r="G415" i="2"/>
  <c r="F415" i="2"/>
  <c r="E415" i="2"/>
  <c r="D415" i="2"/>
  <c r="C415" i="2"/>
  <c r="B415" i="2"/>
  <c r="AL414" i="2"/>
  <c r="AK414" i="2"/>
  <c r="AJ414" i="2"/>
  <c r="AI414" i="2"/>
  <c r="AH414" i="2"/>
  <c r="AG414" i="2"/>
  <c r="AF414" i="2"/>
  <c r="AE414" i="2"/>
  <c r="AD414" i="2"/>
  <c r="AC414" i="2"/>
  <c r="AB414" i="2"/>
  <c r="AA414" i="2"/>
  <c r="Z414" i="2"/>
  <c r="Y414" i="2"/>
  <c r="X414" i="2"/>
  <c r="W414" i="2"/>
  <c r="V414" i="2"/>
  <c r="U414" i="2"/>
  <c r="T414" i="2"/>
  <c r="S414" i="2"/>
  <c r="R414" i="2"/>
  <c r="Q414" i="2"/>
  <c r="P414" i="2"/>
  <c r="O414" i="2"/>
  <c r="N414" i="2"/>
  <c r="M414" i="2"/>
  <c r="L414" i="2"/>
  <c r="K414" i="2"/>
  <c r="J414" i="2"/>
  <c r="I414" i="2"/>
  <c r="H414" i="2"/>
  <c r="G414" i="2"/>
  <c r="F414" i="2"/>
  <c r="E414" i="2"/>
  <c r="D414" i="2"/>
  <c r="C414" i="2"/>
  <c r="B414" i="2"/>
  <c r="AL413" i="2"/>
  <c r="AK413" i="2"/>
  <c r="AJ413" i="2"/>
  <c r="AI413" i="2"/>
  <c r="AH413" i="2"/>
  <c r="AG413" i="2"/>
  <c r="AF413" i="2"/>
  <c r="AE413" i="2"/>
  <c r="AD413" i="2"/>
  <c r="AC413" i="2"/>
  <c r="AB413" i="2"/>
  <c r="AA413" i="2"/>
  <c r="Z413" i="2"/>
  <c r="Y413" i="2"/>
  <c r="X413" i="2"/>
  <c r="W413" i="2"/>
  <c r="V413" i="2"/>
  <c r="U413" i="2"/>
  <c r="T413" i="2"/>
  <c r="S413" i="2"/>
  <c r="R413" i="2"/>
  <c r="Q413" i="2"/>
  <c r="P413" i="2"/>
  <c r="O413" i="2"/>
  <c r="N413" i="2"/>
  <c r="M413" i="2"/>
  <c r="L413" i="2"/>
  <c r="K413" i="2"/>
  <c r="J413" i="2"/>
  <c r="I413" i="2"/>
  <c r="H413" i="2"/>
  <c r="G413" i="2"/>
  <c r="F413" i="2"/>
  <c r="E413" i="2"/>
  <c r="D413" i="2"/>
  <c r="C413" i="2"/>
  <c r="B413" i="2"/>
  <c r="AL78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AL657" i="2"/>
  <c r="AK657" i="2"/>
  <c r="AJ657" i="2"/>
  <c r="AI657" i="2"/>
  <c r="AH657" i="2"/>
  <c r="AG657" i="2"/>
  <c r="AF657" i="2"/>
  <c r="AE657" i="2"/>
  <c r="AD657" i="2"/>
  <c r="AC657" i="2"/>
  <c r="AB657" i="2"/>
  <c r="AA657" i="2"/>
  <c r="Z657" i="2"/>
  <c r="Y657" i="2"/>
  <c r="X657" i="2"/>
  <c r="W657" i="2"/>
  <c r="V657" i="2"/>
  <c r="U657" i="2"/>
  <c r="T657" i="2"/>
  <c r="S657" i="2"/>
  <c r="R657" i="2"/>
  <c r="Q657" i="2"/>
  <c r="P657" i="2"/>
  <c r="O657" i="2"/>
  <c r="N657" i="2"/>
  <c r="M657" i="2"/>
  <c r="L657" i="2"/>
  <c r="K657" i="2"/>
  <c r="J657" i="2"/>
  <c r="I657" i="2"/>
  <c r="H657" i="2"/>
  <c r="G657" i="2"/>
  <c r="F657" i="2"/>
  <c r="E657" i="2"/>
  <c r="D657" i="2"/>
  <c r="C657" i="2"/>
  <c r="B657" i="2"/>
  <c r="AL656" i="2"/>
  <c r="AK656" i="2"/>
  <c r="AJ656" i="2"/>
  <c r="AI656" i="2"/>
  <c r="AH656" i="2"/>
  <c r="AG656" i="2"/>
  <c r="AF656" i="2"/>
  <c r="AE656" i="2"/>
  <c r="AD656" i="2"/>
  <c r="AC656" i="2"/>
  <c r="AB656" i="2"/>
  <c r="AA656" i="2"/>
  <c r="Z656" i="2"/>
  <c r="Y656" i="2"/>
  <c r="X656" i="2"/>
  <c r="W656" i="2"/>
  <c r="V656" i="2"/>
  <c r="U656" i="2"/>
  <c r="T656" i="2"/>
  <c r="S656" i="2"/>
  <c r="R656" i="2"/>
  <c r="Q656" i="2"/>
  <c r="P656" i="2"/>
  <c r="O656" i="2"/>
  <c r="N656" i="2"/>
  <c r="M656" i="2"/>
  <c r="L656" i="2"/>
  <c r="K656" i="2"/>
  <c r="J656" i="2"/>
  <c r="I656" i="2"/>
  <c r="H656" i="2"/>
  <c r="G656" i="2"/>
  <c r="F656" i="2"/>
  <c r="E656" i="2"/>
  <c r="D656" i="2"/>
  <c r="C656" i="2"/>
  <c r="B656" i="2"/>
  <c r="AL655" i="2"/>
  <c r="AK655" i="2"/>
  <c r="AJ655" i="2"/>
  <c r="AI655" i="2"/>
  <c r="AH655" i="2"/>
  <c r="AG655" i="2"/>
  <c r="AF655" i="2"/>
  <c r="AE655" i="2"/>
  <c r="AD655" i="2"/>
  <c r="AC655" i="2"/>
  <c r="AB655" i="2"/>
  <c r="AA655" i="2"/>
  <c r="Z655" i="2"/>
  <c r="Y655" i="2"/>
  <c r="X655" i="2"/>
  <c r="W655" i="2"/>
  <c r="V655" i="2"/>
  <c r="U655" i="2"/>
  <c r="T655" i="2"/>
  <c r="S655" i="2"/>
  <c r="R655" i="2"/>
  <c r="Q655" i="2"/>
  <c r="P655" i="2"/>
  <c r="O655" i="2"/>
  <c r="N655" i="2"/>
  <c r="M655" i="2"/>
  <c r="L655" i="2"/>
  <c r="K655" i="2"/>
  <c r="J655" i="2"/>
  <c r="I655" i="2"/>
  <c r="H655" i="2"/>
  <c r="G655" i="2"/>
  <c r="F655" i="2"/>
  <c r="E655" i="2"/>
  <c r="D655" i="2"/>
  <c r="C655" i="2"/>
  <c r="B655" i="2"/>
  <c r="AL653" i="2"/>
  <c r="AK653" i="2"/>
  <c r="AJ653" i="2"/>
  <c r="AI653" i="2"/>
  <c r="AH653" i="2"/>
  <c r="AG653" i="2"/>
  <c r="AF653" i="2"/>
  <c r="AE653" i="2"/>
  <c r="AD653" i="2"/>
  <c r="AC653" i="2"/>
  <c r="AB653" i="2"/>
  <c r="AA653" i="2"/>
  <c r="Z653" i="2"/>
  <c r="Y653" i="2"/>
  <c r="X653" i="2"/>
  <c r="W653" i="2"/>
  <c r="V653" i="2"/>
  <c r="U653" i="2"/>
  <c r="T653" i="2"/>
  <c r="S653" i="2"/>
  <c r="R653" i="2"/>
  <c r="Q653" i="2"/>
  <c r="P653" i="2"/>
  <c r="O653" i="2"/>
  <c r="N653" i="2"/>
  <c r="M653" i="2"/>
  <c r="L653" i="2"/>
  <c r="K653" i="2"/>
  <c r="J653" i="2"/>
  <c r="I653" i="2"/>
  <c r="H653" i="2"/>
  <c r="G653" i="2"/>
  <c r="F653" i="2"/>
  <c r="E653" i="2"/>
  <c r="D653" i="2"/>
  <c r="C653" i="2"/>
  <c r="B653" i="2"/>
  <c r="AL652" i="2"/>
  <c r="AK652" i="2"/>
  <c r="AJ652" i="2"/>
  <c r="AI652" i="2"/>
  <c r="AH652" i="2"/>
  <c r="AG652" i="2"/>
  <c r="AF652" i="2"/>
  <c r="AE652" i="2"/>
  <c r="AD652" i="2"/>
  <c r="AC652" i="2"/>
  <c r="AB652" i="2"/>
  <c r="AA652" i="2"/>
  <c r="Z652" i="2"/>
  <c r="Y652" i="2"/>
  <c r="X652" i="2"/>
  <c r="W652" i="2"/>
  <c r="V652" i="2"/>
  <c r="U652" i="2"/>
  <c r="T652" i="2"/>
  <c r="S652" i="2"/>
  <c r="R652" i="2"/>
  <c r="Q652" i="2"/>
  <c r="P652" i="2"/>
  <c r="O652" i="2"/>
  <c r="N652" i="2"/>
  <c r="M652" i="2"/>
  <c r="L652" i="2"/>
  <c r="K652" i="2"/>
  <c r="J652" i="2"/>
  <c r="I652" i="2"/>
  <c r="H652" i="2"/>
  <c r="G652" i="2"/>
  <c r="F652" i="2"/>
  <c r="E652" i="2"/>
  <c r="D652" i="2"/>
  <c r="C652" i="2"/>
  <c r="B652" i="2"/>
  <c r="AL651" i="2"/>
  <c r="AK651" i="2"/>
  <c r="AJ651" i="2"/>
  <c r="AI651" i="2"/>
  <c r="AH651" i="2"/>
  <c r="AG651" i="2"/>
  <c r="AF651" i="2"/>
  <c r="AE651" i="2"/>
  <c r="AD651" i="2"/>
  <c r="AC651" i="2"/>
  <c r="AB651" i="2"/>
  <c r="AA651" i="2"/>
  <c r="Z651" i="2"/>
  <c r="Y651" i="2"/>
  <c r="X651" i="2"/>
  <c r="W651" i="2"/>
  <c r="V651" i="2"/>
  <c r="U651" i="2"/>
  <c r="T651" i="2"/>
  <c r="S651" i="2"/>
  <c r="R651" i="2"/>
  <c r="Q651" i="2"/>
  <c r="P651" i="2"/>
  <c r="O651" i="2"/>
  <c r="N651" i="2"/>
  <c r="M651" i="2"/>
  <c r="L651" i="2"/>
  <c r="K651" i="2"/>
  <c r="J651" i="2"/>
  <c r="I651" i="2"/>
  <c r="H651" i="2"/>
  <c r="G651" i="2"/>
  <c r="F651" i="2"/>
  <c r="E651" i="2"/>
  <c r="D651" i="2"/>
  <c r="C651" i="2"/>
  <c r="B651" i="2"/>
  <c r="AL650" i="2"/>
  <c r="AK650" i="2"/>
  <c r="AJ650" i="2"/>
  <c r="AI650" i="2"/>
  <c r="AH650" i="2"/>
  <c r="AG650" i="2"/>
  <c r="AF650" i="2"/>
  <c r="AE650" i="2"/>
  <c r="AD650" i="2"/>
  <c r="AC650" i="2"/>
  <c r="AB650" i="2"/>
  <c r="AA650" i="2"/>
  <c r="Z650" i="2"/>
  <c r="Y650" i="2"/>
  <c r="X650" i="2"/>
  <c r="W650" i="2"/>
  <c r="V650" i="2"/>
  <c r="U650" i="2"/>
  <c r="T650" i="2"/>
  <c r="S650" i="2"/>
  <c r="R650" i="2"/>
  <c r="Q650" i="2"/>
  <c r="P650" i="2"/>
  <c r="O650" i="2"/>
  <c r="N650" i="2"/>
  <c r="M650" i="2"/>
  <c r="L650" i="2"/>
  <c r="K650" i="2"/>
  <c r="J650" i="2"/>
  <c r="I650" i="2"/>
  <c r="H650" i="2"/>
  <c r="G650" i="2"/>
  <c r="F650" i="2"/>
  <c r="E650" i="2"/>
  <c r="D650" i="2"/>
  <c r="C650" i="2"/>
  <c r="B650" i="2"/>
  <c r="AL649" i="2"/>
  <c r="AK649" i="2"/>
  <c r="AJ649" i="2"/>
  <c r="AI649" i="2"/>
  <c r="AH649" i="2"/>
  <c r="AG649" i="2"/>
  <c r="AF649" i="2"/>
  <c r="AE649" i="2"/>
  <c r="AD649" i="2"/>
  <c r="AC649" i="2"/>
  <c r="AB649" i="2"/>
  <c r="AA649" i="2"/>
  <c r="Z649" i="2"/>
  <c r="Y649" i="2"/>
  <c r="X649" i="2"/>
  <c r="W649" i="2"/>
  <c r="V649" i="2"/>
  <c r="U649" i="2"/>
  <c r="T649" i="2"/>
  <c r="S649" i="2"/>
  <c r="R649" i="2"/>
  <c r="Q649" i="2"/>
  <c r="P649" i="2"/>
  <c r="O649" i="2"/>
  <c r="N649" i="2"/>
  <c r="M649" i="2"/>
  <c r="L649" i="2"/>
  <c r="K649" i="2"/>
  <c r="J649" i="2"/>
  <c r="I649" i="2"/>
  <c r="H649" i="2"/>
  <c r="G649" i="2"/>
  <c r="F649" i="2"/>
  <c r="E649" i="2"/>
  <c r="D649" i="2"/>
  <c r="C649" i="2"/>
  <c r="B649" i="2"/>
  <c r="AL647" i="2"/>
  <c r="AK647" i="2"/>
  <c r="AJ647" i="2"/>
  <c r="AI647" i="2"/>
  <c r="AH647" i="2"/>
  <c r="AG647" i="2"/>
  <c r="AF647" i="2"/>
  <c r="AE647" i="2"/>
  <c r="AD647" i="2"/>
  <c r="AC647" i="2"/>
  <c r="AB647" i="2"/>
  <c r="AA647" i="2"/>
  <c r="Z647" i="2"/>
  <c r="Y647" i="2"/>
  <c r="X647" i="2"/>
  <c r="W647" i="2"/>
  <c r="V647" i="2"/>
  <c r="U647" i="2"/>
  <c r="T647" i="2"/>
  <c r="S647" i="2"/>
  <c r="R647" i="2"/>
  <c r="Q647" i="2"/>
  <c r="P647" i="2"/>
  <c r="O647" i="2"/>
  <c r="N647" i="2"/>
  <c r="M647" i="2"/>
  <c r="L647" i="2"/>
  <c r="K647" i="2"/>
  <c r="J647" i="2"/>
  <c r="I647" i="2"/>
  <c r="H647" i="2"/>
  <c r="G647" i="2"/>
  <c r="F647" i="2"/>
  <c r="E647" i="2"/>
  <c r="D647" i="2"/>
  <c r="C647" i="2"/>
  <c r="B647" i="2"/>
  <c r="AL646" i="2"/>
  <c r="AK646" i="2"/>
  <c r="AJ646" i="2"/>
  <c r="AI646" i="2"/>
  <c r="AH646" i="2"/>
  <c r="AG646" i="2"/>
  <c r="AF646" i="2"/>
  <c r="AE646" i="2"/>
  <c r="AD646" i="2"/>
  <c r="AC646" i="2"/>
  <c r="AB646" i="2"/>
  <c r="AA646" i="2"/>
  <c r="Z646" i="2"/>
  <c r="Y646" i="2"/>
  <c r="X646" i="2"/>
  <c r="W646" i="2"/>
  <c r="V646" i="2"/>
  <c r="U646" i="2"/>
  <c r="T646" i="2"/>
  <c r="S646" i="2"/>
  <c r="R646" i="2"/>
  <c r="Q646" i="2"/>
  <c r="P646" i="2"/>
  <c r="O646" i="2"/>
  <c r="N646" i="2"/>
  <c r="M646" i="2"/>
  <c r="L646" i="2"/>
  <c r="K646" i="2"/>
  <c r="J646" i="2"/>
  <c r="I646" i="2"/>
  <c r="H646" i="2"/>
  <c r="G646" i="2"/>
  <c r="F646" i="2"/>
  <c r="E646" i="2"/>
  <c r="D646" i="2"/>
  <c r="C646" i="2"/>
  <c r="B646" i="2"/>
  <c r="AL644" i="2"/>
  <c r="AK644" i="2"/>
  <c r="AJ644" i="2"/>
  <c r="AI644" i="2"/>
  <c r="AH644" i="2"/>
  <c r="AG644" i="2"/>
  <c r="AF644" i="2"/>
  <c r="AE644" i="2"/>
  <c r="AD644" i="2"/>
  <c r="AC644" i="2"/>
  <c r="AB644" i="2"/>
  <c r="AA644" i="2"/>
  <c r="Z644" i="2"/>
  <c r="Y644" i="2"/>
  <c r="X644" i="2"/>
  <c r="W644" i="2"/>
  <c r="V644" i="2"/>
  <c r="U644" i="2"/>
  <c r="T644" i="2"/>
  <c r="S644" i="2"/>
  <c r="R644" i="2"/>
  <c r="Q644" i="2"/>
  <c r="P644" i="2"/>
  <c r="O644" i="2"/>
  <c r="N644" i="2"/>
  <c r="M644" i="2"/>
  <c r="L644" i="2"/>
  <c r="K644" i="2"/>
  <c r="J644" i="2"/>
  <c r="I644" i="2"/>
  <c r="H644" i="2"/>
  <c r="G644" i="2"/>
  <c r="F644" i="2"/>
  <c r="E644" i="2"/>
  <c r="D644" i="2"/>
  <c r="C644" i="2"/>
  <c r="B644" i="2"/>
  <c r="AL643" i="2"/>
  <c r="AK643" i="2"/>
  <c r="AJ643" i="2"/>
  <c r="AI643" i="2"/>
  <c r="AH643" i="2"/>
  <c r="AG643" i="2"/>
  <c r="AF643" i="2"/>
  <c r="AE643" i="2"/>
  <c r="AD643" i="2"/>
  <c r="AC643" i="2"/>
  <c r="AB643" i="2"/>
  <c r="AA643" i="2"/>
  <c r="Z643" i="2"/>
  <c r="Y643" i="2"/>
  <c r="X643" i="2"/>
  <c r="W643" i="2"/>
  <c r="V643" i="2"/>
  <c r="U643" i="2"/>
  <c r="T643" i="2"/>
  <c r="S643" i="2"/>
  <c r="R643" i="2"/>
  <c r="Q643" i="2"/>
  <c r="P643" i="2"/>
  <c r="O643" i="2"/>
  <c r="N643" i="2"/>
  <c r="M643" i="2"/>
  <c r="L643" i="2"/>
  <c r="K643" i="2"/>
  <c r="J643" i="2"/>
  <c r="I643" i="2"/>
  <c r="H643" i="2"/>
  <c r="G643" i="2"/>
  <c r="F643" i="2"/>
  <c r="E643" i="2"/>
  <c r="D643" i="2"/>
  <c r="C643" i="2"/>
  <c r="B643" i="2"/>
  <c r="AL642" i="2"/>
  <c r="AK642" i="2"/>
  <c r="AJ642" i="2"/>
  <c r="AI642" i="2"/>
  <c r="AH642" i="2"/>
  <c r="AG642" i="2"/>
  <c r="AF642" i="2"/>
  <c r="AE642" i="2"/>
  <c r="AD642" i="2"/>
  <c r="AC642" i="2"/>
  <c r="AB642" i="2"/>
  <c r="AA642" i="2"/>
  <c r="Z642" i="2"/>
  <c r="Y642" i="2"/>
  <c r="X642" i="2"/>
  <c r="W642" i="2"/>
  <c r="V642" i="2"/>
  <c r="U642" i="2"/>
  <c r="T642" i="2"/>
  <c r="S642" i="2"/>
  <c r="R642" i="2"/>
  <c r="Q642" i="2"/>
  <c r="P642" i="2"/>
  <c r="O642" i="2"/>
  <c r="N642" i="2"/>
  <c r="M642" i="2"/>
  <c r="L642" i="2"/>
  <c r="K642" i="2"/>
  <c r="J642" i="2"/>
  <c r="I642" i="2"/>
  <c r="H642" i="2"/>
  <c r="G642" i="2"/>
  <c r="F642" i="2"/>
  <c r="E642" i="2"/>
  <c r="D642" i="2"/>
  <c r="C642" i="2"/>
  <c r="B642" i="2"/>
  <c r="AL640" i="2"/>
  <c r="AK640" i="2"/>
  <c r="AJ640" i="2"/>
  <c r="AI640" i="2"/>
  <c r="AH640" i="2"/>
  <c r="AG640" i="2"/>
  <c r="AF640" i="2"/>
  <c r="AE640" i="2"/>
  <c r="AD640" i="2"/>
  <c r="AC640" i="2"/>
  <c r="AB640" i="2"/>
  <c r="AA640" i="2"/>
  <c r="Z640" i="2"/>
  <c r="Y640" i="2"/>
  <c r="X640" i="2"/>
  <c r="W640" i="2"/>
  <c r="V640" i="2"/>
  <c r="U640" i="2"/>
  <c r="T640" i="2"/>
  <c r="S640" i="2"/>
  <c r="R640" i="2"/>
  <c r="Q640" i="2"/>
  <c r="P640" i="2"/>
  <c r="O640" i="2"/>
  <c r="N640" i="2"/>
  <c r="M640" i="2"/>
  <c r="L640" i="2"/>
  <c r="K640" i="2"/>
  <c r="J640" i="2"/>
  <c r="I640" i="2"/>
  <c r="H640" i="2"/>
  <c r="G640" i="2"/>
  <c r="F640" i="2"/>
  <c r="E640" i="2"/>
  <c r="D640" i="2"/>
  <c r="C640" i="2"/>
  <c r="B640" i="2"/>
  <c r="AL639" i="2"/>
  <c r="AK639" i="2"/>
  <c r="AJ639" i="2"/>
  <c r="AI639" i="2"/>
  <c r="AH639" i="2"/>
  <c r="AG639" i="2"/>
  <c r="AF639" i="2"/>
  <c r="AE639" i="2"/>
  <c r="AD639" i="2"/>
  <c r="AC639" i="2"/>
  <c r="AB639" i="2"/>
  <c r="AA639" i="2"/>
  <c r="Z639" i="2"/>
  <c r="Y639" i="2"/>
  <c r="X639" i="2"/>
  <c r="W639" i="2"/>
  <c r="V639" i="2"/>
  <c r="U639" i="2"/>
  <c r="T639" i="2"/>
  <c r="S639" i="2"/>
  <c r="R639" i="2"/>
  <c r="Q639" i="2"/>
  <c r="P639" i="2"/>
  <c r="O639" i="2"/>
  <c r="N639" i="2"/>
  <c r="M639" i="2"/>
  <c r="L639" i="2"/>
  <c r="K639" i="2"/>
  <c r="J639" i="2"/>
  <c r="I639" i="2"/>
  <c r="H639" i="2"/>
  <c r="G639" i="2"/>
  <c r="F639" i="2"/>
  <c r="E639" i="2"/>
  <c r="D639" i="2"/>
  <c r="C639" i="2"/>
  <c r="B639" i="2"/>
  <c r="AL638" i="2"/>
  <c r="AK638" i="2"/>
  <c r="AJ638" i="2"/>
  <c r="AI638" i="2"/>
  <c r="AH638" i="2"/>
  <c r="AG638" i="2"/>
  <c r="AF638" i="2"/>
  <c r="AE638" i="2"/>
  <c r="AD638" i="2"/>
  <c r="AC638" i="2"/>
  <c r="AB638" i="2"/>
  <c r="AA638" i="2"/>
  <c r="Z638" i="2"/>
  <c r="Y638" i="2"/>
  <c r="X638" i="2"/>
  <c r="W638" i="2"/>
  <c r="V638" i="2"/>
  <c r="U638" i="2"/>
  <c r="T638" i="2"/>
  <c r="S638" i="2"/>
  <c r="R638" i="2"/>
  <c r="Q638" i="2"/>
  <c r="P638" i="2"/>
  <c r="O638" i="2"/>
  <c r="N638" i="2"/>
  <c r="M638" i="2"/>
  <c r="L638" i="2"/>
  <c r="K638" i="2"/>
  <c r="J638" i="2"/>
  <c r="I638" i="2"/>
  <c r="H638" i="2"/>
  <c r="G638" i="2"/>
  <c r="F638" i="2"/>
  <c r="E638" i="2"/>
  <c r="D638" i="2"/>
  <c r="C638" i="2"/>
  <c r="B638" i="2"/>
  <c r="AL637" i="2"/>
  <c r="AK637" i="2"/>
  <c r="AJ637" i="2"/>
  <c r="AI637" i="2"/>
  <c r="AH637" i="2"/>
  <c r="AG637" i="2"/>
  <c r="AF637" i="2"/>
  <c r="AE637" i="2"/>
  <c r="AD637" i="2"/>
  <c r="AC637" i="2"/>
  <c r="AB637" i="2"/>
  <c r="AA637" i="2"/>
  <c r="Z637" i="2"/>
  <c r="Y637" i="2"/>
  <c r="X637" i="2"/>
  <c r="W637" i="2"/>
  <c r="V637" i="2"/>
  <c r="U637" i="2"/>
  <c r="T637" i="2"/>
  <c r="S637" i="2"/>
  <c r="R637" i="2"/>
  <c r="Q637" i="2"/>
  <c r="P637" i="2"/>
  <c r="O637" i="2"/>
  <c r="N637" i="2"/>
  <c r="M637" i="2"/>
  <c r="L637" i="2"/>
  <c r="K637" i="2"/>
  <c r="J637" i="2"/>
  <c r="I637" i="2"/>
  <c r="H637" i="2"/>
  <c r="G637" i="2"/>
  <c r="F637" i="2"/>
  <c r="E637" i="2"/>
  <c r="D637" i="2"/>
  <c r="C637" i="2"/>
  <c r="B637" i="2"/>
  <c r="AL636" i="2"/>
  <c r="AK636" i="2"/>
  <c r="AJ636" i="2"/>
  <c r="AI636" i="2"/>
  <c r="AH636" i="2"/>
  <c r="AG636" i="2"/>
  <c r="AF636" i="2"/>
  <c r="AE636" i="2"/>
  <c r="AD636" i="2"/>
  <c r="AC636" i="2"/>
  <c r="AB636" i="2"/>
  <c r="AA636" i="2"/>
  <c r="Z636" i="2"/>
  <c r="Y636" i="2"/>
  <c r="X636" i="2"/>
  <c r="W636" i="2"/>
  <c r="V636" i="2"/>
  <c r="U636" i="2"/>
  <c r="T636" i="2"/>
  <c r="S636" i="2"/>
  <c r="R636" i="2"/>
  <c r="Q636" i="2"/>
  <c r="P636" i="2"/>
  <c r="O636" i="2"/>
  <c r="N636" i="2"/>
  <c r="M636" i="2"/>
  <c r="L636" i="2"/>
  <c r="K636" i="2"/>
  <c r="J636" i="2"/>
  <c r="I636" i="2"/>
  <c r="H636" i="2"/>
  <c r="G636" i="2"/>
  <c r="F636" i="2"/>
  <c r="E636" i="2"/>
  <c r="D636" i="2"/>
  <c r="C636" i="2"/>
  <c r="B636" i="2"/>
  <c r="AL634" i="2"/>
  <c r="AK634" i="2"/>
  <c r="AJ634" i="2"/>
  <c r="AI634" i="2"/>
  <c r="AH634" i="2"/>
  <c r="AG634" i="2"/>
  <c r="AF634" i="2"/>
  <c r="AE634" i="2"/>
  <c r="AD634" i="2"/>
  <c r="AC634" i="2"/>
  <c r="AB634" i="2"/>
  <c r="AA634" i="2"/>
  <c r="Z634" i="2"/>
  <c r="Y634" i="2"/>
  <c r="X634" i="2"/>
  <c r="W634" i="2"/>
  <c r="V634" i="2"/>
  <c r="U634" i="2"/>
  <c r="T634" i="2"/>
  <c r="S634" i="2"/>
  <c r="R634" i="2"/>
  <c r="Q634" i="2"/>
  <c r="P634" i="2"/>
  <c r="O634" i="2"/>
  <c r="N634" i="2"/>
  <c r="M634" i="2"/>
  <c r="L634" i="2"/>
  <c r="K634" i="2"/>
  <c r="J634" i="2"/>
  <c r="I634" i="2"/>
  <c r="H634" i="2"/>
  <c r="G634" i="2"/>
  <c r="F634" i="2"/>
  <c r="E634" i="2"/>
  <c r="D634" i="2"/>
  <c r="C634" i="2"/>
  <c r="B634" i="2"/>
  <c r="AL633" i="2"/>
  <c r="AK633" i="2"/>
  <c r="AJ633" i="2"/>
  <c r="AI633" i="2"/>
  <c r="AH633" i="2"/>
  <c r="AG633" i="2"/>
  <c r="AF633" i="2"/>
  <c r="AE633" i="2"/>
  <c r="AD633" i="2"/>
  <c r="AC633" i="2"/>
  <c r="AB633" i="2"/>
  <c r="AA633" i="2"/>
  <c r="Z633" i="2"/>
  <c r="Y633" i="2"/>
  <c r="X633" i="2"/>
  <c r="W633" i="2"/>
  <c r="V633" i="2"/>
  <c r="U633" i="2"/>
  <c r="T633" i="2"/>
  <c r="S633" i="2"/>
  <c r="R633" i="2"/>
  <c r="Q633" i="2"/>
  <c r="P633" i="2"/>
  <c r="O633" i="2"/>
  <c r="N633" i="2"/>
  <c r="M633" i="2"/>
  <c r="L633" i="2"/>
  <c r="K633" i="2"/>
  <c r="J633" i="2"/>
  <c r="I633" i="2"/>
  <c r="H633" i="2"/>
  <c r="G633" i="2"/>
  <c r="F633" i="2"/>
  <c r="E633" i="2"/>
  <c r="D633" i="2"/>
  <c r="C633" i="2"/>
  <c r="B633" i="2"/>
  <c r="AL623" i="2"/>
  <c r="AK623" i="2"/>
  <c r="AJ623" i="2"/>
  <c r="AI623" i="2"/>
  <c r="AH623" i="2"/>
  <c r="AG623" i="2"/>
  <c r="AF623" i="2"/>
  <c r="AE623" i="2"/>
  <c r="AD623" i="2"/>
  <c r="AC623" i="2"/>
  <c r="AB623" i="2"/>
  <c r="AA623" i="2"/>
  <c r="Z623" i="2"/>
  <c r="Y623" i="2"/>
  <c r="X623" i="2"/>
  <c r="W623" i="2"/>
  <c r="V623" i="2"/>
  <c r="U623" i="2"/>
  <c r="T623" i="2"/>
  <c r="S623" i="2"/>
  <c r="R623" i="2"/>
  <c r="Q623" i="2"/>
  <c r="P623" i="2"/>
  <c r="O623" i="2"/>
  <c r="N623" i="2"/>
  <c r="M623" i="2"/>
  <c r="L623" i="2"/>
  <c r="K623" i="2"/>
  <c r="J623" i="2"/>
  <c r="I623" i="2"/>
  <c r="H623" i="2"/>
  <c r="G623" i="2"/>
  <c r="F623" i="2"/>
  <c r="E623" i="2"/>
  <c r="D623" i="2"/>
  <c r="C623" i="2"/>
  <c r="B623" i="2"/>
  <c r="AL622" i="2"/>
  <c r="AK622" i="2"/>
  <c r="AJ622" i="2"/>
  <c r="AI622" i="2"/>
  <c r="AH622" i="2"/>
  <c r="AG622" i="2"/>
  <c r="AF622" i="2"/>
  <c r="AE622" i="2"/>
  <c r="AD622" i="2"/>
  <c r="AC622" i="2"/>
  <c r="AB622" i="2"/>
  <c r="AA622" i="2"/>
  <c r="Z622" i="2"/>
  <c r="Y622" i="2"/>
  <c r="X622" i="2"/>
  <c r="W622" i="2"/>
  <c r="V622" i="2"/>
  <c r="U622" i="2"/>
  <c r="T622" i="2"/>
  <c r="S622" i="2"/>
  <c r="R622" i="2"/>
  <c r="Q622" i="2"/>
  <c r="P622" i="2"/>
  <c r="O622" i="2"/>
  <c r="N622" i="2"/>
  <c r="M622" i="2"/>
  <c r="L622" i="2"/>
  <c r="K622" i="2"/>
  <c r="J622" i="2"/>
  <c r="I622" i="2"/>
  <c r="H622" i="2"/>
  <c r="G622" i="2"/>
  <c r="F622" i="2"/>
  <c r="E622" i="2"/>
  <c r="D622" i="2"/>
  <c r="C622" i="2"/>
  <c r="B622" i="2"/>
  <c r="AL621" i="2"/>
  <c r="AK621" i="2"/>
  <c r="AJ621" i="2"/>
  <c r="AI621" i="2"/>
  <c r="AH621" i="2"/>
  <c r="AG621" i="2"/>
  <c r="AF621" i="2"/>
  <c r="AE621" i="2"/>
  <c r="AD621" i="2"/>
  <c r="AC621" i="2"/>
  <c r="AB621" i="2"/>
  <c r="AA621" i="2"/>
  <c r="Z621" i="2"/>
  <c r="Y621" i="2"/>
  <c r="X621" i="2"/>
  <c r="W621" i="2"/>
  <c r="V621" i="2"/>
  <c r="U621" i="2"/>
  <c r="T621" i="2"/>
  <c r="S621" i="2"/>
  <c r="R621" i="2"/>
  <c r="Q621" i="2"/>
  <c r="P621" i="2"/>
  <c r="O621" i="2"/>
  <c r="N621" i="2"/>
  <c r="M621" i="2"/>
  <c r="L621" i="2"/>
  <c r="K621" i="2"/>
  <c r="J621" i="2"/>
  <c r="I621" i="2"/>
  <c r="H621" i="2"/>
  <c r="G621" i="2"/>
  <c r="F621" i="2"/>
  <c r="E621" i="2"/>
  <c r="D621" i="2"/>
  <c r="C621" i="2"/>
  <c r="B621" i="2"/>
  <c r="AL619" i="2"/>
  <c r="AK619" i="2"/>
  <c r="AJ619" i="2"/>
  <c r="AI619" i="2"/>
  <c r="AH619" i="2"/>
  <c r="AG619" i="2"/>
  <c r="AF619" i="2"/>
  <c r="AE619" i="2"/>
  <c r="AD619" i="2"/>
  <c r="AC619" i="2"/>
  <c r="AB619" i="2"/>
  <c r="AA619" i="2"/>
  <c r="Z619" i="2"/>
  <c r="Y619" i="2"/>
  <c r="X619" i="2"/>
  <c r="W619" i="2"/>
  <c r="V619" i="2"/>
  <c r="U619" i="2"/>
  <c r="T619" i="2"/>
  <c r="S619" i="2"/>
  <c r="R619" i="2"/>
  <c r="Q619" i="2"/>
  <c r="P619" i="2"/>
  <c r="O619" i="2"/>
  <c r="N619" i="2"/>
  <c r="M619" i="2"/>
  <c r="L619" i="2"/>
  <c r="K619" i="2"/>
  <c r="J619" i="2"/>
  <c r="I619" i="2"/>
  <c r="H619" i="2"/>
  <c r="G619" i="2"/>
  <c r="F619" i="2"/>
  <c r="E619" i="2"/>
  <c r="D619" i="2"/>
  <c r="C619" i="2"/>
  <c r="B619" i="2"/>
  <c r="AL618" i="2"/>
  <c r="AK618" i="2"/>
  <c r="AJ618" i="2"/>
  <c r="AI618" i="2"/>
  <c r="AH618" i="2"/>
  <c r="AG618" i="2"/>
  <c r="AF618" i="2"/>
  <c r="AE618" i="2"/>
  <c r="AD618" i="2"/>
  <c r="AC618" i="2"/>
  <c r="AB618" i="2"/>
  <c r="AA618" i="2"/>
  <c r="Z618" i="2"/>
  <c r="Y618" i="2"/>
  <c r="X618" i="2"/>
  <c r="W618" i="2"/>
  <c r="V618" i="2"/>
  <c r="U618" i="2"/>
  <c r="T618" i="2"/>
  <c r="S618" i="2"/>
  <c r="R618" i="2"/>
  <c r="Q618" i="2"/>
  <c r="P618" i="2"/>
  <c r="O618" i="2"/>
  <c r="N618" i="2"/>
  <c r="M618" i="2"/>
  <c r="L618" i="2"/>
  <c r="K618" i="2"/>
  <c r="J618" i="2"/>
  <c r="I618" i="2"/>
  <c r="H618" i="2"/>
  <c r="G618" i="2"/>
  <c r="F618" i="2"/>
  <c r="E618" i="2"/>
  <c r="D618" i="2"/>
  <c r="C618" i="2"/>
  <c r="B618" i="2"/>
  <c r="AL617" i="2"/>
  <c r="AK617" i="2"/>
  <c r="AJ617" i="2"/>
  <c r="AI617" i="2"/>
  <c r="AH617" i="2"/>
  <c r="AG617" i="2"/>
  <c r="AF617" i="2"/>
  <c r="AE617" i="2"/>
  <c r="AD617" i="2"/>
  <c r="AC617" i="2"/>
  <c r="AB617" i="2"/>
  <c r="AA617" i="2"/>
  <c r="Z617" i="2"/>
  <c r="Y617" i="2"/>
  <c r="X617" i="2"/>
  <c r="W617" i="2"/>
  <c r="V617" i="2"/>
  <c r="U617" i="2"/>
  <c r="T617" i="2"/>
  <c r="S617" i="2"/>
  <c r="R617" i="2"/>
  <c r="Q617" i="2"/>
  <c r="P617" i="2"/>
  <c r="O617" i="2"/>
  <c r="N617" i="2"/>
  <c r="M617" i="2"/>
  <c r="L617" i="2"/>
  <c r="K617" i="2"/>
  <c r="J617" i="2"/>
  <c r="I617" i="2"/>
  <c r="H617" i="2"/>
  <c r="G617" i="2"/>
  <c r="F617" i="2"/>
  <c r="E617" i="2"/>
  <c r="D617" i="2"/>
  <c r="C617" i="2"/>
  <c r="B617" i="2"/>
  <c r="AL616" i="2"/>
  <c r="AK616" i="2"/>
  <c r="AJ616" i="2"/>
  <c r="AI616" i="2"/>
  <c r="AH616" i="2"/>
  <c r="AG616" i="2"/>
  <c r="AF616" i="2"/>
  <c r="AE616" i="2"/>
  <c r="AD616" i="2"/>
  <c r="AC616" i="2"/>
  <c r="AB616" i="2"/>
  <c r="AA616" i="2"/>
  <c r="Z616" i="2"/>
  <c r="Y616" i="2"/>
  <c r="X616" i="2"/>
  <c r="W616" i="2"/>
  <c r="V616" i="2"/>
  <c r="U616" i="2"/>
  <c r="T616" i="2"/>
  <c r="S616" i="2"/>
  <c r="R616" i="2"/>
  <c r="Q616" i="2"/>
  <c r="P616" i="2"/>
  <c r="O616" i="2"/>
  <c r="N616" i="2"/>
  <c r="M616" i="2"/>
  <c r="L616" i="2"/>
  <c r="K616" i="2"/>
  <c r="J616" i="2"/>
  <c r="I616" i="2"/>
  <c r="H616" i="2"/>
  <c r="G616" i="2"/>
  <c r="F616" i="2"/>
  <c r="E616" i="2"/>
  <c r="D616" i="2"/>
  <c r="C616" i="2"/>
  <c r="B616" i="2"/>
  <c r="AL615" i="2"/>
  <c r="AK615" i="2"/>
  <c r="AJ615" i="2"/>
  <c r="AI615" i="2"/>
  <c r="AH615" i="2"/>
  <c r="AG615" i="2"/>
  <c r="AF615" i="2"/>
  <c r="AE615" i="2"/>
  <c r="AD615" i="2"/>
  <c r="AC615" i="2"/>
  <c r="AB615" i="2"/>
  <c r="AA615" i="2"/>
  <c r="Z615" i="2"/>
  <c r="Y615" i="2"/>
  <c r="X615" i="2"/>
  <c r="W615" i="2"/>
  <c r="V615" i="2"/>
  <c r="U615" i="2"/>
  <c r="T615" i="2"/>
  <c r="S615" i="2"/>
  <c r="R615" i="2"/>
  <c r="Q615" i="2"/>
  <c r="P615" i="2"/>
  <c r="O615" i="2"/>
  <c r="N615" i="2"/>
  <c r="M615" i="2"/>
  <c r="L615" i="2"/>
  <c r="K615" i="2"/>
  <c r="J615" i="2"/>
  <c r="I615" i="2"/>
  <c r="H615" i="2"/>
  <c r="G615" i="2"/>
  <c r="F615" i="2"/>
  <c r="E615" i="2"/>
  <c r="D615" i="2"/>
  <c r="C615" i="2"/>
  <c r="B615" i="2"/>
  <c r="AL613" i="2"/>
  <c r="AK613" i="2"/>
  <c r="AJ613" i="2"/>
  <c r="AI613" i="2"/>
  <c r="AH613" i="2"/>
  <c r="AG613" i="2"/>
  <c r="AF613" i="2"/>
  <c r="AE613" i="2"/>
  <c r="AD613" i="2"/>
  <c r="AC613" i="2"/>
  <c r="AB613" i="2"/>
  <c r="AA613" i="2"/>
  <c r="Z613" i="2"/>
  <c r="Y613" i="2"/>
  <c r="X613" i="2"/>
  <c r="W613" i="2"/>
  <c r="V613" i="2"/>
  <c r="U613" i="2"/>
  <c r="T613" i="2"/>
  <c r="S613" i="2"/>
  <c r="R613" i="2"/>
  <c r="Q613" i="2"/>
  <c r="P613" i="2"/>
  <c r="O613" i="2"/>
  <c r="N613" i="2"/>
  <c r="M613" i="2"/>
  <c r="L613" i="2"/>
  <c r="K613" i="2"/>
  <c r="J613" i="2"/>
  <c r="I613" i="2"/>
  <c r="H613" i="2"/>
  <c r="G613" i="2"/>
  <c r="F613" i="2"/>
  <c r="E613" i="2"/>
  <c r="D613" i="2"/>
  <c r="C613" i="2"/>
  <c r="B613" i="2"/>
  <c r="AL612" i="2"/>
  <c r="AK612" i="2"/>
  <c r="AJ612" i="2"/>
  <c r="AI612" i="2"/>
  <c r="AH612" i="2"/>
  <c r="AG612" i="2"/>
  <c r="AF612" i="2"/>
  <c r="AE612" i="2"/>
  <c r="AD612" i="2"/>
  <c r="AC612" i="2"/>
  <c r="AB612" i="2"/>
  <c r="AA612" i="2"/>
  <c r="Z612" i="2"/>
  <c r="Y612" i="2"/>
  <c r="X612" i="2"/>
  <c r="W612" i="2"/>
  <c r="V612" i="2"/>
  <c r="U612" i="2"/>
  <c r="T612" i="2"/>
  <c r="S612" i="2"/>
  <c r="R612" i="2"/>
  <c r="Q612" i="2"/>
  <c r="P612" i="2"/>
  <c r="O612" i="2"/>
  <c r="N612" i="2"/>
  <c r="M612" i="2"/>
  <c r="L612" i="2"/>
  <c r="K612" i="2"/>
  <c r="J612" i="2"/>
  <c r="I612" i="2"/>
  <c r="H612" i="2"/>
  <c r="G612" i="2"/>
  <c r="F612" i="2"/>
  <c r="E612" i="2"/>
  <c r="D612" i="2"/>
  <c r="C612" i="2"/>
  <c r="B612" i="2"/>
  <c r="AL610" i="2"/>
  <c r="AK610" i="2"/>
  <c r="AJ610" i="2"/>
  <c r="AI610" i="2"/>
  <c r="AH610" i="2"/>
  <c r="AG610" i="2"/>
  <c r="AF610" i="2"/>
  <c r="AE610" i="2"/>
  <c r="AD610" i="2"/>
  <c r="AC610" i="2"/>
  <c r="AB610" i="2"/>
  <c r="AA610" i="2"/>
  <c r="Z610" i="2"/>
  <c r="Y610" i="2"/>
  <c r="X610" i="2"/>
  <c r="W610" i="2"/>
  <c r="V610" i="2"/>
  <c r="U610" i="2"/>
  <c r="T610" i="2"/>
  <c r="S610" i="2"/>
  <c r="R610" i="2"/>
  <c r="Q610" i="2"/>
  <c r="P610" i="2"/>
  <c r="O610" i="2"/>
  <c r="N610" i="2"/>
  <c r="M610" i="2"/>
  <c r="L610" i="2"/>
  <c r="K610" i="2"/>
  <c r="J610" i="2"/>
  <c r="I610" i="2"/>
  <c r="H610" i="2"/>
  <c r="G610" i="2"/>
  <c r="F610" i="2"/>
  <c r="E610" i="2"/>
  <c r="D610" i="2"/>
  <c r="C610" i="2"/>
  <c r="B610" i="2"/>
  <c r="AL609" i="2"/>
  <c r="AK609" i="2"/>
  <c r="AJ609" i="2"/>
  <c r="AI609" i="2"/>
  <c r="AH609" i="2"/>
  <c r="AG609" i="2"/>
  <c r="AF609" i="2"/>
  <c r="AE609" i="2"/>
  <c r="AD609" i="2"/>
  <c r="AC609" i="2"/>
  <c r="AB609" i="2"/>
  <c r="AA609" i="2"/>
  <c r="Z609" i="2"/>
  <c r="Y609" i="2"/>
  <c r="X609" i="2"/>
  <c r="W609" i="2"/>
  <c r="V609" i="2"/>
  <c r="U609" i="2"/>
  <c r="T609" i="2"/>
  <c r="S609" i="2"/>
  <c r="R609" i="2"/>
  <c r="Q609" i="2"/>
  <c r="P609" i="2"/>
  <c r="O609" i="2"/>
  <c r="N609" i="2"/>
  <c r="M609" i="2"/>
  <c r="L609" i="2"/>
  <c r="K609" i="2"/>
  <c r="J609" i="2"/>
  <c r="I609" i="2"/>
  <c r="H609" i="2"/>
  <c r="G609" i="2"/>
  <c r="F609" i="2"/>
  <c r="E609" i="2"/>
  <c r="D609" i="2"/>
  <c r="C609" i="2"/>
  <c r="B609" i="2"/>
  <c r="AL608" i="2"/>
  <c r="AK608" i="2"/>
  <c r="AJ608" i="2"/>
  <c r="AI608" i="2"/>
  <c r="AH608" i="2"/>
  <c r="AG608" i="2"/>
  <c r="AF608" i="2"/>
  <c r="AE608" i="2"/>
  <c r="AD608" i="2"/>
  <c r="AC608" i="2"/>
  <c r="AB608" i="2"/>
  <c r="AA608" i="2"/>
  <c r="Z608" i="2"/>
  <c r="Y608" i="2"/>
  <c r="X608" i="2"/>
  <c r="W608" i="2"/>
  <c r="V608" i="2"/>
  <c r="U608" i="2"/>
  <c r="T608" i="2"/>
  <c r="S608" i="2"/>
  <c r="R608" i="2"/>
  <c r="Q608" i="2"/>
  <c r="P608" i="2"/>
  <c r="O608" i="2"/>
  <c r="N608" i="2"/>
  <c r="M608" i="2"/>
  <c r="L608" i="2"/>
  <c r="K608" i="2"/>
  <c r="J608" i="2"/>
  <c r="I608" i="2"/>
  <c r="H608" i="2"/>
  <c r="G608" i="2"/>
  <c r="F608" i="2"/>
  <c r="E608" i="2"/>
  <c r="D608" i="2"/>
  <c r="C608" i="2"/>
  <c r="B608" i="2"/>
  <c r="AL606" i="2"/>
  <c r="AK606" i="2"/>
  <c r="AJ606" i="2"/>
  <c r="AI606" i="2"/>
  <c r="AH606" i="2"/>
  <c r="AG606" i="2"/>
  <c r="AF606" i="2"/>
  <c r="AE606" i="2"/>
  <c r="AD606" i="2"/>
  <c r="AC606" i="2"/>
  <c r="AB606" i="2"/>
  <c r="AA606" i="2"/>
  <c r="Z606" i="2"/>
  <c r="Y606" i="2"/>
  <c r="X606" i="2"/>
  <c r="W606" i="2"/>
  <c r="V606" i="2"/>
  <c r="U606" i="2"/>
  <c r="T606" i="2"/>
  <c r="S606" i="2"/>
  <c r="R606" i="2"/>
  <c r="Q606" i="2"/>
  <c r="P606" i="2"/>
  <c r="O606" i="2"/>
  <c r="N606" i="2"/>
  <c r="M606" i="2"/>
  <c r="L606" i="2"/>
  <c r="K606" i="2"/>
  <c r="J606" i="2"/>
  <c r="I606" i="2"/>
  <c r="H606" i="2"/>
  <c r="G606" i="2"/>
  <c r="F606" i="2"/>
  <c r="E606" i="2"/>
  <c r="D606" i="2"/>
  <c r="C606" i="2"/>
  <c r="B606" i="2"/>
  <c r="AL605" i="2"/>
  <c r="AK605" i="2"/>
  <c r="AJ605" i="2"/>
  <c r="AI605" i="2"/>
  <c r="AH605" i="2"/>
  <c r="AG605" i="2"/>
  <c r="AF605" i="2"/>
  <c r="AE605" i="2"/>
  <c r="AD605" i="2"/>
  <c r="AC605" i="2"/>
  <c r="AB605" i="2"/>
  <c r="AA605" i="2"/>
  <c r="Z605" i="2"/>
  <c r="Y605" i="2"/>
  <c r="X605" i="2"/>
  <c r="W605" i="2"/>
  <c r="V605" i="2"/>
  <c r="U605" i="2"/>
  <c r="T605" i="2"/>
  <c r="S605" i="2"/>
  <c r="R605" i="2"/>
  <c r="Q605" i="2"/>
  <c r="P605" i="2"/>
  <c r="O605" i="2"/>
  <c r="N605" i="2"/>
  <c r="M605" i="2"/>
  <c r="L605" i="2"/>
  <c r="K605" i="2"/>
  <c r="J605" i="2"/>
  <c r="I605" i="2"/>
  <c r="H605" i="2"/>
  <c r="G605" i="2"/>
  <c r="F605" i="2"/>
  <c r="E605" i="2"/>
  <c r="D605" i="2"/>
  <c r="C605" i="2"/>
  <c r="B605" i="2"/>
  <c r="AL604" i="2"/>
  <c r="AK604" i="2"/>
  <c r="AJ604" i="2"/>
  <c r="AI604" i="2"/>
  <c r="AH604" i="2"/>
  <c r="AG604" i="2"/>
  <c r="AF604" i="2"/>
  <c r="AE604" i="2"/>
  <c r="AD604" i="2"/>
  <c r="AC604" i="2"/>
  <c r="AB604" i="2"/>
  <c r="AA604" i="2"/>
  <c r="Z604" i="2"/>
  <c r="Y604" i="2"/>
  <c r="X604" i="2"/>
  <c r="W604" i="2"/>
  <c r="V604" i="2"/>
  <c r="U604" i="2"/>
  <c r="T604" i="2"/>
  <c r="S604" i="2"/>
  <c r="R604" i="2"/>
  <c r="Q604" i="2"/>
  <c r="P604" i="2"/>
  <c r="O604" i="2"/>
  <c r="N604" i="2"/>
  <c r="M604" i="2"/>
  <c r="L604" i="2"/>
  <c r="K604" i="2"/>
  <c r="J604" i="2"/>
  <c r="I604" i="2"/>
  <c r="H604" i="2"/>
  <c r="G604" i="2"/>
  <c r="F604" i="2"/>
  <c r="E604" i="2"/>
  <c r="D604" i="2"/>
  <c r="C604" i="2"/>
  <c r="B604" i="2"/>
  <c r="AL603" i="2"/>
  <c r="AK603" i="2"/>
  <c r="AJ603" i="2"/>
  <c r="AI603" i="2"/>
  <c r="AH603" i="2"/>
  <c r="AG603" i="2"/>
  <c r="AF603" i="2"/>
  <c r="AE603" i="2"/>
  <c r="AD603" i="2"/>
  <c r="AC603" i="2"/>
  <c r="AB603" i="2"/>
  <c r="AA603" i="2"/>
  <c r="Z603" i="2"/>
  <c r="Y603" i="2"/>
  <c r="X603" i="2"/>
  <c r="W603" i="2"/>
  <c r="V603" i="2"/>
  <c r="U603" i="2"/>
  <c r="T603" i="2"/>
  <c r="S603" i="2"/>
  <c r="R603" i="2"/>
  <c r="Q603" i="2"/>
  <c r="P603" i="2"/>
  <c r="O603" i="2"/>
  <c r="N603" i="2"/>
  <c r="M603" i="2"/>
  <c r="L603" i="2"/>
  <c r="K603" i="2"/>
  <c r="J603" i="2"/>
  <c r="I603" i="2"/>
  <c r="H603" i="2"/>
  <c r="G603" i="2"/>
  <c r="F603" i="2"/>
  <c r="E603" i="2"/>
  <c r="D603" i="2"/>
  <c r="C603" i="2"/>
  <c r="B603" i="2"/>
  <c r="AL602" i="2"/>
  <c r="AK602" i="2"/>
  <c r="AJ602" i="2"/>
  <c r="AI602" i="2"/>
  <c r="AH602" i="2"/>
  <c r="AG602" i="2"/>
  <c r="AF602" i="2"/>
  <c r="AE602" i="2"/>
  <c r="AD602" i="2"/>
  <c r="AC602" i="2"/>
  <c r="AB602" i="2"/>
  <c r="AA602" i="2"/>
  <c r="Z602" i="2"/>
  <c r="Y602" i="2"/>
  <c r="X602" i="2"/>
  <c r="W602" i="2"/>
  <c r="V602" i="2"/>
  <c r="U602" i="2"/>
  <c r="T602" i="2"/>
  <c r="S602" i="2"/>
  <c r="R602" i="2"/>
  <c r="Q602" i="2"/>
  <c r="P602" i="2"/>
  <c r="O602" i="2"/>
  <c r="N602" i="2"/>
  <c r="M602" i="2"/>
  <c r="L602" i="2"/>
  <c r="K602" i="2"/>
  <c r="J602" i="2"/>
  <c r="I602" i="2"/>
  <c r="H602" i="2"/>
  <c r="G602" i="2"/>
  <c r="F602" i="2"/>
  <c r="E602" i="2"/>
  <c r="D602" i="2"/>
  <c r="C602" i="2"/>
  <c r="B602" i="2"/>
  <c r="AL600" i="2"/>
  <c r="AK600" i="2"/>
  <c r="AJ600" i="2"/>
  <c r="AI600" i="2"/>
  <c r="AH600" i="2"/>
  <c r="AG600" i="2"/>
  <c r="AF600" i="2"/>
  <c r="AE600" i="2"/>
  <c r="AD600" i="2"/>
  <c r="AC600" i="2"/>
  <c r="AB600" i="2"/>
  <c r="AA600" i="2"/>
  <c r="Z600" i="2"/>
  <c r="Y600" i="2"/>
  <c r="X600" i="2"/>
  <c r="W600" i="2"/>
  <c r="V600" i="2"/>
  <c r="U600" i="2"/>
  <c r="T600" i="2"/>
  <c r="S600" i="2"/>
  <c r="R600" i="2"/>
  <c r="Q600" i="2"/>
  <c r="P600" i="2"/>
  <c r="O600" i="2"/>
  <c r="N600" i="2"/>
  <c r="M600" i="2"/>
  <c r="L600" i="2"/>
  <c r="K600" i="2"/>
  <c r="J600" i="2"/>
  <c r="I600" i="2"/>
  <c r="H600" i="2"/>
  <c r="G600" i="2"/>
  <c r="F600" i="2"/>
  <c r="E600" i="2"/>
  <c r="D600" i="2"/>
  <c r="C600" i="2"/>
  <c r="B600" i="2"/>
  <c r="AL599" i="2"/>
  <c r="AK599" i="2"/>
  <c r="AJ599" i="2"/>
  <c r="AI599" i="2"/>
  <c r="AH599" i="2"/>
  <c r="AG599" i="2"/>
  <c r="AF599" i="2"/>
  <c r="AE599" i="2"/>
  <c r="AD599" i="2"/>
  <c r="AC599" i="2"/>
  <c r="AB599" i="2"/>
  <c r="AA599" i="2"/>
  <c r="Z599" i="2"/>
  <c r="Y599" i="2"/>
  <c r="X599" i="2"/>
  <c r="W599" i="2"/>
  <c r="V599" i="2"/>
  <c r="U599" i="2"/>
  <c r="T599" i="2"/>
  <c r="S599" i="2"/>
  <c r="R599" i="2"/>
  <c r="Q599" i="2"/>
  <c r="P599" i="2"/>
  <c r="O599" i="2"/>
  <c r="N599" i="2"/>
  <c r="M599" i="2"/>
  <c r="L599" i="2"/>
  <c r="K599" i="2"/>
  <c r="J599" i="2"/>
  <c r="I599" i="2"/>
  <c r="H599" i="2"/>
  <c r="G599" i="2"/>
  <c r="F599" i="2"/>
  <c r="E599" i="2"/>
  <c r="D599" i="2"/>
  <c r="C599" i="2"/>
  <c r="AL411" i="2"/>
  <c r="AK411" i="2"/>
  <c r="AJ411" i="2"/>
  <c r="AI411" i="2"/>
  <c r="AH411" i="2"/>
  <c r="AG411" i="2"/>
  <c r="AF411" i="2"/>
  <c r="AE411" i="2"/>
  <c r="AD411" i="2"/>
  <c r="AC411" i="2"/>
  <c r="AB411" i="2"/>
  <c r="AA411" i="2"/>
  <c r="Z411" i="2"/>
  <c r="Y411" i="2"/>
  <c r="X411" i="2"/>
  <c r="W411" i="2"/>
  <c r="V411" i="2"/>
  <c r="U411" i="2"/>
  <c r="T411" i="2"/>
  <c r="S411" i="2"/>
  <c r="R411" i="2"/>
  <c r="Q411" i="2"/>
  <c r="P411" i="2"/>
  <c r="O411" i="2"/>
  <c r="N411" i="2"/>
  <c r="M411" i="2"/>
  <c r="L411" i="2"/>
  <c r="K411" i="2"/>
  <c r="J411" i="2"/>
  <c r="I411" i="2"/>
  <c r="H411" i="2"/>
  <c r="G411" i="2"/>
  <c r="F411" i="2"/>
  <c r="E411" i="2"/>
  <c r="D411" i="2"/>
  <c r="C411" i="2"/>
  <c r="AL410" i="2"/>
  <c r="AK410" i="2"/>
  <c r="AJ410" i="2"/>
  <c r="AI410" i="2"/>
  <c r="AH410" i="2"/>
  <c r="AG410" i="2"/>
  <c r="AF410" i="2"/>
  <c r="AE410" i="2"/>
  <c r="AD410" i="2"/>
  <c r="AC410" i="2"/>
  <c r="AB410" i="2"/>
  <c r="AA410" i="2"/>
  <c r="Z410" i="2"/>
  <c r="Y410" i="2"/>
  <c r="X410" i="2"/>
  <c r="W410" i="2"/>
  <c r="V410" i="2"/>
  <c r="U410" i="2"/>
  <c r="T410" i="2"/>
  <c r="S410" i="2"/>
  <c r="R410" i="2"/>
  <c r="Q410" i="2"/>
  <c r="P410" i="2"/>
  <c r="O410" i="2"/>
  <c r="N410" i="2"/>
  <c r="M410" i="2"/>
  <c r="L410" i="2"/>
  <c r="K410" i="2"/>
  <c r="J410" i="2"/>
  <c r="I410" i="2"/>
  <c r="H410" i="2"/>
  <c r="G410" i="2"/>
  <c r="F410" i="2"/>
  <c r="E410" i="2"/>
  <c r="D410" i="2"/>
  <c r="C410" i="2"/>
  <c r="AL409" i="2"/>
  <c r="AK409" i="2"/>
  <c r="AJ409" i="2"/>
  <c r="AI409" i="2"/>
  <c r="AH409" i="2"/>
  <c r="AG409" i="2"/>
  <c r="AF409" i="2"/>
  <c r="AE409" i="2"/>
  <c r="AD409" i="2"/>
  <c r="AC409" i="2"/>
  <c r="AB409" i="2"/>
  <c r="AA409" i="2"/>
  <c r="Z409" i="2"/>
  <c r="Y409" i="2"/>
  <c r="X409" i="2"/>
  <c r="W409" i="2"/>
  <c r="V409" i="2"/>
  <c r="U409" i="2"/>
  <c r="T409" i="2"/>
  <c r="S409" i="2"/>
  <c r="R409" i="2"/>
  <c r="Q409" i="2"/>
  <c r="P409" i="2"/>
  <c r="O409" i="2"/>
  <c r="N409" i="2"/>
  <c r="M409" i="2"/>
  <c r="L409" i="2"/>
  <c r="K409" i="2"/>
  <c r="J409" i="2"/>
  <c r="I409" i="2"/>
  <c r="H409" i="2"/>
  <c r="G409" i="2"/>
  <c r="F409" i="2"/>
  <c r="E409" i="2"/>
  <c r="D409" i="2"/>
  <c r="C409" i="2"/>
  <c r="AL408" i="2"/>
  <c r="AK408" i="2"/>
  <c r="AJ408" i="2"/>
  <c r="AI408" i="2"/>
  <c r="AH408" i="2"/>
  <c r="AG408" i="2"/>
  <c r="AF408" i="2"/>
  <c r="AE408" i="2"/>
  <c r="AD408" i="2"/>
  <c r="AC408" i="2"/>
  <c r="AB408" i="2"/>
  <c r="AA408" i="2"/>
  <c r="Z408" i="2"/>
  <c r="Y408" i="2"/>
  <c r="X408" i="2"/>
  <c r="W408" i="2"/>
  <c r="V408" i="2"/>
  <c r="U408" i="2"/>
  <c r="T408" i="2"/>
  <c r="S408" i="2"/>
  <c r="R408" i="2"/>
  <c r="Q408" i="2"/>
  <c r="P408" i="2"/>
  <c r="O408" i="2"/>
  <c r="N408" i="2"/>
  <c r="M408" i="2"/>
  <c r="L408" i="2"/>
  <c r="K408" i="2"/>
  <c r="J408" i="2"/>
  <c r="I408" i="2"/>
  <c r="H408" i="2"/>
  <c r="G408" i="2"/>
  <c r="F408" i="2"/>
  <c r="E408" i="2"/>
  <c r="D408" i="2"/>
  <c r="C408" i="2"/>
  <c r="AL407" i="2"/>
  <c r="AK407" i="2"/>
  <c r="AJ407" i="2"/>
  <c r="AI407" i="2"/>
  <c r="AH407" i="2"/>
  <c r="AG407" i="2"/>
  <c r="AF407" i="2"/>
  <c r="AE407" i="2"/>
  <c r="AD407" i="2"/>
  <c r="AC407" i="2"/>
  <c r="AB407" i="2"/>
  <c r="AA407" i="2"/>
  <c r="Z407" i="2"/>
  <c r="Y407" i="2"/>
  <c r="X407" i="2"/>
  <c r="W407" i="2"/>
  <c r="V407" i="2"/>
  <c r="U407" i="2"/>
  <c r="T407" i="2"/>
  <c r="S407" i="2"/>
  <c r="R407" i="2"/>
  <c r="Q407" i="2"/>
  <c r="P407" i="2"/>
  <c r="O407" i="2"/>
  <c r="N407" i="2"/>
  <c r="M407" i="2"/>
  <c r="L407" i="2"/>
  <c r="K407" i="2"/>
  <c r="J407" i="2"/>
  <c r="I407" i="2"/>
  <c r="H407" i="2"/>
  <c r="G407" i="2"/>
  <c r="F407" i="2"/>
  <c r="E407" i="2"/>
  <c r="D407" i="2"/>
  <c r="C407" i="2"/>
  <c r="AL406" i="2"/>
  <c r="AK406" i="2"/>
  <c r="AJ406" i="2"/>
  <c r="AI406" i="2"/>
  <c r="AH406" i="2"/>
  <c r="AG406" i="2"/>
  <c r="AF406" i="2"/>
  <c r="AE406" i="2"/>
  <c r="AD406" i="2"/>
  <c r="AC406" i="2"/>
  <c r="AB406" i="2"/>
  <c r="AA406" i="2"/>
  <c r="Z406" i="2"/>
  <c r="Y406" i="2"/>
  <c r="X406" i="2"/>
  <c r="W406" i="2"/>
  <c r="V406" i="2"/>
  <c r="U406" i="2"/>
  <c r="T406" i="2"/>
  <c r="S406" i="2"/>
  <c r="R406" i="2"/>
  <c r="Q406" i="2"/>
  <c r="P406" i="2"/>
  <c r="O406" i="2"/>
  <c r="N406" i="2"/>
  <c r="M406" i="2"/>
  <c r="L406" i="2"/>
  <c r="K406" i="2"/>
  <c r="J406" i="2"/>
  <c r="I406" i="2"/>
  <c r="H406" i="2"/>
  <c r="G406" i="2"/>
  <c r="F406" i="2"/>
  <c r="E406" i="2"/>
  <c r="D406" i="2"/>
  <c r="C406" i="2"/>
  <c r="AL405" i="2"/>
  <c r="AK405" i="2"/>
  <c r="AJ405" i="2"/>
  <c r="AI405" i="2"/>
  <c r="AH405" i="2"/>
  <c r="AG405" i="2"/>
  <c r="AF405" i="2"/>
  <c r="AE405" i="2"/>
  <c r="AD405" i="2"/>
  <c r="AC405" i="2"/>
  <c r="AB405" i="2"/>
  <c r="AA405" i="2"/>
  <c r="Z405" i="2"/>
  <c r="Y405" i="2"/>
  <c r="X405" i="2"/>
  <c r="W405" i="2"/>
  <c r="V405" i="2"/>
  <c r="U405" i="2"/>
  <c r="T405" i="2"/>
  <c r="S405" i="2"/>
  <c r="R405" i="2"/>
  <c r="Q405" i="2"/>
  <c r="P405" i="2"/>
  <c r="O405" i="2"/>
  <c r="N405" i="2"/>
  <c r="M405" i="2"/>
  <c r="L405" i="2"/>
  <c r="K405" i="2"/>
  <c r="J405" i="2"/>
  <c r="I405" i="2"/>
  <c r="H405" i="2"/>
  <c r="G405" i="2"/>
  <c r="F405" i="2"/>
  <c r="E405" i="2"/>
  <c r="D405" i="2"/>
  <c r="C405" i="2"/>
  <c r="AL402" i="2"/>
  <c r="AK402" i="2"/>
  <c r="AJ402" i="2"/>
  <c r="AI402" i="2"/>
  <c r="AH402" i="2"/>
  <c r="AG402" i="2"/>
  <c r="AF402" i="2"/>
  <c r="AE402" i="2"/>
  <c r="AD402" i="2"/>
  <c r="AC402" i="2"/>
  <c r="AB402" i="2"/>
  <c r="AA402" i="2"/>
  <c r="Z402" i="2"/>
  <c r="Y402" i="2"/>
  <c r="X402" i="2"/>
  <c r="W402" i="2"/>
  <c r="V402" i="2"/>
  <c r="U402" i="2"/>
  <c r="T402" i="2"/>
  <c r="S402" i="2"/>
  <c r="R402" i="2"/>
  <c r="Q402" i="2"/>
  <c r="P402" i="2"/>
  <c r="O402" i="2"/>
  <c r="N402" i="2"/>
  <c r="M402" i="2"/>
  <c r="L402" i="2"/>
  <c r="K402" i="2"/>
  <c r="J402" i="2"/>
  <c r="I402" i="2"/>
  <c r="H402" i="2"/>
  <c r="G402" i="2"/>
  <c r="F402" i="2"/>
  <c r="E402" i="2"/>
  <c r="D402" i="2"/>
  <c r="C402" i="2"/>
  <c r="AL401" i="2"/>
  <c r="AK401" i="2"/>
  <c r="AJ401" i="2"/>
  <c r="AI401" i="2"/>
  <c r="AH401" i="2"/>
  <c r="AG401" i="2"/>
  <c r="AF401" i="2"/>
  <c r="AE401" i="2"/>
  <c r="AD401" i="2"/>
  <c r="AC401" i="2"/>
  <c r="AB401" i="2"/>
  <c r="AA401" i="2"/>
  <c r="Z401" i="2"/>
  <c r="Y401" i="2"/>
  <c r="X401" i="2"/>
  <c r="W401" i="2"/>
  <c r="V401" i="2"/>
  <c r="U401" i="2"/>
  <c r="T401" i="2"/>
  <c r="S401" i="2"/>
  <c r="R401" i="2"/>
  <c r="Q401" i="2"/>
  <c r="P401" i="2"/>
  <c r="O401" i="2"/>
  <c r="N401" i="2"/>
  <c r="M401" i="2"/>
  <c r="L401" i="2"/>
  <c r="K401" i="2"/>
  <c r="J401" i="2"/>
  <c r="I401" i="2"/>
  <c r="H401" i="2"/>
  <c r="G401" i="2"/>
  <c r="F401" i="2"/>
  <c r="E401" i="2"/>
  <c r="D401" i="2"/>
  <c r="C401" i="2"/>
  <c r="AL400" i="2"/>
  <c r="AK400" i="2"/>
  <c r="AJ400" i="2"/>
  <c r="AI400" i="2"/>
  <c r="AH400" i="2"/>
  <c r="AG400" i="2"/>
  <c r="AF400" i="2"/>
  <c r="AE400" i="2"/>
  <c r="AD400" i="2"/>
  <c r="AC400" i="2"/>
  <c r="AB400" i="2"/>
  <c r="AA400" i="2"/>
  <c r="Z400" i="2"/>
  <c r="Y400" i="2"/>
  <c r="X400" i="2"/>
  <c r="W400" i="2"/>
  <c r="V400" i="2"/>
  <c r="U400" i="2"/>
  <c r="T400" i="2"/>
  <c r="S400" i="2"/>
  <c r="R400" i="2"/>
  <c r="Q400" i="2"/>
  <c r="P400" i="2"/>
  <c r="O400" i="2"/>
  <c r="N400" i="2"/>
  <c r="M400" i="2"/>
  <c r="L400" i="2"/>
  <c r="K400" i="2"/>
  <c r="J400" i="2"/>
  <c r="I400" i="2"/>
  <c r="H400" i="2"/>
  <c r="G400" i="2"/>
  <c r="F400" i="2"/>
  <c r="E400" i="2"/>
  <c r="D400" i="2"/>
  <c r="C400" i="2"/>
  <c r="AL399" i="2"/>
  <c r="AK399" i="2"/>
  <c r="AJ399" i="2"/>
  <c r="AI399" i="2"/>
  <c r="AH399" i="2"/>
  <c r="AG399" i="2"/>
  <c r="AF399" i="2"/>
  <c r="AE399" i="2"/>
  <c r="AD399" i="2"/>
  <c r="AC399" i="2"/>
  <c r="AB399" i="2"/>
  <c r="AA399" i="2"/>
  <c r="Z399" i="2"/>
  <c r="Y399" i="2"/>
  <c r="X399" i="2"/>
  <c r="W399" i="2"/>
  <c r="V399" i="2"/>
  <c r="U399" i="2"/>
  <c r="T399" i="2"/>
  <c r="S399" i="2"/>
  <c r="R399" i="2"/>
  <c r="Q399" i="2"/>
  <c r="P399" i="2"/>
  <c r="O399" i="2"/>
  <c r="N399" i="2"/>
  <c r="M399" i="2"/>
  <c r="L399" i="2"/>
  <c r="K399" i="2"/>
  <c r="J399" i="2"/>
  <c r="I399" i="2"/>
  <c r="H399" i="2"/>
  <c r="G399" i="2"/>
  <c r="F399" i="2"/>
  <c r="E399" i="2"/>
  <c r="D399" i="2"/>
  <c r="C399" i="2"/>
  <c r="AL398" i="2"/>
  <c r="AK398" i="2"/>
  <c r="AJ398" i="2"/>
  <c r="AI398" i="2"/>
  <c r="AH398" i="2"/>
  <c r="AG398" i="2"/>
  <c r="AF398" i="2"/>
  <c r="AE398" i="2"/>
  <c r="AD398" i="2"/>
  <c r="AC398" i="2"/>
  <c r="AB398" i="2"/>
  <c r="AA398" i="2"/>
  <c r="Z398" i="2"/>
  <c r="Y398" i="2"/>
  <c r="X398" i="2"/>
  <c r="W398" i="2"/>
  <c r="V398" i="2"/>
  <c r="U398" i="2"/>
  <c r="T398" i="2"/>
  <c r="S398" i="2"/>
  <c r="R398" i="2"/>
  <c r="Q398" i="2"/>
  <c r="P398" i="2"/>
  <c r="O398" i="2"/>
  <c r="N398" i="2"/>
  <c r="M398" i="2"/>
  <c r="L398" i="2"/>
  <c r="K398" i="2"/>
  <c r="J398" i="2"/>
  <c r="I398" i="2"/>
  <c r="H398" i="2"/>
  <c r="G398" i="2"/>
  <c r="F398" i="2"/>
  <c r="E398" i="2"/>
  <c r="D398" i="2"/>
  <c r="C398" i="2"/>
  <c r="AL397" i="2"/>
  <c r="AK397" i="2"/>
  <c r="AJ397" i="2"/>
  <c r="AI397" i="2"/>
  <c r="AH397" i="2"/>
  <c r="AG397" i="2"/>
  <c r="AF397" i="2"/>
  <c r="AE397" i="2"/>
  <c r="AD397" i="2"/>
  <c r="AC397" i="2"/>
  <c r="AB397" i="2"/>
  <c r="AA397" i="2"/>
  <c r="Z397" i="2"/>
  <c r="Y397" i="2"/>
  <c r="X397" i="2"/>
  <c r="W397" i="2"/>
  <c r="V397" i="2"/>
  <c r="U397" i="2"/>
  <c r="T397" i="2"/>
  <c r="S397" i="2"/>
  <c r="R397" i="2"/>
  <c r="Q397" i="2"/>
  <c r="P397" i="2"/>
  <c r="O397" i="2"/>
  <c r="N397" i="2"/>
  <c r="M397" i="2"/>
  <c r="L397" i="2"/>
  <c r="K397" i="2"/>
  <c r="J397" i="2"/>
  <c r="I397" i="2"/>
  <c r="H397" i="2"/>
  <c r="G397" i="2"/>
  <c r="F397" i="2"/>
  <c r="E397" i="2"/>
  <c r="D397" i="2"/>
  <c r="C397" i="2"/>
  <c r="AL396" i="2"/>
  <c r="AK396" i="2"/>
  <c r="AJ396" i="2"/>
  <c r="AI396" i="2"/>
  <c r="AH396" i="2"/>
  <c r="AG396" i="2"/>
  <c r="AF396" i="2"/>
  <c r="AE396" i="2"/>
  <c r="AD396" i="2"/>
  <c r="AC396" i="2"/>
  <c r="AB396" i="2"/>
  <c r="AA396" i="2"/>
  <c r="Z396" i="2"/>
  <c r="Y396" i="2"/>
  <c r="X396" i="2"/>
  <c r="W396" i="2"/>
  <c r="V396" i="2"/>
  <c r="U396" i="2"/>
  <c r="T396" i="2"/>
  <c r="S396" i="2"/>
  <c r="R396" i="2"/>
  <c r="Q396" i="2"/>
  <c r="P396" i="2"/>
  <c r="O396" i="2"/>
  <c r="N396" i="2"/>
  <c r="M396" i="2"/>
  <c r="L396" i="2"/>
  <c r="K396" i="2"/>
  <c r="J396" i="2"/>
  <c r="I396" i="2"/>
  <c r="H396" i="2"/>
  <c r="G396" i="2"/>
  <c r="F396" i="2"/>
  <c r="E396" i="2"/>
  <c r="D396" i="2"/>
  <c r="C396" i="2"/>
  <c r="AL331" i="2"/>
  <c r="AK331" i="2"/>
  <c r="AJ331" i="2"/>
  <c r="AI331" i="2"/>
  <c r="AH331" i="2"/>
  <c r="AG331" i="2"/>
  <c r="AF331" i="2"/>
  <c r="AE331" i="2"/>
  <c r="AD331" i="2"/>
  <c r="AC331" i="2"/>
  <c r="AB331" i="2"/>
  <c r="AA331" i="2"/>
  <c r="Z331" i="2"/>
  <c r="Y331" i="2"/>
  <c r="X331" i="2"/>
  <c r="W331" i="2"/>
  <c r="V331" i="2"/>
  <c r="U331" i="2"/>
  <c r="T331" i="2"/>
  <c r="S331" i="2"/>
  <c r="R331" i="2"/>
  <c r="Q331" i="2"/>
  <c r="P331" i="2"/>
  <c r="O331" i="2"/>
  <c r="N331" i="2"/>
  <c r="M331" i="2"/>
  <c r="L331" i="2"/>
  <c r="K331" i="2"/>
  <c r="J331" i="2"/>
  <c r="I331" i="2"/>
  <c r="H331" i="2"/>
  <c r="G331" i="2"/>
  <c r="F331" i="2"/>
  <c r="E331" i="2"/>
  <c r="D331" i="2"/>
  <c r="C331" i="2"/>
  <c r="AL330" i="2"/>
  <c r="AK330" i="2"/>
  <c r="AJ330" i="2"/>
  <c r="AI330" i="2"/>
  <c r="AH330" i="2"/>
  <c r="AG330" i="2"/>
  <c r="AF330" i="2"/>
  <c r="AE330" i="2"/>
  <c r="AD330" i="2"/>
  <c r="AC330" i="2"/>
  <c r="AB330" i="2"/>
  <c r="AA330" i="2"/>
  <c r="Z330" i="2"/>
  <c r="Y330" i="2"/>
  <c r="X330" i="2"/>
  <c r="W330" i="2"/>
  <c r="V330" i="2"/>
  <c r="U330" i="2"/>
  <c r="T330" i="2"/>
  <c r="S330" i="2"/>
  <c r="R330" i="2"/>
  <c r="Q330" i="2"/>
  <c r="P330" i="2"/>
  <c r="O330" i="2"/>
  <c r="N330" i="2"/>
  <c r="M330" i="2"/>
  <c r="L330" i="2"/>
  <c r="K330" i="2"/>
  <c r="J330" i="2"/>
  <c r="I330" i="2"/>
  <c r="H330" i="2"/>
  <c r="G330" i="2"/>
  <c r="F330" i="2"/>
  <c r="E330" i="2"/>
  <c r="D330" i="2"/>
  <c r="C330" i="2"/>
  <c r="AL329" i="2"/>
  <c r="AK329" i="2"/>
  <c r="AJ329" i="2"/>
  <c r="AI329" i="2"/>
  <c r="AH329" i="2"/>
  <c r="AG329" i="2"/>
  <c r="AF329" i="2"/>
  <c r="AE329" i="2"/>
  <c r="AD329" i="2"/>
  <c r="AC329" i="2"/>
  <c r="AB329" i="2"/>
  <c r="AA329" i="2"/>
  <c r="Z329" i="2"/>
  <c r="Y329" i="2"/>
  <c r="X329" i="2"/>
  <c r="W329" i="2"/>
  <c r="V329" i="2"/>
  <c r="U329" i="2"/>
  <c r="T329" i="2"/>
  <c r="S329" i="2"/>
  <c r="R329" i="2"/>
  <c r="Q329" i="2"/>
  <c r="P329" i="2"/>
  <c r="O329" i="2"/>
  <c r="N329" i="2"/>
  <c r="M329" i="2"/>
  <c r="L329" i="2"/>
  <c r="K329" i="2"/>
  <c r="J329" i="2"/>
  <c r="I329" i="2"/>
  <c r="H329" i="2"/>
  <c r="G329" i="2"/>
  <c r="F329" i="2"/>
  <c r="E329" i="2"/>
  <c r="D329" i="2"/>
  <c r="C329" i="2"/>
  <c r="AL328" i="2"/>
  <c r="AK328" i="2"/>
  <c r="AJ328" i="2"/>
  <c r="AI328" i="2"/>
  <c r="AH328" i="2"/>
  <c r="AG328" i="2"/>
  <c r="AF328" i="2"/>
  <c r="AE328" i="2"/>
  <c r="AD328" i="2"/>
  <c r="AC328" i="2"/>
  <c r="AB328" i="2"/>
  <c r="AA328" i="2"/>
  <c r="Z328" i="2"/>
  <c r="Y328" i="2"/>
  <c r="X328" i="2"/>
  <c r="W328" i="2"/>
  <c r="V328" i="2"/>
  <c r="U328" i="2"/>
  <c r="T328" i="2"/>
  <c r="S328" i="2"/>
  <c r="R328" i="2"/>
  <c r="Q328" i="2"/>
  <c r="P328" i="2"/>
  <c r="O328" i="2"/>
  <c r="N328" i="2"/>
  <c r="M328" i="2"/>
  <c r="L328" i="2"/>
  <c r="K328" i="2"/>
  <c r="J328" i="2"/>
  <c r="I328" i="2"/>
  <c r="H328" i="2"/>
  <c r="G328" i="2"/>
  <c r="F328" i="2"/>
  <c r="E328" i="2"/>
  <c r="D328" i="2"/>
  <c r="C328" i="2"/>
  <c r="AL325" i="2"/>
  <c r="AK325" i="2"/>
  <c r="AJ325" i="2"/>
  <c r="AI325" i="2"/>
  <c r="AH325" i="2"/>
  <c r="AG325" i="2"/>
  <c r="AF325" i="2"/>
  <c r="AE325" i="2"/>
  <c r="AD325" i="2"/>
  <c r="AC325" i="2"/>
  <c r="AB325" i="2"/>
  <c r="AA325" i="2"/>
  <c r="Z325" i="2"/>
  <c r="Y325" i="2"/>
  <c r="X325" i="2"/>
  <c r="W325" i="2"/>
  <c r="V325" i="2"/>
  <c r="U325" i="2"/>
  <c r="T325" i="2"/>
  <c r="S325" i="2"/>
  <c r="R325" i="2"/>
  <c r="Q325" i="2"/>
  <c r="P325" i="2"/>
  <c r="O325" i="2"/>
  <c r="N325" i="2"/>
  <c r="M325" i="2"/>
  <c r="L325" i="2"/>
  <c r="K325" i="2"/>
  <c r="J325" i="2"/>
  <c r="I325" i="2"/>
  <c r="H325" i="2"/>
  <c r="G325" i="2"/>
  <c r="F325" i="2"/>
  <c r="E325" i="2"/>
  <c r="D325" i="2"/>
  <c r="C325" i="2"/>
  <c r="AL324" i="2"/>
  <c r="AK324" i="2"/>
  <c r="AJ324" i="2"/>
  <c r="AI324" i="2"/>
  <c r="AH324" i="2"/>
  <c r="AG324" i="2"/>
  <c r="AF324" i="2"/>
  <c r="AE324" i="2"/>
  <c r="AD324" i="2"/>
  <c r="AC324" i="2"/>
  <c r="AB324" i="2"/>
  <c r="AA324" i="2"/>
  <c r="Z324" i="2"/>
  <c r="Y324" i="2"/>
  <c r="X324" i="2"/>
  <c r="W324" i="2"/>
  <c r="V324" i="2"/>
  <c r="U324" i="2"/>
  <c r="T324" i="2"/>
  <c r="S324" i="2"/>
  <c r="R324" i="2"/>
  <c r="Q324" i="2"/>
  <c r="P324" i="2"/>
  <c r="O324" i="2"/>
  <c r="N324" i="2"/>
  <c r="M324" i="2"/>
  <c r="L324" i="2"/>
  <c r="K324" i="2"/>
  <c r="J324" i="2"/>
  <c r="I324" i="2"/>
  <c r="H324" i="2"/>
  <c r="G324" i="2"/>
  <c r="F324" i="2"/>
  <c r="E324" i="2"/>
  <c r="D324" i="2"/>
  <c r="C324" i="2"/>
  <c r="AL323" i="2"/>
  <c r="AK323" i="2"/>
  <c r="AJ323" i="2"/>
  <c r="AI323" i="2"/>
  <c r="AH323" i="2"/>
  <c r="AG323" i="2"/>
  <c r="AF323" i="2"/>
  <c r="AE323" i="2"/>
  <c r="AD323" i="2"/>
  <c r="AC323" i="2"/>
  <c r="AB323" i="2"/>
  <c r="AA323" i="2"/>
  <c r="Z323" i="2"/>
  <c r="Y323" i="2"/>
  <c r="X323" i="2"/>
  <c r="W323" i="2"/>
  <c r="V323" i="2"/>
  <c r="U323" i="2"/>
  <c r="T323" i="2"/>
  <c r="S323" i="2"/>
  <c r="R323" i="2"/>
  <c r="Q323" i="2"/>
  <c r="P323" i="2"/>
  <c r="O323" i="2"/>
  <c r="N323" i="2"/>
  <c r="M323" i="2"/>
  <c r="L323" i="2"/>
  <c r="K323" i="2"/>
  <c r="J323" i="2"/>
  <c r="I323" i="2"/>
  <c r="H323" i="2"/>
  <c r="G323" i="2"/>
  <c r="F323" i="2"/>
  <c r="E323" i="2"/>
  <c r="D323" i="2"/>
  <c r="C323" i="2"/>
  <c r="AL322" i="2"/>
  <c r="AK322" i="2"/>
  <c r="AJ322" i="2"/>
  <c r="AI322" i="2"/>
  <c r="AH322" i="2"/>
  <c r="AG322" i="2"/>
  <c r="AF322" i="2"/>
  <c r="AE322" i="2"/>
  <c r="AD322" i="2"/>
  <c r="AC322" i="2"/>
  <c r="AB322" i="2"/>
  <c r="AA322" i="2"/>
  <c r="Z322" i="2"/>
  <c r="Y322" i="2"/>
  <c r="X322" i="2"/>
  <c r="W322" i="2"/>
  <c r="V322" i="2"/>
  <c r="U322" i="2"/>
  <c r="T322" i="2"/>
  <c r="S322" i="2"/>
  <c r="R322" i="2"/>
  <c r="Q322" i="2"/>
  <c r="P322" i="2"/>
  <c r="O322" i="2"/>
  <c r="N322" i="2"/>
  <c r="M322" i="2"/>
  <c r="L322" i="2"/>
  <c r="K322" i="2"/>
  <c r="J322" i="2"/>
  <c r="I322" i="2"/>
  <c r="H322" i="2"/>
  <c r="G322" i="2"/>
  <c r="F322" i="2"/>
  <c r="E322" i="2"/>
  <c r="D322" i="2"/>
  <c r="C322" i="2"/>
  <c r="AL290" i="2"/>
  <c r="AK290" i="2"/>
  <c r="AJ290" i="2"/>
  <c r="AI290" i="2"/>
  <c r="AH290" i="2"/>
  <c r="AG290" i="2"/>
  <c r="AF290" i="2"/>
  <c r="AE290" i="2"/>
  <c r="AD290" i="2"/>
  <c r="AC290" i="2"/>
  <c r="AB290" i="2"/>
  <c r="AA290" i="2"/>
  <c r="Z290" i="2"/>
  <c r="Y290" i="2"/>
  <c r="X290" i="2"/>
  <c r="W290" i="2"/>
  <c r="V290" i="2"/>
  <c r="U290" i="2"/>
  <c r="T290" i="2"/>
  <c r="S290" i="2"/>
  <c r="R290" i="2"/>
  <c r="Q290" i="2"/>
  <c r="P290" i="2"/>
  <c r="O290" i="2"/>
  <c r="N290" i="2"/>
  <c r="M290" i="2"/>
  <c r="L290" i="2"/>
  <c r="K290" i="2"/>
  <c r="J290" i="2"/>
  <c r="I290" i="2"/>
  <c r="H290" i="2"/>
  <c r="G290" i="2"/>
  <c r="F290" i="2"/>
  <c r="E290" i="2"/>
  <c r="D290" i="2"/>
  <c r="C290" i="2"/>
  <c r="AL289" i="2"/>
  <c r="AK289" i="2"/>
  <c r="AJ289" i="2"/>
  <c r="AI289" i="2"/>
  <c r="AH289" i="2"/>
  <c r="AG289" i="2"/>
  <c r="AF289" i="2"/>
  <c r="AE289" i="2"/>
  <c r="AD289" i="2"/>
  <c r="AC289" i="2"/>
  <c r="AB289" i="2"/>
  <c r="AA289" i="2"/>
  <c r="Z289" i="2"/>
  <c r="Y289" i="2"/>
  <c r="X289" i="2"/>
  <c r="W289" i="2"/>
  <c r="V289" i="2"/>
  <c r="U289" i="2"/>
  <c r="T289" i="2"/>
  <c r="S289" i="2"/>
  <c r="R289" i="2"/>
  <c r="Q289" i="2"/>
  <c r="P289" i="2"/>
  <c r="O289" i="2"/>
  <c r="N289" i="2"/>
  <c r="M289" i="2"/>
  <c r="L289" i="2"/>
  <c r="K289" i="2"/>
  <c r="J289" i="2"/>
  <c r="I289" i="2"/>
  <c r="H289" i="2"/>
  <c r="G289" i="2"/>
  <c r="F289" i="2"/>
  <c r="E289" i="2"/>
  <c r="D289" i="2"/>
  <c r="C289" i="2"/>
  <c r="AL288" i="2"/>
  <c r="AK288" i="2"/>
  <c r="AJ288" i="2"/>
  <c r="AI288" i="2"/>
  <c r="AH288" i="2"/>
  <c r="AG288" i="2"/>
  <c r="AF288" i="2"/>
  <c r="AE288" i="2"/>
  <c r="AD288" i="2"/>
  <c r="AC288" i="2"/>
  <c r="AB288" i="2"/>
  <c r="AA288" i="2"/>
  <c r="Z288" i="2"/>
  <c r="Y288" i="2"/>
  <c r="X288" i="2"/>
  <c r="W288" i="2"/>
  <c r="V288" i="2"/>
  <c r="U288" i="2"/>
  <c r="T288" i="2"/>
  <c r="S288" i="2"/>
  <c r="R288" i="2"/>
  <c r="Q288" i="2"/>
  <c r="P288" i="2"/>
  <c r="O288" i="2"/>
  <c r="N288" i="2"/>
  <c r="M288" i="2"/>
  <c r="L288" i="2"/>
  <c r="K288" i="2"/>
  <c r="J288" i="2"/>
  <c r="I288" i="2"/>
  <c r="H288" i="2"/>
  <c r="G288" i="2"/>
  <c r="F288" i="2"/>
  <c r="E288" i="2"/>
  <c r="D288" i="2"/>
  <c r="C288" i="2"/>
  <c r="AL287" i="2"/>
  <c r="AK287" i="2"/>
  <c r="AJ287" i="2"/>
  <c r="AI287" i="2"/>
  <c r="AH287" i="2"/>
  <c r="AG287" i="2"/>
  <c r="AF287" i="2"/>
  <c r="AE287" i="2"/>
  <c r="AD287" i="2"/>
  <c r="AC287" i="2"/>
  <c r="AB287" i="2"/>
  <c r="AA287" i="2"/>
  <c r="Z287" i="2"/>
  <c r="Y287" i="2"/>
  <c r="X287" i="2"/>
  <c r="W287" i="2"/>
  <c r="V287" i="2"/>
  <c r="U287" i="2"/>
  <c r="T287" i="2"/>
  <c r="S287" i="2"/>
  <c r="R287" i="2"/>
  <c r="Q287" i="2"/>
  <c r="P287" i="2"/>
  <c r="O287" i="2"/>
  <c r="N287" i="2"/>
  <c r="M287" i="2"/>
  <c r="L287" i="2"/>
  <c r="K287" i="2"/>
  <c r="J287" i="2"/>
  <c r="I287" i="2"/>
  <c r="H287" i="2"/>
  <c r="G287" i="2"/>
  <c r="F287" i="2"/>
  <c r="E287" i="2"/>
  <c r="D287" i="2"/>
  <c r="C287" i="2"/>
  <c r="AL286" i="2"/>
  <c r="AK286" i="2"/>
  <c r="AJ286" i="2"/>
  <c r="AI286" i="2"/>
  <c r="AH286" i="2"/>
  <c r="AG286" i="2"/>
  <c r="AF286" i="2"/>
  <c r="AE286" i="2"/>
  <c r="AD286" i="2"/>
  <c r="AC286" i="2"/>
  <c r="AB286" i="2"/>
  <c r="AA286" i="2"/>
  <c r="Z286" i="2"/>
  <c r="Y286" i="2"/>
  <c r="X286" i="2"/>
  <c r="W286" i="2"/>
  <c r="V286" i="2"/>
  <c r="U286" i="2"/>
  <c r="T286" i="2"/>
  <c r="S286" i="2"/>
  <c r="R286" i="2"/>
  <c r="Q286" i="2"/>
  <c r="P286" i="2"/>
  <c r="O286" i="2"/>
  <c r="N286" i="2"/>
  <c r="M286" i="2"/>
  <c r="L286" i="2"/>
  <c r="K286" i="2"/>
  <c r="J286" i="2"/>
  <c r="I286" i="2"/>
  <c r="H286" i="2"/>
  <c r="G286" i="2"/>
  <c r="F286" i="2"/>
  <c r="E286" i="2"/>
  <c r="D286" i="2"/>
  <c r="C286" i="2"/>
  <c r="AL285" i="2"/>
  <c r="AK285" i="2"/>
  <c r="AJ285" i="2"/>
  <c r="AI285" i="2"/>
  <c r="AH285" i="2"/>
  <c r="AG285" i="2"/>
  <c r="AF285" i="2"/>
  <c r="AE285" i="2"/>
  <c r="AD285" i="2"/>
  <c r="AC285" i="2"/>
  <c r="AB285" i="2"/>
  <c r="AA285" i="2"/>
  <c r="Z285" i="2"/>
  <c r="Y285" i="2"/>
  <c r="X285" i="2"/>
  <c r="W285" i="2"/>
  <c r="V285" i="2"/>
  <c r="U285" i="2"/>
  <c r="T285" i="2"/>
  <c r="S285" i="2"/>
  <c r="R285" i="2"/>
  <c r="Q285" i="2"/>
  <c r="P285" i="2"/>
  <c r="O285" i="2"/>
  <c r="N285" i="2"/>
  <c r="M285" i="2"/>
  <c r="L285" i="2"/>
  <c r="K285" i="2"/>
  <c r="J285" i="2"/>
  <c r="I285" i="2"/>
  <c r="H285" i="2"/>
  <c r="G285" i="2"/>
  <c r="F285" i="2"/>
  <c r="E285" i="2"/>
  <c r="D285" i="2"/>
  <c r="C285" i="2"/>
  <c r="AL284" i="2"/>
  <c r="AK284" i="2"/>
  <c r="AJ284" i="2"/>
  <c r="AI284" i="2"/>
  <c r="AH284" i="2"/>
  <c r="AG284" i="2"/>
  <c r="AF284" i="2"/>
  <c r="AE284" i="2"/>
  <c r="AD284" i="2"/>
  <c r="AC284" i="2"/>
  <c r="AB284" i="2"/>
  <c r="AA284" i="2"/>
  <c r="Z284" i="2"/>
  <c r="Y284" i="2"/>
  <c r="X284" i="2"/>
  <c r="W284" i="2"/>
  <c r="V284" i="2"/>
  <c r="U284" i="2"/>
  <c r="T284" i="2"/>
  <c r="S284" i="2"/>
  <c r="R284" i="2"/>
  <c r="Q284" i="2"/>
  <c r="P284" i="2"/>
  <c r="O284" i="2"/>
  <c r="N284" i="2"/>
  <c r="M284" i="2"/>
  <c r="L284" i="2"/>
  <c r="K284" i="2"/>
  <c r="J284" i="2"/>
  <c r="I284" i="2"/>
  <c r="H284" i="2"/>
  <c r="G284" i="2"/>
  <c r="F284" i="2"/>
  <c r="E284" i="2"/>
  <c r="D284" i="2"/>
  <c r="C284" i="2"/>
  <c r="AL283" i="2"/>
  <c r="AK283" i="2"/>
  <c r="AJ283" i="2"/>
  <c r="AI283" i="2"/>
  <c r="AH283" i="2"/>
  <c r="AG283" i="2"/>
  <c r="AF283" i="2"/>
  <c r="AE283" i="2"/>
  <c r="AD283" i="2"/>
  <c r="AC283" i="2"/>
  <c r="AB283" i="2"/>
  <c r="AA283" i="2"/>
  <c r="Z283" i="2"/>
  <c r="Y283" i="2"/>
  <c r="X283" i="2"/>
  <c r="W283" i="2"/>
  <c r="V283" i="2"/>
  <c r="U283" i="2"/>
  <c r="T283" i="2"/>
  <c r="S283" i="2"/>
  <c r="R283" i="2"/>
  <c r="Q283" i="2"/>
  <c r="P283" i="2"/>
  <c r="O283" i="2"/>
  <c r="N283" i="2"/>
  <c r="M283" i="2"/>
  <c r="L283" i="2"/>
  <c r="K283" i="2"/>
  <c r="J283" i="2"/>
  <c r="I283" i="2"/>
  <c r="H283" i="2"/>
  <c r="G283" i="2"/>
  <c r="F283" i="2"/>
  <c r="E283" i="2"/>
  <c r="D283" i="2"/>
  <c r="C283" i="2"/>
  <c r="AL281" i="2"/>
  <c r="AK281" i="2"/>
  <c r="AJ281" i="2"/>
  <c r="AI281" i="2"/>
  <c r="AH281" i="2"/>
  <c r="AG281" i="2"/>
  <c r="AF281" i="2"/>
  <c r="AE281" i="2"/>
  <c r="AD281" i="2"/>
  <c r="AC281" i="2"/>
  <c r="AB281" i="2"/>
  <c r="AA281" i="2"/>
  <c r="Z281" i="2"/>
  <c r="Y281" i="2"/>
  <c r="X281" i="2"/>
  <c r="W281" i="2"/>
  <c r="V281" i="2"/>
  <c r="U281" i="2"/>
  <c r="T281" i="2"/>
  <c r="S281" i="2"/>
  <c r="R281" i="2"/>
  <c r="Q281" i="2"/>
  <c r="P281" i="2"/>
  <c r="O281" i="2"/>
  <c r="N281" i="2"/>
  <c r="M281" i="2"/>
  <c r="L281" i="2"/>
  <c r="K281" i="2"/>
  <c r="J281" i="2"/>
  <c r="I281" i="2"/>
  <c r="H281" i="2"/>
  <c r="G281" i="2"/>
  <c r="F281" i="2"/>
  <c r="E281" i="2"/>
  <c r="D281" i="2"/>
  <c r="C281" i="2"/>
  <c r="AL280" i="2"/>
  <c r="AK280" i="2"/>
  <c r="AJ280" i="2"/>
  <c r="AI280" i="2"/>
  <c r="AH280" i="2"/>
  <c r="AG280" i="2"/>
  <c r="AF280" i="2"/>
  <c r="AE280" i="2"/>
  <c r="AD280" i="2"/>
  <c r="AC280" i="2"/>
  <c r="AB280" i="2"/>
  <c r="AA280" i="2"/>
  <c r="Z280" i="2"/>
  <c r="Y280" i="2"/>
  <c r="X280" i="2"/>
  <c r="W280" i="2"/>
  <c r="V280" i="2"/>
  <c r="U280" i="2"/>
  <c r="T280" i="2"/>
  <c r="S280" i="2"/>
  <c r="R280" i="2"/>
  <c r="Q280" i="2"/>
  <c r="P280" i="2"/>
  <c r="O280" i="2"/>
  <c r="N280" i="2"/>
  <c r="M280" i="2"/>
  <c r="L280" i="2"/>
  <c r="K280" i="2"/>
  <c r="J280" i="2"/>
  <c r="I280" i="2"/>
  <c r="H280" i="2"/>
  <c r="G280" i="2"/>
  <c r="F280" i="2"/>
  <c r="E280" i="2"/>
  <c r="D280" i="2"/>
  <c r="C280" i="2"/>
  <c r="AL279" i="2"/>
  <c r="AK279" i="2"/>
  <c r="AJ279" i="2"/>
  <c r="AI279" i="2"/>
  <c r="AH279" i="2"/>
  <c r="AG279" i="2"/>
  <c r="AF279" i="2"/>
  <c r="AE279" i="2"/>
  <c r="AD279" i="2"/>
  <c r="AC279" i="2"/>
  <c r="AB279" i="2"/>
  <c r="AA279" i="2"/>
  <c r="Z279" i="2"/>
  <c r="Y279" i="2"/>
  <c r="X279" i="2"/>
  <c r="W279" i="2"/>
  <c r="V279" i="2"/>
  <c r="U279" i="2"/>
  <c r="T279" i="2"/>
  <c r="S279" i="2"/>
  <c r="R279" i="2"/>
  <c r="Q279" i="2"/>
  <c r="P279" i="2"/>
  <c r="O279" i="2"/>
  <c r="N279" i="2"/>
  <c r="M279" i="2"/>
  <c r="L279" i="2"/>
  <c r="K279" i="2"/>
  <c r="J279" i="2"/>
  <c r="I279" i="2"/>
  <c r="H279" i="2"/>
  <c r="G279" i="2"/>
  <c r="F279" i="2"/>
  <c r="E279" i="2"/>
  <c r="D279" i="2"/>
  <c r="C279" i="2"/>
  <c r="AL278" i="2"/>
  <c r="AK278" i="2"/>
  <c r="AJ278" i="2"/>
  <c r="AI278" i="2"/>
  <c r="AH278" i="2"/>
  <c r="AG278" i="2"/>
  <c r="AF278" i="2"/>
  <c r="AE278" i="2"/>
  <c r="AD278" i="2"/>
  <c r="AC278" i="2"/>
  <c r="AB278" i="2"/>
  <c r="AA278" i="2"/>
  <c r="Z278" i="2"/>
  <c r="Y278" i="2"/>
  <c r="X278" i="2"/>
  <c r="W278" i="2"/>
  <c r="V278" i="2"/>
  <c r="U278" i="2"/>
  <c r="T278" i="2"/>
  <c r="S278" i="2"/>
  <c r="R278" i="2"/>
  <c r="Q278" i="2"/>
  <c r="P278" i="2"/>
  <c r="O278" i="2"/>
  <c r="N278" i="2"/>
  <c r="M278" i="2"/>
  <c r="L278" i="2"/>
  <c r="K278" i="2"/>
  <c r="J278" i="2"/>
  <c r="I278" i="2"/>
  <c r="H278" i="2"/>
  <c r="G278" i="2"/>
  <c r="F278" i="2"/>
  <c r="E278" i="2"/>
  <c r="D278" i="2"/>
  <c r="C278" i="2"/>
  <c r="AL277" i="2"/>
  <c r="AK277" i="2"/>
  <c r="AJ277" i="2"/>
  <c r="AI277" i="2"/>
  <c r="AH277" i="2"/>
  <c r="AG277" i="2"/>
  <c r="AF277" i="2"/>
  <c r="AE277" i="2"/>
  <c r="AD277" i="2"/>
  <c r="AC277" i="2"/>
  <c r="AB277" i="2"/>
  <c r="AA277" i="2"/>
  <c r="Z277" i="2"/>
  <c r="Y277" i="2"/>
  <c r="X277" i="2"/>
  <c r="W277" i="2"/>
  <c r="V277" i="2"/>
  <c r="U277" i="2"/>
  <c r="T277" i="2"/>
  <c r="S277" i="2"/>
  <c r="R277" i="2"/>
  <c r="Q277" i="2"/>
  <c r="P277" i="2"/>
  <c r="O277" i="2"/>
  <c r="N277" i="2"/>
  <c r="M277" i="2"/>
  <c r="L277" i="2"/>
  <c r="K277" i="2"/>
  <c r="J277" i="2"/>
  <c r="I277" i="2"/>
  <c r="H277" i="2"/>
  <c r="G277" i="2"/>
  <c r="F277" i="2"/>
  <c r="E277" i="2"/>
  <c r="D277" i="2"/>
  <c r="C277" i="2"/>
  <c r="AL276" i="2"/>
  <c r="AK276" i="2"/>
  <c r="AJ276" i="2"/>
  <c r="AI276" i="2"/>
  <c r="AH276" i="2"/>
  <c r="AG276" i="2"/>
  <c r="AF276" i="2"/>
  <c r="AE276" i="2"/>
  <c r="AD276" i="2"/>
  <c r="AC276" i="2"/>
  <c r="AB276" i="2"/>
  <c r="AA276" i="2"/>
  <c r="Z276" i="2"/>
  <c r="Y276" i="2"/>
  <c r="X276" i="2"/>
  <c r="W276" i="2"/>
  <c r="V276" i="2"/>
  <c r="U276" i="2"/>
  <c r="T276" i="2"/>
  <c r="S276" i="2"/>
  <c r="R276" i="2"/>
  <c r="Q276" i="2"/>
  <c r="P276" i="2"/>
  <c r="O276" i="2"/>
  <c r="N276" i="2"/>
  <c r="M276" i="2"/>
  <c r="L276" i="2"/>
  <c r="K276" i="2"/>
  <c r="J276" i="2"/>
  <c r="I276" i="2"/>
  <c r="H276" i="2"/>
  <c r="G276" i="2"/>
  <c r="F276" i="2"/>
  <c r="E276" i="2"/>
  <c r="D276" i="2"/>
  <c r="C276" i="2"/>
  <c r="AL275" i="2"/>
  <c r="AK275" i="2"/>
  <c r="AJ275" i="2"/>
  <c r="AI275" i="2"/>
  <c r="AH275" i="2"/>
  <c r="AG275" i="2"/>
  <c r="AF275" i="2"/>
  <c r="AE275" i="2"/>
  <c r="AD275" i="2"/>
  <c r="AC275" i="2"/>
  <c r="AB275" i="2"/>
  <c r="AA275" i="2"/>
  <c r="Z275" i="2"/>
  <c r="Y275" i="2"/>
  <c r="X275" i="2"/>
  <c r="W275" i="2"/>
  <c r="V275" i="2"/>
  <c r="U275" i="2"/>
  <c r="T275" i="2"/>
  <c r="S275" i="2"/>
  <c r="R275" i="2"/>
  <c r="Q275" i="2"/>
  <c r="P275" i="2"/>
  <c r="O275" i="2"/>
  <c r="N275" i="2"/>
  <c r="M275" i="2"/>
  <c r="L275" i="2"/>
  <c r="K275" i="2"/>
  <c r="J275" i="2"/>
  <c r="I275" i="2"/>
  <c r="H275" i="2"/>
  <c r="G275" i="2"/>
  <c r="F275" i="2"/>
  <c r="E275" i="2"/>
  <c r="D275" i="2"/>
  <c r="C275" i="2"/>
  <c r="AL274" i="2"/>
  <c r="AK274" i="2"/>
  <c r="AJ274" i="2"/>
  <c r="AI274" i="2"/>
  <c r="AH274" i="2"/>
  <c r="AG274" i="2"/>
  <c r="AF274" i="2"/>
  <c r="AE274" i="2"/>
  <c r="AD274" i="2"/>
  <c r="AC274" i="2"/>
  <c r="AB274" i="2"/>
  <c r="AA274" i="2"/>
  <c r="Z274" i="2"/>
  <c r="Y274" i="2"/>
  <c r="X274" i="2"/>
  <c r="W274" i="2"/>
  <c r="V274" i="2"/>
  <c r="U274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G274" i="2"/>
  <c r="F274" i="2"/>
  <c r="E274" i="2"/>
  <c r="D274" i="2"/>
  <c r="C274" i="2"/>
  <c r="AL262" i="2"/>
  <c r="AK262" i="2"/>
  <c r="AJ262" i="2"/>
  <c r="AI262" i="2"/>
  <c r="AH262" i="2"/>
  <c r="AG262" i="2"/>
  <c r="AF262" i="2"/>
  <c r="AE262" i="2"/>
  <c r="AD262" i="2"/>
  <c r="AC262" i="2"/>
  <c r="AB262" i="2"/>
  <c r="AA262" i="2"/>
  <c r="Z262" i="2"/>
  <c r="Y262" i="2"/>
  <c r="X262" i="2"/>
  <c r="W262" i="2"/>
  <c r="V262" i="2"/>
  <c r="U262" i="2"/>
  <c r="T262" i="2"/>
  <c r="S262" i="2"/>
  <c r="R262" i="2"/>
  <c r="Q262" i="2"/>
  <c r="P262" i="2"/>
  <c r="O262" i="2"/>
  <c r="N262" i="2"/>
  <c r="M262" i="2"/>
  <c r="L262" i="2"/>
  <c r="K262" i="2"/>
  <c r="J262" i="2"/>
  <c r="I262" i="2"/>
  <c r="H262" i="2"/>
  <c r="G262" i="2"/>
  <c r="F262" i="2"/>
  <c r="E262" i="2"/>
  <c r="D262" i="2"/>
  <c r="C262" i="2"/>
  <c r="AL261" i="2"/>
  <c r="AK261" i="2"/>
  <c r="AJ261" i="2"/>
  <c r="AI261" i="2"/>
  <c r="AH261" i="2"/>
  <c r="AG261" i="2"/>
  <c r="AF261" i="2"/>
  <c r="AE261" i="2"/>
  <c r="AD261" i="2"/>
  <c r="AC261" i="2"/>
  <c r="AB261" i="2"/>
  <c r="AA261" i="2"/>
  <c r="Z261" i="2"/>
  <c r="Y261" i="2"/>
  <c r="X261" i="2"/>
  <c r="W261" i="2"/>
  <c r="V261" i="2"/>
  <c r="U261" i="2"/>
  <c r="T261" i="2"/>
  <c r="S261" i="2"/>
  <c r="R261" i="2"/>
  <c r="Q261" i="2"/>
  <c r="P261" i="2"/>
  <c r="O261" i="2"/>
  <c r="N261" i="2"/>
  <c r="M261" i="2"/>
  <c r="L261" i="2"/>
  <c r="K261" i="2"/>
  <c r="J261" i="2"/>
  <c r="I261" i="2"/>
  <c r="H261" i="2"/>
  <c r="G261" i="2"/>
  <c r="F261" i="2"/>
  <c r="E261" i="2"/>
  <c r="D261" i="2"/>
  <c r="C261" i="2"/>
  <c r="AL260" i="2"/>
  <c r="AK260" i="2"/>
  <c r="AJ260" i="2"/>
  <c r="AI260" i="2"/>
  <c r="AH260" i="2"/>
  <c r="AG260" i="2"/>
  <c r="AF260" i="2"/>
  <c r="AE260" i="2"/>
  <c r="AD260" i="2"/>
  <c r="AC260" i="2"/>
  <c r="AB260" i="2"/>
  <c r="AA260" i="2"/>
  <c r="Z260" i="2"/>
  <c r="Y260" i="2"/>
  <c r="X260" i="2"/>
  <c r="W260" i="2"/>
  <c r="V260" i="2"/>
  <c r="U260" i="2"/>
  <c r="T260" i="2"/>
  <c r="S260" i="2"/>
  <c r="R260" i="2"/>
  <c r="Q260" i="2"/>
  <c r="P260" i="2"/>
  <c r="O260" i="2"/>
  <c r="N260" i="2"/>
  <c r="M260" i="2"/>
  <c r="L260" i="2"/>
  <c r="K260" i="2"/>
  <c r="J260" i="2"/>
  <c r="I260" i="2"/>
  <c r="H260" i="2"/>
  <c r="G260" i="2"/>
  <c r="F260" i="2"/>
  <c r="E260" i="2"/>
  <c r="D260" i="2"/>
  <c r="C260" i="2"/>
  <c r="AL259" i="2"/>
  <c r="AK259" i="2"/>
  <c r="AJ259" i="2"/>
  <c r="AI259" i="2"/>
  <c r="AH259" i="2"/>
  <c r="AG259" i="2"/>
  <c r="AF259" i="2"/>
  <c r="AE259" i="2"/>
  <c r="AD259" i="2"/>
  <c r="AC259" i="2"/>
  <c r="AB259" i="2"/>
  <c r="AA259" i="2"/>
  <c r="Z259" i="2"/>
  <c r="Y259" i="2"/>
  <c r="X259" i="2"/>
  <c r="W259" i="2"/>
  <c r="V259" i="2"/>
  <c r="U259" i="2"/>
  <c r="T259" i="2"/>
  <c r="S259" i="2"/>
  <c r="R259" i="2"/>
  <c r="Q259" i="2"/>
  <c r="P259" i="2"/>
  <c r="O259" i="2"/>
  <c r="N259" i="2"/>
  <c r="M259" i="2"/>
  <c r="L259" i="2"/>
  <c r="K259" i="2"/>
  <c r="J259" i="2"/>
  <c r="I259" i="2"/>
  <c r="H259" i="2"/>
  <c r="G259" i="2"/>
  <c r="F259" i="2"/>
  <c r="E259" i="2"/>
  <c r="D259" i="2"/>
  <c r="C259" i="2"/>
  <c r="AL258" i="2"/>
  <c r="AK258" i="2"/>
  <c r="AJ258" i="2"/>
  <c r="AI258" i="2"/>
  <c r="AH258" i="2"/>
  <c r="AG258" i="2"/>
  <c r="AF258" i="2"/>
  <c r="AE258" i="2"/>
  <c r="AD258" i="2"/>
  <c r="AC258" i="2"/>
  <c r="AB258" i="2"/>
  <c r="AA258" i="2"/>
  <c r="Z258" i="2"/>
  <c r="Y258" i="2"/>
  <c r="X258" i="2"/>
  <c r="W258" i="2"/>
  <c r="V258" i="2"/>
  <c r="U258" i="2"/>
  <c r="T258" i="2"/>
  <c r="S258" i="2"/>
  <c r="R258" i="2"/>
  <c r="Q258" i="2"/>
  <c r="P258" i="2"/>
  <c r="O258" i="2"/>
  <c r="N258" i="2"/>
  <c r="M258" i="2"/>
  <c r="L258" i="2"/>
  <c r="K258" i="2"/>
  <c r="J258" i="2"/>
  <c r="I258" i="2"/>
  <c r="H258" i="2"/>
  <c r="G258" i="2"/>
  <c r="F258" i="2"/>
  <c r="E258" i="2"/>
  <c r="D258" i="2"/>
  <c r="C258" i="2"/>
  <c r="AL257" i="2"/>
  <c r="AK257" i="2"/>
  <c r="AJ257" i="2"/>
  <c r="AI257" i="2"/>
  <c r="AH257" i="2"/>
  <c r="AG257" i="2"/>
  <c r="AF257" i="2"/>
  <c r="AE257" i="2"/>
  <c r="AD257" i="2"/>
  <c r="AC257" i="2"/>
  <c r="AB257" i="2"/>
  <c r="AA257" i="2"/>
  <c r="Z257" i="2"/>
  <c r="Y257" i="2"/>
  <c r="X257" i="2"/>
  <c r="W257" i="2"/>
  <c r="V257" i="2"/>
  <c r="U257" i="2"/>
  <c r="T257" i="2"/>
  <c r="S257" i="2"/>
  <c r="R257" i="2"/>
  <c r="Q257" i="2"/>
  <c r="P257" i="2"/>
  <c r="O257" i="2"/>
  <c r="N257" i="2"/>
  <c r="M257" i="2"/>
  <c r="L257" i="2"/>
  <c r="K257" i="2"/>
  <c r="J257" i="2"/>
  <c r="I257" i="2"/>
  <c r="H257" i="2"/>
  <c r="G257" i="2"/>
  <c r="F257" i="2"/>
  <c r="E257" i="2"/>
  <c r="D257" i="2"/>
  <c r="C257" i="2"/>
  <c r="AL256" i="2"/>
  <c r="AK256" i="2"/>
  <c r="AJ256" i="2"/>
  <c r="AI256" i="2"/>
  <c r="AH256" i="2"/>
  <c r="AG256" i="2"/>
  <c r="AF256" i="2"/>
  <c r="AE256" i="2"/>
  <c r="AD256" i="2"/>
  <c r="AC256" i="2"/>
  <c r="AB256" i="2"/>
  <c r="AA256" i="2"/>
  <c r="Z256" i="2"/>
  <c r="Y256" i="2"/>
  <c r="X256" i="2"/>
  <c r="W256" i="2"/>
  <c r="V256" i="2"/>
  <c r="U256" i="2"/>
  <c r="T256" i="2"/>
  <c r="S256" i="2"/>
  <c r="R256" i="2"/>
  <c r="Q256" i="2"/>
  <c r="P256" i="2"/>
  <c r="O256" i="2"/>
  <c r="N256" i="2"/>
  <c r="M256" i="2"/>
  <c r="L256" i="2"/>
  <c r="K256" i="2"/>
  <c r="J256" i="2"/>
  <c r="I256" i="2"/>
  <c r="H256" i="2"/>
  <c r="G256" i="2"/>
  <c r="F256" i="2"/>
  <c r="E256" i="2"/>
  <c r="D256" i="2"/>
  <c r="C256" i="2"/>
  <c r="AL253" i="2"/>
  <c r="AK253" i="2"/>
  <c r="AJ253" i="2"/>
  <c r="AI253" i="2"/>
  <c r="AH253" i="2"/>
  <c r="AG253" i="2"/>
  <c r="AF253" i="2"/>
  <c r="AE253" i="2"/>
  <c r="AD253" i="2"/>
  <c r="AC253" i="2"/>
  <c r="AB253" i="2"/>
  <c r="AA253" i="2"/>
  <c r="Z253" i="2"/>
  <c r="Y253" i="2"/>
  <c r="X253" i="2"/>
  <c r="W253" i="2"/>
  <c r="V253" i="2"/>
  <c r="U253" i="2"/>
  <c r="T253" i="2"/>
  <c r="S253" i="2"/>
  <c r="R253" i="2"/>
  <c r="Q253" i="2"/>
  <c r="P253" i="2"/>
  <c r="O253" i="2"/>
  <c r="N253" i="2"/>
  <c r="M253" i="2"/>
  <c r="L253" i="2"/>
  <c r="K253" i="2"/>
  <c r="J253" i="2"/>
  <c r="I253" i="2"/>
  <c r="H253" i="2"/>
  <c r="G253" i="2"/>
  <c r="F253" i="2"/>
  <c r="E253" i="2"/>
  <c r="D253" i="2"/>
  <c r="C253" i="2"/>
  <c r="AL252" i="2"/>
  <c r="AK252" i="2"/>
  <c r="AJ252" i="2"/>
  <c r="AI252" i="2"/>
  <c r="AH252" i="2"/>
  <c r="AG252" i="2"/>
  <c r="AF252" i="2"/>
  <c r="AE252" i="2"/>
  <c r="AD252" i="2"/>
  <c r="AC252" i="2"/>
  <c r="AB252" i="2"/>
  <c r="AA252" i="2"/>
  <c r="Z252" i="2"/>
  <c r="Y252" i="2"/>
  <c r="X252" i="2"/>
  <c r="W252" i="2"/>
  <c r="V252" i="2"/>
  <c r="U252" i="2"/>
  <c r="T252" i="2"/>
  <c r="S252" i="2"/>
  <c r="R252" i="2"/>
  <c r="Q252" i="2"/>
  <c r="P252" i="2"/>
  <c r="O252" i="2"/>
  <c r="N252" i="2"/>
  <c r="M252" i="2"/>
  <c r="L252" i="2"/>
  <c r="K252" i="2"/>
  <c r="J252" i="2"/>
  <c r="I252" i="2"/>
  <c r="H252" i="2"/>
  <c r="G252" i="2"/>
  <c r="F252" i="2"/>
  <c r="E252" i="2"/>
  <c r="D252" i="2"/>
  <c r="C252" i="2"/>
  <c r="AL251" i="2"/>
  <c r="AK251" i="2"/>
  <c r="AJ251" i="2"/>
  <c r="AI251" i="2"/>
  <c r="AH251" i="2"/>
  <c r="AG251" i="2"/>
  <c r="AF251" i="2"/>
  <c r="AE251" i="2"/>
  <c r="AD251" i="2"/>
  <c r="AC251" i="2"/>
  <c r="AB251" i="2"/>
  <c r="AA251" i="2"/>
  <c r="Z251" i="2"/>
  <c r="Y251" i="2"/>
  <c r="X251" i="2"/>
  <c r="W251" i="2"/>
  <c r="V251" i="2"/>
  <c r="U251" i="2"/>
  <c r="T251" i="2"/>
  <c r="S251" i="2"/>
  <c r="R251" i="2"/>
  <c r="Q251" i="2"/>
  <c r="P251" i="2"/>
  <c r="O251" i="2"/>
  <c r="N251" i="2"/>
  <c r="M251" i="2"/>
  <c r="L251" i="2"/>
  <c r="K251" i="2"/>
  <c r="J251" i="2"/>
  <c r="I251" i="2"/>
  <c r="H251" i="2"/>
  <c r="G251" i="2"/>
  <c r="F251" i="2"/>
  <c r="E251" i="2"/>
  <c r="D251" i="2"/>
  <c r="C251" i="2"/>
  <c r="AL250" i="2"/>
  <c r="AK250" i="2"/>
  <c r="AJ250" i="2"/>
  <c r="AI250" i="2"/>
  <c r="AH250" i="2"/>
  <c r="AG250" i="2"/>
  <c r="AF250" i="2"/>
  <c r="AE250" i="2"/>
  <c r="AD250" i="2"/>
  <c r="AC250" i="2"/>
  <c r="AB250" i="2"/>
  <c r="AA250" i="2"/>
  <c r="Z250" i="2"/>
  <c r="Y250" i="2"/>
  <c r="X250" i="2"/>
  <c r="W250" i="2"/>
  <c r="V250" i="2"/>
  <c r="U250" i="2"/>
  <c r="T250" i="2"/>
  <c r="S250" i="2"/>
  <c r="R250" i="2"/>
  <c r="Q250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AL249" i="2"/>
  <c r="AK249" i="2"/>
  <c r="AJ249" i="2"/>
  <c r="AI249" i="2"/>
  <c r="AH249" i="2"/>
  <c r="AG249" i="2"/>
  <c r="AF249" i="2"/>
  <c r="AE249" i="2"/>
  <c r="AD249" i="2"/>
  <c r="AC249" i="2"/>
  <c r="AB249" i="2"/>
  <c r="AA249" i="2"/>
  <c r="Z249" i="2"/>
  <c r="Y249" i="2"/>
  <c r="X249" i="2"/>
  <c r="W249" i="2"/>
  <c r="V249" i="2"/>
  <c r="U249" i="2"/>
  <c r="T249" i="2"/>
  <c r="S249" i="2"/>
  <c r="R249" i="2"/>
  <c r="Q249" i="2"/>
  <c r="P249" i="2"/>
  <c r="O249" i="2"/>
  <c r="N249" i="2"/>
  <c r="M249" i="2"/>
  <c r="L249" i="2"/>
  <c r="K249" i="2"/>
  <c r="J249" i="2"/>
  <c r="I249" i="2"/>
  <c r="H249" i="2"/>
  <c r="G249" i="2"/>
  <c r="F249" i="2"/>
  <c r="E249" i="2"/>
  <c r="D249" i="2"/>
  <c r="C249" i="2"/>
  <c r="AL248" i="2"/>
  <c r="AK248" i="2"/>
  <c r="AJ248" i="2"/>
  <c r="AI248" i="2"/>
  <c r="AH248" i="2"/>
  <c r="AG248" i="2"/>
  <c r="AF248" i="2"/>
  <c r="AE248" i="2"/>
  <c r="AD248" i="2"/>
  <c r="AC248" i="2"/>
  <c r="AB248" i="2"/>
  <c r="AA248" i="2"/>
  <c r="Z248" i="2"/>
  <c r="Y248" i="2"/>
  <c r="X248" i="2"/>
  <c r="W248" i="2"/>
  <c r="V248" i="2"/>
  <c r="U248" i="2"/>
  <c r="T248" i="2"/>
  <c r="S248" i="2"/>
  <c r="R248" i="2"/>
  <c r="Q248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AL247" i="2"/>
  <c r="AK247" i="2"/>
  <c r="AJ247" i="2"/>
  <c r="AI247" i="2"/>
  <c r="AH247" i="2"/>
  <c r="AG247" i="2"/>
  <c r="AF247" i="2"/>
  <c r="AE247" i="2"/>
  <c r="AD247" i="2"/>
  <c r="AC247" i="2"/>
  <c r="AB247" i="2"/>
  <c r="AA247" i="2"/>
  <c r="Z247" i="2"/>
  <c r="Y247" i="2"/>
  <c r="X247" i="2"/>
  <c r="W247" i="2"/>
  <c r="V247" i="2"/>
  <c r="U247" i="2"/>
  <c r="T247" i="2"/>
  <c r="S247" i="2"/>
  <c r="R247" i="2"/>
  <c r="Q247" i="2"/>
  <c r="P247" i="2"/>
  <c r="O247" i="2"/>
  <c r="N247" i="2"/>
  <c r="M247" i="2"/>
  <c r="L247" i="2"/>
  <c r="K247" i="2"/>
  <c r="J247" i="2"/>
  <c r="I247" i="2"/>
  <c r="H247" i="2"/>
  <c r="G247" i="2"/>
  <c r="F247" i="2"/>
  <c r="E247" i="2"/>
  <c r="D247" i="2"/>
  <c r="C247" i="2"/>
  <c r="AL225" i="2"/>
  <c r="AK225" i="2"/>
  <c r="AJ225" i="2"/>
  <c r="AI225" i="2"/>
  <c r="AH225" i="2"/>
  <c r="AG225" i="2"/>
  <c r="AF225" i="2"/>
  <c r="AE225" i="2"/>
  <c r="AD225" i="2"/>
  <c r="AC225" i="2"/>
  <c r="AB225" i="2"/>
  <c r="AA225" i="2"/>
  <c r="Z225" i="2"/>
  <c r="Y225" i="2"/>
  <c r="X225" i="2"/>
  <c r="W225" i="2"/>
  <c r="V225" i="2"/>
  <c r="U225" i="2"/>
  <c r="T225" i="2"/>
  <c r="S225" i="2"/>
  <c r="R225" i="2"/>
  <c r="Q225" i="2"/>
  <c r="P225" i="2"/>
  <c r="O225" i="2"/>
  <c r="N225" i="2"/>
  <c r="M225" i="2"/>
  <c r="L225" i="2"/>
  <c r="K225" i="2"/>
  <c r="J225" i="2"/>
  <c r="I225" i="2"/>
  <c r="H225" i="2"/>
  <c r="G225" i="2"/>
  <c r="F225" i="2"/>
  <c r="E225" i="2"/>
  <c r="D225" i="2"/>
  <c r="C225" i="2"/>
  <c r="AL224" i="2"/>
  <c r="AK224" i="2"/>
  <c r="AJ224" i="2"/>
  <c r="AI224" i="2"/>
  <c r="AH224" i="2"/>
  <c r="AG224" i="2"/>
  <c r="AF224" i="2"/>
  <c r="AE224" i="2"/>
  <c r="AD224" i="2"/>
  <c r="AC224" i="2"/>
  <c r="AB224" i="2"/>
  <c r="AA224" i="2"/>
  <c r="Z224" i="2"/>
  <c r="Y224" i="2"/>
  <c r="X224" i="2"/>
  <c r="W224" i="2"/>
  <c r="V224" i="2"/>
  <c r="U224" i="2"/>
  <c r="T224" i="2"/>
  <c r="S224" i="2"/>
  <c r="R224" i="2"/>
  <c r="Q224" i="2"/>
  <c r="P224" i="2"/>
  <c r="O224" i="2"/>
  <c r="N224" i="2"/>
  <c r="M224" i="2"/>
  <c r="L224" i="2"/>
  <c r="K224" i="2"/>
  <c r="J224" i="2"/>
  <c r="I224" i="2"/>
  <c r="H224" i="2"/>
  <c r="G224" i="2"/>
  <c r="F224" i="2"/>
  <c r="E224" i="2"/>
  <c r="D224" i="2"/>
  <c r="C224" i="2"/>
  <c r="AL223" i="2"/>
  <c r="AK223" i="2"/>
  <c r="AJ223" i="2"/>
  <c r="AI223" i="2"/>
  <c r="AH223" i="2"/>
  <c r="AG223" i="2"/>
  <c r="AF223" i="2"/>
  <c r="AE223" i="2"/>
  <c r="AD223" i="2"/>
  <c r="AC223" i="2"/>
  <c r="AB223" i="2"/>
  <c r="AA223" i="2"/>
  <c r="Z223" i="2"/>
  <c r="Y223" i="2"/>
  <c r="X223" i="2"/>
  <c r="W223" i="2"/>
  <c r="V223" i="2"/>
  <c r="U223" i="2"/>
  <c r="T223" i="2"/>
  <c r="S223" i="2"/>
  <c r="R223" i="2"/>
  <c r="Q223" i="2"/>
  <c r="P223" i="2"/>
  <c r="O223" i="2"/>
  <c r="N223" i="2"/>
  <c r="M223" i="2"/>
  <c r="L223" i="2"/>
  <c r="K223" i="2"/>
  <c r="J223" i="2"/>
  <c r="I223" i="2"/>
  <c r="H223" i="2"/>
  <c r="G223" i="2"/>
  <c r="F223" i="2"/>
  <c r="E223" i="2"/>
  <c r="D223" i="2"/>
  <c r="C223" i="2"/>
  <c r="AL222" i="2"/>
  <c r="AK222" i="2"/>
  <c r="AJ222" i="2"/>
  <c r="AI222" i="2"/>
  <c r="AH222" i="2"/>
  <c r="AG222" i="2"/>
  <c r="AF222" i="2"/>
  <c r="AE222" i="2"/>
  <c r="AD222" i="2"/>
  <c r="AC222" i="2"/>
  <c r="AB222" i="2"/>
  <c r="AA222" i="2"/>
  <c r="Z222" i="2"/>
  <c r="Y222" i="2"/>
  <c r="X222" i="2"/>
  <c r="W222" i="2"/>
  <c r="V222" i="2"/>
  <c r="U222" i="2"/>
  <c r="T222" i="2"/>
  <c r="S222" i="2"/>
  <c r="R222" i="2"/>
  <c r="Q222" i="2"/>
  <c r="P222" i="2"/>
  <c r="O222" i="2"/>
  <c r="N222" i="2"/>
  <c r="M222" i="2"/>
  <c r="L222" i="2"/>
  <c r="K222" i="2"/>
  <c r="J222" i="2"/>
  <c r="I222" i="2"/>
  <c r="H222" i="2"/>
  <c r="G222" i="2"/>
  <c r="F222" i="2"/>
  <c r="E222" i="2"/>
  <c r="D222" i="2"/>
  <c r="C222" i="2"/>
  <c r="AL221" i="2"/>
  <c r="AK221" i="2"/>
  <c r="AJ221" i="2"/>
  <c r="AI221" i="2"/>
  <c r="AH221" i="2"/>
  <c r="AG221" i="2"/>
  <c r="AF221" i="2"/>
  <c r="AE221" i="2"/>
  <c r="AD221" i="2"/>
  <c r="AC221" i="2"/>
  <c r="AB221" i="2"/>
  <c r="AA221" i="2"/>
  <c r="Z221" i="2"/>
  <c r="Y221" i="2"/>
  <c r="X221" i="2"/>
  <c r="W221" i="2"/>
  <c r="V221" i="2"/>
  <c r="U221" i="2"/>
  <c r="T221" i="2"/>
  <c r="S221" i="2"/>
  <c r="R221" i="2"/>
  <c r="Q221" i="2"/>
  <c r="P221" i="2"/>
  <c r="O221" i="2"/>
  <c r="N221" i="2"/>
  <c r="M221" i="2"/>
  <c r="L221" i="2"/>
  <c r="K221" i="2"/>
  <c r="J221" i="2"/>
  <c r="I221" i="2"/>
  <c r="H221" i="2"/>
  <c r="G221" i="2"/>
  <c r="F221" i="2"/>
  <c r="E221" i="2"/>
  <c r="D221" i="2"/>
  <c r="C221" i="2"/>
  <c r="AL220" i="2"/>
  <c r="AK220" i="2"/>
  <c r="AJ220" i="2"/>
  <c r="AI220" i="2"/>
  <c r="AH220" i="2"/>
  <c r="AG220" i="2"/>
  <c r="AF220" i="2"/>
  <c r="AE220" i="2"/>
  <c r="AD220" i="2"/>
  <c r="AC220" i="2"/>
  <c r="AB220" i="2"/>
  <c r="AA220" i="2"/>
  <c r="Z220" i="2"/>
  <c r="Y220" i="2"/>
  <c r="X220" i="2"/>
  <c r="W220" i="2"/>
  <c r="V220" i="2"/>
  <c r="U220" i="2"/>
  <c r="T220" i="2"/>
  <c r="S220" i="2"/>
  <c r="R220" i="2"/>
  <c r="Q220" i="2"/>
  <c r="P220" i="2"/>
  <c r="O220" i="2"/>
  <c r="N220" i="2"/>
  <c r="M220" i="2"/>
  <c r="L220" i="2"/>
  <c r="K220" i="2"/>
  <c r="J220" i="2"/>
  <c r="I220" i="2"/>
  <c r="H220" i="2"/>
  <c r="G220" i="2"/>
  <c r="F220" i="2"/>
  <c r="E220" i="2"/>
  <c r="D220" i="2"/>
  <c r="C220" i="2"/>
  <c r="AL219" i="2"/>
  <c r="AK219" i="2"/>
  <c r="AJ219" i="2"/>
  <c r="AI219" i="2"/>
  <c r="AH219" i="2"/>
  <c r="AG219" i="2"/>
  <c r="AF219" i="2"/>
  <c r="AE219" i="2"/>
  <c r="AD219" i="2"/>
  <c r="AC219" i="2"/>
  <c r="AB219" i="2"/>
  <c r="AA219" i="2"/>
  <c r="Z219" i="2"/>
  <c r="Y219" i="2"/>
  <c r="X219" i="2"/>
  <c r="W219" i="2"/>
  <c r="V219" i="2"/>
  <c r="U219" i="2"/>
  <c r="T219" i="2"/>
  <c r="S219" i="2"/>
  <c r="R219" i="2"/>
  <c r="Q219" i="2"/>
  <c r="P219" i="2"/>
  <c r="O219" i="2"/>
  <c r="N219" i="2"/>
  <c r="M219" i="2"/>
  <c r="L219" i="2"/>
  <c r="K219" i="2"/>
  <c r="J219" i="2"/>
  <c r="I219" i="2"/>
  <c r="H219" i="2"/>
  <c r="G219" i="2"/>
  <c r="F219" i="2"/>
  <c r="E219" i="2"/>
  <c r="D219" i="2"/>
  <c r="C219" i="2"/>
  <c r="AL218" i="2"/>
  <c r="AK218" i="2"/>
  <c r="AJ218" i="2"/>
  <c r="AI218" i="2"/>
  <c r="AH218" i="2"/>
  <c r="AG218" i="2"/>
  <c r="AF218" i="2"/>
  <c r="AE218" i="2"/>
  <c r="AD218" i="2"/>
  <c r="AC218" i="2"/>
  <c r="AB218" i="2"/>
  <c r="AA218" i="2"/>
  <c r="Z218" i="2"/>
  <c r="Y218" i="2"/>
  <c r="X218" i="2"/>
  <c r="W218" i="2"/>
  <c r="V218" i="2"/>
  <c r="U218" i="2"/>
  <c r="T218" i="2"/>
  <c r="S218" i="2"/>
  <c r="R218" i="2"/>
  <c r="Q218" i="2"/>
  <c r="P218" i="2"/>
  <c r="O218" i="2"/>
  <c r="N218" i="2"/>
  <c r="M218" i="2"/>
  <c r="L218" i="2"/>
  <c r="K218" i="2"/>
  <c r="J218" i="2"/>
  <c r="I218" i="2"/>
  <c r="H218" i="2"/>
  <c r="G218" i="2"/>
  <c r="F218" i="2"/>
  <c r="E218" i="2"/>
  <c r="D218" i="2"/>
  <c r="C218" i="2"/>
  <c r="AL216" i="2"/>
  <c r="AK216" i="2"/>
  <c r="AJ216" i="2"/>
  <c r="AI216" i="2"/>
  <c r="AH216" i="2"/>
  <c r="AG216" i="2"/>
  <c r="AF216" i="2"/>
  <c r="AE216" i="2"/>
  <c r="AD216" i="2"/>
  <c r="AC216" i="2"/>
  <c r="AB216" i="2"/>
  <c r="AA216" i="2"/>
  <c r="Z216" i="2"/>
  <c r="Y216" i="2"/>
  <c r="X216" i="2"/>
  <c r="W216" i="2"/>
  <c r="V216" i="2"/>
  <c r="U216" i="2"/>
  <c r="T216" i="2"/>
  <c r="S216" i="2"/>
  <c r="R216" i="2"/>
  <c r="Q216" i="2"/>
  <c r="P216" i="2"/>
  <c r="O216" i="2"/>
  <c r="N216" i="2"/>
  <c r="M216" i="2"/>
  <c r="L216" i="2"/>
  <c r="K216" i="2"/>
  <c r="J216" i="2"/>
  <c r="I216" i="2"/>
  <c r="H216" i="2"/>
  <c r="G216" i="2"/>
  <c r="F216" i="2"/>
  <c r="E216" i="2"/>
  <c r="D216" i="2"/>
  <c r="C216" i="2"/>
  <c r="AL215" i="2"/>
  <c r="AK215" i="2"/>
  <c r="AJ215" i="2"/>
  <c r="AI215" i="2"/>
  <c r="AH215" i="2"/>
  <c r="AG215" i="2"/>
  <c r="AF215" i="2"/>
  <c r="AE215" i="2"/>
  <c r="AD215" i="2"/>
  <c r="AC215" i="2"/>
  <c r="AB215" i="2"/>
  <c r="AA215" i="2"/>
  <c r="Z215" i="2"/>
  <c r="Y215" i="2"/>
  <c r="X215" i="2"/>
  <c r="W215" i="2"/>
  <c r="V215" i="2"/>
  <c r="U215" i="2"/>
  <c r="T215" i="2"/>
  <c r="S215" i="2"/>
  <c r="R215" i="2"/>
  <c r="Q215" i="2"/>
  <c r="P215" i="2"/>
  <c r="O215" i="2"/>
  <c r="N215" i="2"/>
  <c r="M215" i="2"/>
  <c r="L215" i="2"/>
  <c r="K215" i="2"/>
  <c r="J215" i="2"/>
  <c r="I215" i="2"/>
  <c r="H215" i="2"/>
  <c r="G215" i="2"/>
  <c r="F215" i="2"/>
  <c r="E215" i="2"/>
  <c r="D215" i="2"/>
  <c r="C215" i="2"/>
  <c r="AL214" i="2"/>
  <c r="AK214" i="2"/>
  <c r="AJ214" i="2"/>
  <c r="AI214" i="2"/>
  <c r="AH214" i="2"/>
  <c r="AG214" i="2"/>
  <c r="AF214" i="2"/>
  <c r="AE214" i="2"/>
  <c r="AD214" i="2"/>
  <c r="AC214" i="2"/>
  <c r="AB214" i="2"/>
  <c r="AA214" i="2"/>
  <c r="Z214" i="2"/>
  <c r="Y214" i="2"/>
  <c r="X214" i="2"/>
  <c r="W214" i="2"/>
  <c r="V214" i="2"/>
  <c r="U214" i="2"/>
  <c r="T214" i="2"/>
  <c r="S214" i="2"/>
  <c r="R214" i="2"/>
  <c r="Q214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AL213" i="2"/>
  <c r="AK213" i="2"/>
  <c r="AJ213" i="2"/>
  <c r="AI213" i="2"/>
  <c r="AH213" i="2"/>
  <c r="AG213" i="2"/>
  <c r="AF213" i="2"/>
  <c r="AE213" i="2"/>
  <c r="AD213" i="2"/>
  <c r="AC213" i="2"/>
  <c r="AB213" i="2"/>
  <c r="AA213" i="2"/>
  <c r="Z213" i="2"/>
  <c r="Y213" i="2"/>
  <c r="X213" i="2"/>
  <c r="W213" i="2"/>
  <c r="V213" i="2"/>
  <c r="U213" i="2"/>
  <c r="T213" i="2"/>
  <c r="S213" i="2"/>
  <c r="R213" i="2"/>
  <c r="Q213" i="2"/>
  <c r="P213" i="2"/>
  <c r="O213" i="2"/>
  <c r="N213" i="2"/>
  <c r="M213" i="2"/>
  <c r="L213" i="2"/>
  <c r="K213" i="2"/>
  <c r="J213" i="2"/>
  <c r="I213" i="2"/>
  <c r="H213" i="2"/>
  <c r="G213" i="2"/>
  <c r="F213" i="2"/>
  <c r="E213" i="2"/>
  <c r="D213" i="2"/>
  <c r="C213" i="2"/>
  <c r="AL212" i="2"/>
  <c r="AK212" i="2"/>
  <c r="AJ212" i="2"/>
  <c r="AI212" i="2"/>
  <c r="AH212" i="2"/>
  <c r="AG212" i="2"/>
  <c r="AF212" i="2"/>
  <c r="AE212" i="2"/>
  <c r="AD212" i="2"/>
  <c r="AC212" i="2"/>
  <c r="AB212" i="2"/>
  <c r="AA212" i="2"/>
  <c r="Z212" i="2"/>
  <c r="Y212" i="2"/>
  <c r="X212" i="2"/>
  <c r="W212" i="2"/>
  <c r="V212" i="2"/>
  <c r="U212" i="2"/>
  <c r="T212" i="2"/>
  <c r="S212" i="2"/>
  <c r="R212" i="2"/>
  <c r="Q212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AL211" i="2"/>
  <c r="AK211" i="2"/>
  <c r="AJ211" i="2"/>
  <c r="AI211" i="2"/>
  <c r="AH211" i="2"/>
  <c r="AG211" i="2"/>
  <c r="AF211" i="2"/>
  <c r="AE211" i="2"/>
  <c r="AD211" i="2"/>
  <c r="AC211" i="2"/>
  <c r="AB211" i="2"/>
  <c r="AA211" i="2"/>
  <c r="Z211" i="2"/>
  <c r="Y211" i="2"/>
  <c r="X211" i="2"/>
  <c r="W211" i="2"/>
  <c r="V211" i="2"/>
  <c r="U211" i="2"/>
  <c r="T211" i="2"/>
  <c r="S211" i="2"/>
  <c r="R211" i="2"/>
  <c r="Q211" i="2"/>
  <c r="P211" i="2"/>
  <c r="O211" i="2"/>
  <c r="N211" i="2"/>
  <c r="M211" i="2"/>
  <c r="L211" i="2"/>
  <c r="K211" i="2"/>
  <c r="J211" i="2"/>
  <c r="I211" i="2"/>
  <c r="H211" i="2"/>
  <c r="G211" i="2"/>
  <c r="F211" i="2"/>
  <c r="E211" i="2"/>
  <c r="D211" i="2"/>
  <c r="C211" i="2"/>
  <c r="AL210" i="2"/>
  <c r="AK210" i="2"/>
  <c r="AJ210" i="2"/>
  <c r="AI210" i="2"/>
  <c r="AH210" i="2"/>
  <c r="AG210" i="2"/>
  <c r="AF210" i="2"/>
  <c r="AE210" i="2"/>
  <c r="AD210" i="2"/>
  <c r="AC210" i="2"/>
  <c r="AB210" i="2"/>
  <c r="AA210" i="2"/>
  <c r="Z210" i="2"/>
  <c r="Y210" i="2"/>
  <c r="X210" i="2"/>
  <c r="W210" i="2"/>
  <c r="V210" i="2"/>
  <c r="U210" i="2"/>
  <c r="T210" i="2"/>
  <c r="S210" i="2"/>
  <c r="R210" i="2"/>
  <c r="Q210" i="2"/>
  <c r="P210" i="2"/>
  <c r="O210" i="2"/>
  <c r="N210" i="2"/>
  <c r="M210" i="2"/>
  <c r="L210" i="2"/>
  <c r="K210" i="2"/>
  <c r="J210" i="2"/>
  <c r="I210" i="2"/>
  <c r="H210" i="2"/>
  <c r="G210" i="2"/>
  <c r="F210" i="2"/>
  <c r="E210" i="2"/>
  <c r="D210" i="2"/>
  <c r="C210" i="2"/>
  <c r="AL209" i="2"/>
  <c r="AK209" i="2"/>
  <c r="AJ209" i="2"/>
  <c r="AI209" i="2"/>
  <c r="AH209" i="2"/>
  <c r="AG209" i="2"/>
  <c r="AF209" i="2"/>
  <c r="AE209" i="2"/>
  <c r="AD209" i="2"/>
  <c r="AC209" i="2"/>
  <c r="AB209" i="2"/>
  <c r="AA209" i="2"/>
  <c r="Z209" i="2"/>
  <c r="Y209" i="2"/>
  <c r="X209" i="2"/>
  <c r="W209" i="2"/>
  <c r="V209" i="2"/>
  <c r="U209" i="2"/>
  <c r="T209" i="2"/>
  <c r="S209" i="2"/>
  <c r="R209" i="2"/>
  <c r="Q209" i="2"/>
  <c r="P209" i="2"/>
  <c r="O209" i="2"/>
  <c r="N209" i="2"/>
  <c r="M209" i="2"/>
  <c r="L209" i="2"/>
  <c r="K209" i="2"/>
  <c r="J209" i="2"/>
  <c r="I209" i="2"/>
  <c r="H209" i="2"/>
  <c r="G209" i="2"/>
  <c r="F209" i="2"/>
  <c r="E209" i="2"/>
  <c r="D209" i="2"/>
  <c r="C209" i="2"/>
  <c r="AL97" i="2"/>
  <c r="AK97" i="2"/>
  <c r="AJ97" i="2"/>
  <c r="AI97" i="2"/>
  <c r="AH97" i="2"/>
  <c r="AG97" i="2"/>
  <c r="AF97" i="2"/>
  <c r="AE97" i="2"/>
  <c r="AD97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AL96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AL95" i="2"/>
  <c r="AK95" i="2"/>
  <c r="AJ95" i="2"/>
  <c r="AI95" i="2"/>
  <c r="AH95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AL94" i="2"/>
  <c r="AK94" i="2"/>
  <c r="AJ94" i="2"/>
  <c r="AI94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AL93" i="2"/>
  <c r="AK93" i="2"/>
  <c r="AJ93" i="2"/>
  <c r="AI93" i="2"/>
  <c r="AH93" i="2"/>
  <c r="AG93" i="2"/>
  <c r="AF93" i="2"/>
  <c r="AE93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AL92" i="2"/>
  <c r="AK92" i="2"/>
  <c r="AJ92" i="2"/>
  <c r="AI92" i="2"/>
  <c r="AH92" i="2"/>
  <c r="AG92" i="2"/>
  <c r="AF92" i="2"/>
  <c r="AE92" i="2"/>
  <c r="AD92" i="2"/>
  <c r="AC92" i="2"/>
  <c r="AB92" i="2"/>
  <c r="AA92" i="2"/>
  <c r="Z92" i="2"/>
  <c r="Y92" i="2"/>
  <c r="X92" i="2"/>
  <c r="W92" i="2"/>
  <c r="V92" i="2"/>
  <c r="U92" i="2"/>
  <c r="T92" i="2"/>
  <c r="S92" i="2"/>
  <c r="R92" i="2"/>
  <c r="Q92" i="2"/>
  <c r="P92" i="2"/>
  <c r="O92" i="2"/>
  <c r="N92" i="2"/>
  <c r="M92" i="2"/>
  <c r="L92" i="2"/>
  <c r="K92" i="2"/>
  <c r="J92" i="2"/>
  <c r="I92" i="2"/>
  <c r="H92" i="2"/>
  <c r="G92" i="2"/>
  <c r="F92" i="2"/>
  <c r="E92" i="2"/>
  <c r="D92" i="2"/>
  <c r="C92" i="2"/>
  <c r="AL91" i="2"/>
  <c r="AK91" i="2"/>
  <c r="AJ91" i="2"/>
  <c r="AI91" i="2"/>
  <c r="AH91" i="2"/>
  <c r="AG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AL90" i="2"/>
  <c r="AK90" i="2"/>
  <c r="AJ90" i="2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AL88" i="2"/>
  <c r="AK88" i="2"/>
  <c r="AJ88" i="2"/>
  <c r="AI88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AL87" i="2"/>
  <c r="AK87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C87" i="2"/>
  <c r="AL86" i="2"/>
  <c r="AK86" i="2"/>
  <c r="AJ86" i="2"/>
  <c r="AI86" i="2"/>
  <c r="AH86" i="2"/>
  <c r="AG86" i="2"/>
  <c r="AF86" i="2"/>
  <c r="AE86" i="2"/>
  <c r="AD86" i="2"/>
  <c r="AC86" i="2"/>
  <c r="AB86" i="2"/>
  <c r="AA86" i="2"/>
  <c r="Z86" i="2"/>
  <c r="Y86" i="2"/>
  <c r="X86" i="2"/>
  <c r="W86" i="2"/>
  <c r="V86" i="2"/>
  <c r="U86" i="2"/>
  <c r="T86" i="2"/>
  <c r="S86" i="2"/>
  <c r="R86" i="2"/>
  <c r="Q86" i="2"/>
  <c r="P86" i="2"/>
  <c r="O86" i="2"/>
  <c r="N86" i="2"/>
  <c r="M86" i="2"/>
  <c r="L86" i="2"/>
  <c r="K86" i="2"/>
  <c r="J86" i="2"/>
  <c r="I86" i="2"/>
  <c r="H86" i="2"/>
  <c r="G86" i="2"/>
  <c r="F86" i="2"/>
  <c r="E86" i="2"/>
  <c r="D86" i="2"/>
  <c r="C86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AL84" i="2"/>
  <c r="AK84" i="2"/>
  <c r="AJ84" i="2"/>
  <c r="AI84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R84" i="2"/>
  <c r="Q84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AL83" i="2"/>
  <c r="AK83" i="2"/>
  <c r="AJ83" i="2"/>
  <c r="AI83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R83" i="2"/>
  <c r="Q83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AL82" i="2"/>
  <c r="AK82" i="2"/>
  <c r="AJ82" i="2"/>
  <c r="AI82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A24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A23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A14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A12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A10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7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5" i="2"/>
  <c r="AL583" i="2"/>
  <c r="AK583" i="2"/>
  <c r="AJ583" i="2"/>
  <c r="AI583" i="2"/>
  <c r="AH583" i="2"/>
  <c r="AG583" i="2"/>
  <c r="AF583" i="2"/>
  <c r="AE583" i="2"/>
  <c r="AD583" i="2"/>
  <c r="AC583" i="2"/>
  <c r="AB583" i="2"/>
  <c r="AA583" i="2"/>
  <c r="Z583" i="2"/>
  <c r="Y583" i="2"/>
  <c r="X583" i="2"/>
  <c r="W583" i="2"/>
  <c r="V583" i="2"/>
  <c r="U583" i="2"/>
  <c r="T583" i="2"/>
  <c r="S583" i="2"/>
  <c r="R583" i="2"/>
  <c r="Q583" i="2"/>
  <c r="P583" i="2"/>
  <c r="O583" i="2"/>
  <c r="N583" i="2"/>
  <c r="M583" i="2"/>
  <c r="L583" i="2"/>
  <c r="K583" i="2"/>
  <c r="J583" i="2"/>
  <c r="I583" i="2"/>
  <c r="H583" i="2"/>
  <c r="G583" i="2"/>
  <c r="F583" i="2"/>
  <c r="E583" i="2"/>
  <c r="D583" i="2"/>
  <c r="AL582" i="2"/>
  <c r="AK582" i="2"/>
  <c r="AJ582" i="2"/>
  <c r="AI582" i="2"/>
  <c r="AH582" i="2"/>
  <c r="AG582" i="2"/>
  <c r="AF582" i="2"/>
  <c r="AE582" i="2"/>
  <c r="AD582" i="2"/>
  <c r="AC582" i="2"/>
  <c r="AB582" i="2"/>
  <c r="AA582" i="2"/>
  <c r="Z582" i="2"/>
  <c r="Y582" i="2"/>
  <c r="X582" i="2"/>
  <c r="W582" i="2"/>
  <c r="V582" i="2"/>
  <c r="U582" i="2"/>
  <c r="T582" i="2"/>
  <c r="S582" i="2"/>
  <c r="R582" i="2"/>
  <c r="Q582" i="2"/>
  <c r="P582" i="2"/>
  <c r="O582" i="2"/>
  <c r="N582" i="2"/>
  <c r="M582" i="2"/>
  <c r="L582" i="2"/>
  <c r="K582" i="2"/>
  <c r="J582" i="2"/>
  <c r="I582" i="2"/>
  <c r="H582" i="2"/>
  <c r="G582" i="2"/>
  <c r="F582" i="2"/>
  <c r="E582" i="2"/>
  <c r="D582" i="2"/>
  <c r="AL581" i="2"/>
  <c r="AK581" i="2"/>
  <c r="AJ581" i="2"/>
  <c r="AI581" i="2"/>
  <c r="AH581" i="2"/>
  <c r="AG581" i="2"/>
  <c r="AF581" i="2"/>
  <c r="AE581" i="2"/>
  <c r="AD581" i="2"/>
  <c r="AC581" i="2"/>
  <c r="AB581" i="2"/>
  <c r="AA581" i="2"/>
  <c r="Z581" i="2"/>
  <c r="Y581" i="2"/>
  <c r="X581" i="2"/>
  <c r="W581" i="2"/>
  <c r="V581" i="2"/>
  <c r="U581" i="2"/>
  <c r="T581" i="2"/>
  <c r="S581" i="2"/>
  <c r="R581" i="2"/>
  <c r="Q581" i="2"/>
  <c r="P581" i="2"/>
  <c r="O581" i="2"/>
  <c r="N581" i="2"/>
  <c r="M581" i="2"/>
  <c r="L581" i="2"/>
  <c r="K581" i="2"/>
  <c r="J581" i="2"/>
  <c r="I581" i="2"/>
  <c r="H581" i="2"/>
  <c r="G581" i="2"/>
  <c r="F581" i="2"/>
  <c r="E581" i="2"/>
  <c r="D581" i="2"/>
  <c r="AL580" i="2"/>
  <c r="AK580" i="2"/>
  <c r="AJ580" i="2"/>
  <c r="AI580" i="2"/>
  <c r="AH580" i="2"/>
  <c r="AG580" i="2"/>
  <c r="AF580" i="2"/>
  <c r="AE580" i="2"/>
  <c r="AD580" i="2"/>
  <c r="AC580" i="2"/>
  <c r="AB580" i="2"/>
  <c r="AA580" i="2"/>
  <c r="Z580" i="2"/>
  <c r="Y580" i="2"/>
  <c r="X580" i="2"/>
  <c r="W580" i="2"/>
  <c r="V580" i="2"/>
  <c r="U580" i="2"/>
  <c r="T580" i="2"/>
  <c r="S580" i="2"/>
  <c r="R580" i="2"/>
  <c r="Q580" i="2"/>
  <c r="P580" i="2"/>
  <c r="O580" i="2"/>
  <c r="N580" i="2"/>
  <c r="M580" i="2"/>
  <c r="L580" i="2"/>
  <c r="K580" i="2"/>
  <c r="J580" i="2"/>
  <c r="I580" i="2"/>
  <c r="H580" i="2"/>
  <c r="G580" i="2"/>
  <c r="F580" i="2"/>
  <c r="E580" i="2"/>
  <c r="D580" i="2"/>
  <c r="AL579" i="2"/>
  <c r="AK579" i="2"/>
  <c r="AJ579" i="2"/>
  <c r="AI579" i="2"/>
  <c r="AH579" i="2"/>
  <c r="AG579" i="2"/>
  <c r="AF579" i="2"/>
  <c r="AE579" i="2"/>
  <c r="AD579" i="2"/>
  <c r="AC579" i="2"/>
  <c r="AB579" i="2"/>
  <c r="AA579" i="2"/>
  <c r="Z579" i="2"/>
  <c r="Y579" i="2"/>
  <c r="X579" i="2"/>
  <c r="W579" i="2"/>
  <c r="V579" i="2"/>
  <c r="U579" i="2"/>
  <c r="T579" i="2"/>
  <c r="S579" i="2"/>
  <c r="R579" i="2"/>
  <c r="Q579" i="2"/>
  <c r="P579" i="2"/>
  <c r="O579" i="2"/>
  <c r="N579" i="2"/>
  <c r="M579" i="2"/>
  <c r="L579" i="2"/>
  <c r="K579" i="2"/>
  <c r="J579" i="2"/>
  <c r="I579" i="2"/>
  <c r="H579" i="2"/>
  <c r="G579" i="2"/>
  <c r="F579" i="2"/>
  <c r="E579" i="2"/>
  <c r="D579" i="2"/>
  <c r="AL578" i="2"/>
  <c r="AK578" i="2"/>
  <c r="AJ578" i="2"/>
  <c r="AI578" i="2"/>
  <c r="AH578" i="2"/>
  <c r="AG578" i="2"/>
  <c r="AF578" i="2"/>
  <c r="AE578" i="2"/>
  <c r="AD578" i="2"/>
  <c r="AC578" i="2"/>
  <c r="AB578" i="2"/>
  <c r="AA578" i="2"/>
  <c r="Z578" i="2"/>
  <c r="Y578" i="2"/>
  <c r="X578" i="2"/>
  <c r="W578" i="2"/>
  <c r="V578" i="2"/>
  <c r="U578" i="2"/>
  <c r="T578" i="2"/>
  <c r="S578" i="2"/>
  <c r="R578" i="2"/>
  <c r="Q578" i="2"/>
  <c r="P578" i="2"/>
  <c r="O578" i="2"/>
  <c r="N578" i="2"/>
  <c r="M578" i="2"/>
  <c r="L578" i="2"/>
  <c r="K578" i="2"/>
  <c r="J578" i="2"/>
  <c r="I578" i="2"/>
  <c r="H578" i="2"/>
  <c r="G578" i="2"/>
  <c r="F578" i="2"/>
  <c r="E578" i="2"/>
  <c r="D578" i="2"/>
  <c r="AL577" i="2"/>
  <c r="AK577" i="2"/>
  <c r="AJ577" i="2"/>
  <c r="AI577" i="2"/>
  <c r="AH577" i="2"/>
  <c r="AG577" i="2"/>
  <c r="AF577" i="2"/>
  <c r="AE577" i="2"/>
  <c r="AD577" i="2"/>
  <c r="AC577" i="2"/>
  <c r="AB577" i="2"/>
  <c r="AA577" i="2"/>
  <c r="Z577" i="2"/>
  <c r="Y577" i="2"/>
  <c r="X577" i="2"/>
  <c r="W577" i="2"/>
  <c r="V577" i="2"/>
  <c r="U577" i="2"/>
  <c r="T577" i="2"/>
  <c r="S577" i="2"/>
  <c r="R577" i="2"/>
  <c r="Q577" i="2"/>
  <c r="P577" i="2"/>
  <c r="O577" i="2"/>
  <c r="N577" i="2"/>
  <c r="M577" i="2"/>
  <c r="L577" i="2"/>
  <c r="K577" i="2"/>
  <c r="J577" i="2"/>
  <c r="I577" i="2"/>
  <c r="H577" i="2"/>
  <c r="G577" i="2"/>
  <c r="F577" i="2"/>
  <c r="E577" i="2"/>
  <c r="D577" i="2"/>
  <c r="AL576" i="2"/>
  <c r="AK576" i="2"/>
  <c r="AJ576" i="2"/>
  <c r="AI576" i="2"/>
  <c r="AH576" i="2"/>
  <c r="AG576" i="2"/>
  <c r="AF576" i="2"/>
  <c r="AE576" i="2"/>
  <c r="AD576" i="2"/>
  <c r="AC576" i="2"/>
  <c r="AB576" i="2"/>
  <c r="AA576" i="2"/>
  <c r="Z576" i="2"/>
  <c r="Y576" i="2"/>
  <c r="X576" i="2"/>
  <c r="W576" i="2"/>
  <c r="V576" i="2"/>
  <c r="U576" i="2"/>
  <c r="T576" i="2"/>
  <c r="S576" i="2"/>
  <c r="R576" i="2"/>
  <c r="Q576" i="2"/>
  <c r="P576" i="2"/>
  <c r="O576" i="2"/>
  <c r="N576" i="2"/>
  <c r="M576" i="2"/>
  <c r="L576" i="2"/>
  <c r="K576" i="2"/>
  <c r="J576" i="2"/>
  <c r="I576" i="2"/>
  <c r="H576" i="2"/>
  <c r="G576" i="2"/>
  <c r="F576" i="2"/>
  <c r="E576" i="2"/>
  <c r="D576" i="2"/>
  <c r="AL575" i="2"/>
  <c r="AK575" i="2"/>
  <c r="AJ575" i="2"/>
  <c r="AI575" i="2"/>
  <c r="AH575" i="2"/>
  <c r="AG575" i="2"/>
  <c r="AF575" i="2"/>
  <c r="AE575" i="2"/>
  <c r="AD575" i="2"/>
  <c r="AC575" i="2"/>
  <c r="AB575" i="2"/>
  <c r="AA575" i="2"/>
  <c r="Z575" i="2"/>
  <c r="Y575" i="2"/>
  <c r="X575" i="2"/>
  <c r="W575" i="2"/>
  <c r="V575" i="2"/>
  <c r="U575" i="2"/>
  <c r="T575" i="2"/>
  <c r="S575" i="2"/>
  <c r="R575" i="2"/>
  <c r="Q575" i="2"/>
  <c r="P575" i="2"/>
  <c r="O575" i="2"/>
  <c r="N575" i="2"/>
  <c r="M575" i="2"/>
  <c r="L575" i="2"/>
  <c r="K575" i="2"/>
  <c r="J575" i="2"/>
  <c r="I575" i="2"/>
  <c r="H575" i="2"/>
  <c r="G575" i="2"/>
  <c r="F575" i="2"/>
  <c r="E575" i="2"/>
  <c r="D575" i="2"/>
  <c r="AL574" i="2"/>
  <c r="AK574" i="2"/>
  <c r="AJ574" i="2"/>
  <c r="AI574" i="2"/>
  <c r="AH574" i="2"/>
  <c r="AG574" i="2"/>
  <c r="AF574" i="2"/>
  <c r="AE574" i="2"/>
  <c r="AD574" i="2"/>
  <c r="AC574" i="2"/>
  <c r="AB574" i="2"/>
  <c r="AA574" i="2"/>
  <c r="Z574" i="2"/>
  <c r="Y574" i="2"/>
  <c r="X574" i="2"/>
  <c r="W574" i="2"/>
  <c r="V574" i="2"/>
  <c r="U574" i="2"/>
  <c r="T574" i="2"/>
  <c r="S574" i="2"/>
  <c r="R574" i="2"/>
  <c r="Q574" i="2"/>
  <c r="P574" i="2"/>
  <c r="O574" i="2"/>
  <c r="N574" i="2"/>
  <c r="M574" i="2"/>
  <c r="L574" i="2"/>
  <c r="K574" i="2"/>
  <c r="J574" i="2"/>
  <c r="I574" i="2"/>
  <c r="H574" i="2"/>
  <c r="G574" i="2"/>
  <c r="F574" i="2"/>
  <c r="E574" i="2"/>
  <c r="D574" i="2"/>
  <c r="AL573" i="2"/>
  <c r="AK573" i="2"/>
  <c r="AJ573" i="2"/>
  <c r="AI573" i="2"/>
  <c r="AH573" i="2"/>
  <c r="AG573" i="2"/>
  <c r="AF573" i="2"/>
  <c r="AE573" i="2"/>
  <c r="AD573" i="2"/>
  <c r="AC573" i="2"/>
  <c r="AB573" i="2"/>
  <c r="AA573" i="2"/>
  <c r="Z573" i="2"/>
  <c r="Y573" i="2"/>
  <c r="X573" i="2"/>
  <c r="W573" i="2"/>
  <c r="V573" i="2"/>
  <c r="U573" i="2"/>
  <c r="T573" i="2"/>
  <c r="S573" i="2"/>
  <c r="R573" i="2"/>
  <c r="Q573" i="2"/>
  <c r="P573" i="2"/>
  <c r="O573" i="2"/>
  <c r="N573" i="2"/>
  <c r="M573" i="2"/>
  <c r="L573" i="2"/>
  <c r="K573" i="2"/>
  <c r="J573" i="2"/>
  <c r="I573" i="2"/>
  <c r="H573" i="2"/>
  <c r="G573" i="2"/>
  <c r="F573" i="2"/>
  <c r="E573" i="2"/>
  <c r="D573" i="2"/>
  <c r="AL572" i="2"/>
  <c r="AK572" i="2"/>
  <c r="AJ572" i="2"/>
  <c r="AI572" i="2"/>
  <c r="AH572" i="2"/>
  <c r="AG572" i="2"/>
  <c r="AF572" i="2"/>
  <c r="AE572" i="2"/>
  <c r="AD572" i="2"/>
  <c r="AC572" i="2"/>
  <c r="AB572" i="2"/>
  <c r="AA572" i="2"/>
  <c r="Z572" i="2"/>
  <c r="Y572" i="2"/>
  <c r="X572" i="2"/>
  <c r="W572" i="2"/>
  <c r="V572" i="2"/>
  <c r="U572" i="2"/>
  <c r="T572" i="2"/>
  <c r="S572" i="2"/>
  <c r="R572" i="2"/>
  <c r="Q572" i="2"/>
  <c r="P572" i="2"/>
  <c r="O572" i="2"/>
  <c r="N572" i="2"/>
  <c r="M572" i="2"/>
  <c r="L572" i="2"/>
  <c r="K572" i="2"/>
  <c r="J572" i="2"/>
  <c r="I572" i="2"/>
  <c r="H572" i="2"/>
  <c r="G572" i="2"/>
  <c r="F572" i="2"/>
  <c r="E572" i="2"/>
  <c r="D572" i="2"/>
  <c r="C572" i="2"/>
  <c r="C573" i="2"/>
  <c r="C574" i="2"/>
  <c r="C575" i="2"/>
  <c r="C576" i="2"/>
  <c r="C577" i="2"/>
  <c r="C581" i="2"/>
  <c r="C580" i="2"/>
  <c r="C583" i="2"/>
  <c r="C582" i="2"/>
  <c r="C579" i="2"/>
  <c r="C578" i="2"/>
  <c r="I319" i="2" l="1"/>
  <c r="H319" i="2"/>
  <c r="G319" i="2"/>
  <c r="I318" i="2"/>
  <c r="H318" i="2"/>
  <c r="G318" i="2"/>
  <c r="I317" i="2"/>
  <c r="H317" i="2"/>
  <c r="G317" i="2"/>
  <c r="I316" i="2"/>
  <c r="H316" i="2"/>
  <c r="G316" i="2"/>
  <c r="I315" i="2"/>
  <c r="H315" i="2"/>
  <c r="G315" i="2"/>
  <c r="I314" i="2"/>
  <c r="H314" i="2"/>
  <c r="G314" i="2"/>
  <c r="I313" i="2"/>
  <c r="H313" i="2"/>
  <c r="G313" i="2"/>
  <c r="C296" i="2"/>
  <c r="AK298" i="2" l="1"/>
  <c r="AI296" i="2"/>
  <c r="S296" i="2"/>
  <c r="E298" i="2"/>
  <c r="K296" i="2"/>
  <c r="U298" i="2"/>
  <c r="AA296" i="2"/>
  <c r="E293" i="2"/>
  <c r="M293" i="2"/>
  <c r="U293" i="2"/>
  <c r="AC293" i="2"/>
  <c r="AK293" i="2"/>
  <c r="J294" i="2"/>
  <c r="R294" i="2"/>
  <c r="C304" i="2" s="1"/>
  <c r="Z294" i="2"/>
  <c r="AH294" i="2"/>
  <c r="G295" i="2"/>
  <c r="O295" i="2"/>
  <c r="W295" i="2"/>
  <c r="AE295" i="2"/>
  <c r="D296" i="2"/>
  <c r="L296" i="2"/>
  <c r="T296" i="2"/>
  <c r="AB296" i="2"/>
  <c r="D306" i="2" s="1"/>
  <c r="AJ296" i="2"/>
  <c r="I297" i="2"/>
  <c r="Q297" i="2"/>
  <c r="Y297" i="2"/>
  <c r="AG297" i="2"/>
  <c r="F298" i="2"/>
  <c r="N298" i="2"/>
  <c r="V298" i="2"/>
  <c r="AD298" i="2"/>
  <c r="AL298" i="2"/>
  <c r="E308" i="2" s="1"/>
  <c r="K299" i="2"/>
  <c r="S299" i="2"/>
  <c r="AA299" i="2"/>
  <c r="AI299" i="2"/>
  <c r="AF293" i="2"/>
  <c r="O296" i="2"/>
  <c r="L297" i="2"/>
  <c r="Q298" i="2"/>
  <c r="N299" i="2"/>
  <c r="X293" i="2"/>
  <c r="Z295" i="2"/>
  <c r="G296" i="2"/>
  <c r="D297" i="2"/>
  <c r="I298" i="2"/>
  <c r="V299" i="2"/>
  <c r="H293" i="2"/>
  <c r="R295" i="2"/>
  <c r="C305" i="2" s="1"/>
  <c r="W296" i="2"/>
  <c r="T297" i="2"/>
  <c r="AJ297" i="2"/>
  <c r="AG298" i="2"/>
  <c r="AL299" i="2"/>
  <c r="E309" i="2" s="1"/>
  <c r="P293" i="2"/>
  <c r="J295" i="2"/>
  <c r="AH295" i="2"/>
  <c r="AE296" i="2"/>
  <c r="AB297" i="2"/>
  <c r="D307" i="2" s="1"/>
  <c r="Y298" i="2"/>
  <c r="F299" i="2"/>
  <c r="AD299" i="2"/>
  <c r="K294" i="2"/>
  <c r="S294" i="2"/>
  <c r="AA294" i="2"/>
  <c r="E296" i="2"/>
  <c r="AC296" i="2"/>
  <c r="AK296" i="2"/>
  <c r="O293" i="2"/>
  <c r="L294" i="2"/>
  <c r="I295" i="2"/>
  <c r="AL296" i="2"/>
  <c r="E306" i="2" s="1"/>
  <c r="AE293" i="2"/>
  <c r="AB294" i="2"/>
  <c r="D304" i="2" s="1"/>
  <c r="Y295" i="2"/>
  <c r="N296" i="2"/>
  <c r="W293" i="2"/>
  <c r="T294" i="2"/>
  <c r="Q295" i="2"/>
  <c r="AD296" i="2"/>
  <c r="G293" i="2"/>
  <c r="D294" i="2"/>
  <c r="AJ294" i="2"/>
  <c r="AG295" i="2"/>
  <c r="F296" i="2"/>
  <c r="V296" i="2"/>
  <c r="K297" i="2"/>
  <c r="S297" i="2"/>
  <c r="AA297" i="2"/>
  <c r="AI297" i="2"/>
  <c r="H298" i="2"/>
  <c r="P298" i="2"/>
  <c r="X298" i="2"/>
  <c r="AF298" i="2"/>
  <c r="E299" i="2"/>
  <c r="M299" i="2"/>
  <c r="U299" i="2"/>
  <c r="AC299" i="2"/>
  <c r="AK299" i="2"/>
  <c r="Y293" i="2"/>
  <c r="AD294" i="2"/>
  <c r="X296" i="2"/>
  <c r="AK297" i="2"/>
  <c r="AE299" i="2"/>
  <c r="G294" i="2"/>
  <c r="I296" i="2"/>
  <c r="Q293" i="2"/>
  <c r="V294" i="2"/>
  <c r="AI295" i="2"/>
  <c r="AC297" i="2"/>
  <c r="R298" i="2"/>
  <c r="C308" i="2" s="1"/>
  <c r="O299" i="2"/>
  <c r="Z293" i="2"/>
  <c r="W294" i="2"/>
  <c r="AB295" i="2"/>
  <c r="D305" i="2" s="1"/>
  <c r="AG296" i="2"/>
  <c r="V297" i="2"/>
  <c r="H299" i="2"/>
  <c r="K293" i="2"/>
  <c r="S293" i="2"/>
  <c r="AA293" i="2"/>
  <c r="AI293" i="2"/>
  <c r="H294" i="2"/>
  <c r="P294" i="2"/>
  <c r="X294" i="2"/>
  <c r="AF294" i="2"/>
  <c r="E295" i="2"/>
  <c r="M295" i="2"/>
  <c r="U295" i="2"/>
  <c r="AC295" i="2"/>
  <c r="AK295" i="2"/>
  <c r="J296" i="2"/>
  <c r="R296" i="2"/>
  <c r="C306" i="2" s="1"/>
  <c r="Z296" i="2"/>
  <c r="AH296" i="2"/>
  <c r="G297" i="2"/>
  <c r="O297" i="2"/>
  <c r="W297" i="2"/>
  <c r="AE297" i="2"/>
  <c r="D298" i="2"/>
  <c r="L298" i="2"/>
  <c r="T298" i="2"/>
  <c r="AB298" i="2"/>
  <c r="D308" i="2" s="1"/>
  <c r="AJ298" i="2"/>
  <c r="I299" i="2"/>
  <c r="Q299" i="2"/>
  <c r="Y299" i="2"/>
  <c r="AG299" i="2"/>
  <c r="M298" i="2"/>
  <c r="AC298" i="2"/>
  <c r="F294" i="2"/>
  <c r="K295" i="2"/>
  <c r="P296" i="2"/>
  <c r="E297" i="2"/>
  <c r="AH298" i="2"/>
  <c r="O294" i="2"/>
  <c r="T295" i="2"/>
  <c r="Q296" i="2"/>
  <c r="AL297" i="2"/>
  <c r="E307" i="2" s="1"/>
  <c r="S295" i="2"/>
  <c r="AF296" i="2"/>
  <c r="J298" i="2"/>
  <c r="W299" i="2"/>
  <c r="AH293" i="2"/>
  <c r="L295" i="2"/>
  <c r="Y296" i="2"/>
  <c r="AD297" i="2"/>
  <c r="X299" i="2"/>
  <c r="AI294" i="2"/>
  <c r="M296" i="2"/>
  <c r="U296" i="2"/>
  <c r="I293" i="2"/>
  <c r="N294" i="2"/>
  <c r="AA295" i="2"/>
  <c r="M297" i="2"/>
  <c r="Z298" i="2"/>
  <c r="J293" i="2"/>
  <c r="D295" i="2"/>
  <c r="N297" i="2"/>
  <c r="AF299" i="2"/>
  <c r="AG293" i="2"/>
  <c r="AL294" i="2"/>
  <c r="E304" i="2" s="1"/>
  <c r="H296" i="2"/>
  <c r="U297" i="2"/>
  <c r="G299" i="2"/>
  <c r="R293" i="2"/>
  <c r="C303" i="2" s="1"/>
  <c r="AE294" i="2"/>
  <c r="AJ295" i="2"/>
  <c r="F297" i="2"/>
  <c r="P299" i="2"/>
  <c r="D293" i="2"/>
  <c r="L293" i="2"/>
  <c r="T293" i="2"/>
  <c r="AB293" i="2"/>
  <c r="D303" i="2" s="1"/>
  <c r="AJ293" i="2"/>
  <c r="I294" i="2"/>
  <c r="Q294" i="2"/>
  <c r="Y294" i="2"/>
  <c r="AG294" i="2"/>
  <c r="F295" i="2"/>
  <c r="N295" i="2"/>
  <c r="V295" i="2"/>
  <c r="AD295" i="2"/>
  <c r="AL295" i="2"/>
  <c r="E305" i="2" s="1"/>
  <c r="H297" i="2"/>
  <c r="P297" i="2"/>
  <c r="X297" i="2"/>
  <c r="AF297" i="2"/>
  <c r="J299" i="2"/>
  <c r="R299" i="2"/>
  <c r="C309" i="2" s="1"/>
  <c r="Z299" i="2"/>
  <c r="AH299" i="2"/>
  <c r="AD293" i="2"/>
  <c r="P295" i="2"/>
  <c r="X295" i="2"/>
  <c r="AF295" i="2"/>
  <c r="J297" i="2"/>
  <c r="R297" i="2"/>
  <c r="C307" i="2" s="1"/>
  <c r="Z297" i="2"/>
  <c r="AH297" i="2"/>
  <c r="G298" i="2"/>
  <c r="O298" i="2"/>
  <c r="W298" i="2"/>
  <c r="AE298" i="2"/>
  <c r="D299" i="2"/>
  <c r="L299" i="2"/>
  <c r="T299" i="2"/>
  <c r="AB299" i="2"/>
  <c r="D309" i="2" s="1"/>
  <c r="AJ299" i="2"/>
  <c r="F293" i="2"/>
  <c r="AL293" i="2"/>
  <c r="E303" i="2" s="1"/>
  <c r="H295" i="2"/>
  <c r="E294" i="2"/>
  <c r="M294" i="2"/>
  <c r="U294" i="2"/>
  <c r="AC294" i="2"/>
  <c r="AK294" i="2"/>
  <c r="V293" i="2"/>
  <c r="N293" i="2"/>
  <c r="K298" i="2"/>
  <c r="S298" i="2"/>
  <c r="AA298" i="2"/>
  <c r="AI298" i="2"/>
  <c r="C294" i="2" l="1"/>
  <c r="I168" i="2"/>
  <c r="H168" i="2"/>
  <c r="G168" i="2"/>
  <c r="I167" i="2"/>
  <c r="H167" i="2"/>
  <c r="G167" i="2"/>
  <c r="I166" i="2"/>
  <c r="H166" i="2"/>
  <c r="G166" i="2"/>
  <c r="I165" i="2"/>
  <c r="H165" i="2"/>
  <c r="G165" i="2"/>
  <c r="I164" i="2"/>
  <c r="H164" i="2"/>
  <c r="G164" i="2"/>
  <c r="I163" i="2"/>
  <c r="H163" i="2"/>
  <c r="G163" i="2"/>
  <c r="I162" i="2"/>
  <c r="H162" i="2"/>
  <c r="G162" i="2"/>
  <c r="I117" i="2"/>
  <c r="H117" i="2"/>
  <c r="G117" i="2"/>
  <c r="I116" i="2"/>
  <c r="H116" i="2"/>
  <c r="G116" i="2"/>
  <c r="I115" i="2"/>
  <c r="H115" i="2"/>
  <c r="G115" i="2"/>
  <c r="I114" i="2"/>
  <c r="H114" i="2"/>
  <c r="G114" i="2"/>
  <c r="I113" i="2"/>
  <c r="H113" i="2"/>
  <c r="G113" i="2"/>
  <c r="I112" i="2"/>
  <c r="H112" i="2"/>
  <c r="G112" i="2"/>
  <c r="I111" i="2"/>
  <c r="H111" i="2"/>
  <c r="G111" i="2"/>
  <c r="AC228" i="2" l="1"/>
  <c r="AK228" i="2"/>
  <c r="U228" i="2"/>
  <c r="R229" i="2"/>
  <c r="C239" i="2" s="1"/>
  <c r="AH229" i="2"/>
  <c r="M228" i="2"/>
  <c r="J229" i="2"/>
  <c r="E228" i="2"/>
  <c r="Z229" i="2"/>
  <c r="X228" i="2"/>
  <c r="G231" i="2"/>
  <c r="D232" i="2"/>
  <c r="AB232" i="2"/>
  <c r="D242" i="2" s="1"/>
  <c r="Y233" i="2"/>
  <c r="V234" i="2"/>
  <c r="G230" i="2"/>
  <c r="O230" i="2"/>
  <c r="W230" i="2"/>
  <c r="AE230" i="2"/>
  <c r="D231" i="2"/>
  <c r="L231" i="2"/>
  <c r="T231" i="2"/>
  <c r="AB231" i="2"/>
  <c r="D241" i="2" s="1"/>
  <c r="AJ231" i="2"/>
  <c r="I232" i="2"/>
  <c r="Q232" i="2"/>
  <c r="Y232" i="2"/>
  <c r="AG232" i="2"/>
  <c r="F233" i="2"/>
  <c r="N233" i="2"/>
  <c r="V233" i="2"/>
  <c r="AD233" i="2"/>
  <c r="AL233" i="2"/>
  <c r="E243" i="2" s="1"/>
  <c r="K234" i="2"/>
  <c r="S234" i="2"/>
  <c r="AA234" i="2"/>
  <c r="AI234" i="2"/>
  <c r="O231" i="2"/>
  <c r="AG233" i="2"/>
  <c r="Z230" i="2"/>
  <c r="F234" i="2"/>
  <c r="P228" i="2"/>
  <c r="R230" i="2"/>
  <c r="C240" i="2" s="1"/>
  <c r="AE231" i="2"/>
  <c r="T232" i="2"/>
  <c r="AJ232" i="2"/>
  <c r="N234" i="2"/>
  <c r="AF228" i="2"/>
  <c r="AH230" i="2"/>
  <c r="L232" i="2"/>
  <c r="Q233" i="2"/>
  <c r="AL234" i="2"/>
  <c r="E244" i="2" s="1"/>
  <c r="H228" i="2"/>
  <c r="J230" i="2"/>
  <c r="W231" i="2"/>
  <c r="I233" i="2"/>
  <c r="AD234" i="2"/>
  <c r="K229" i="2"/>
  <c r="AI229" i="2"/>
  <c r="E231" i="2"/>
  <c r="I228" i="2"/>
  <c r="F229" i="2"/>
  <c r="AL229" i="2"/>
  <c r="E239" i="2" s="1"/>
  <c r="H231" i="2"/>
  <c r="AF231" i="2"/>
  <c r="K231" i="2"/>
  <c r="AI231" i="2"/>
  <c r="E233" i="2"/>
  <c r="M233" i="2"/>
  <c r="AC233" i="2"/>
  <c r="Q228" i="2"/>
  <c r="N229" i="2"/>
  <c r="K230" i="2"/>
  <c r="AI230" i="2"/>
  <c r="X231" i="2"/>
  <c r="AG228" i="2"/>
  <c r="AD229" i="2"/>
  <c r="AA230" i="2"/>
  <c r="E232" i="2"/>
  <c r="Y228" i="2"/>
  <c r="V229" i="2"/>
  <c r="S230" i="2"/>
  <c r="P231" i="2"/>
  <c r="S229" i="2"/>
  <c r="M231" i="2"/>
  <c r="AC231" i="2"/>
  <c r="AK231" i="2"/>
  <c r="G228" i="2"/>
  <c r="O228" i="2"/>
  <c r="W228" i="2"/>
  <c r="AE228" i="2"/>
  <c r="D229" i="2"/>
  <c r="L229" i="2"/>
  <c r="T229" i="2"/>
  <c r="AB229" i="2"/>
  <c r="D239" i="2" s="1"/>
  <c r="AJ229" i="2"/>
  <c r="I230" i="2"/>
  <c r="Q230" i="2"/>
  <c r="Y230" i="2"/>
  <c r="AG230" i="2"/>
  <c r="F231" i="2"/>
  <c r="N231" i="2"/>
  <c r="V231" i="2"/>
  <c r="AD231" i="2"/>
  <c r="AL231" i="2"/>
  <c r="E241" i="2" s="1"/>
  <c r="K232" i="2"/>
  <c r="S232" i="2"/>
  <c r="AA232" i="2"/>
  <c r="AI232" i="2"/>
  <c r="H233" i="2"/>
  <c r="P233" i="2"/>
  <c r="X233" i="2"/>
  <c r="AF233" i="2"/>
  <c r="E234" i="2"/>
  <c r="M234" i="2"/>
  <c r="U234" i="2"/>
  <c r="AC234" i="2"/>
  <c r="AK234" i="2"/>
  <c r="AA228" i="2"/>
  <c r="E230" i="2"/>
  <c r="R231" i="2"/>
  <c r="C241" i="2" s="1"/>
  <c r="D233" i="2"/>
  <c r="Y234" i="2"/>
  <c r="H229" i="2"/>
  <c r="U230" i="2"/>
  <c r="Z231" i="2"/>
  <c r="O232" i="2"/>
  <c r="T233" i="2"/>
  <c r="AJ233" i="2"/>
  <c r="M232" i="2"/>
  <c r="U232" i="2"/>
  <c r="AC232" i="2"/>
  <c r="AK232" i="2"/>
  <c r="J233" i="2"/>
  <c r="R233" i="2"/>
  <c r="C243" i="2" s="1"/>
  <c r="Z233" i="2"/>
  <c r="AH233" i="2"/>
  <c r="G234" i="2"/>
  <c r="O234" i="2"/>
  <c r="W234" i="2"/>
  <c r="AE234" i="2"/>
  <c r="C229" i="2"/>
  <c r="K233" i="2"/>
  <c r="S233" i="2"/>
  <c r="AA233" i="2"/>
  <c r="AI233" i="2"/>
  <c r="C231" i="2"/>
  <c r="AF229" i="2"/>
  <c r="J231" i="2"/>
  <c r="G232" i="2"/>
  <c r="AB233" i="2"/>
  <c r="D243" i="2" s="1"/>
  <c r="S231" i="2"/>
  <c r="AA231" i="2"/>
  <c r="U233" i="2"/>
  <c r="AK233" i="2"/>
  <c r="S228" i="2"/>
  <c r="X229" i="2"/>
  <c r="AK230" i="2"/>
  <c r="AE232" i="2"/>
  <c r="Q234" i="2"/>
  <c r="AA229" i="2"/>
  <c r="U231" i="2"/>
  <c r="K228" i="2"/>
  <c r="P229" i="2"/>
  <c r="AC230" i="2"/>
  <c r="W232" i="2"/>
  <c r="I234" i="2"/>
  <c r="AI228" i="2"/>
  <c r="M230" i="2"/>
  <c r="AH231" i="2"/>
  <c r="L233" i="2"/>
  <c r="AG234" i="2"/>
  <c r="D228" i="2"/>
  <c r="L228" i="2"/>
  <c r="T228" i="2"/>
  <c r="AB228" i="2"/>
  <c r="D238" i="2" s="1"/>
  <c r="AJ228" i="2"/>
  <c r="I229" i="2"/>
  <c r="Q229" i="2"/>
  <c r="Y229" i="2"/>
  <c r="AG229" i="2"/>
  <c r="F230" i="2"/>
  <c r="N230" i="2"/>
  <c r="V230" i="2"/>
  <c r="AD230" i="2"/>
  <c r="AL230" i="2"/>
  <c r="E240" i="2" s="1"/>
  <c r="H232" i="2"/>
  <c r="P232" i="2"/>
  <c r="X232" i="2"/>
  <c r="AF232" i="2"/>
  <c r="J234" i="2"/>
  <c r="R234" i="2"/>
  <c r="C244" i="2" s="1"/>
  <c r="Z234" i="2"/>
  <c r="AH234" i="2"/>
  <c r="F228" i="2"/>
  <c r="N228" i="2"/>
  <c r="V228" i="2"/>
  <c r="AD228" i="2"/>
  <c r="AL228" i="2"/>
  <c r="E238" i="2" s="1"/>
  <c r="H230" i="2"/>
  <c r="P230" i="2"/>
  <c r="X230" i="2"/>
  <c r="AF230" i="2"/>
  <c r="J232" i="2"/>
  <c r="R232" i="2"/>
  <c r="C242" i="2" s="1"/>
  <c r="Z232" i="2"/>
  <c r="AH232" i="2"/>
  <c r="G233" i="2"/>
  <c r="O233" i="2"/>
  <c r="W233" i="2"/>
  <c r="AE233" i="2"/>
  <c r="D234" i="2"/>
  <c r="L234" i="2"/>
  <c r="T234" i="2"/>
  <c r="AB234" i="2"/>
  <c r="D244" i="2" s="1"/>
  <c r="AJ234" i="2"/>
  <c r="E229" i="2"/>
  <c r="M229" i="2"/>
  <c r="U229" i="2"/>
  <c r="AC229" i="2"/>
  <c r="AK229" i="2"/>
  <c r="J228" i="2"/>
  <c r="R228" i="2"/>
  <c r="C238" i="2" s="1"/>
  <c r="Z228" i="2"/>
  <c r="AH228" i="2"/>
  <c r="G229" i="2"/>
  <c r="O229" i="2"/>
  <c r="W229" i="2"/>
  <c r="AE229" i="2"/>
  <c r="D230" i="2"/>
  <c r="L230" i="2"/>
  <c r="T230" i="2"/>
  <c r="AB230" i="2"/>
  <c r="D240" i="2" s="1"/>
  <c r="AJ230" i="2"/>
  <c r="I231" i="2"/>
  <c r="Q231" i="2"/>
  <c r="Y231" i="2"/>
  <c r="AG231" i="2"/>
  <c r="F232" i="2"/>
  <c r="N232" i="2"/>
  <c r="V232" i="2"/>
  <c r="AD232" i="2"/>
  <c r="AL232" i="2"/>
  <c r="E242" i="2" s="1"/>
  <c r="H234" i="2"/>
  <c r="P234" i="2"/>
  <c r="X234" i="2"/>
  <c r="AF234" i="2"/>
  <c r="T203" i="2"/>
  <c r="Q204" i="2"/>
  <c r="AG204" i="2"/>
  <c r="AA206" i="2"/>
  <c r="AI206" i="2"/>
  <c r="AG202" i="2"/>
  <c r="Q202" i="2"/>
  <c r="D201" i="2"/>
  <c r="W203" i="2"/>
  <c r="AJ201" i="2"/>
  <c r="L201" i="2"/>
  <c r="T201" i="2"/>
  <c r="AB201" i="2"/>
  <c r="Y202" i="2"/>
  <c r="K204" i="2"/>
  <c r="AA204" i="2"/>
  <c r="AI204" i="2"/>
  <c r="K202" i="2"/>
  <c r="S202" i="2"/>
  <c r="AA202" i="2"/>
  <c r="AI202" i="2"/>
  <c r="G203" i="2"/>
  <c r="O203" i="2"/>
  <c r="AE203" i="2"/>
  <c r="C202" i="2"/>
  <c r="G201" i="2"/>
  <c r="O201" i="2"/>
  <c r="W201" i="2"/>
  <c r="AE201" i="2"/>
  <c r="H206" i="2"/>
  <c r="P206" i="2"/>
  <c r="X206" i="2"/>
  <c r="Y204" i="2"/>
  <c r="I202" i="2"/>
  <c r="S204" i="2"/>
  <c r="D203" i="2"/>
  <c r="L203" i="2"/>
  <c r="AB203" i="2"/>
  <c r="AJ203" i="2"/>
  <c r="I204" i="2"/>
  <c r="K206" i="2"/>
  <c r="S206" i="2"/>
  <c r="AB202" i="2"/>
  <c r="Q203" i="2"/>
  <c r="N204" i="2"/>
  <c r="AD204" i="2"/>
  <c r="AL204" i="2"/>
  <c r="K205" i="2"/>
  <c r="S205" i="2"/>
  <c r="AA205" i="2"/>
  <c r="AI205" i="2"/>
  <c r="H204" i="2"/>
  <c r="P204" i="2"/>
  <c r="X204" i="2"/>
  <c r="AF204" i="2"/>
  <c r="E205" i="2"/>
  <c r="M205" i="2"/>
  <c r="U205" i="2"/>
  <c r="AC205" i="2"/>
  <c r="AK205" i="2"/>
  <c r="G207" i="2"/>
  <c r="O207" i="2"/>
  <c r="W207" i="2"/>
  <c r="AE207" i="2"/>
  <c r="C204" i="2"/>
  <c r="H202" i="2"/>
  <c r="P202" i="2"/>
  <c r="X202" i="2"/>
  <c r="AF202" i="2"/>
  <c r="E203" i="2"/>
  <c r="M203" i="2"/>
  <c r="U203" i="2"/>
  <c r="AC203" i="2"/>
  <c r="AK203" i="2"/>
  <c r="G205" i="2"/>
  <c r="O205" i="2"/>
  <c r="W205" i="2"/>
  <c r="AE205" i="2"/>
  <c r="H201" i="2"/>
  <c r="P201" i="2"/>
  <c r="X201" i="2"/>
  <c r="AF201" i="2"/>
  <c r="E202" i="2"/>
  <c r="M202" i="2"/>
  <c r="U202" i="2"/>
  <c r="AC202" i="2"/>
  <c r="AK202" i="2"/>
  <c r="J203" i="2"/>
  <c r="R203" i="2"/>
  <c r="Z203" i="2"/>
  <c r="AH203" i="2"/>
  <c r="G204" i="2"/>
  <c r="O204" i="2"/>
  <c r="W204" i="2"/>
  <c r="AE204" i="2"/>
  <c r="D205" i="2"/>
  <c r="L205" i="2"/>
  <c r="T205" i="2"/>
  <c r="AB205" i="2"/>
  <c r="AJ205" i="2"/>
  <c r="I206" i="2"/>
  <c r="Q206" i="2"/>
  <c r="Y206" i="2"/>
  <c r="AG206" i="2"/>
  <c r="F207" i="2"/>
  <c r="N207" i="2"/>
  <c r="V207" i="2"/>
  <c r="AD207" i="2"/>
  <c r="AL207" i="2"/>
  <c r="L202" i="2"/>
  <c r="Y203" i="2"/>
  <c r="I201" i="2"/>
  <c r="Q201" i="2"/>
  <c r="Y201" i="2"/>
  <c r="AG201" i="2"/>
  <c r="F202" i="2"/>
  <c r="N202" i="2"/>
  <c r="V202" i="2"/>
  <c r="AD202" i="2"/>
  <c r="AL202" i="2"/>
  <c r="K203" i="2"/>
  <c r="S203" i="2"/>
  <c r="AA203" i="2"/>
  <c r="AI203" i="2"/>
  <c r="J206" i="2"/>
  <c r="R206" i="2"/>
  <c r="Z206" i="2"/>
  <c r="AH206" i="2"/>
  <c r="T202" i="2"/>
  <c r="AG203" i="2"/>
  <c r="J201" i="2"/>
  <c r="R201" i="2"/>
  <c r="Z201" i="2"/>
  <c r="AH201" i="2"/>
  <c r="G202" i="2"/>
  <c r="O202" i="2"/>
  <c r="W202" i="2"/>
  <c r="AE202" i="2"/>
  <c r="F205" i="2"/>
  <c r="N205" i="2"/>
  <c r="V205" i="2"/>
  <c r="AD205" i="2"/>
  <c r="AL205" i="2"/>
  <c r="H207" i="2"/>
  <c r="P207" i="2"/>
  <c r="X207" i="2"/>
  <c r="AF207" i="2"/>
  <c r="AJ202" i="2"/>
  <c r="F204" i="2"/>
  <c r="K201" i="2"/>
  <c r="S201" i="2"/>
  <c r="AA201" i="2"/>
  <c r="AI201" i="2"/>
  <c r="J204" i="2"/>
  <c r="R204" i="2"/>
  <c r="Z204" i="2"/>
  <c r="AH204" i="2"/>
  <c r="D206" i="2"/>
  <c r="L206" i="2"/>
  <c r="T206" i="2"/>
  <c r="AB206" i="2"/>
  <c r="AJ206" i="2"/>
  <c r="I207" i="2"/>
  <c r="Q207" i="2"/>
  <c r="Y207" i="2"/>
  <c r="AG207" i="2"/>
  <c r="D202" i="2"/>
  <c r="I203" i="2"/>
  <c r="V204" i="2"/>
  <c r="F203" i="2"/>
  <c r="N203" i="2"/>
  <c r="V203" i="2"/>
  <c r="AD203" i="2"/>
  <c r="AL203" i="2"/>
  <c r="H205" i="2"/>
  <c r="P205" i="2"/>
  <c r="X205" i="2"/>
  <c r="AF205" i="2"/>
  <c r="E206" i="2"/>
  <c r="M206" i="2"/>
  <c r="U206" i="2"/>
  <c r="AC206" i="2"/>
  <c r="AK206" i="2"/>
  <c r="J207" i="2"/>
  <c r="R207" i="2"/>
  <c r="Z207" i="2"/>
  <c r="AH207" i="2"/>
  <c r="E201" i="2"/>
  <c r="M201" i="2"/>
  <c r="U201" i="2"/>
  <c r="AC201" i="2"/>
  <c r="AK201" i="2"/>
  <c r="J202" i="2"/>
  <c r="R202" i="2"/>
  <c r="Z202" i="2"/>
  <c r="AH202" i="2"/>
  <c r="D204" i="2"/>
  <c r="L204" i="2"/>
  <c r="T204" i="2"/>
  <c r="AB204" i="2"/>
  <c r="AJ204" i="2"/>
  <c r="I205" i="2"/>
  <c r="Q205" i="2"/>
  <c r="Y205" i="2"/>
  <c r="AG205" i="2"/>
  <c r="F206" i="2"/>
  <c r="N206" i="2"/>
  <c r="V206" i="2"/>
  <c r="AD206" i="2"/>
  <c r="AL206" i="2"/>
  <c r="K207" i="2"/>
  <c r="S207" i="2"/>
  <c r="AA207" i="2"/>
  <c r="AI207" i="2"/>
  <c r="AF206" i="2"/>
  <c r="E207" i="2"/>
  <c r="M207" i="2"/>
  <c r="U207" i="2"/>
  <c r="AC207" i="2"/>
  <c r="AK207" i="2"/>
  <c r="F201" i="2"/>
  <c r="N201" i="2"/>
  <c r="V201" i="2"/>
  <c r="AD201" i="2"/>
  <c r="AL201" i="2"/>
  <c r="H203" i="2"/>
  <c r="P203" i="2"/>
  <c r="X203" i="2"/>
  <c r="AF203" i="2"/>
  <c r="E204" i="2"/>
  <c r="M204" i="2"/>
  <c r="U204" i="2"/>
  <c r="AC204" i="2"/>
  <c r="AK204" i="2"/>
  <c r="J205" i="2"/>
  <c r="R205" i="2"/>
  <c r="Z205" i="2"/>
  <c r="AH205" i="2"/>
  <c r="G206" i="2"/>
  <c r="O206" i="2"/>
  <c r="W206" i="2"/>
  <c r="AE206" i="2"/>
  <c r="D207" i="2"/>
  <c r="L207" i="2"/>
  <c r="T207" i="2"/>
  <c r="AB207" i="2"/>
  <c r="AJ207" i="2"/>
  <c r="E155" i="2"/>
  <c r="E152" i="2"/>
  <c r="C156" i="2"/>
  <c r="D156" i="2"/>
  <c r="E158" i="2"/>
  <c r="C153" i="2"/>
  <c r="D155" i="2"/>
  <c r="E157" i="2"/>
  <c r="C157" i="2"/>
  <c r="E153" i="2"/>
  <c r="C155" i="2"/>
  <c r="D157" i="2"/>
  <c r="D152" i="2"/>
  <c r="E154" i="2"/>
  <c r="C158" i="2"/>
  <c r="D153" i="2"/>
  <c r="C154" i="2"/>
  <c r="C152" i="2"/>
  <c r="D154" i="2"/>
  <c r="E156" i="2"/>
  <c r="D158" i="2"/>
  <c r="E102" i="2"/>
  <c r="D102" i="2"/>
  <c r="E104" i="2"/>
  <c r="E105" i="2"/>
  <c r="D101" i="2"/>
  <c r="C104" i="2"/>
  <c r="C103" i="2"/>
  <c r="D105" i="2"/>
  <c r="C102" i="2"/>
  <c r="D104" i="2"/>
  <c r="E106" i="2"/>
  <c r="E101" i="2"/>
  <c r="C105" i="2"/>
  <c r="D107" i="2"/>
  <c r="E107" i="2"/>
  <c r="C106" i="2"/>
  <c r="C101" i="2"/>
  <c r="D103" i="2"/>
  <c r="D106" i="2"/>
  <c r="E103" i="2"/>
  <c r="C107" i="2"/>
  <c r="C232" i="2" l="1"/>
  <c r="I161" i="2" l="1"/>
  <c r="H161" i="2"/>
  <c r="G161" i="2"/>
  <c r="C295" i="2"/>
  <c r="C293" i="2"/>
  <c r="I312" i="2"/>
  <c r="H312" i="2"/>
  <c r="G312" i="2"/>
  <c r="C297" i="2"/>
  <c r="C298" i="2"/>
  <c r="C299" i="2"/>
  <c r="C234" i="2"/>
  <c r="I110" i="2"/>
  <c r="H110" i="2"/>
  <c r="G110" i="2"/>
  <c r="D319" i="2" l="1"/>
  <c r="D313" i="2"/>
  <c r="D314" i="2"/>
  <c r="D318" i="2"/>
  <c r="D315" i="2"/>
  <c r="D317" i="2"/>
  <c r="D316" i="2"/>
  <c r="E315" i="2"/>
  <c r="E313" i="2"/>
  <c r="E317" i="2"/>
  <c r="E319" i="2"/>
  <c r="E316" i="2"/>
  <c r="E318" i="2"/>
  <c r="E314" i="2"/>
  <c r="C319" i="2"/>
  <c r="C314" i="2"/>
  <c r="C313" i="2"/>
  <c r="C316" i="2"/>
  <c r="C317" i="2"/>
  <c r="C318" i="2"/>
  <c r="C315" i="2"/>
  <c r="D168" i="2"/>
  <c r="D165" i="2"/>
  <c r="D166" i="2"/>
  <c r="D164" i="2"/>
  <c r="D162" i="2"/>
  <c r="D163" i="2"/>
  <c r="D167" i="2"/>
  <c r="C162" i="2"/>
  <c r="C163" i="2"/>
  <c r="C165" i="2"/>
  <c r="C167" i="2"/>
  <c r="C164" i="2"/>
  <c r="C168" i="2"/>
  <c r="C166" i="2"/>
  <c r="E166" i="2"/>
  <c r="E168" i="2"/>
  <c r="E163" i="2"/>
  <c r="E162" i="2"/>
  <c r="E167" i="2"/>
  <c r="E164" i="2"/>
  <c r="E165" i="2"/>
  <c r="C113" i="2"/>
  <c r="C115" i="2"/>
  <c r="C111" i="2"/>
  <c r="C114" i="2"/>
  <c r="C112" i="2"/>
  <c r="C116" i="2"/>
  <c r="C117" i="2"/>
  <c r="D117" i="2"/>
  <c r="D115" i="2"/>
  <c r="D113" i="2"/>
  <c r="D114" i="2"/>
  <c r="D116" i="2"/>
  <c r="D111" i="2"/>
  <c r="D112" i="2"/>
  <c r="E113" i="2"/>
  <c r="E111" i="2"/>
  <c r="E117" i="2"/>
  <c r="E115" i="2"/>
  <c r="E112" i="2"/>
  <c r="E114" i="2"/>
  <c r="E116" i="2"/>
  <c r="I292" i="2"/>
  <c r="Q292" i="2"/>
  <c r="Y292" i="2"/>
  <c r="AG292" i="2"/>
  <c r="J292" i="2"/>
  <c r="R292" i="2"/>
  <c r="Z292" i="2"/>
  <c r="AH292" i="2"/>
  <c r="G292" i="2"/>
  <c r="O292" i="2"/>
  <c r="W292" i="2"/>
  <c r="AE292" i="2"/>
  <c r="F292" i="2"/>
  <c r="N292" i="2"/>
  <c r="V292" i="2"/>
  <c r="AD292" i="2"/>
  <c r="AL292" i="2"/>
  <c r="E292" i="2"/>
  <c r="M292" i="2"/>
  <c r="U292" i="2"/>
  <c r="AC292" i="2"/>
  <c r="AK292" i="2"/>
  <c r="K292" i="2"/>
  <c r="S292" i="2"/>
  <c r="AA292" i="2"/>
  <c r="AI292" i="2"/>
  <c r="D292" i="2"/>
  <c r="L292" i="2"/>
  <c r="T292" i="2"/>
  <c r="AB292" i="2"/>
  <c r="AJ292" i="2"/>
  <c r="H292" i="2"/>
  <c r="P292" i="2"/>
  <c r="X292" i="2"/>
  <c r="AF292" i="2"/>
  <c r="H227" i="2"/>
  <c r="P227" i="2"/>
  <c r="X227" i="2"/>
  <c r="I227" i="2"/>
  <c r="Q227" i="2"/>
  <c r="Y227" i="2"/>
  <c r="AG227" i="2"/>
  <c r="E227" i="2"/>
  <c r="M227" i="2"/>
  <c r="U227" i="2"/>
  <c r="AC227" i="2"/>
  <c r="AK227" i="2"/>
  <c r="AF227" i="2"/>
  <c r="K227" i="2"/>
  <c r="S227" i="2"/>
  <c r="AA227" i="2"/>
  <c r="AI227" i="2"/>
  <c r="G227" i="2"/>
  <c r="O227" i="2"/>
  <c r="W227" i="2"/>
  <c r="AE227" i="2"/>
  <c r="C228" i="2"/>
  <c r="C233" i="2"/>
  <c r="F227" i="2"/>
  <c r="N227" i="2"/>
  <c r="V227" i="2"/>
  <c r="AD227" i="2"/>
  <c r="AL227" i="2"/>
  <c r="J227" i="2"/>
  <c r="R227" i="2"/>
  <c r="Z227" i="2"/>
  <c r="AH227" i="2"/>
  <c r="D227" i="2"/>
  <c r="L227" i="2"/>
  <c r="T227" i="2"/>
  <c r="AB227" i="2"/>
  <c r="AJ227" i="2"/>
  <c r="C230" i="2"/>
  <c r="F200" i="2"/>
  <c r="N200" i="2"/>
  <c r="V200" i="2"/>
  <c r="AD200" i="2"/>
  <c r="AL200" i="2"/>
  <c r="C203" i="2"/>
  <c r="H200" i="2"/>
  <c r="P200" i="2"/>
  <c r="X200" i="2"/>
  <c r="AF200" i="2"/>
  <c r="C207" i="2"/>
  <c r="G200" i="2"/>
  <c r="O200" i="2"/>
  <c r="W200" i="2"/>
  <c r="AE200" i="2"/>
  <c r="C201" i="2"/>
  <c r="I200" i="2"/>
  <c r="Q200" i="2"/>
  <c r="Y200" i="2"/>
  <c r="AG200" i="2"/>
  <c r="C206" i="2"/>
  <c r="J200" i="2"/>
  <c r="R200" i="2"/>
  <c r="Z200" i="2"/>
  <c r="AH200" i="2"/>
  <c r="K200" i="2"/>
  <c r="S200" i="2"/>
  <c r="AA200" i="2"/>
  <c r="AI200" i="2"/>
  <c r="C205" i="2"/>
  <c r="D200" i="2"/>
  <c r="L200" i="2"/>
  <c r="T200" i="2"/>
  <c r="AB200" i="2"/>
  <c r="AJ200" i="2"/>
  <c r="E200" i="2"/>
  <c r="M200" i="2"/>
  <c r="U200" i="2"/>
  <c r="AC200" i="2"/>
  <c r="AK200" i="2"/>
  <c r="C227" i="2"/>
  <c r="E174" i="2"/>
  <c r="E172" i="2"/>
  <c r="E176" i="2"/>
  <c r="E173" i="2"/>
  <c r="E175" i="2"/>
  <c r="E177" i="2"/>
  <c r="C172" i="2"/>
  <c r="C175" i="2"/>
  <c r="C173" i="2"/>
  <c r="C174" i="2"/>
  <c r="C176" i="2"/>
  <c r="C177" i="2"/>
  <c r="D177" i="2"/>
  <c r="D176" i="2"/>
  <c r="D174" i="2"/>
  <c r="D172" i="2"/>
  <c r="D175" i="2"/>
  <c r="D173" i="2"/>
  <c r="C122" i="2"/>
  <c r="C125" i="2"/>
  <c r="C121" i="2"/>
  <c r="C124" i="2"/>
  <c r="C123" i="2"/>
  <c r="C126" i="2"/>
  <c r="D126" i="2"/>
  <c r="D122" i="2"/>
  <c r="D124" i="2"/>
  <c r="D123" i="2"/>
  <c r="D125" i="2"/>
  <c r="D121" i="2"/>
  <c r="E123" i="2"/>
  <c r="E122" i="2"/>
  <c r="E124" i="2"/>
  <c r="E121" i="2"/>
  <c r="E125" i="2"/>
  <c r="E126" i="2"/>
  <c r="C120" i="2"/>
  <c r="C100" i="2"/>
  <c r="C110" i="2" s="1"/>
  <c r="C171" i="2"/>
  <c r="D100" i="2"/>
  <c r="D110" i="2" s="1"/>
  <c r="D120" i="2"/>
  <c r="D171" i="2"/>
  <c r="E100" i="2"/>
  <c r="E110" i="2" s="1"/>
  <c r="E120" i="2"/>
  <c r="E171" i="2"/>
  <c r="C151" i="2"/>
  <c r="C161" i="2" s="1"/>
  <c r="D151" i="2"/>
  <c r="D161" i="2" s="1"/>
  <c r="I680" i="2"/>
  <c r="Q680" i="2"/>
  <c r="Y680" i="2"/>
  <c r="AG680" i="2"/>
  <c r="I682" i="2"/>
  <c r="Q682" i="2"/>
  <c r="Y682" i="2"/>
  <c r="AG682" i="2"/>
  <c r="E681" i="2"/>
  <c r="H681" i="2"/>
  <c r="M681" i="2"/>
  <c r="U681" i="2"/>
  <c r="AC681" i="2"/>
  <c r="AK681" i="2"/>
  <c r="AL682" i="2" l="1"/>
  <c r="AD682" i="2"/>
  <c r="V682" i="2"/>
  <c r="N682" i="2"/>
  <c r="F682" i="2"/>
  <c r="AL680" i="2"/>
  <c r="AD680" i="2"/>
  <c r="V680" i="2"/>
  <c r="N680" i="2"/>
  <c r="F680" i="2"/>
  <c r="AK682" i="2"/>
  <c r="AC682" i="2"/>
  <c r="U682" i="2"/>
  <c r="M682" i="2"/>
  <c r="E682" i="2"/>
  <c r="X681" i="2"/>
  <c r="AF681" i="2"/>
  <c r="P681" i="2"/>
  <c r="AI682" i="2"/>
  <c r="AA682" i="2"/>
  <c r="S682" i="2"/>
  <c r="K682" i="2"/>
  <c r="C682" i="2"/>
  <c r="AI680" i="2"/>
  <c r="AA680" i="2"/>
  <c r="S680" i="2"/>
  <c r="K680" i="2"/>
  <c r="C680" i="2"/>
  <c r="AF682" i="2"/>
  <c r="X682" i="2"/>
  <c r="P682" i="2"/>
  <c r="H682" i="2"/>
  <c r="AF680" i="2"/>
  <c r="X680" i="2"/>
  <c r="P680" i="2"/>
  <c r="H680" i="2"/>
  <c r="AJ683" i="2"/>
  <c r="AB683" i="2"/>
  <c r="T683" i="2"/>
  <c r="L683" i="2"/>
  <c r="D683" i="2"/>
  <c r="AJ682" i="2"/>
  <c r="AB682" i="2"/>
  <c r="T682" i="2"/>
  <c r="L682" i="2"/>
  <c r="D682" i="2"/>
  <c r="AJ680" i="2"/>
  <c r="AB680" i="2"/>
  <c r="T680" i="2"/>
  <c r="L680" i="2"/>
  <c r="D680" i="2"/>
  <c r="AI683" i="2"/>
  <c r="AA683" i="2"/>
  <c r="S683" i="2"/>
  <c r="K683" i="2"/>
  <c r="C683" i="2"/>
  <c r="AE681" i="2"/>
  <c r="W681" i="2"/>
  <c r="O681" i="2"/>
  <c r="G681" i="2"/>
  <c r="AH683" i="2"/>
  <c r="Z683" i="2"/>
  <c r="R683" i="2"/>
  <c r="J683" i="2"/>
  <c r="AL681" i="2"/>
  <c r="AD681" i="2"/>
  <c r="V681" i="2"/>
  <c r="N681" i="2"/>
  <c r="F681" i="2"/>
  <c r="AH682" i="2"/>
  <c r="Z682" i="2"/>
  <c r="R682" i="2"/>
  <c r="J682" i="2"/>
  <c r="AH680" i="2"/>
  <c r="Z680" i="2"/>
  <c r="R680" i="2"/>
  <c r="J680" i="2"/>
  <c r="AG683" i="2"/>
  <c r="Y683" i="2"/>
  <c r="Q683" i="2"/>
  <c r="I683" i="2"/>
  <c r="AF683" i="2"/>
  <c r="X683" i="2"/>
  <c r="P683" i="2"/>
  <c r="H683" i="2"/>
  <c r="AJ681" i="2"/>
  <c r="AB681" i="2"/>
  <c r="T681" i="2"/>
  <c r="L681" i="2"/>
  <c r="D681" i="2"/>
  <c r="AE683" i="2"/>
  <c r="W683" i="2"/>
  <c r="O683" i="2"/>
  <c r="G683" i="2"/>
  <c r="AI681" i="2"/>
  <c r="AA681" i="2"/>
  <c r="S681" i="2"/>
  <c r="K681" i="2"/>
  <c r="C681" i="2"/>
  <c r="AE682" i="2"/>
  <c r="W682" i="2"/>
  <c r="O682" i="2"/>
  <c r="G682" i="2"/>
  <c r="AE680" i="2"/>
  <c r="W680" i="2"/>
  <c r="O680" i="2"/>
  <c r="G680" i="2"/>
  <c r="AL683" i="2"/>
  <c r="AD683" i="2"/>
  <c r="V683" i="2"/>
  <c r="N683" i="2"/>
  <c r="F683" i="2"/>
  <c r="AH681" i="2"/>
  <c r="Z681" i="2"/>
  <c r="R681" i="2"/>
  <c r="J681" i="2"/>
  <c r="AK683" i="2"/>
  <c r="AC683" i="2"/>
  <c r="U683" i="2"/>
  <c r="M683" i="2"/>
  <c r="E683" i="2"/>
  <c r="AG681" i="2"/>
  <c r="Y681" i="2"/>
  <c r="Q681" i="2"/>
  <c r="I681" i="2"/>
  <c r="AK680" i="2"/>
  <c r="AC680" i="2"/>
  <c r="U680" i="2"/>
  <c r="M680" i="2"/>
  <c r="E680" i="2"/>
  <c r="C660" i="2"/>
  <c r="G660" i="2"/>
  <c r="O660" i="2"/>
  <c r="W660" i="2"/>
  <c r="AE660" i="2"/>
  <c r="K664" i="2"/>
  <c r="F661" i="2" l="1"/>
  <c r="AF664" i="2"/>
  <c r="X664" i="2"/>
  <c r="P664" i="2"/>
  <c r="H664" i="2"/>
  <c r="AF660" i="2"/>
  <c r="X660" i="2"/>
  <c r="P660" i="2"/>
  <c r="H660" i="2"/>
  <c r="C663" i="2"/>
  <c r="AH663" i="2"/>
  <c r="R663" i="2"/>
  <c r="Z663" i="2"/>
  <c r="J663" i="2"/>
  <c r="AI664" i="2"/>
  <c r="AA664" i="2"/>
  <c r="S664" i="2"/>
  <c r="AI660" i="2"/>
  <c r="AA660" i="2"/>
  <c r="S660" i="2"/>
  <c r="K660" i="2"/>
  <c r="AL661" i="2"/>
  <c r="AD661" i="2"/>
  <c r="V661" i="2"/>
  <c r="N661" i="2"/>
  <c r="AG661" i="2"/>
  <c r="Y661" i="2"/>
  <c r="Q661" i="2"/>
  <c r="I661" i="2"/>
  <c r="AG664" i="2"/>
  <c r="Y664" i="2"/>
  <c r="Q664" i="2"/>
  <c r="I664" i="2"/>
  <c r="AK663" i="2"/>
  <c r="AC663" i="2"/>
  <c r="U663" i="2"/>
  <c r="M663" i="2"/>
  <c r="E663" i="2"/>
  <c r="AK661" i="2"/>
  <c r="AC661" i="2"/>
  <c r="U661" i="2"/>
  <c r="M661" i="2"/>
  <c r="E661" i="2"/>
  <c r="AG660" i="2"/>
  <c r="Y660" i="2"/>
  <c r="Q660" i="2"/>
  <c r="I660" i="2"/>
  <c r="AJ663" i="2"/>
  <c r="AB663" i="2"/>
  <c r="T663" i="2"/>
  <c r="L663" i="2"/>
  <c r="D663" i="2"/>
  <c r="AE664" i="2"/>
  <c r="W664" i="2"/>
  <c r="O664" i="2"/>
  <c r="G664" i="2"/>
  <c r="AI663" i="2"/>
  <c r="AA663" i="2"/>
  <c r="S663" i="2"/>
  <c r="K663" i="2"/>
  <c r="AI661" i="2"/>
  <c r="AA661" i="2"/>
  <c r="S661" i="2"/>
  <c r="K661" i="2"/>
  <c r="AL664" i="2"/>
  <c r="AD664" i="2"/>
  <c r="V664" i="2"/>
  <c r="N664" i="2"/>
  <c r="F664" i="2"/>
  <c r="AH661" i="2"/>
  <c r="Z661" i="2"/>
  <c r="R661" i="2"/>
  <c r="J661" i="2"/>
  <c r="AL660" i="2"/>
  <c r="AD660" i="2"/>
  <c r="V660" i="2"/>
  <c r="N660" i="2"/>
  <c r="F660" i="2"/>
  <c r="AK664" i="2"/>
  <c r="AC664" i="2"/>
  <c r="U664" i="2"/>
  <c r="M664" i="2"/>
  <c r="E664" i="2"/>
  <c r="AG663" i="2"/>
  <c r="Y663" i="2"/>
  <c r="Q663" i="2"/>
  <c r="I663" i="2"/>
  <c r="AK660" i="2"/>
  <c r="AC660" i="2"/>
  <c r="U660" i="2"/>
  <c r="M660" i="2"/>
  <c r="E660" i="2"/>
  <c r="AJ661" i="2"/>
  <c r="AB661" i="2"/>
  <c r="T661" i="2"/>
  <c r="L661" i="2"/>
  <c r="D661" i="2"/>
  <c r="AJ664" i="2"/>
  <c r="AB664" i="2"/>
  <c r="T664" i="2"/>
  <c r="L664" i="2"/>
  <c r="D664" i="2"/>
  <c r="AF663" i="2"/>
  <c r="X663" i="2"/>
  <c r="P663" i="2"/>
  <c r="H663" i="2"/>
  <c r="AF661" i="2"/>
  <c r="X661" i="2"/>
  <c r="P661" i="2"/>
  <c r="H661" i="2"/>
  <c r="AJ660" i="2"/>
  <c r="AB660" i="2"/>
  <c r="T660" i="2"/>
  <c r="L660" i="2"/>
  <c r="D660" i="2"/>
  <c r="C664" i="2"/>
  <c r="AE663" i="2"/>
  <c r="W663" i="2"/>
  <c r="O663" i="2"/>
  <c r="G663" i="2"/>
  <c r="AE661" i="2"/>
  <c r="W661" i="2"/>
  <c r="O661" i="2"/>
  <c r="G661" i="2"/>
  <c r="AH664" i="2"/>
  <c r="Z664" i="2"/>
  <c r="R664" i="2"/>
  <c r="J664" i="2"/>
  <c r="AL663" i="2"/>
  <c r="AD663" i="2"/>
  <c r="V663" i="2"/>
  <c r="N663" i="2"/>
  <c r="F663" i="2"/>
  <c r="AH660" i="2"/>
  <c r="Z660" i="2"/>
  <c r="R660" i="2"/>
  <c r="J660" i="2"/>
  <c r="C661" i="2"/>
  <c r="AH648" i="2"/>
  <c r="R654" i="2"/>
  <c r="M648" i="2"/>
  <c r="AJ654" i="2"/>
  <c r="AB654" i="2"/>
  <c r="T654" i="2"/>
  <c r="L654" i="2"/>
  <c r="D654" i="2"/>
  <c r="AI654" i="2"/>
  <c r="AA654" i="2"/>
  <c r="S654" i="2"/>
  <c r="K654" i="2"/>
  <c r="C654" i="2"/>
  <c r="AA641" i="2"/>
  <c r="AE635" i="2"/>
  <c r="J654" i="2"/>
  <c r="AG654" i="2"/>
  <c r="Y654" i="2"/>
  <c r="Q654" i="2"/>
  <c r="I654" i="2"/>
  <c r="AK648" i="2"/>
  <c r="AC648" i="2"/>
  <c r="U648" i="2"/>
  <c r="E648" i="2"/>
  <c r="AF654" i="2"/>
  <c r="X654" i="2"/>
  <c r="P654" i="2"/>
  <c r="H654" i="2"/>
  <c r="AE654" i="2"/>
  <c r="W654" i="2"/>
  <c r="O654" i="2"/>
  <c r="G654" i="2"/>
  <c r="Z654" i="2"/>
  <c r="AL654" i="2"/>
  <c r="AD654" i="2"/>
  <c r="V654" i="2"/>
  <c r="N654" i="2"/>
  <c r="F654" i="2"/>
  <c r="Z648" i="2"/>
  <c r="R648" i="2"/>
  <c r="J648" i="2"/>
  <c r="AH654" i="2"/>
  <c r="AK654" i="2"/>
  <c r="AC654" i="2"/>
  <c r="U654" i="2"/>
  <c r="M654" i="2"/>
  <c r="E654" i="2"/>
  <c r="AG648" i="2"/>
  <c r="Y648" i="2"/>
  <c r="Q648" i="2"/>
  <c r="I648" i="2"/>
  <c r="AI641" i="2"/>
  <c r="AL648" i="2"/>
  <c r="AD648" i="2"/>
  <c r="V648" i="2"/>
  <c r="N648" i="2"/>
  <c r="F648" i="2"/>
  <c r="S641" i="2"/>
  <c r="W648" i="2"/>
  <c r="G635" i="2"/>
  <c r="AJ648" i="2"/>
  <c r="AB648" i="2"/>
  <c r="T648" i="2"/>
  <c r="L648" i="2"/>
  <c r="D648" i="2"/>
  <c r="AE648" i="2"/>
  <c r="AI648" i="2"/>
  <c r="AA648" i="2"/>
  <c r="S648" i="2"/>
  <c r="K648" i="2"/>
  <c r="C648" i="2"/>
  <c r="C635" i="2"/>
  <c r="G648" i="2"/>
  <c r="O635" i="2"/>
  <c r="O648" i="2"/>
  <c r="W635" i="2"/>
  <c r="K641" i="2"/>
  <c r="AF648" i="2"/>
  <c r="X648" i="2"/>
  <c r="P648" i="2"/>
  <c r="H648" i="2"/>
  <c r="AF635" i="2"/>
  <c r="X635" i="2"/>
  <c r="P635" i="2"/>
  <c r="H635" i="2"/>
  <c r="AK641" i="2"/>
  <c r="AC641" i="2"/>
  <c r="U641" i="2"/>
  <c r="M641" i="2"/>
  <c r="E641" i="2"/>
  <c r="AG635" i="2"/>
  <c r="Y635" i="2"/>
  <c r="Q635" i="2"/>
  <c r="I635" i="2"/>
  <c r="AH641" i="2"/>
  <c r="Z641" i="2"/>
  <c r="R641" i="2"/>
  <c r="J641" i="2"/>
  <c r="AL635" i="2"/>
  <c r="AD635" i="2"/>
  <c r="V635" i="2"/>
  <c r="N635" i="2"/>
  <c r="F635" i="2"/>
  <c r="AG641" i="2"/>
  <c r="Y641" i="2"/>
  <c r="Q641" i="2"/>
  <c r="I641" i="2"/>
  <c r="AK635" i="2"/>
  <c r="AC635" i="2"/>
  <c r="U635" i="2"/>
  <c r="M635" i="2"/>
  <c r="E635" i="2"/>
  <c r="E662" i="2" s="1"/>
  <c r="AJ641" i="2"/>
  <c r="AB641" i="2"/>
  <c r="T641" i="2"/>
  <c r="L641" i="2"/>
  <c r="AF641" i="2"/>
  <c r="X641" i="2"/>
  <c r="P641" i="2"/>
  <c r="H641" i="2"/>
  <c r="AJ635" i="2"/>
  <c r="AB635" i="2"/>
  <c r="T635" i="2"/>
  <c r="L635" i="2"/>
  <c r="D635" i="2"/>
  <c r="C641" i="2"/>
  <c r="AE641" i="2"/>
  <c r="W641" i="2"/>
  <c r="O641" i="2"/>
  <c r="G641" i="2"/>
  <c r="AI635" i="2"/>
  <c r="AI662" i="2" s="1"/>
  <c r="AA635" i="2"/>
  <c r="S635" i="2"/>
  <c r="S662" i="2" s="1"/>
  <c r="K635" i="2"/>
  <c r="D641" i="2"/>
  <c r="AL641" i="2"/>
  <c r="AD641" i="2"/>
  <c r="V641" i="2"/>
  <c r="N641" i="2"/>
  <c r="F641" i="2"/>
  <c r="AH635" i="2"/>
  <c r="Z635" i="2"/>
  <c r="R635" i="2"/>
  <c r="J635" i="2"/>
  <c r="AE630" i="2"/>
  <c r="AL607" i="2"/>
  <c r="AD607" i="2"/>
  <c r="V607" i="2"/>
  <c r="N607" i="2"/>
  <c r="F607" i="2"/>
  <c r="AI626" i="2"/>
  <c r="AA626" i="2"/>
  <c r="S626" i="2"/>
  <c r="K626" i="2"/>
  <c r="AE627" i="2"/>
  <c r="W627" i="2"/>
  <c r="O627" i="2"/>
  <c r="G627" i="2"/>
  <c r="AH626" i="2"/>
  <c r="Z626" i="2"/>
  <c r="R626" i="2"/>
  <c r="J626" i="2"/>
  <c r="C626" i="2"/>
  <c r="C629" i="2"/>
  <c r="AI620" i="2"/>
  <c r="AA620" i="2"/>
  <c r="S620" i="2"/>
  <c r="K620" i="2"/>
  <c r="AL620" i="2"/>
  <c r="AD620" i="2"/>
  <c r="V620" i="2"/>
  <c r="N620" i="2"/>
  <c r="F620" i="2"/>
  <c r="AK614" i="2"/>
  <c r="AC614" i="2"/>
  <c r="U614" i="2"/>
  <c r="M614" i="2"/>
  <c r="E614" i="2"/>
  <c r="AJ607" i="2"/>
  <c r="AB607" i="2"/>
  <c r="T607" i="2"/>
  <c r="L607" i="2"/>
  <c r="D607" i="2"/>
  <c r="W630" i="2"/>
  <c r="O630" i="2"/>
  <c r="G630" i="2"/>
  <c r="AH629" i="2"/>
  <c r="Z629" i="2"/>
  <c r="R629" i="2"/>
  <c r="J629" i="2"/>
  <c r="AL627" i="2"/>
  <c r="AD627" i="2"/>
  <c r="V627" i="2"/>
  <c r="N627" i="2"/>
  <c r="F627" i="2"/>
  <c r="AG626" i="2"/>
  <c r="Y626" i="2"/>
  <c r="Q626" i="2"/>
  <c r="I626" i="2"/>
  <c r="AE629" i="2"/>
  <c r="W629" i="2"/>
  <c r="O629" i="2"/>
  <c r="G629" i="2"/>
  <c r="AL626" i="2"/>
  <c r="AD626" i="2"/>
  <c r="V626" i="2"/>
  <c r="N626" i="2"/>
  <c r="F626" i="2"/>
  <c r="AG630" i="2"/>
  <c r="Y630" i="2"/>
  <c r="Q630" i="2"/>
  <c r="I630" i="2"/>
  <c r="AJ629" i="2"/>
  <c r="AB629" i="2"/>
  <c r="T629" i="2"/>
  <c r="L629" i="2"/>
  <c r="D629" i="2"/>
  <c r="AF627" i="2"/>
  <c r="X627" i="2"/>
  <c r="P627" i="2"/>
  <c r="H627" i="2"/>
  <c r="C630" i="2"/>
  <c r="AL630" i="2"/>
  <c r="AD630" i="2"/>
  <c r="V630" i="2"/>
  <c r="N630" i="2"/>
  <c r="F630" i="2"/>
  <c r="AG629" i="2"/>
  <c r="Y629" i="2"/>
  <c r="Q629" i="2"/>
  <c r="I629" i="2"/>
  <c r="AK627" i="2"/>
  <c r="AC627" i="2"/>
  <c r="U627" i="2"/>
  <c r="M627" i="2"/>
  <c r="E627" i="2"/>
  <c r="AF626" i="2"/>
  <c r="X626" i="2"/>
  <c r="P626" i="2"/>
  <c r="H626" i="2"/>
  <c r="AJ627" i="2"/>
  <c r="AB627" i="2"/>
  <c r="T627" i="2"/>
  <c r="L627" i="2"/>
  <c r="D627" i="2"/>
  <c r="AE626" i="2"/>
  <c r="W626" i="2"/>
  <c r="O626" i="2"/>
  <c r="G626" i="2"/>
  <c r="AJ630" i="2"/>
  <c r="AB630" i="2"/>
  <c r="T630" i="2"/>
  <c r="L630" i="2"/>
  <c r="D630" i="2"/>
  <c r="AI627" i="2"/>
  <c r="AA627" i="2"/>
  <c r="S627" i="2"/>
  <c r="K627" i="2"/>
  <c r="AK630" i="2"/>
  <c r="U630" i="2"/>
  <c r="E630" i="2"/>
  <c r="X629" i="2"/>
  <c r="P629" i="2"/>
  <c r="AI630" i="2"/>
  <c r="AA630" i="2"/>
  <c r="S630" i="2"/>
  <c r="K630" i="2"/>
  <c r="AL629" i="2"/>
  <c r="AD629" i="2"/>
  <c r="V629" i="2"/>
  <c r="N629" i="2"/>
  <c r="F629" i="2"/>
  <c r="AH627" i="2"/>
  <c r="Z627" i="2"/>
  <c r="R627" i="2"/>
  <c r="J627" i="2"/>
  <c r="AK626" i="2"/>
  <c r="AC626" i="2"/>
  <c r="U626" i="2"/>
  <c r="M626" i="2"/>
  <c r="E626" i="2"/>
  <c r="AC630" i="2"/>
  <c r="M630" i="2"/>
  <c r="AF629" i="2"/>
  <c r="H629" i="2"/>
  <c r="AE607" i="2"/>
  <c r="W607" i="2"/>
  <c r="O607" i="2"/>
  <c r="G607" i="2"/>
  <c r="AH630" i="2"/>
  <c r="Z630" i="2"/>
  <c r="R630" i="2"/>
  <c r="J630" i="2"/>
  <c r="AK629" i="2"/>
  <c r="AC629" i="2"/>
  <c r="U629" i="2"/>
  <c r="M629" i="2"/>
  <c r="E629" i="2"/>
  <c r="AG627" i="2"/>
  <c r="Y627" i="2"/>
  <c r="Q627" i="2"/>
  <c r="I627" i="2"/>
  <c r="AJ626" i="2"/>
  <c r="AB626" i="2"/>
  <c r="T626" i="2"/>
  <c r="L626" i="2"/>
  <c r="D626" i="2"/>
  <c r="AF630" i="2"/>
  <c r="X630" i="2"/>
  <c r="P630" i="2"/>
  <c r="H630" i="2"/>
  <c r="AI629" i="2"/>
  <c r="AA629" i="2"/>
  <c r="S629" i="2"/>
  <c r="K629" i="2"/>
  <c r="AE620" i="2"/>
  <c r="W620" i="2"/>
  <c r="O620" i="2"/>
  <c r="G620" i="2"/>
  <c r="AH607" i="2"/>
  <c r="Z607" i="2"/>
  <c r="R607" i="2"/>
  <c r="J607" i="2"/>
  <c r="AK607" i="2"/>
  <c r="AC607" i="2"/>
  <c r="U607" i="2"/>
  <c r="M607" i="2"/>
  <c r="E607" i="2"/>
  <c r="AF620" i="2"/>
  <c r="AI607" i="2"/>
  <c r="AA607" i="2"/>
  <c r="S607" i="2"/>
  <c r="K607" i="2"/>
  <c r="H620" i="2"/>
  <c r="P620" i="2"/>
  <c r="C607" i="2"/>
  <c r="AG607" i="2"/>
  <c r="Y607" i="2"/>
  <c r="Q607" i="2"/>
  <c r="I607" i="2"/>
  <c r="AF607" i="2"/>
  <c r="X607" i="2"/>
  <c r="P607" i="2"/>
  <c r="H607" i="2"/>
  <c r="X620" i="2"/>
  <c r="C627" i="2"/>
  <c r="C620" i="2"/>
  <c r="AK620" i="2"/>
  <c r="AC620" i="2"/>
  <c r="U620" i="2"/>
  <c r="M620" i="2"/>
  <c r="E620" i="2"/>
  <c r="AJ614" i="2"/>
  <c r="AB614" i="2"/>
  <c r="T614" i="2"/>
  <c r="L614" i="2"/>
  <c r="D614" i="2"/>
  <c r="AJ620" i="2"/>
  <c r="AB620" i="2"/>
  <c r="T620" i="2"/>
  <c r="L620" i="2"/>
  <c r="D620" i="2"/>
  <c r="AH620" i="2"/>
  <c r="Z620" i="2"/>
  <c r="R620" i="2"/>
  <c r="J620" i="2"/>
  <c r="C601" i="2"/>
  <c r="AG620" i="2"/>
  <c r="Y620" i="2"/>
  <c r="Q620" i="2"/>
  <c r="I620" i="2"/>
  <c r="AI614" i="2"/>
  <c r="AA614" i="2"/>
  <c r="S614" i="2"/>
  <c r="K614" i="2"/>
  <c r="AE614" i="2"/>
  <c r="W614" i="2"/>
  <c r="O614" i="2"/>
  <c r="G614" i="2"/>
  <c r="AH614" i="2"/>
  <c r="Z614" i="2"/>
  <c r="R614" i="2"/>
  <c r="J614" i="2"/>
  <c r="AH601" i="2"/>
  <c r="Z601" i="2"/>
  <c r="R601" i="2"/>
  <c r="J601" i="2"/>
  <c r="AF601" i="2"/>
  <c r="X601" i="2"/>
  <c r="P601" i="2"/>
  <c r="H601" i="2"/>
  <c r="I614" i="2"/>
  <c r="H614" i="2"/>
  <c r="Y614" i="2"/>
  <c r="P614" i="2"/>
  <c r="AG614" i="2"/>
  <c r="Q614" i="2"/>
  <c r="AF614" i="2"/>
  <c r="X614" i="2"/>
  <c r="C614" i="2"/>
  <c r="AL614" i="2"/>
  <c r="AD614" i="2"/>
  <c r="V614" i="2"/>
  <c r="N614" i="2"/>
  <c r="F614" i="2"/>
  <c r="AE601" i="2"/>
  <c r="W601" i="2"/>
  <c r="O601" i="2"/>
  <c r="G601" i="2"/>
  <c r="AK601" i="2"/>
  <c r="AC601" i="2"/>
  <c r="U601" i="2"/>
  <c r="M601" i="2"/>
  <c r="E601" i="2"/>
  <c r="AL601" i="2"/>
  <c r="AD601" i="2"/>
  <c r="V601" i="2"/>
  <c r="N601" i="2"/>
  <c r="F601" i="2"/>
  <c r="AG601" i="2"/>
  <c r="Y601" i="2"/>
  <c r="Q601" i="2"/>
  <c r="I601" i="2"/>
  <c r="AJ601" i="2"/>
  <c r="AB601" i="2"/>
  <c r="T601" i="2"/>
  <c r="L601" i="2"/>
  <c r="D601" i="2"/>
  <c r="AI601" i="2"/>
  <c r="AA601" i="2"/>
  <c r="S601" i="2"/>
  <c r="K601" i="2"/>
  <c r="AA662" i="2" l="1"/>
  <c r="K662" i="2"/>
  <c r="M662" i="2"/>
  <c r="P665" i="2"/>
  <c r="AL665" i="2"/>
  <c r="I662" i="2"/>
  <c r="AK665" i="2"/>
  <c r="AD665" i="2"/>
  <c r="AC665" i="2"/>
  <c r="X665" i="2"/>
  <c r="AH662" i="2"/>
  <c r="D662" i="2"/>
  <c r="AF665" i="2"/>
  <c r="N662" i="2"/>
  <c r="Q662" i="2"/>
  <c r="L662" i="2"/>
  <c r="AG662" i="2"/>
  <c r="G665" i="2"/>
  <c r="J665" i="2"/>
  <c r="R662" i="2"/>
  <c r="D665" i="2"/>
  <c r="AH665" i="2"/>
  <c r="V662" i="2"/>
  <c r="H662" i="2"/>
  <c r="K665" i="2"/>
  <c r="L665" i="2"/>
  <c r="Z662" i="2"/>
  <c r="T662" i="2"/>
  <c r="I665" i="2"/>
  <c r="X662" i="2"/>
  <c r="C665" i="2"/>
  <c r="O665" i="2"/>
  <c r="AJ665" i="2"/>
  <c r="U662" i="2"/>
  <c r="AJ662" i="2"/>
  <c r="AE665" i="2"/>
  <c r="F662" i="2"/>
  <c r="AC662" i="2"/>
  <c r="F665" i="2"/>
  <c r="AK662" i="2"/>
  <c r="AD662" i="2"/>
  <c r="Y662" i="2"/>
  <c r="G662" i="2"/>
  <c r="AI665" i="2"/>
  <c r="N665" i="2"/>
  <c r="T665" i="2"/>
  <c r="AL662" i="2"/>
  <c r="V665" i="2"/>
  <c r="AB662" i="2"/>
  <c r="AB665" i="2"/>
  <c r="Q665" i="2"/>
  <c r="E665" i="2"/>
  <c r="AF662" i="2"/>
  <c r="O662" i="2"/>
  <c r="S665" i="2"/>
  <c r="J662" i="2"/>
  <c r="W665" i="2"/>
  <c r="H665" i="2"/>
  <c r="AG665" i="2"/>
  <c r="Z665" i="2"/>
  <c r="U665" i="2"/>
  <c r="C662" i="2"/>
  <c r="AE662" i="2"/>
  <c r="AA665" i="2"/>
  <c r="P662" i="2"/>
  <c r="W662" i="2"/>
  <c r="Y665" i="2"/>
  <c r="R665" i="2"/>
  <c r="M665" i="2"/>
  <c r="U628" i="2"/>
  <c r="T631" i="2"/>
  <c r="L631" i="2"/>
  <c r="P631" i="2"/>
  <c r="I631" i="2"/>
  <c r="S631" i="2"/>
  <c r="F631" i="2"/>
  <c r="M628" i="2"/>
  <c r="K631" i="2"/>
  <c r="N631" i="2"/>
  <c r="V631" i="2"/>
  <c r="AD631" i="2"/>
  <c r="AL631" i="2"/>
  <c r="AA628" i="2"/>
  <c r="Q628" i="2"/>
  <c r="E628" i="2"/>
  <c r="AJ631" i="2"/>
  <c r="O631" i="2"/>
  <c r="AE631" i="2"/>
  <c r="AA631" i="2"/>
  <c r="AK628" i="2"/>
  <c r="AI631" i="2"/>
  <c r="G631" i="2"/>
  <c r="W631" i="2"/>
  <c r="AC628" i="2"/>
  <c r="D631" i="2"/>
  <c r="Z628" i="2"/>
  <c r="K628" i="2"/>
  <c r="AB631" i="2"/>
  <c r="AG628" i="2"/>
  <c r="T628" i="2"/>
  <c r="AB628" i="2"/>
  <c r="V628" i="2"/>
  <c r="G628" i="2"/>
  <c r="AG631" i="2"/>
  <c r="Z631" i="2"/>
  <c r="C631" i="2"/>
  <c r="L628" i="2"/>
  <c r="AD628" i="2"/>
  <c r="AH628" i="2"/>
  <c r="AE628" i="2"/>
  <c r="P628" i="2"/>
  <c r="O628" i="2"/>
  <c r="AH631" i="2"/>
  <c r="AI628" i="2"/>
  <c r="Y628" i="2"/>
  <c r="X628" i="2"/>
  <c r="AJ628" i="2"/>
  <c r="H631" i="2"/>
  <c r="E631" i="2"/>
  <c r="S628" i="2"/>
  <c r="I628" i="2"/>
  <c r="AL628" i="2"/>
  <c r="W628" i="2"/>
  <c r="H628" i="2"/>
  <c r="C628" i="2"/>
  <c r="M631" i="2"/>
  <c r="AF628" i="2"/>
  <c r="AK631" i="2"/>
  <c r="U631" i="2"/>
  <c r="AF631" i="2"/>
  <c r="AC631" i="2"/>
  <c r="D628" i="2"/>
  <c r="F628" i="2"/>
  <c r="J628" i="2"/>
  <c r="Q631" i="2"/>
  <c r="J631" i="2"/>
  <c r="X631" i="2"/>
  <c r="N628" i="2"/>
  <c r="R628" i="2"/>
  <c r="Y631" i="2"/>
  <c r="R631" i="2"/>
  <c r="C587" i="2" l="1"/>
  <c r="D587" i="2"/>
  <c r="E587" i="2"/>
  <c r="F587" i="2"/>
  <c r="C589" i="2"/>
  <c r="D589" i="2"/>
  <c r="E589" i="2"/>
  <c r="F589" i="2"/>
  <c r="C590" i="2"/>
  <c r="D590" i="2"/>
  <c r="E590" i="2"/>
  <c r="F590" i="2"/>
  <c r="C592" i="2"/>
  <c r="D592" i="2"/>
  <c r="E592" i="2"/>
  <c r="F592" i="2"/>
  <c r="C594" i="2"/>
  <c r="D594" i="2"/>
  <c r="E594" i="2"/>
  <c r="F594" i="2"/>
  <c r="C593" i="2"/>
  <c r="D593" i="2"/>
  <c r="E593" i="2"/>
  <c r="F593" i="2"/>
  <c r="E596" i="2" l="1"/>
  <c r="F596" i="2"/>
  <c r="D595" i="2"/>
  <c r="E597" i="2"/>
  <c r="C595" i="2"/>
  <c r="C588" i="2"/>
  <c r="E591" i="2"/>
  <c r="C586" i="2"/>
  <c r="F597" i="2"/>
  <c r="F591" i="2"/>
  <c r="D597" i="2"/>
  <c r="D596" i="2"/>
  <c r="F595" i="2"/>
  <c r="F588" i="2"/>
  <c r="D591" i="2"/>
  <c r="F586" i="2"/>
  <c r="D586" i="2"/>
  <c r="C597" i="2"/>
  <c r="C596" i="2"/>
  <c r="E595" i="2"/>
  <c r="E588" i="2"/>
  <c r="C591" i="2"/>
  <c r="E586" i="2"/>
  <c r="D588" i="2"/>
  <c r="D387" i="2"/>
  <c r="T390" i="2"/>
  <c r="L392" i="2"/>
  <c r="AB388" i="2"/>
  <c r="X393" i="2"/>
  <c r="P393" i="2"/>
  <c r="AJ392" i="2"/>
  <c r="AB392" i="2"/>
  <c r="T392" i="2"/>
  <c r="AF391" i="2"/>
  <c r="X391" i="2"/>
  <c r="H391" i="2"/>
  <c r="AJ390" i="2"/>
  <c r="AB390" i="2"/>
  <c r="D390" i="2"/>
  <c r="AF389" i="2"/>
  <c r="P389" i="2"/>
  <c r="H389" i="2"/>
  <c r="AJ388" i="2"/>
  <c r="L388" i="2"/>
  <c r="D388" i="2"/>
  <c r="X387" i="2"/>
  <c r="P387" i="2"/>
  <c r="H387" i="2"/>
  <c r="AF393" i="2"/>
  <c r="H393" i="2"/>
  <c r="D392" i="2"/>
  <c r="P391" i="2"/>
  <c r="L390" i="2"/>
  <c r="X389" i="2"/>
  <c r="T388" i="2"/>
  <c r="AF387" i="2"/>
  <c r="AE387" i="2"/>
  <c r="W387" i="2"/>
  <c r="O387" i="2"/>
  <c r="G387" i="2"/>
  <c r="AI393" i="2"/>
  <c r="AA393" i="2"/>
  <c r="S393" i="2"/>
  <c r="K393" i="2"/>
  <c r="C393" i="2"/>
  <c r="AE392" i="2"/>
  <c r="W392" i="2"/>
  <c r="O392" i="2"/>
  <c r="G392" i="2"/>
  <c r="AI391" i="2"/>
  <c r="AA391" i="2"/>
  <c r="S391" i="2"/>
  <c r="K391" i="2"/>
  <c r="C391" i="2"/>
  <c r="AE390" i="2"/>
  <c r="W390" i="2"/>
  <c r="O390" i="2"/>
  <c r="G390" i="2"/>
  <c r="AI389" i="2"/>
  <c r="AA389" i="2"/>
  <c r="S389" i="2"/>
  <c r="K389" i="2"/>
  <c r="C389" i="2"/>
  <c r="AE388" i="2"/>
  <c r="W388" i="2"/>
  <c r="O388" i="2"/>
  <c r="G388" i="2"/>
  <c r="AI387" i="2"/>
  <c r="AA387" i="2"/>
  <c r="S387" i="2"/>
  <c r="K387" i="2"/>
  <c r="AH393" i="2"/>
  <c r="Z393" i="2"/>
  <c r="R393" i="2"/>
  <c r="J393" i="2"/>
  <c r="AL392" i="2"/>
  <c r="AD392" i="2"/>
  <c r="V392" i="2"/>
  <c r="N392" i="2"/>
  <c r="F392" i="2"/>
  <c r="AH391" i="2"/>
  <c r="Z391" i="2"/>
  <c r="R391" i="2"/>
  <c r="J391" i="2"/>
  <c r="AL390" i="2"/>
  <c r="AD390" i="2"/>
  <c r="V390" i="2"/>
  <c r="N390" i="2"/>
  <c r="F390" i="2"/>
  <c r="AH389" i="2"/>
  <c r="Z389" i="2"/>
  <c r="R389" i="2"/>
  <c r="J389" i="2"/>
  <c r="AL388" i="2"/>
  <c r="AD388" i="2"/>
  <c r="V388" i="2"/>
  <c r="N388" i="2"/>
  <c r="F388" i="2"/>
  <c r="AH387" i="2"/>
  <c r="Z387" i="2"/>
  <c r="R387" i="2"/>
  <c r="J387" i="2"/>
  <c r="AG393" i="2"/>
  <c r="Y393" i="2"/>
  <c r="Q393" i="2"/>
  <c r="I393" i="2"/>
  <c r="AK392" i="2"/>
  <c r="AC392" i="2"/>
  <c r="U392" i="2"/>
  <c r="M392" i="2"/>
  <c r="E392" i="2"/>
  <c r="AG391" i="2"/>
  <c r="Y391" i="2"/>
  <c r="Q391" i="2"/>
  <c r="I391" i="2"/>
  <c r="AK390" i="2"/>
  <c r="AC390" i="2"/>
  <c r="U390" i="2"/>
  <c r="M390" i="2"/>
  <c r="E390" i="2"/>
  <c r="AG389" i="2"/>
  <c r="Y389" i="2"/>
  <c r="Q389" i="2"/>
  <c r="I389" i="2"/>
  <c r="AK388" i="2"/>
  <c r="AC388" i="2"/>
  <c r="U388" i="2"/>
  <c r="M388" i="2"/>
  <c r="E388" i="2"/>
  <c r="AG387" i="2"/>
  <c r="Y387" i="2"/>
  <c r="Q387" i="2"/>
  <c r="I387" i="2"/>
  <c r="AJ389" i="2"/>
  <c r="AB389" i="2"/>
  <c r="T389" i="2"/>
  <c r="L389" i="2"/>
  <c r="D389" i="2"/>
  <c r="AF388" i="2"/>
  <c r="X388" i="2"/>
  <c r="P388" i="2"/>
  <c r="H388" i="2"/>
  <c r="AJ387" i="2"/>
  <c r="AB387" i="2"/>
  <c r="T387" i="2"/>
  <c r="L387" i="2"/>
  <c r="C387" i="2"/>
  <c r="AE393" i="2"/>
  <c r="W393" i="2"/>
  <c r="O393" i="2"/>
  <c r="G393" i="2"/>
  <c r="AI392" i="2"/>
  <c r="AA392" i="2"/>
  <c r="S392" i="2"/>
  <c r="K392" i="2"/>
  <c r="C392" i="2"/>
  <c r="AE391" i="2"/>
  <c r="W391" i="2"/>
  <c r="O391" i="2"/>
  <c r="G391" i="2"/>
  <c r="AI390" i="2"/>
  <c r="AA390" i="2"/>
  <c r="S390" i="2"/>
  <c r="K390" i="2"/>
  <c r="C390" i="2"/>
  <c r="AE389" i="2"/>
  <c r="W389" i="2"/>
  <c r="O389" i="2"/>
  <c r="G389" i="2"/>
  <c r="AI388" i="2"/>
  <c r="AA388" i="2"/>
  <c r="S388" i="2"/>
  <c r="K388" i="2"/>
  <c r="C388" i="2"/>
  <c r="AL393" i="2"/>
  <c r="AD393" i="2"/>
  <c r="V393" i="2"/>
  <c r="N393" i="2"/>
  <c r="F393" i="2"/>
  <c r="AH392" i="2"/>
  <c r="Z392" i="2"/>
  <c r="R392" i="2"/>
  <c r="J392" i="2"/>
  <c r="AL391" i="2"/>
  <c r="AD391" i="2"/>
  <c r="V391" i="2"/>
  <c r="N391" i="2"/>
  <c r="F391" i="2"/>
  <c r="AH390" i="2"/>
  <c r="Z390" i="2"/>
  <c r="R390" i="2"/>
  <c r="J390" i="2"/>
  <c r="AL389" i="2"/>
  <c r="AD389" i="2"/>
  <c r="V389" i="2"/>
  <c r="N389" i="2"/>
  <c r="F389" i="2"/>
  <c r="AH388" i="2"/>
  <c r="Z388" i="2"/>
  <c r="R388" i="2"/>
  <c r="J388" i="2"/>
  <c r="AL387" i="2"/>
  <c r="AD387" i="2"/>
  <c r="V387" i="2"/>
  <c r="N387" i="2"/>
  <c r="F387" i="2"/>
  <c r="AK393" i="2"/>
  <c r="AC393" i="2"/>
  <c r="U393" i="2"/>
  <c r="M393" i="2"/>
  <c r="E393" i="2"/>
  <c r="AG392" i="2"/>
  <c r="Y392" i="2"/>
  <c r="Q392" i="2"/>
  <c r="I392" i="2"/>
  <c r="AK391" i="2"/>
  <c r="AC391" i="2"/>
  <c r="U391" i="2"/>
  <c r="M391" i="2"/>
  <c r="E391" i="2"/>
  <c r="AG390" i="2"/>
  <c r="Y390" i="2"/>
  <c r="Q390" i="2"/>
  <c r="I390" i="2"/>
  <c r="AK389" i="2"/>
  <c r="AC389" i="2"/>
  <c r="U389" i="2"/>
  <c r="M389" i="2"/>
  <c r="E389" i="2"/>
  <c r="AG388" i="2"/>
  <c r="Y388" i="2"/>
  <c r="Q388" i="2"/>
  <c r="I388" i="2"/>
  <c r="AK387" i="2"/>
  <c r="AC387" i="2"/>
  <c r="U387" i="2"/>
  <c r="M387" i="2"/>
  <c r="E387" i="2"/>
  <c r="AJ393" i="2"/>
  <c r="AB393" i="2"/>
  <c r="T393" i="2"/>
  <c r="L393" i="2"/>
  <c r="D393" i="2"/>
  <c r="AF392" i="2"/>
  <c r="X392" i="2"/>
  <c r="P392" i="2"/>
  <c r="H392" i="2"/>
  <c r="AJ391" i="2"/>
  <c r="AB391" i="2"/>
  <c r="T391" i="2"/>
  <c r="L391" i="2"/>
  <c r="D391" i="2"/>
  <c r="AF390" i="2"/>
  <c r="X390" i="2"/>
  <c r="P390" i="2"/>
  <c r="H390" i="2"/>
  <c r="AF362" i="2"/>
  <c r="X362" i="2"/>
  <c r="P362" i="2"/>
  <c r="H362" i="2"/>
  <c r="AJ361" i="2"/>
  <c r="AB361" i="2"/>
  <c r="T361" i="2"/>
  <c r="L361" i="2"/>
  <c r="D361" i="2"/>
  <c r="AF360" i="2"/>
  <c r="X360" i="2"/>
  <c r="P360" i="2"/>
  <c r="H360" i="2"/>
  <c r="AJ359" i="2"/>
  <c r="AB359" i="2"/>
  <c r="T359" i="2"/>
  <c r="L359" i="2"/>
  <c r="D359" i="2"/>
  <c r="AF358" i="2"/>
  <c r="X358" i="2"/>
  <c r="P358" i="2"/>
  <c r="H358" i="2"/>
  <c r="O359" i="2"/>
  <c r="AI358" i="2"/>
  <c r="U361" i="2"/>
  <c r="M361" i="2"/>
  <c r="E361" i="2"/>
  <c r="AG360" i="2"/>
  <c r="Y360" i="2"/>
  <c r="Q360" i="2"/>
  <c r="I360" i="2"/>
  <c r="AK359" i="2"/>
  <c r="AC359" i="2"/>
  <c r="U359" i="2"/>
  <c r="M359" i="2"/>
  <c r="E359" i="2"/>
  <c r="AG358" i="2"/>
  <c r="Y358" i="2"/>
  <c r="Q358" i="2"/>
  <c r="I358" i="2"/>
  <c r="AK357" i="2"/>
  <c r="AC357" i="2"/>
  <c r="U357" i="2"/>
  <c r="M357" i="2"/>
  <c r="E357" i="2"/>
  <c r="AG356" i="2"/>
  <c r="Y356" i="2"/>
  <c r="Q356" i="2"/>
  <c r="I356" i="2"/>
  <c r="S362" i="2"/>
  <c r="K362" i="2"/>
  <c r="W357" i="2"/>
  <c r="G357" i="2"/>
  <c r="G361" i="2"/>
  <c r="AA360" i="2"/>
  <c r="S360" i="2"/>
  <c r="AA358" i="2"/>
  <c r="AI356" i="2"/>
  <c r="AI362" i="2"/>
  <c r="AA362" i="2"/>
  <c r="C362" i="2"/>
  <c r="AE361" i="2"/>
  <c r="W361" i="2"/>
  <c r="O361" i="2"/>
  <c r="AI360" i="2"/>
  <c r="K360" i="2"/>
  <c r="C360" i="2"/>
  <c r="AE359" i="2"/>
  <c r="W359" i="2"/>
  <c r="G359" i="2"/>
  <c r="S358" i="2"/>
  <c r="K358" i="2"/>
  <c r="C358" i="2"/>
  <c r="AE357" i="2"/>
  <c r="O357" i="2"/>
  <c r="AA356" i="2"/>
  <c r="S356" i="2"/>
  <c r="K356" i="2"/>
  <c r="C356" i="2"/>
  <c r="AL356" i="2"/>
  <c r="V362" i="2"/>
  <c r="Z361" i="2"/>
  <c r="AD360" i="2"/>
  <c r="N360" i="2"/>
  <c r="J359" i="2"/>
  <c r="V358" i="2"/>
  <c r="AH357" i="2"/>
  <c r="J357" i="2"/>
  <c r="N356" i="2"/>
  <c r="AK362" i="2"/>
  <c r="AC362" i="2"/>
  <c r="U362" i="2"/>
  <c r="M362" i="2"/>
  <c r="E362" i="2"/>
  <c r="AG361" i="2"/>
  <c r="Y361" i="2"/>
  <c r="Q361" i="2"/>
  <c r="I361" i="2"/>
  <c r="AK360" i="2"/>
  <c r="AC360" i="2"/>
  <c r="U360" i="2"/>
  <c r="M360" i="2"/>
  <c r="E360" i="2"/>
  <c r="F362" i="2"/>
  <c r="J361" i="2"/>
  <c r="AH359" i="2"/>
  <c r="AL358" i="2"/>
  <c r="Z357" i="2"/>
  <c r="N362" i="2"/>
  <c r="R361" i="2"/>
  <c r="V360" i="2"/>
  <c r="F360" i="2"/>
  <c r="R359" i="2"/>
  <c r="AD358" i="2"/>
  <c r="F358" i="2"/>
  <c r="R357" i="2"/>
  <c r="F356" i="2"/>
  <c r="AL362" i="2"/>
  <c r="AD356" i="2"/>
  <c r="AD362" i="2"/>
  <c r="AH361" i="2"/>
  <c r="AL360" i="2"/>
  <c r="Z359" i="2"/>
  <c r="N358" i="2"/>
  <c r="V356" i="2"/>
  <c r="AG359" i="2"/>
  <c r="Y359" i="2"/>
  <c r="Q359" i="2"/>
  <c r="I359" i="2"/>
  <c r="AK358" i="2"/>
  <c r="AC358" i="2"/>
  <c r="U358" i="2"/>
  <c r="M358" i="2"/>
  <c r="E358" i="2"/>
  <c r="AG357" i="2"/>
  <c r="Y357" i="2"/>
  <c r="Q357" i="2"/>
  <c r="I357" i="2"/>
  <c r="AK356" i="2"/>
  <c r="AC356" i="2"/>
  <c r="U356" i="2"/>
  <c r="M356" i="2"/>
  <c r="E356" i="2"/>
  <c r="AJ362" i="2"/>
  <c r="AB362" i="2"/>
  <c r="T362" i="2"/>
  <c r="L362" i="2"/>
  <c r="D362" i="2"/>
  <c r="AF361" i="2"/>
  <c r="X361" i="2"/>
  <c r="P361" i="2"/>
  <c r="H361" i="2"/>
  <c r="AJ360" i="2"/>
  <c r="AB360" i="2"/>
  <c r="T360" i="2"/>
  <c r="L360" i="2"/>
  <c r="D360" i="2"/>
  <c r="AF359" i="2"/>
  <c r="X359" i="2"/>
  <c r="P359" i="2"/>
  <c r="H359" i="2"/>
  <c r="AJ358" i="2"/>
  <c r="AB358" i="2"/>
  <c r="T358" i="2"/>
  <c r="L358" i="2"/>
  <c r="D358" i="2"/>
  <c r="AF357" i="2"/>
  <c r="X357" i="2"/>
  <c r="P357" i="2"/>
  <c r="H357" i="2"/>
  <c r="AJ356" i="2"/>
  <c r="AB356" i="2"/>
  <c r="T356" i="2"/>
  <c r="L356" i="2"/>
  <c r="D356" i="2"/>
  <c r="AH362" i="2"/>
  <c r="Z362" i="2"/>
  <c r="R362" i="2"/>
  <c r="J362" i="2"/>
  <c r="AL361" i="2"/>
  <c r="AD361" i="2"/>
  <c r="V361" i="2"/>
  <c r="N361" i="2"/>
  <c r="F361" i="2"/>
  <c r="AH360" i="2"/>
  <c r="Z360" i="2"/>
  <c r="R360" i="2"/>
  <c r="J360" i="2"/>
  <c r="AL359" i="2"/>
  <c r="AD359" i="2"/>
  <c r="V359" i="2"/>
  <c r="N359" i="2"/>
  <c r="F359" i="2"/>
  <c r="AH358" i="2"/>
  <c r="Z358" i="2"/>
  <c r="R358" i="2"/>
  <c r="J358" i="2"/>
  <c r="AL357" i="2"/>
  <c r="AD357" i="2"/>
  <c r="V357" i="2"/>
  <c r="N357" i="2"/>
  <c r="F357" i="2"/>
  <c r="AH356" i="2"/>
  <c r="Z356" i="2"/>
  <c r="R356" i="2"/>
  <c r="J356" i="2"/>
  <c r="AG362" i="2"/>
  <c r="Y362" i="2"/>
  <c r="Q362" i="2"/>
  <c r="I362" i="2"/>
  <c r="AK361" i="2"/>
  <c r="AC361" i="2"/>
  <c r="AE362" i="2"/>
  <c r="W362" i="2"/>
  <c r="O362" i="2"/>
  <c r="G362" i="2"/>
  <c r="AI361" i="2"/>
  <c r="AA361" i="2"/>
  <c r="S361" i="2"/>
  <c r="K361" i="2"/>
  <c r="C361" i="2"/>
  <c r="AE360" i="2"/>
  <c r="W360" i="2"/>
  <c r="O360" i="2"/>
  <c r="G360" i="2"/>
  <c r="AI359" i="2"/>
  <c r="AA359" i="2"/>
  <c r="S359" i="2"/>
  <c r="K359" i="2"/>
  <c r="C359" i="2"/>
  <c r="AE358" i="2"/>
  <c r="W358" i="2"/>
  <c r="O358" i="2"/>
  <c r="G358" i="2"/>
  <c r="AI357" i="2"/>
  <c r="AA357" i="2"/>
  <c r="S357" i="2"/>
  <c r="K357" i="2"/>
  <c r="C357" i="2"/>
  <c r="G356" i="2"/>
  <c r="O356" i="2"/>
  <c r="W356" i="2"/>
  <c r="AE356" i="2"/>
  <c r="H356" i="2"/>
  <c r="P356" i="2"/>
  <c r="X356" i="2"/>
  <c r="AF356" i="2"/>
  <c r="D357" i="2"/>
  <c r="L357" i="2"/>
  <c r="T357" i="2"/>
  <c r="AB357" i="2"/>
  <c r="AJ357" i="2"/>
  <c r="C292" i="2"/>
  <c r="C302" i="2"/>
  <c r="C312" i="2" s="1"/>
  <c r="E302" i="2"/>
  <c r="E312" i="2" s="1"/>
  <c r="D302" i="2"/>
  <c r="D312" i="2" s="1"/>
  <c r="F69" i="2" l="1"/>
  <c r="J69" i="2"/>
  <c r="N69" i="2"/>
  <c r="R69" i="2"/>
  <c r="V69" i="2"/>
  <c r="Z69" i="2"/>
  <c r="AD69" i="2"/>
  <c r="AH69" i="2"/>
  <c r="AL69" i="2"/>
  <c r="G69" i="2"/>
  <c r="K69" i="2"/>
  <c r="O69" i="2"/>
  <c r="S69" i="2"/>
  <c r="W69" i="2"/>
  <c r="AA69" i="2"/>
  <c r="AE69" i="2"/>
  <c r="AI69" i="2"/>
  <c r="D69" i="2"/>
  <c r="H69" i="2"/>
  <c r="L69" i="2"/>
  <c r="P69" i="2"/>
  <c r="T69" i="2"/>
  <c r="X69" i="2"/>
  <c r="AB69" i="2"/>
  <c r="AF69" i="2"/>
  <c r="AJ69" i="2"/>
  <c r="E69" i="2"/>
  <c r="I69" i="2"/>
  <c r="M69" i="2"/>
  <c r="Q69" i="2"/>
  <c r="U69" i="2"/>
  <c r="Y69" i="2"/>
  <c r="AC69" i="2"/>
  <c r="AG69" i="2"/>
  <c r="AK69" i="2"/>
  <c r="C69" i="2"/>
  <c r="C200" i="2" l="1"/>
  <c r="E151" i="2" l="1"/>
  <c r="E161" i="2" s="1"/>
  <c r="AL75" i="2" l="1"/>
  <c r="R75" i="2"/>
  <c r="F75" i="2" l="1"/>
  <c r="AJ75" i="2"/>
  <c r="AB75" i="2"/>
  <c r="V75" i="2"/>
  <c r="AH75" i="2"/>
  <c r="T75" i="2"/>
  <c r="Z75" i="2"/>
  <c r="J75" i="2"/>
  <c r="AK75" i="2"/>
  <c r="M75" i="2"/>
  <c r="AF75" i="2"/>
  <c r="X75" i="2"/>
  <c r="P75" i="2"/>
  <c r="H75" i="2"/>
  <c r="C75" i="2"/>
  <c r="L75" i="2"/>
  <c r="D75" i="2"/>
  <c r="AE75" i="2"/>
  <c r="W75" i="2"/>
  <c r="O75" i="2"/>
  <c r="G75" i="2"/>
  <c r="AD75" i="2"/>
  <c r="N75" i="2"/>
  <c r="K75" i="2"/>
  <c r="AI75" i="2"/>
  <c r="S75" i="2"/>
  <c r="AG75" i="2"/>
  <c r="Y75" i="2"/>
  <c r="Q75" i="2"/>
  <c r="I75" i="2"/>
  <c r="AA75" i="2"/>
  <c r="AC75" i="2"/>
  <c r="U75" i="2"/>
  <c r="E75" i="2"/>
  <c r="B65" i="2" l="1"/>
  <c r="B73" i="2" s="1"/>
  <c r="B64" i="2"/>
  <c r="B67" i="2" s="1"/>
  <c r="AG267" i="2" l="1"/>
  <c r="Y267" i="2"/>
  <c r="Y268" i="2"/>
  <c r="Q268" i="2"/>
  <c r="Q267" i="2"/>
  <c r="E267" i="2"/>
  <c r="AF269" i="2"/>
  <c r="AF267" i="2"/>
  <c r="AF268" i="2"/>
  <c r="P269" i="2"/>
  <c r="P267" i="2"/>
  <c r="P268" i="2"/>
  <c r="H269" i="2"/>
  <c r="H267" i="2"/>
  <c r="H268" i="2"/>
  <c r="I269" i="2"/>
  <c r="AB268" i="2" l="1"/>
  <c r="AJ267" i="2"/>
  <c r="E269" i="2"/>
  <c r="Y269" i="2"/>
  <c r="AD255" i="2"/>
  <c r="C268" i="2"/>
  <c r="AA267" i="2"/>
  <c r="Z255" i="2"/>
  <c r="U268" i="2"/>
  <c r="AK267" i="2"/>
  <c r="L267" i="2"/>
  <c r="X267" i="2"/>
  <c r="AG269" i="2"/>
  <c r="W267" i="2"/>
  <c r="AB269" i="2"/>
  <c r="K267" i="2"/>
  <c r="N267" i="2"/>
  <c r="V269" i="2"/>
  <c r="AH255" i="2"/>
  <c r="G267" i="2"/>
  <c r="I268" i="2"/>
  <c r="V267" i="2"/>
  <c r="L268" i="2"/>
  <c r="W269" i="2"/>
  <c r="AI269" i="2"/>
  <c r="I267" i="2"/>
  <c r="M267" i="2"/>
  <c r="M255" i="2"/>
  <c r="U255" i="2"/>
  <c r="N268" i="2"/>
  <c r="AH267" i="2"/>
  <c r="E237" i="2"/>
  <c r="AC269" i="2"/>
  <c r="C267" i="2"/>
  <c r="I255" i="2"/>
  <c r="P255" i="2"/>
  <c r="D237" i="2"/>
  <c r="E268" i="2"/>
  <c r="O268" i="2"/>
  <c r="S268" i="2"/>
  <c r="AK269" i="2"/>
  <c r="AH268" i="2"/>
  <c r="X268" i="2"/>
  <c r="AB255" i="2"/>
  <c r="O269" i="2"/>
  <c r="C269" i="2"/>
  <c r="C266" i="2"/>
  <c r="C246" i="2"/>
  <c r="O255" i="2"/>
  <c r="S255" i="2"/>
  <c r="W268" i="2"/>
  <c r="AA268" i="2"/>
  <c r="AE269" i="2"/>
  <c r="AE255" i="2"/>
  <c r="AI268" i="2"/>
  <c r="AI255" i="2"/>
  <c r="I266" i="2"/>
  <c r="I246" i="2"/>
  <c r="M268" i="2"/>
  <c r="V255" i="2"/>
  <c r="D269" i="2"/>
  <c r="T269" i="2"/>
  <c r="X255" i="2"/>
  <c r="AB266" i="2"/>
  <c r="AB246" i="2"/>
  <c r="AJ269" i="2"/>
  <c r="E255" i="2"/>
  <c r="Q269" i="2"/>
  <c r="J268" i="2"/>
  <c r="R268" i="2"/>
  <c r="C255" i="2"/>
  <c r="K268" i="2"/>
  <c r="O267" i="2"/>
  <c r="S267" i="2"/>
  <c r="AA269" i="2"/>
  <c r="U266" i="2"/>
  <c r="U246" i="2"/>
  <c r="V266" i="2"/>
  <c r="V246" i="2"/>
  <c r="D255" i="2"/>
  <c r="T255" i="2"/>
  <c r="J269" i="2"/>
  <c r="R269" i="2"/>
  <c r="AD266" i="2"/>
  <c r="AD246" i="2"/>
  <c r="AL268" i="2"/>
  <c r="G266" i="2"/>
  <c r="G246" i="2"/>
  <c r="K269" i="2"/>
  <c r="AA255" i="2"/>
  <c r="AE267" i="2"/>
  <c r="M266" i="2"/>
  <c r="M246" i="2"/>
  <c r="U269" i="2"/>
  <c r="N269" i="2"/>
  <c r="D267" i="2"/>
  <c r="T267" i="2"/>
  <c r="AJ255" i="2"/>
  <c r="F266" i="2"/>
  <c r="F246" i="2"/>
  <c r="Z266" i="2"/>
  <c r="Z246" i="2"/>
  <c r="AL269" i="2"/>
  <c r="G268" i="2"/>
  <c r="G255" i="2"/>
  <c r="K255" i="2"/>
  <c r="W255" i="2"/>
  <c r="AI267" i="2"/>
  <c r="AK268" i="2"/>
  <c r="V268" i="2"/>
  <c r="L255" i="2"/>
  <c r="Y266" i="2"/>
  <c r="Y246" i="2"/>
  <c r="F255" i="2"/>
  <c r="J255" i="2"/>
  <c r="J267" i="2"/>
  <c r="R267" i="2"/>
  <c r="AD268" i="2"/>
  <c r="AL255" i="2"/>
  <c r="G269" i="2"/>
  <c r="O266" i="2"/>
  <c r="O246" i="2"/>
  <c r="S266" i="2"/>
  <c r="S246" i="2"/>
  <c r="U267" i="2"/>
  <c r="AH266" i="2"/>
  <c r="AH246" i="2"/>
  <c r="H266" i="2"/>
  <c r="H246" i="2"/>
  <c r="H255" i="2"/>
  <c r="L266" i="2"/>
  <c r="L246" i="2"/>
  <c r="X266" i="2"/>
  <c r="X246" i="2"/>
  <c r="Q255" i="2"/>
  <c r="Y255" i="2"/>
  <c r="F268" i="2"/>
  <c r="C237" i="2"/>
  <c r="Z268" i="2"/>
  <c r="AD269" i="2"/>
  <c r="AL267" i="2"/>
  <c r="AE266" i="2"/>
  <c r="AE246" i="2"/>
  <c r="AC267" i="2"/>
  <c r="AC266" i="2"/>
  <c r="AC246" i="2"/>
  <c r="AK266" i="2"/>
  <c r="AK246" i="2"/>
  <c r="N255" i="2"/>
  <c r="D266" i="2"/>
  <c r="D246" i="2"/>
  <c r="P266" i="2"/>
  <c r="P246" i="2"/>
  <c r="T266" i="2"/>
  <c r="T246" i="2"/>
  <c r="AB267" i="2"/>
  <c r="AJ266" i="2"/>
  <c r="AJ246" i="2"/>
  <c r="AG266" i="2"/>
  <c r="AG246" i="2"/>
  <c r="AG268" i="2"/>
  <c r="AG255" i="2"/>
  <c r="F269" i="2"/>
  <c r="R255" i="2"/>
  <c r="Z269" i="2"/>
  <c r="W266" i="2"/>
  <c r="W246" i="2"/>
  <c r="AA266" i="2"/>
  <c r="AA246" i="2"/>
  <c r="AI266" i="2"/>
  <c r="AI246" i="2"/>
  <c r="AC268" i="2"/>
  <c r="AF266" i="2"/>
  <c r="AF246" i="2"/>
  <c r="AF255" i="2"/>
  <c r="E266" i="2"/>
  <c r="E246" i="2"/>
  <c r="Q266" i="2"/>
  <c r="Q246" i="2"/>
  <c r="J266" i="2"/>
  <c r="J246" i="2"/>
  <c r="R266" i="2"/>
  <c r="R246" i="2"/>
  <c r="AD267" i="2"/>
  <c r="K266" i="2"/>
  <c r="K246" i="2"/>
  <c r="S269" i="2"/>
  <c r="AE268" i="2"/>
  <c r="M269" i="2"/>
  <c r="AC255" i="2"/>
  <c r="AK255" i="2"/>
  <c r="N266" i="2"/>
  <c r="N246" i="2"/>
  <c r="AH269" i="2"/>
  <c r="D268" i="2"/>
  <c r="L269" i="2"/>
  <c r="T268" i="2"/>
  <c r="X269" i="2"/>
  <c r="AJ268" i="2"/>
  <c r="F267" i="2"/>
  <c r="Z267" i="2"/>
  <c r="AL266" i="2"/>
  <c r="AL246" i="2"/>
  <c r="AD265" i="2" l="1"/>
  <c r="AE265" i="2"/>
  <c r="I265" i="2"/>
  <c r="Z265" i="2"/>
  <c r="AB265" i="2"/>
  <c r="E265" i="2"/>
  <c r="P265" i="2"/>
  <c r="Y265" i="2"/>
  <c r="H265" i="2"/>
  <c r="M265" i="2"/>
  <c r="J265" i="2"/>
  <c r="AG265" i="2"/>
  <c r="AA265" i="2"/>
  <c r="T265" i="2"/>
  <c r="K265" i="2"/>
  <c r="W265" i="2"/>
  <c r="O265" i="2"/>
  <c r="U265" i="2"/>
  <c r="N265" i="2"/>
  <c r="AI265" i="2"/>
  <c r="AH265" i="2"/>
  <c r="V265" i="2"/>
  <c r="AJ265" i="2"/>
  <c r="X265" i="2"/>
  <c r="R265" i="2"/>
  <c r="D265" i="2"/>
  <c r="L265" i="2"/>
  <c r="AK265" i="2"/>
  <c r="G265" i="2"/>
  <c r="AC265" i="2"/>
  <c r="Q265" i="2"/>
  <c r="AF265" i="2"/>
  <c r="S265" i="2"/>
  <c r="AL265" i="2"/>
  <c r="C265" i="2"/>
  <c r="F265" i="2"/>
  <c r="AH60" i="2" l="1"/>
  <c r="AH65" i="2"/>
  <c r="AH64" i="2"/>
  <c r="AK65" i="2"/>
  <c r="AK64" i="2"/>
  <c r="AC60" i="2"/>
  <c r="AC65" i="2"/>
  <c r="U60" i="2"/>
  <c r="M65" i="2"/>
  <c r="M64" i="2"/>
  <c r="I60" i="2"/>
  <c r="I64" i="2"/>
  <c r="AI64" i="2"/>
  <c r="AE60" i="2"/>
  <c r="AE65" i="2"/>
  <c r="AE64" i="2"/>
  <c r="AA60" i="2"/>
  <c r="AA65" i="2"/>
  <c r="AA64" i="2"/>
  <c r="W60" i="2"/>
  <c r="W64" i="2"/>
  <c r="O65" i="2"/>
  <c r="O64" i="2"/>
  <c r="K60" i="2"/>
  <c r="S65" i="2" l="1"/>
  <c r="F64" i="2"/>
  <c r="M60" i="2"/>
  <c r="AK60" i="2"/>
  <c r="D64" i="2"/>
  <c r="T64" i="2"/>
  <c r="AL65" i="2"/>
  <c r="D65" i="2"/>
  <c r="Q65" i="2"/>
  <c r="Q64" i="2"/>
  <c r="H65" i="2"/>
  <c r="Q60" i="2"/>
  <c r="K64" i="2"/>
  <c r="AI65" i="2"/>
  <c r="P64" i="2"/>
  <c r="T60" i="2"/>
  <c r="AJ60" i="2"/>
  <c r="Y64" i="2"/>
  <c r="AG64" i="2"/>
  <c r="Z60" i="2"/>
  <c r="F65" i="2"/>
  <c r="K65" i="2"/>
  <c r="AB64" i="2"/>
  <c r="AG60" i="2"/>
  <c r="W65" i="2"/>
  <c r="I272" i="2"/>
  <c r="I271" i="2"/>
  <c r="I270" i="2"/>
  <c r="R64" i="2"/>
  <c r="R65" i="2"/>
  <c r="F270" i="2"/>
  <c r="F271" i="2"/>
  <c r="F272" i="2"/>
  <c r="G65" i="2"/>
  <c r="O60" i="2"/>
  <c r="AI60" i="2"/>
  <c r="U65" i="2"/>
  <c r="V65" i="2"/>
  <c r="P60" i="2"/>
  <c r="X64" i="2"/>
  <c r="X60" i="2"/>
  <c r="E65" i="2"/>
  <c r="Y65" i="2"/>
  <c r="J64" i="2"/>
  <c r="J65" i="2"/>
  <c r="AL270" i="2"/>
  <c r="AL271" i="2"/>
  <c r="AL272" i="2"/>
  <c r="AE270" i="2"/>
  <c r="AE272" i="2"/>
  <c r="AE271" i="2"/>
  <c r="T270" i="2"/>
  <c r="T271" i="2"/>
  <c r="T272" i="2"/>
  <c r="AJ272" i="2"/>
  <c r="AJ271" i="2"/>
  <c r="AJ270" i="2"/>
  <c r="R270" i="2"/>
  <c r="R271" i="2"/>
  <c r="R272" i="2"/>
  <c r="AK272" i="2"/>
  <c r="AK270" i="2"/>
  <c r="AK271" i="2"/>
  <c r="AG272" i="2"/>
  <c r="AG270" i="2"/>
  <c r="AG271" i="2"/>
  <c r="S64" i="2"/>
  <c r="AI270" i="2"/>
  <c r="AI272" i="2"/>
  <c r="AI271" i="2"/>
  <c r="U270" i="2"/>
  <c r="U271" i="2"/>
  <c r="U272" i="2"/>
  <c r="V270" i="2"/>
  <c r="V272" i="2"/>
  <c r="V271" i="2"/>
  <c r="L64" i="2"/>
  <c r="L60" i="2"/>
  <c r="P272" i="2"/>
  <c r="P271" i="2"/>
  <c r="P270" i="2"/>
  <c r="T65" i="2"/>
  <c r="AF271" i="2"/>
  <c r="AF270" i="2"/>
  <c r="AF272" i="2"/>
  <c r="AJ64" i="2"/>
  <c r="AJ65" i="2"/>
  <c r="J272" i="2"/>
  <c r="J271" i="2"/>
  <c r="J270" i="2"/>
  <c r="R60" i="2"/>
  <c r="AL60" i="2"/>
  <c r="C270" i="2"/>
  <c r="C272" i="2"/>
  <c r="C271" i="2"/>
  <c r="G64" i="2"/>
  <c r="I65" i="2"/>
  <c r="M272" i="2"/>
  <c r="M270" i="2"/>
  <c r="M271" i="2"/>
  <c r="U64" i="2"/>
  <c r="V60" i="2"/>
  <c r="E272" i="2"/>
  <c r="E270" i="2"/>
  <c r="E271" i="2"/>
  <c r="Y271" i="2"/>
  <c r="Y270" i="2"/>
  <c r="Y272" i="2"/>
  <c r="Z65" i="2"/>
  <c r="AD60" i="2"/>
  <c r="O270" i="2"/>
  <c r="O271" i="2"/>
  <c r="O272" i="2"/>
  <c r="S271" i="2"/>
  <c r="S270" i="2"/>
  <c r="S272" i="2"/>
  <c r="X65" i="2"/>
  <c r="G272" i="2"/>
  <c r="G270" i="2"/>
  <c r="G271" i="2"/>
  <c r="N60" i="2"/>
  <c r="AB65" i="2"/>
  <c r="E64" i="2"/>
  <c r="K271" i="2"/>
  <c r="K270" i="2"/>
  <c r="K272" i="2"/>
  <c r="S60" i="2"/>
  <c r="AA271" i="2"/>
  <c r="AA270" i="2"/>
  <c r="AA272" i="2"/>
  <c r="AC64" i="2"/>
  <c r="N64" i="2"/>
  <c r="N65" i="2"/>
  <c r="L65" i="2"/>
  <c r="P65" i="2"/>
  <c r="AF64" i="2"/>
  <c r="AF65" i="2"/>
  <c r="AF60" i="2"/>
  <c r="Y60" i="2"/>
  <c r="AG65" i="2"/>
  <c r="AH271" i="2"/>
  <c r="AH270" i="2"/>
  <c r="AH272" i="2"/>
  <c r="D271" i="2"/>
  <c r="D272" i="2"/>
  <c r="D270" i="2"/>
  <c r="W270" i="2"/>
  <c r="W272" i="2"/>
  <c r="W271" i="2"/>
  <c r="N271" i="2"/>
  <c r="N272" i="2"/>
  <c r="N270" i="2"/>
  <c r="L270" i="2"/>
  <c r="L271" i="2"/>
  <c r="L272" i="2"/>
  <c r="AB270" i="2"/>
  <c r="AB271" i="2"/>
  <c r="AB272" i="2"/>
  <c r="Q270" i="2"/>
  <c r="Q272" i="2"/>
  <c r="Q271" i="2"/>
  <c r="AD65" i="2"/>
  <c r="AD270" i="2"/>
  <c r="AD271" i="2"/>
  <c r="AD272" i="2"/>
  <c r="AC271" i="2"/>
  <c r="AC270" i="2"/>
  <c r="AC272" i="2"/>
  <c r="V64" i="2"/>
  <c r="H64" i="2"/>
  <c r="H60" i="2"/>
  <c r="H272" i="2"/>
  <c r="H271" i="2"/>
  <c r="H270" i="2"/>
  <c r="X271" i="2"/>
  <c r="X270" i="2"/>
  <c r="X272" i="2"/>
  <c r="AB60" i="2"/>
  <c r="J60" i="2"/>
  <c r="Z64" i="2"/>
  <c r="Z271" i="2"/>
  <c r="Z272" i="2"/>
  <c r="Z270" i="2"/>
  <c r="AD64" i="2"/>
  <c r="AL6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tc={8B17D36B-81D2-4EE5-A719-89E9DB4D4DB2}</author>
  </authors>
  <commentList>
    <comment ref="A191" authorId="0" shapeId="0" xr:uid="{8B17D36B-81D2-4EE5-A719-89E9DB4D4DB2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Attention léger écart sur somme</t>
      </text>
    </comment>
  </commentList>
</comments>
</file>

<file path=xl/sharedStrings.xml><?xml version="1.0" encoding="utf-8"?>
<sst xmlns="http://schemas.openxmlformats.org/spreadsheetml/2006/main" count="437" uniqueCount="101">
  <si>
    <t>Macro</t>
  </si>
  <si>
    <t>Inflation</t>
  </si>
  <si>
    <t>Emissions</t>
  </si>
  <si>
    <t>IPC</t>
  </si>
  <si>
    <t>Baseline</t>
  </si>
  <si>
    <t>Scénario 2</t>
  </si>
  <si>
    <t>NZ50</t>
  </si>
  <si>
    <t>Agriculture</t>
  </si>
  <si>
    <t>Industrie</t>
  </si>
  <si>
    <t>Transports</t>
  </si>
  <si>
    <t>Services</t>
  </si>
  <si>
    <t>Electricité</t>
  </si>
  <si>
    <t>VA</t>
  </si>
  <si>
    <t>Année</t>
  </si>
  <si>
    <t>2030</t>
  </si>
  <si>
    <t>2040</t>
  </si>
  <si>
    <t>2050</t>
  </si>
  <si>
    <t>Investment</t>
  </si>
  <si>
    <t>Exports</t>
  </si>
  <si>
    <t>Imports</t>
  </si>
  <si>
    <t>Production</t>
  </si>
  <si>
    <t>Firms</t>
  </si>
  <si>
    <t>Total</t>
  </si>
  <si>
    <t>Transport</t>
  </si>
  <si>
    <t>Oil &amp; Gas</t>
  </si>
  <si>
    <t>Electricity</t>
  </si>
  <si>
    <t>baseline</t>
  </si>
  <si>
    <t>shock</t>
  </si>
  <si>
    <t>Average</t>
  </si>
  <si>
    <t>Capital</t>
  </si>
  <si>
    <t>Capital intensity</t>
  </si>
  <si>
    <t>Energy intensity</t>
  </si>
  <si>
    <t>Ménages</t>
  </si>
  <si>
    <t>Ménages (logement)</t>
  </si>
  <si>
    <t>Ménages (transport)</t>
  </si>
  <si>
    <t>Consommation</t>
  </si>
  <si>
    <t>CI</t>
  </si>
  <si>
    <t>Y</t>
  </si>
  <si>
    <t>MAT</t>
  </si>
  <si>
    <t>A</t>
  </si>
  <si>
    <t>B</t>
  </si>
  <si>
    <t>C</t>
  </si>
  <si>
    <t>D</t>
  </si>
  <si>
    <t>E</t>
  </si>
  <si>
    <t>F</t>
  </si>
  <si>
    <t>G</t>
  </si>
  <si>
    <t>2020</t>
  </si>
  <si>
    <t>CF toe</t>
  </si>
  <si>
    <t>Carburant</t>
  </si>
  <si>
    <t>Autre</t>
  </si>
  <si>
    <t>Charbon</t>
  </si>
  <si>
    <t>Consommation énergétique</t>
  </si>
  <si>
    <t>Valeur ajoutée sectorielle</t>
  </si>
  <si>
    <t>VA graphique</t>
  </si>
  <si>
    <t>%deviation</t>
  </si>
  <si>
    <t>share evolution</t>
  </si>
  <si>
    <t>Production sectorielle</t>
  </si>
  <si>
    <t>Production graphique</t>
  </si>
  <si>
    <t>%share</t>
  </si>
  <si>
    <t>%deviation from baseline</t>
  </si>
  <si>
    <t>Employment</t>
  </si>
  <si>
    <t>deviation in thousands</t>
  </si>
  <si>
    <t>%deviation + contributions</t>
  </si>
  <si>
    <t>Vehicles stock by energy</t>
  </si>
  <si>
    <t>Vehicles stock by class</t>
  </si>
  <si>
    <t>Buildings by class</t>
  </si>
  <si>
    <t>Firms' CO2 emissions</t>
  </si>
  <si>
    <t>Final energy</t>
  </si>
  <si>
    <t>Primary energy</t>
  </si>
  <si>
    <t>%deviation + contribution</t>
  </si>
  <si>
    <t>AUTO_CA_0</t>
  </si>
  <si>
    <t>AUTO_CB_0</t>
  </si>
  <si>
    <t>AUTO_CC_0</t>
  </si>
  <si>
    <t>AUTO_CD_0</t>
  </si>
  <si>
    <t>AUTO_CE_0</t>
  </si>
  <si>
    <t>AUTO_CF_0</t>
  </si>
  <si>
    <t>AUTO_CG_0</t>
  </si>
  <si>
    <t>PIB</t>
  </si>
  <si>
    <t>Investissement</t>
  </si>
  <si>
    <t>Exportations nettes</t>
  </si>
  <si>
    <t>Entreprises</t>
  </si>
  <si>
    <t>Gaz</t>
  </si>
  <si>
    <t>Electrique</t>
  </si>
  <si>
    <t>Véhicules</t>
  </si>
  <si>
    <t>Alimentation</t>
  </si>
  <si>
    <t>Verre</t>
  </si>
  <si>
    <t>Chimie</t>
  </si>
  <si>
    <t>Métallurgie</t>
  </si>
  <si>
    <t>Autres industries</t>
  </si>
  <si>
    <t>Routier</t>
  </si>
  <si>
    <t>Aérien</t>
  </si>
  <si>
    <t>Autres transports</t>
  </si>
  <si>
    <t>Energie primaire</t>
  </si>
  <si>
    <t>Production nette</t>
  </si>
  <si>
    <t>Consommation ménages</t>
  </si>
  <si>
    <t>Consommation entreprises</t>
  </si>
  <si>
    <t>Construction</t>
  </si>
  <si>
    <t>%deviation contrib</t>
  </si>
  <si>
    <t>%share contrib</t>
  </si>
  <si>
    <t>%deviation xontrib</t>
  </si>
  <si>
    <t>Total (très léger écart)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</si>
</sst>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%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164" fontId="0" fillId="0" borderId="0" xfId="0" applyNumberFormat="1"/>
    <xf numFmtId="14" fontId="0" fillId="0" borderId="0" xfId="0" applyNumberFormat="1"/>
    <xf numFmtId="1" fontId="0" fillId="0" borderId="0" xfId="0" applyNumberFormat="1"/>
    <xf numFmtId="165" fontId="0" fillId="0" borderId="0" xfId="0" applyNumberFormat="1"/>
    <xf numFmtId="4" fontId="0" fillId="0" borderId="0" xfId="0" applyNumberFormat="1"/>
    <xf numFmtId="3" fontId="0" fillId="0" borderId="0" xfId="0" applyNumberFormat="1"/>
    <xf numFmtId="0" fontId="0" fillId="0" borderId="0" xfId="0" quotePrefix="1"/>
    <xf numFmtId="0" fontId="0" fillId="0" borderId="0" xfId="0" applyAlignment="1">
      <alignment horizontal="center" vertical="center"/>
    </xf>
    <xf numFmtId="9" fontId="0" fillId="0" borderId="0" xfId="0" applyNumberFormat="1"/>
    <xf numFmtId="165" fontId="0" fillId="0" borderId="0" xfId="0" quotePrefix="1" applyNumberFormat="1"/>
    <xf numFmtId="0" fontId="0" fillId="0" borderId="0" xfId="0" applyAlignment="1">
      <alignment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vertical="center"/>
    </xf>
    <xf numFmtId="3" fontId="0" fillId="2" borderId="0" xfId="0" applyNumberFormat="1" applyFill="1"/>
    <xf numFmtId="0" fontId="0" fillId="2" borderId="0" xfId="0" applyFill="1"/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595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7.xml"/><Relationship Id="rId13" Type="http://schemas.openxmlformats.org/officeDocument/2006/relationships/chartsheet" Target="chartsheets/sheet12.xml"/><Relationship Id="rId18" Type="http://schemas.openxmlformats.org/officeDocument/2006/relationships/chartsheet" Target="chartsheets/sheet17.xml"/><Relationship Id="rId26" Type="http://schemas.openxmlformats.org/officeDocument/2006/relationships/externalLink" Target="externalLinks/externalLink1.xml"/><Relationship Id="rId3" Type="http://schemas.openxmlformats.org/officeDocument/2006/relationships/chartsheet" Target="chartsheets/sheet2.xml"/><Relationship Id="rId21" Type="http://schemas.openxmlformats.org/officeDocument/2006/relationships/chartsheet" Target="chartsheets/sheet20.xml"/><Relationship Id="rId7" Type="http://schemas.openxmlformats.org/officeDocument/2006/relationships/chartsheet" Target="chartsheets/sheet6.xml"/><Relationship Id="rId12" Type="http://schemas.openxmlformats.org/officeDocument/2006/relationships/chartsheet" Target="chartsheets/sheet11.xml"/><Relationship Id="rId17" Type="http://schemas.openxmlformats.org/officeDocument/2006/relationships/chartsheet" Target="chartsheets/sheet16.xml"/><Relationship Id="rId25" Type="http://schemas.openxmlformats.org/officeDocument/2006/relationships/chartsheet" Target="chartsheets/sheet24.xml"/><Relationship Id="rId2" Type="http://schemas.openxmlformats.org/officeDocument/2006/relationships/chartsheet" Target="chartsheets/sheet1.xml"/><Relationship Id="rId16" Type="http://schemas.openxmlformats.org/officeDocument/2006/relationships/chartsheet" Target="chartsheets/sheet15.xml"/><Relationship Id="rId20" Type="http://schemas.openxmlformats.org/officeDocument/2006/relationships/chartsheet" Target="chartsheets/sheet19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chartsheet" Target="chartsheets/sheet10.xml"/><Relationship Id="rId24" Type="http://schemas.openxmlformats.org/officeDocument/2006/relationships/chartsheet" Target="chartsheets/sheet23.xml"/><Relationship Id="rId5" Type="http://schemas.openxmlformats.org/officeDocument/2006/relationships/chartsheet" Target="chartsheets/sheet4.xml"/><Relationship Id="rId15" Type="http://schemas.openxmlformats.org/officeDocument/2006/relationships/chartsheet" Target="chartsheets/sheet14.xml"/><Relationship Id="rId23" Type="http://schemas.openxmlformats.org/officeDocument/2006/relationships/chartsheet" Target="chartsheets/sheet22.xml"/><Relationship Id="rId28" Type="http://schemas.openxmlformats.org/officeDocument/2006/relationships/styles" Target="styles.xml"/><Relationship Id="rId10" Type="http://schemas.openxmlformats.org/officeDocument/2006/relationships/chartsheet" Target="chartsheets/sheet9.xml"/><Relationship Id="rId19" Type="http://schemas.openxmlformats.org/officeDocument/2006/relationships/chartsheet" Target="chartsheets/sheet18.xml"/><Relationship Id="rId31" Type="http://schemas.openxmlformats.org/officeDocument/2006/relationships/calcChain" Target="calcChain.xml"/><Relationship Id="rId4" Type="http://schemas.openxmlformats.org/officeDocument/2006/relationships/chartsheet" Target="chartsheets/sheet3.xml"/><Relationship Id="rId9" Type="http://schemas.openxmlformats.org/officeDocument/2006/relationships/chartsheet" Target="chartsheets/sheet8.xml"/><Relationship Id="rId14" Type="http://schemas.openxmlformats.org/officeDocument/2006/relationships/chartsheet" Target="chartsheets/sheet13.xml"/><Relationship Id="rId22" Type="http://schemas.openxmlformats.org/officeDocument/2006/relationships/chartsheet" Target="chartsheets/sheet21.xml"/><Relationship Id="rId27" Type="http://schemas.openxmlformats.org/officeDocument/2006/relationships/theme" Target="theme/theme1.xml"/><Relationship Id="rId30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3.xml"/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5.xml"/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>
                <a:solidFill>
                  <a:srgbClr val="595959"/>
                </a:solidFill>
              </a:rPr>
              <a:t>Impact sur le PIB</a:t>
            </a:r>
            <a:r>
              <a:rPr lang="fr-FR" sz="2400" baseline="0">
                <a:solidFill>
                  <a:srgbClr val="595959"/>
                </a:solidFill>
              </a:rPr>
              <a:t> - </a:t>
            </a:r>
            <a:r>
              <a:rPr lang="fr-FR" sz="2400" b="1" u="sng" baseline="0">
                <a:solidFill>
                  <a:srgbClr val="595959"/>
                </a:solidFill>
              </a:rPr>
              <a:t>Net Zero 2050</a:t>
            </a:r>
          </a:p>
          <a:p>
            <a:pPr>
              <a:defRPr sz="2400"/>
            </a:pPr>
            <a:r>
              <a:rPr lang="fr-FR" sz="1800" baseline="0"/>
              <a:t>(% d'écart au scénario tendanciel)</a:t>
            </a:r>
            <a:endParaRPr lang="fr-FR" sz="1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947418400168892E-2"/>
          <c:y val="0.1493210735688186"/>
          <c:w val="0.91901351933111586"/>
          <c:h val="0.67157921974535428"/>
        </c:manualLayout>
      </c:layout>
      <c:barChart>
        <c:barDir val="col"/>
        <c:grouping val="stacked"/>
        <c:varyColors val="0"/>
        <c:ser>
          <c:idx val="2"/>
          <c:order val="2"/>
          <c:tx>
            <c:strRef>
              <c:f>Données!$B$7</c:f>
              <c:strCache>
                <c:ptCount val="1"/>
                <c:pt idx="0">
                  <c:v>Consommation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Données!$C$7:$AL$7</c:f>
              <c:numCache>
                <c:formatCode>#,##0.0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-0.88094295591521488</c:v>
                </c:pt>
                <c:pt idx="7">
                  <c:v>-1.2082094697719892</c:v>
                </c:pt>
                <c:pt idx="8">
                  <c:v>-1.2695504379892579</c:v>
                </c:pt>
                <c:pt idx="9">
                  <c:v>-1.0900690537343156</c:v>
                </c:pt>
                <c:pt idx="10">
                  <c:v>-0.75580148440371386</c:v>
                </c:pt>
                <c:pt idx="11">
                  <c:v>-0.39305745274157233</c:v>
                </c:pt>
                <c:pt idx="12">
                  <c:v>-9.2152011860056587E-2</c:v>
                </c:pt>
                <c:pt idx="13">
                  <c:v>8.5777428006126727E-2</c:v>
                </c:pt>
                <c:pt idx="14">
                  <c:v>0.12842137395367578</c:v>
                </c:pt>
                <c:pt idx="15">
                  <c:v>6.3065921449753232E-2</c:v>
                </c:pt>
                <c:pt idx="16">
                  <c:v>-6.192695289936892E-2</c:v>
                </c:pt>
                <c:pt idx="17">
                  <c:v>-0.19771576746935812</c:v>
                </c:pt>
                <c:pt idx="18">
                  <c:v>-0.31009391192684183</c:v>
                </c:pt>
                <c:pt idx="19">
                  <c:v>-0.38491273211001631</c:v>
                </c:pt>
                <c:pt idx="20">
                  <c:v>-0.42458021339618113</c:v>
                </c:pt>
                <c:pt idx="21">
                  <c:v>-0.44087849282340968</c:v>
                </c:pt>
                <c:pt idx="22">
                  <c:v>-0.44606175186063929</c:v>
                </c:pt>
                <c:pt idx="23">
                  <c:v>-0.44851823252843559</c:v>
                </c:pt>
                <c:pt idx="24">
                  <c:v>-0.45095263904280047</c:v>
                </c:pt>
                <c:pt idx="25">
                  <c:v>-0.45266355355724458</c:v>
                </c:pt>
                <c:pt idx="26">
                  <c:v>-0.44864328863912922</c:v>
                </c:pt>
                <c:pt idx="27">
                  <c:v>-0.43916652946583057</c:v>
                </c:pt>
                <c:pt idx="28">
                  <c:v>-0.42510249814339851</c:v>
                </c:pt>
                <c:pt idx="29">
                  <c:v>-0.40882314351004784</c:v>
                </c:pt>
                <c:pt idx="30">
                  <c:v>-0.39312965915146575</c:v>
                </c:pt>
                <c:pt idx="31">
                  <c:v>-0.38021483423006835</c:v>
                </c:pt>
                <c:pt idx="32">
                  <c:v>-0.37104868999111779</c:v>
                </c:pt>
                <c:pt idx="33">
                  <c:v>-0.36532716739927062</c:v>
                </c:pt>
                <c:pt idx="34">
                  <c:v>-0.36188258398148476</c:v>
                </c:pt>
                <c:pt idx="35">
                  <c:v>-0.3592983929989621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DF-4FA2-B0C9-EB7B6F86A366}"/>
            </c:ext>
          </c:extLst>
        </c:ser>
        <c:ser>
          <c:idx val="5"/>
          <c:order val="5"/>
          <c:tx>
            <c:strRef>
              <c:f>Données!$B$10</c:f>
              <c:strCache>
                <c:ptCount val="1"/>
                <c:pt idx="0">
                  <c:v>Investissement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Données!$C$10:$AL$10</c:f>
              <c:numCache>
                <c:formatCode>#,##0.0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-0.35498919410040886</c:v>
                </c:pt>
                <c:pt idx="7">
                  <c:v>-0.6292517394092525</c:v>
                </c:pt>
                <c:pt idx="8">
                  <c:v>-0.82585440615135575</c:v>
                </c:pt>
                <c:pt idx="9">
                  <c:v>-0.91032323294220741</c:v>
                </c:pt>
                <c:pt idx="10">
                  <c:v>-0.88339427195776798</c:v>
                </c:pt>
                <c:pt idx="11">
                  <c:v>-0.77753157350140212</c:v>
                </c:pt>
                <c:pt idx="12">
                  <c:v>-0.63285080409840511</c:v>
                </c:pt>
                <c:pt idx="13">
                  <c:v>-0.49250019953523683</c:v>
                </c:pt>
                <c:pt idx="14">
                  <c:v>-0.38707207066212268</c:v>
                </c:pt>
                <c:pt idx="15">
                  <c:v>-0.32816829030196898</c:v>
                </c:pt>
                <c:pt idx="16">
                  <c:v>-0.31025450901871288</c:v>
                </c:pt>
                <c:pt idx="17">
                  <c:v>-0.31823958793232127</c:v>
                </c:pt>
                <c:pt idx="18">
                  <c:v>-0.33600442434068301</c:v>
                </c:pt>
                <c:pt idx="19">
                  <c:v>-0.35207393761947287</c:v>
                </c:pt>
                <c:pt idx="20">
                  <c:v>-0.36157048678933568</c:v>
                </c:pt>
                <c:pt idx="21">
                  <c:v>-0.36445875779067799</c:v>
                </c:pt>
                <c:pt idx="22">
                  <c:v>-0.36420993920776523</c:v>
                </c:pt>
                <c:pt idx="23">
                  <c:v>-0.36394283740687211</c:v>
                </c:pt>
                <c:pt idx="24">
                  <c:v>-0.36515200624939809</c:v>
                </c:pt>
                <c:pt idx="25">
                  <c:v>-0.36819507322734096</c:v>
                </c:pt>
                <c:pt idx="26">
                  <c:v>-0.36947079389494386</c:v>
                </c:pt>
                <c:pt idx="27">
                  <c:v>-0.36857556162631672</c:v>
                </c:pt>
                <c:pt idx="28">
                  <c:v>-0.36482915510991176</c:v>
                </c:pt>
                <c:pt idx="29">
                  <c:v>-0.35847791758373204</c:v>
                </c:pt>
                <c:pt idx="30">
                  <c:v>-0.35046074730585142</c:v>
                </c:pt>
                <c:pt idx="31">
                  <c:v>-0.34195713217316209</c:v>
                </c:pt>
                <c:pt idx="32">
                  <c:v>-0.33393477546361211</c:v>
                </c:pt>
                <c:pt idx="33">
                  <c:v>-0.3268769785117952</c:v>
                </c:pt>
                <c:pt idx="34">
                  <c:v>-0.32075384880466129</c:v>
                </c:pt>
                <c:pt idx="35">
                  <c:v>-0.31518850564040041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DF-4FA2-B0C9-EB7B6F86A366}"/>
            </c:ext>
          </c:extLst>
        </c:ser>
        <c:ser>
          <c:idx val="7"/>
          <c:order val="7"/>
          <c:tx>
            <c:strRef>
              <c:f>Données!$B$12</c:f>
              <c:strCache>
                <c:ptCount val="1"/>
                <c:pt idx="0">
                  <c:v>Exportations nettes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Données!$C$12:$AL$12</c:f>
              <c:numCache>
                <c:formatCode>#,##0.0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5.0976947787155391E-2</c:v>
                </c:pt>
                <c:pt idx="7">
                  <c:v>-8.1296713087846306E-2</c:v>
                </c:pt>
                <c:pt idx="8">
                  <c:v>-0.27775471226459336</c:v>
                </c:pt>
                <c:pt idx="9">
                  <c:v>-0.48265537563003102</c:v>
                </c:pt>
                <c:pt idx="10">
                  <c:v>-0.65737406579033941</c:v>
                </c:pt>
                <c:pt idx="11">
                  <c:v>-0.77438409280547316</c:v>
                </c:pt>
                <c:pt idx="12">
                  <c:v>-0.82570702118120254</c:v>
                </c:pt>
                <c:pt idx="13">
                  <c:v>-0.81839006042435758</c:v>
                </c:pt>
                <c:pt idx="14">
                  <c:v>-0.76971218940381381</c:v>
                </c:pt>
                <c:pt idx="15">
                  <c:v>-0.70037558789807908</c:v>
                </c:pt>
                <c:pt idx="16">
                  <c:v>-0.62863157721319762</c:v>
                </c:pt>
                <c:pt idx="17">
                  <c:v>-0.56653060382762921</c:v>
                </c:pt>
                <c:pt idx="18">
                  <c:v>-0.51895661791922798</c:v>
                </c:pt>
                <c:pt idx="19">
                  <c:v>-0.48529174731146274</c:v>
                </c:pt>
                <c:pt idx="20">
                  <c:v>-0.46217691538897809</c:v>
                </c:pt>
                <c:pt idx="21">
                  <c:v>-0.44583004199030696</c:v>
                </c:pt>
                <c:pt idx="22">
                  <c:v>-0.43388005718217532</c:v>
                </c:pt>
                <c:pt idx="23">
                  <c:v>-0.42515622552809884</c:v>
                </c:pt>
                <c:pt idx="24">
                  <c:v>-0.41950920238358397</c:v>
                </c:pt>
                <c:pt idx="25">
                  <c:v>-0.41703897159182007</c:v>
                </c:pt>
                <c:pt idx="26">
                  <c:v>-0.41729530532257808</c:v>
                </c:pt>
                <c:pt idx="27">
                  <c:v>-0.41978969984751024</c:v>
                </c:pt>
                <c:pt idx="28">
                  <c:v>-0.42327597347865298</c:v>
                </c:pt>
                <c:pt idx="29">
                  <c:v>-0.42670637709803094</c:v>
                </c:pt>
                <c:pt idx="30">
                  <c:v>-0.42939542776224487</c:v>
                </c:pt>
                <c:pt idx="31">
                  <c:v>-0.43110415522809475</c:v>
                </c:pt>
                <c:pt idx="32">
                  <c:v>-0.43197517106724909</c:v>
                </c:pt>
                <c:pt idx="33">
                  <c:v>-0.4323678551363464</c:v>
                </c:pt>
                <c:pt idx="34">
                  <c:v>-0.43266659076889219</c:v>
                </c:pt>
                <c:pt idx="35">
                  <c:v>-0.43313603280288016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8260000"/>
        <c:axId val="69826098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Données!$B$6</c15:sqref>
                        </c15:formulaRef>
                      </c:ext>
                    </c:extLst>
                    <c:strCache>
                      <c:ptCount val="1"/>
                      <c:pt idx="0">
                        <c:v>VA du secteur marchand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Données!$C$6:$AL$6</c15:sqref>
                        </c15:formulaRef>
                      </c:ext>
                    </c:extLst>
                    <c:numCache>
                      <c:formatCode>#,##0.0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-1.3979385265201927</c:v>
                      </c:pt>
                      <c:pt idx="7">
                        <c:v>-2.303401518978343</c:v>
                      </c:pt>
                      <c:pt idx="8">
                        <c:v>-2.8972995723217099</c:v>
                      </c:pt>
                      <c:pt idx="9">
                        <c:v>-3.0893049439357667</c:v>
                      </c:pt>
                      <c:pt idx="10">
                        <c:v>-2.9221003026079106</c:v>
                      </c:pt>
                      <c:pt idx="11">
                        <c:v>-2.5415285664556975</c:v>
                      </c:pt>
                      <c:pt idx="12">
                        <c:v>-2.0879225079814434</c:v>
                      </c:pt>
                      <c:pt idx="13">
                        <c:v>-1.6958738776570059</c:v>
                      </c:pt>
                      <c:pt idx="14">
                        <c:v>-1.4430500276965574</c:v>
                      </c:pt>
                      <c:pt idx="15">
                        <c:v>-1.3427019431412002</c:v>
                      </c:pt>
                      <c:pt idx="16">
                        <c:v>-1.3589858249026587</c:v>
                      </c:pt>
                      <c:pt idx="17">
                        <c:v>-1.4345888907214666</c:v>
                      </c:pt>
                      <c:pt idx="18">
                        <c:v>-1.517206826760209</c:v>
                      </c:pt>
                      <c:pt idx="19">
                        <c:v>-1.5752792231596202</c:v>
                      </c:pt>
                      <c:pt idx="20">
                        <c:v>-1.6005949551921805</c:v>
                      </c:pt>
                      <c:pt idx="21">
                        <c:v>-1.600597606164389</c:v>
                      </c:pt>
                      <c:pt idx="22">
                        <c:v>-1.5904091892120165</c:v>
                      </c:pt>
                      <c:pt idx="23">
                        <c:v>-1.5816361823640768</c:v>
                      </c:pt>
                      <c:pt idx="24">
                        <c:v>-1.5789277836471105</c:v>
                      </c:pt>
                      <c:pt idx="25">
                        <c:v>-1.5824496554551426</c:v>
                      </c:pt>
                      <c:pt idx="26">
                        <c:v>-1.580218878596007</c:v>
                      </c:pt>
                      <c:pt idx="27">
                        <c:v>-1.5720938229950465</c:v>
                      </c:pt>
                      <c:pt idx="28">
                        <c:v>-1.5562742078323533</c:v>
                      </c:pt>
                      <c:pt idx="29">
                        <c:v>-1.5343024102432268</c:v>
                      </c:pt>
                      <c:pt idx="30">
                        <c:v>-1.5096502004602774</c:v>
                      </c:pt>
                      <c:pt idx="31">
                        <c:v>-1.4860441720180306</c:v>
                      </c:pt>
                      <c:pt idx="32">
                        <c:v>-1.4660795949278271</c:v>
                      </c:pt>
                      <c:pt idx="33">
                        <c:v>-1.4505765359670186</c:v>
                      </c:pt>
                      <c:pt idx="34">
                        <c:v>-1.438734088851612</c:v>
                      </c:pt>
                      <c:pt idx="35">
                        <c:v>-1.4288443813958884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4DF-4FA2-B0C9-EB7B6F86A36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Données!$B$8</c15:sqref>
                        </c15:formulaRef>
                      </c:ext>
                    </c:extLst>
                    <c:strCache>
                      <c:ptCount val="1"/>
                      <c:pt idx="0">
                        <c:v>Consommation des ménages automobile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Données!$C$8:$AL$8</c15:sqref>
                        </c15:formulaRef>
                      </c:ext>
                    </c:extLst>
                    <c:numCache>
                      <c:formatCode>#,##0.0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-1.3145538015097718E-2</c:v>
                      </c:pt>
                      <c:pt idx="7">
                        <c:v>-1.2183890457783161E-2</c:v>
                      </c:pt>
                      <c:pt idx="8">
                        <c:v>2.7036533101034738E-2</c:v>
                      </c:pt>
                      <c:pt idx="9">
                        <c:v>6.4942704831409404E-2</c:v>
                      </c:pt>
                      <c:pt idx="10">
                        <c:v>9.1555559551182705E-2</c:v>
                      </c:pt>
                      <c:pt idx="11">
                        <c:v>0.10073107494794958</c:v>
                      </c:pt>
                      <c:pt idx="12">
                        <c:v>9.2508030104185485E-2</c:v>
                      </c:pt>
                      <c:pt idx="13">
                        <c:v>7.2097656241742844E-2</c:v>
                      </c:pt>
                      <c:pt idx="14">
                        <c:v>4.6574543769345146E-2</c:v>
                      </c:pt>
                      <c:pt idx="15">
                        <c:v>2.253587307441161E-2</c:v>
                      </c:pt>
                      <c:pt idx="16">
                        <c:v>4.4877931703870928E-3</c:v>
                      </c:pt>
                      <c:pt idx="17">
                        <c:v>-5.7633735930232395E-3</c:v>
                      </c:pt>
                      <c:pt idx="18">
                        <c:v>-8.8464789943624514E-3</c:v>
                      </c:pt>
                      <c:pt idx="19">
                        <c:v>-6.9274099907220997E-3</c:v>
                      </c:pt>
                      <c:pt idx="20">
                        <c:v>-2.6084957900249098E-3</c:v>
                      </c:pt>
                      <c:pt idx="21">
                        <c:v>2.072713656670536E-3</c:v>
                      </c:pt>
                      <c:pt idx="22">
                        <c:v>5.9248913673062495E-3</c:v>
                      </c:pt>
                      <c:pt idx="23">
                        <c:v>8.654651102089005E-3</c:v>
                      </c:pt>
                      <c:pt idx="24">
                        <c:v>1.0536119562384719E-2</c:v>
                      </c:pt>
                      <c:pt idx="25">
                        <c:v>1.1956490744046819E-2</c:v>
                      </c:pt>
                      <c:pt idx="26">
                        <c:v>1.3323980806573857E-2</c:v>
                      </c:pt>
                      <c:pt idx="27">
                        <c:v>1.4718291153136182E-2</c:v>
                      </c:pt>
                      <c:pt idx="28">
                        <c:v>1.5949595285768635E-2</c:v>
                      </c:pt>
                      <c:pt idx="29">
                        <c:v>1.686975034081099E-2</c:v>
                      </c:pt>
                      <c:pt idx="30">
                        <c:v>1.7408575127358775E-2</c:v>
                      </c:pt>
                      <c:pt idx="31">
                        <c:v>1.7605282751865705E-2</c:v>
                      </c:pt>
                      <c:pt idx="32">
                        <c:v>1.7588107676180801E-2</c:v>
                      </c:pt>
                      <c:pt idx="33">
                        <c:v>1.752138946054551E-2</c:v>
                      </c:pt>
                      <c:pt idx="34">
                        <c:v>1.7548332940865038E-2</c:v>
                      </c:pt>
                      <c:pt idx="35">
                        <c:v>1.7752242667454513E-2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4DF-4FA2-B0C9-EB7B6F86A36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Données!$B$9</c15:sqref>
                        </c15:formulaRef>
                      </c:ext>
                    </c:extLst>
                    <c:strCache>
                      <c:ptCount val="1"/>
                      <c:pt idx="0">
                        <c:v>Dépenses publiques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Données!$C$9:$AL$9</c15:sqref>
                        </c15:formulaRef>
                      </c:ext>
                    </c:extLst>
                    <c:numCache>
                      <c:formatCode>#,##0.0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4DF-4FA2-B0C9-EB7B6F86A36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Données!$B$11</c15:sqref>
                        </c15:formulaRef>
                      </c:ext>
                    </c:extLst>
                    <c:strCache>
                      <c:ptCount val="1"/>
                      <c:pt idx="0">
                        <c:v>Variations de stocks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Données!$C$11:$AL$11</c15:sqref>
                        </c15:formulaRef>
                      </c:ext>
                    </c:extLst>
                    <c:numCache>
                      <c:formatCode>#,##0.0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4DF-4FA2-B0C9-EB7B6F86A36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0"/>
          <c:order val="0"/>
          <c:tx>
            <c:strRef>
              <c:f>Données!$B$5</c:f>
              <c:strCache>
                <c:ptCount val="1"/>
                <c:pt idx="0">
                  <c:v>PIB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Données!$C$5:$AL$5</c:f>
              <c:numCache>
                <c:formatCode>#,##0.0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-1.1849551980458783</c:v>
                </c:pt>
                <c:pt idx="7">
                  <c:v>-1.9187579346455097</c:v>
                </c:pt>
                <c:pt idx="8">
                  <c:v>-2.373159536043612</c:v>
                </c:pt>
                <c:pt idx="9">
                  <c:v>-2.483047654266024</c:v>
                </c:pt>
                <c:pt idx="10">
                  <c:v>-2.2965698221518172</c:v>
                </c:pt>
                <c:pt idx="11">
                  <c:v>-1.9449731346725452</c:v>
                </c:pt>
                <c:pt idx="12">
                  <c:v>-1.5507098140532305</c:v>
                </c:pt>
                <c:pt idx="13">
                  <c:v>-1.2251128584772175</c:v>
                </c:pt>
                <c:pt idx="14">
                  <c:v>-1.0283629047670662</c:v>
                </c:pt>
                <c:pt idx="15">
                  <c:v>-0.96547794572903189</c:v>
                </c:pt>
                <c:pt idx="16">
                  <c:v>-1.0008130427488937</c:v>
                </c:pt>
                <c:pt idx="17">
                  <c:v>-1.0824859521044172</c:v>
                </c:pt>
                <c:pt idx="18">
                  <c:v>-1.1650549576948444</c:v>
                </c:pt>
                <c:pt idx="19">
                  <c:v>-1.2222783859513253</c:v>
                </c:pt>
                <c:pt idx="20">
                  <c:v>-1.2483276360008011</c:v>
                </c:pt>
                <c:pt idx="21">
                  <c:v>-1.2511672892521086</c:v>
                </c:pt>
                <c:pt idx="22">
                  <c:v>-1.2441517350475384</c:v>
                </c:pt>
                <c:pt idx="23">
                  <c:v>-1.2376173117131462</c:v>
                </c:pt>
                <c:pt idx="24">
                  <c:v>-1.235613844475747</c:v>
                </c:pt>
                <c:pt idx="25">
                  <c:v>-1.2378975762579181</c:v>
                </c:pt>
                <c:pt idx="26">
                  <c:v>-1.2354093691682833</c:v>
                </c:pt>
                <c:pt idx="27">
                  <c:v>-1.2275317663725138</c:v>
                </c:pt>
                <c:pt idx="28">
                  <c:v>-1.2132076358144728</c:v>
                </c:pt>
                <c:pt idx="29">
                  <c:v>-1.1940074650522936</c:v>
                </c:pt>
                <c:pt idx="30">
                  <c:v>-1.1729858459879172</c:v>
                </c:pt>
                <c:pt idx="31">
                  <c:v>-1.15327612743229</c:v>
                </c:pt>
                <c:pt idx="32">
                  <c:v>-1.1369586308023871</c:v>
                </c:pt>
                <c:pt idx="33">
                  <c:v>-1.1245719897675754</c:v>
                </c:pt>
                <c:pt idx="34">
                  <c:v>-1.1153030541444009</c:v>
                </c:pt>
                <c:pt idx="35">
                  <c:v>-1.1076229259576298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60000"/>
        <c:axId val="698260984"/>
      </c:lineChart>
      <c:dateAx>
        <c:axId val="698260000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5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558026074095319"/>
          <c:y val="0.92307178193558292"/>
          <c:w val="0.7488393708655362"/>
          <c:h val="5.806594172596264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400">
          <a:latin typeface="Marianne Light" panose="02000000000000000000" pitchFamily="50" charset="0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rgbClr val="595959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Inflation (%)</a:t>
            </a:r>
          </a:p>
        </c:rich>
      </c:tx>
      <c:layout>
        <c:manualLayout>
          <c:xMode val="edge"/>
          <c:yMode val="edge"/>
          <c:x val="0.4109619154318111"/>
          <c:y val="2.51497017846056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rgbClr val="595959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537262156476636E-2"/>
          <c:y val="0.12992444857958643"/>
          <c:w val="0.91942367557480809"/>
          <c:h val="0.68678422777048564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Données!$B$64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Données!$C$64:$AL$64</c:f>
              <c:numCache>
                <c:formatCode>#,##0.0</c:formatCode>
                <c:ptCount val="36"/>
                <c:pt idx="1">
                  <c:v>2.1287850912056649</c:v>
                </c:pt>
                <c:pt idx="2">
                  <c:v>1.3859077705273615</c:v>
                </c:pt>
                <c:pt idx="3">
                  <c:v>1.1442795572653042</c:v>
                </c:pt>
                <c:pt idx="4">
                  <c:v>1.1230379150063197</c:v>
                </c:pt>
                <c:pt idx="5">
                  <c:v>1.3073065487576141</c:v>
                </c:pt>
                <c:pt idx="6">
                  <c:v>1.6351550971357875</c:v>
                </c:pt>
                <c:pt idx="7">
                  <c:v>1.9520417083620067</c:v>
                </c:pt>
                <c:pt idx="8">
                  <c:v>2.1738180432665954</c:v>
                </c:pt>
                <c:pt idx="9">
                  <c:v>2.2624819958697362</c:v>
                </c:pt>
                <c:pt idx="10">
                  <c:v>2.176650052314133</c:v>
                </c:pt>
                <c:pt idx="11">
                  <c:v>2.2166163198526601</c:v>
                </c:pt>
                <c:pt idx="12">
                  <c:v>2.1869731874920806</c:v>
                </c:pt>
                <c:pt idx="13">
                  <c:v>2.1869956919507549</c:v>
                </c:pt>
                <c:pt idx="14">
                  <c:v>2.1991056961260247</c:v>
                </c:pt>
                <c:pt idx="15">
                  <c:v>2.2130478087257099</c:v>
                </c:pt>
                <c:pt idx="16">
                  <c:v>2.2190841792911975</c:v>
                </c:pt>
                <c:pt idx="17">
                  <c:v>2.2120957428191534</c:v>
                </c:pt>
                <c:pt idx="18">
                  <c:v>2.1931820443509942</c:v>
                </c:pt>
                <c:pt idx="19">
                  <c:v>2.1679316482884348</c:v>
                </c:pt>
                <c:pt idx="20">
                  <c:v>2.1794676219903941</c:v>
                </c:pt>
                <c:pt idx="21">
                  <c:v>2.1075974513406148</c:v>
                </c:pt>
                <c:pt idx="22">
                  <c:v>2.088771516632093</c:v>
                </c:pt>
                <c:pt idx="23">
                  <c:v>2.0802380285748878</c:v>
                </c:pt>
                <c:pt idx="24">
                  <c:v>2.0867228652045045</c:v>
                </c:pt>
                <c:pt idx="25">
                  <c:v>2.1863746961792163</c:v>
                </c:pt>
                <c:pt idx="26">
                  <c:v>2.1110122355761263</c:v>
                </c:pt>
                <c:pt idx="27">
                  <c:v>2.0784058604975897</c:v>
                </c:pt>
                <c:pt idx="28">
                  <c:v>2.0375329213459636</c:v>
                </c:pt>
                <c:pt idx="29">
                  <c:v>2.0121395845977386</c:v>
                </c:pt>
                <c:pt idx="30">
                  <c:v>2.0067223412468804</c:v>
                </c:pt>
                <c:pt idx="31">
                  <c:v>2.016755617695698</c:v>
                </c:pt>
                <c:pt idx="32">
                  <c:v>2.0331983111321783</c:v>
                </c:pt>
                <c:pt idx="33">
                  <c:v>2.047300290978904</c:v>
                </c:pt>
                <c:pt idx="34">
                  <c:v>2.0539940888144814</c:v>
                </c:pt>
                <c:pt idx="35">
                  <c:v>2.0528738863974771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BB1-4F3D-B713-AB83A709E486}"/>
            </c:ext>
          </c:extLst>
        </c:ser>
        <c:ser>
          <c:idx val="1"/>
          <c:order val="1"/>
          <c:tx>
            <c:strRef>
              <c:f>Données!$B$65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Données!$C$65:$AL$65</c:f>
              <c:numCache>
                <c:formatCode>#,##0.0</c:formatCode>
                <c:ptCount val="36"/>
                <c:pt idx="1">
                  <c:v>2.1287850912056649</c:v>
                </c:pt>
                <c:pt idx="2">
                  <c:v>1.3859077705273615</c:v>
                </c:pt>
                <c:pt idx="3">
                  <c:v>1.1442795572653042</c:v>
                </c:pt>
                <c:pt idx="4">
                  <c:v>1.1230379150063197</c:v>
                </c:pt>
                <c:pt idx="5">
                  <c:v>1.3073065487576141</c:v>
                </c:pt>
                <c:pt idx="6">
                  <c:v>5.2934359560023125</c:v>
                </c:pt>
                <c:pt idx="7">
                  <c:v>2.9334718007602234</c:v>
                </c:pt>
                <c:pt idx="8">
                  <c:v>3.1395212330967537</c:v>
                </c:pt>
                <c:pt idx="9">
                  <c:v>2.5818727106925676</c:v>
                </c:pt>
                <c:pt idx="10">
                  <c:v>1.9595494924798063</c:v>
                </c:pt>
                <c:pt idx="11">
                  <c:v>1.6939842082398737</c:v>
                </c:pt>
                <c:pt idx="12">
                  <c:v>1.5641713639472421</c:v>
                </c:pt>
                <c:pt idx="13">
                  <c:v>1.6401422217412254</c:v>
                </c:pt>
                <c:pt idx="14">
                  <c:v>1.8196450814614185</c:v>
                </c:pt>
                <c:pt idx="15">
                  <c:v>2.0079533784952641</c:v>
                </c:pt>
                <c:pt idx="16">
                  <c:v>2.1372021112982198</c:v>
                </c:pt>
                <c:pt idx="17">
                  <c:v>2.1841424959069933</c:v>
                </c:pt>
                <c:pt idx="18">
                  <c:v>2.1652459193902684</c:v>
                </c:pt>
                <c:pt idx="19">
                  <c:v>2.1164338934832827</c:v>
                </c:pt>
                <c:pt idx="20">
                  <c:v>2.107319384727635</c:v>
                </c:pt>
                <c:pt idx="21">
                  <c:v>2.0334883950259508</c:v>
                </c:pt>
                <c:pt idx="22">
                  <c:v>2.0314935645942889</c:v>
                </c:pt>
                <c:pt idx="23">
                  <c:v>2.0482702265457009</c:v>
                </c:pt>
                <c:pt idx="24">
                  <c:v>2.0775016297909232</c:v>
                </c:pt>
                <c:pt idx="25">
                  <c:v>2.1908352297194122</c:v>
                </c:pt>
                <c:pt idx="26">
                  <c:v>2.1098477426023887</c:v>
                </c:pt>
                <c:pt idx="27">
                  <c:v>2.0693346147508063</c:v>
                </c:pt>
                <c:pt idx="28">
                  <c:v>2.0178701644878672</c:v>
                </c:pt>
                <c:pt idx="29">
                  <c:v>1.9845172739994643</c:v>
                </c:pt>
                <c:pt idx="30">
                  <c:v>1.9761284516444322</c:v>
                </c:pt>
                <c:pt idx="31">
                  <c:v>1.9879930825505987</c:v>
                </c:pt>
                <c:pt idx="32">
                  <c:v>2.009098514334684</c:v>
                </c:pt>
                <c:pt idx="33">
                  <c:v>2.0281432593947102</c:v>
                </c:pt>
                <c:pt idx="34">
                  <c:v>2.0380565099897829</c:v>
                </c:pt>
                <c:pt idx="35">
                  <c:v>2.0376015346834642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BB1-4F3D-B713-AB83A709E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rgbClr val="595959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rgbClr val="595959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rgbClr val="595959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rgbClr val="595959"/>
          </a:solidFill>
          <a:latin typeface="Marianne Light" panose="02000000000000000000" pitchFamily="50" charset="0"/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Emissions</a:t>
            </a:r>
            <a:r>
              <a:rPr lang="fr-FR" sz="2400" baseline="0"/>
              <a:t> de CO2 </a:t>
            </a:r>
            <a:r>
              <a:rPr lang="fr-FR" sz="2400"/>
              <a:t>(MtCO2/an)</a:t>
            </a:r>
          </a:p>
        </c:rich>
      </c:tx>
      <c:layout>
        <c:manualLayout>
          <c:xMode val="edge"/>
          <c:yMode val="edge"/>
          <c:x val="0.29025624900866531"/>
          <c:y val="2.51582105546018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296873672845803E-2"/>
          <c:y val="0.12425008837050726"/>
          <c:w val="0.90139843901638717"/>
          <c:h val="0.70629059391251803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Données!$B$67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Données!$C$67:$AL$67</c:f>
              <c:numCache>
                <c:formatCode>#,##0</c:formatCode>
                <c:ptCount val="36"/>
                <c:pt idx="0">
                  <c:v>352.66205120000001</c:v>
                </c:pt>
                <c:pt idx="1">
                  <c:v>355.2350485</c:v>
                </c:pt>
                <c:pt idx="2">
                  <c:v>357.33033</c:v>
                </c:pt>
                <c:pt idx="3">
                  <c:v>359.27821</c:v>
                </c:pt>
                <c:pt idx="4">
                  <c:v>361.50007490000002</c:v>
                </c:pt>
                <c:pt idx="5">
                  <c:v>364.33780610000002</c:v>
                </c:pt>
                <c:pt idx="6">
                  <c:v>367.49754369999999</c:v>
                </c:pt>
                <c:pt idx="7">
                  <c:v>371.346969</c:v>
                </c:pt>
                <c:pt idx="8">
                  <c:v>375.6614275</c:v>
                </c:pt>
                <c:pt idx="9">
                  <c:v>380.16006800000002</c:v>
                </c:pt>
                <c:pt idx="10">
                  <c:v>385.204768</c:v>
                </c:pt>
                <c:pt idx="11">
                  <c:v>389.60271180000001</c:v>
                </c:pt>
                <c:pt idx="12">
                  <c:v>393.94747660000002</c:v>
                </c:pt>
                <c:pt idx="13">
                  <c:v>398.33179250000001</c:v>
                </c:pt>
                <c:pt idx="14">
                  <c:v>402.75667220000003</c:v>
                </c:pt>
                <c:pt idx="15">
                  <c:v>407.21387750000002</c:v>
                </c:pt>
                <c:pt idx="16">
                  <c:v>411.69532909999998</c:v>
                </c:pt>
                <c:pt idx="17">
                  <c:v>416.19360879999999</c:v>
                </c:pt>
                <c:pt idx="18">
                  <c:v>420.70513620000003</c:v>
                </c:pt>
                <c:pt idx="19">
                  <c:v>425.23422260000001</c:v>
                </c:pt>
                <c:pt idx="20">
                  <c:v>429.36463570000001</c:v>
                </c:pt>
                <c:pt idx="21">
                  <c:v>433.95696149999998</c:v>
                </c:pt>
                <c:pt idx="22">
                  <c:v>438.64157299999999</c:v>
                </c:pt>
                <c:pt idx="23">
                  <c:v>443.38260650000001</c:v>
                </c:pt>
                <c:pt idx="24">
                  <c:v>448.21126520000001</c:v>
                </c:pt>
                <c:pt idx="25">
                  <c:v>451.83291630000002</c:v>
                </c:pt>
                <c:pt idx="26">
                  <c:v>456.32227469999998</c:v>
                </c:pt>
                <c:pt idx="27">
                  <c:v>460.93641880000001</c:v>
                </c:pt>
                <c:pt idx="28">
                  <c:v>465.538882</c:v>
                </c:pt>
                <c:pt idx="29">
                  <c:v>470.15875949999997</c:v>
                </c:pt>
                <c:pt idx="30">
                  <c:v>474.84620410000002</c:v>
                </c:pt>
                <c:pt idx="31">
                  <c:v>479.6343895</c:v>
                </c:pt>
                <c:pt idx="32">
                  <c:v>484.5324225</c:v>
                </c:pt>
                <c:pt idx="33">
                  <c:v>489.53033119999998</c:v>
                </c:pt>
                <c:pt idx="34">
                  <c:v>494.60917599999999</c:v>
                </c:pt>
                <c:pt idx="35">
                  <c:v>499.75133199999999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C8-4867-AD43-ECA314AA01DF}"/>
            </c:ext>
          </c:extLst>
        </c:ser>
        <c:ser>
          <c:idx val="1"/>
          <c:order val="1"/>
          <c:tx>
            <c:strRef>
              <c:f>Données!$B$73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Données!$C$73:$AL$73</c:f>
              <c:numCache>
                <c:formatCode>#,##0</c:formatCode>
                <c:ptCount val="36"/>
                <c:pt idx="0">
                  <c:v>352.66205120000001</c:v>
                </c:pt>
                <c:pt idx="1">
                  <c:v>355.2350485</c:v>
                </c:pt>
                <c:pt idx="2">
                  <c:v>357.33033</c:v>
                </c:pt>
                <c:pt idx="3">
                  <c:v>359.27821</c:v>
                </c:pt>
                <c:pt idx="4">
                  <c:v>361.50007490000002</c:v>
                </c:pt>
                <c:pt idx="5">
                  <c:v>364.33780610000002</c:v>
                </c:pt>
                <c:pt idx="6">
                  <c:v>370.3629881</c:v>
                </c:pt>
                <c:pt idx="7">
                  <c:v>374.48689139999999</c:v>
                </c:pt>
                <c:pt idx="8">
                  <c:v>378.0061824</c:v>
                </c:pt>
                <c:pt idx="9">
                  <c:v>380.96607110000002</c:v>
                </c:pt>
                <c:pt idx="10">
                  <c:v>384.06913220000001</c:v>
                </c:pt>
                <c:pt idx="11">
                  <c:v>386.54364880000003</c:v>
                </c:pt>
                <c:pt idx="12">
                  <c:v>389.29335570000001</c:v>
                </c:pt>
                <c:pt idx="13">
                  <c:v>392.58389019999998</c:v>
                </c:pt>
                <c:pt idx="14">
                  <c:v>396.4302576</c:v>
                </c:pt>
                <c:pt idx="15">
                  <c:v>400.71907820000001</c:v>
                </c:pt>
                <c:pt idx="16">
                  <c:v>405.27455880000002</c:v>
                </c:pt>
                <c:pt idx="17">
                  <c:v>409.93143500000002</c:v>
                </c:pt>
                <c:pt idx="18">
                  <c:v>414.58131500000002</c:v>
                </c:pt>
                <c:pt idx="19">
                  <c:v>419.18842619999998</c:v>
                </c:pt>
                <c:pt idx="20">
                  <c:v>423.34520379999998</c:v>
                </c:pt>
                <c:pt idx="21">
                  <c:v>427.95081779999998</c:v>
                </c:pt>
                <c:pt idx="22">
                  <c:v>432.66379319999999</c:v>
                </c:pt>
                <c:pt idx="23">
                  <c:v>437.46071480000001</c:v>
                </c:pt>
                <c:pt idx="24">
                  <c:v>442.36618149999998</c:v>
                </c:pt>
                <c:pt idx="25">
                  <c:v>446.0683507</c:v>
                </c:pt>
                <c:pt idx="26">
                  <c:v>450.62591859999998</c:v>
                </c:pt>
                <c:pt idx="27">
                  <c:v>455.28671880000002</c:v>
                </c:pt>
                <c:pt idx="28">
                  <c:v>459.91590259999998</c:v>
                </c:pt>
                <c:pt idx="29">
                  <c:v>464.5494736</c:v>
                </c:pt>
                <c:pt idx="30">
                  <c:v>469.2467312</c:v>
                </c:pt>
                <c:pt idx="31">
                  <c:v>474.04851500000001</c:v>
                </c:pt>
                <c:pt idx="32">
                  <c:v>478.96743980000002</c:v>
                </c:pt>
                <c:pt idx="33">
                  <c:v>483.99274500000001</c:v>
                </c:pt>
                <c:pt idx="34">
                  <c:v>489.1022261</c:v>
                </c:pt>
                <c:pt idx="35">
                  <c:v>494.27452449999998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C8-4867-AD43-ECA314AA01DF}"/>
            </c:ext>
          </c:extLst>
        </c:ser>
        <c:ser>
          <c:idx val="4"/>
          <c:order val="2"/>
          <c:tx>
            <c:v>Baseline - Ménages</c:v>
          </c:tx>
          <c:spPr>
            <a:ln w="3810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Données!$C$68:$AL$68</c:f>
              <c:numCache>
                <c:formatCode>#,##0</c:formatCode>
                <c:ptCount val="36"/>
                <c:pt idx="0">
                  <c:v>115.311927</c:v>
                </c:pt>
                <c:pt idx="1">
                  <c:v>115.0546119</c:v>
                </c:pt>
                <c:pt idx="2">
                  <c:v>114.4665024</c:v>
                </c:pt>
                <c:pt idx="3">
                  <c:v>113.98231730000001</c:v>
                </c:pt>
                <c:pt idx="4">
                  <c:v>113.69548570000001</c:v>
                </c:pt>
                <c:pt idx="5">
                  <c:v>113.5835625</c:v>
                </c:pt>
                <c:pt idx="6">
                  <c:v>113.57932719999999</c:v>
                </c:pt>
                <c:pt idx="7">
                  <c:v>113.65638509999999</c:v>
                </c:pt>
                <c:pt idx="8">
                  <c:v>113.79808130000001</c:v>
                </c:pt>
                <c:pt idx="9">
                  <c:v>113.999865</c:v>
                </c:pt>
                <c:pt idx="10">
                  <c:v>114.2977544</c:v>
                </c:pt>
                <c:pt idx="11">
                  <c:v>114.6411738</c:v>
                </c:pt>
                <c:pt idx="12">
                  <c:v>115.0249587</c:v>
                </c:pt>
                <c:pt idx="13">
                  <c:v>115.4384548</c:v>
                </c:pt>
                <c:pt idx="14">
                  <c:v>115.86763879999999</c:v>
                </c:pt>
                <c:pt idx="15">
                  <c:v>116.3049571</c:v>
                </c:pt>
                <c:pt idx="16">
                  <c:v>116.74864150000001</c:v>
                </c:pt>
                <c:pt idx="17">
                  <c:v>117.19721749999999</c:v>
                </c:pt>
                <c:pt idx="18">
                  <c:v>117.64872149999999</c:v>
                </c:pt>
                <c:pt idx="19">
                  <c:v>118.1009797</c:v>
                </c:pt>
                <c:pt idx="20">
                  <c:v>118.5268818</c:v>
                </c:pt>
                <c:pt idx="21">
                  <c:v>118.9584989</c:v>
                </c:pt>
                <c:pt idx="22">
                  <c:v>119.39203139999999</c:v>
                </c:pt>
                <c:pt idx="23">
                  <c:v>119.8240133</c:v>
                </c:pt>
                <c:pt idx="24">
                  <c:v>120.2522891</c:v>
                </c:pt>
                <c:pt idx="25">
                  <c:v>120.6056645</c:v>
                </c:pt>
                <c:pt idx="26">
                  <c:v>120.94834590000001</c:v>
                </c:pt>
                <c:pt idx="27">
                  <c:v>121.2864156</c:v>
                </c:pt>
                <c:pt idx="28">
                  <c:v>121.6217587</c:v>
                </c:pt>
                <c:pt idx="29">
                  <c:v>121.95406869999999</c:v>
                </c:pt>
                <c:pt idx="30">
                  <c:v>122.2818317</c:v>
                </c:pt>
                <c:pt idx="31">
                  <c:v>122.60354460000001</c:v>
                </c:pt>
                <c:pt idx="32">
                  <c:v>122.91858740000001</c:v>
                </c:pt>
                <c:pt idx="33">
                  <c:v>123.2274628</c:v>
                </c:pt>
                <c:pt idx="34">
                  <c:v>123.53146649999999</c:v>
                </c:pt>
                <c:pt idx="35">
                  <c:v>123.8320638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75-4A82-96A0-76304CD4EC78}"/>
            </c:ext>
          </c:extLst>
        </c:ser>
        <c:ser>
          <c:idx val="2"/>
          <c:order val="3"/>
          <c:tx>
            <c:v>NZ50 - Ménages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Données!$C$74:$AL$74</c:f>
              <c:numCache>
                <c:formatCode>#,##0</c:formatCode>
                <c:ptCount val="36"/>
                <c:pt idx="0">
                  <c:v>115.311927</c:v>
                </c:pt>
                <c:pt idx="1">
                  <c:v>115.0546119</c:v>
                </c:pt>
                <c:pt idx="2">
                  <c:v>114.4665024</c:v>
                </c:pt>
                <c:pt idx="3">
                  <c:v>113.98231730000001</c:v>
                </c:pt>
                <c:pt idx="4">
                  <c:v>113.69548570000001</c:v>
                </c:pt>
                <c:pt idx="5">
                  <c:v>113.5835625</c:v>
                </c:pt>
                <c:pt idx="6">
                  <c:v>113.5996684</c:v>
                </c:pt>
                <c:pt idx="7">
                  <c:v>113.6602364</c:v>
                </c:pt>
                <c:pt idx="8">
                  <c:v>113.8690754</c:v>
                </c:pt>
                <c:pt idx="9">
                  <c:v>114.2090159</c:v>
                </c:pt>
                <c:pt idx="10">
                  <c:v>114.6832016</c:v>
                </c:pt>
                <c:pt idx="11">
                  <c:v>115.1961458</c:v>
                </c:pt>
                <c:pt idx="12">
                  <c:v>115.71240450000001</c:v>
                </c:pt>
                <c:pt idx="13">
                  <c:v>116.2073862</c:v>
                </c:pt>
                <c:pt idx="14">
                  <c:v>116.6681128</c:v>
                </c:pt>
                <c:pt idx="15">
                  <c:v>117.0944381</c:v>
                </c:pt>
                <c:pt idx="16">
                  <c:v>117.49238870000001</c:v>
                </c:pt>
                <c:pt idx="17">
                  <c:v>117.87570169999999</c:v>
                </c:pt>
                <c:pt idx="18">
                  <c:v>118.2595451</c:v>
                </c:pt>
                <c:pt idx="19">
                  <c:v>118.6547499</c:v>
                </c:pt>
                <c:pt idx="20">
                  <c:v>119.04016489999999</c:v>
                </c:pt>
                <c:pt idx="21">
                  <c:v>119.44831259999999</c:v>
                </c:pt>
                <c:pt idx="22">
                  <c:v>119.87250710000001</c:v>
                </c:pt>
                <c:pt idx="23">
                  <c:v>120.3058691</c:v>
                </c:pt>
                <c:pt idx="24">
                  <c:v>120.74362170000001</c:v>
                </c:pt>
                <c:pt idx="25">
                  <c:v>121.1125131</c:v>
                </c:pt>
                <c:pt idx="26">
                  <c:v>121.4766486</c:v>
                </c:pt>
                <c:pt idx="27">
                  <c:v>121.8421245</c:v>
                </c:pt>
                <c:pt idx="28">
                  <c:v>122.2104349</c:v>
                </c:pt>
                <c:pt idx="29">
                  <c:v>122.58036869999999</c:v>
                </c:pt>
                <c:pt idx="30">
                  <c:v>122.9496323</c:v>
                </c:pt>
                <c:pt idx="31">
                  <c:v>123.31628809999999</c:v>
                </c:pt>
                <c:pt idx="32">
                  <c:v>123.6793993</c:v>
                </c:pt>
                <c:pt idx="33">
                  <c:v>124.0394957</c:v>
                </c:pt>
                <c:pt idx="34">
                  <c:v>124.3983551</c:v>
                </c:pt>
                <c:pt idx="35">
                  <c:v>124.7581958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F9-419D-90DC-C3E392523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  <c:extLst>
          <c:ext xmlns:c15="http://schemas.microsoft.com/office/drawing/2012/chart" uri="{02D57815-91ED-43cb-92C2-25804820EDAC}">
            <c15:filteredLineSeries>
              <c15:ser>
                <c:idx val="3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Données!$B$75</c15:sqref>
                        </c15:formulaRef>
                      </c:ext>
                    </c:extLst>
                    <c:strCache>
                      <c:ptCount val="1"/>
                      <c:pt idx="0">
                        <c:v>Entreprises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5000"/>
                      </a:schemeClr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Données!$C$75:$AL$75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237.350124198</c:v>
                      </c:pt>
                      <c:pt idx="1">
                        <c:v>240.18043659899999</c:v>
                      </c:pt>
                      <c:pt idx="2">
                        <c:v>242.863827582</c:v>
                      </c:pt>
                      <c:pt idx="3">
                        <c:v>245.29589273900001</c:v>
                      </c:pt>
                      <c:pt idx="4">
                        <c:v>247.80458922300002</c:v>
                      </c:pt>
                      <c:pt idx="5">
                        <c:v>250.75424356899998</c:v>
                      </c:pt>
                      <c:pt idx="6">
                        <c:v>256.76331967199997</c:v>
                      </c:pt>
                      <c:pt idx="7">
                        <c:v>260.826654991</c:v>
                      </c:pt>
                      <c:pt idx="8">
                        <c:v>264.13710698900002</c:v>
                      </c:pt>
                      <c:pt idx="9">
                        <c:v>266.75705520000002</c:v>
                      </c:pt>
                      <c:pt idx="10">
                        <c:v>269.38593060300002</c:v>
                      </c:pt>
                      <c:pt idx="11">
                        <c:v>271.347502996</c:v>
                      </c:pt>
                      <c:pt idx="12">
                        <c:v>273.58095119000001</c:v>
                      </c:pt>
                      <c:pt idx="13">
                        <c:v>276.376504044</c:v>
                      </c:pt>
                      <c:pt idx="14">
                        <c:v>279.76214487499999</c:v>
                      </c:pt>
                      <c:pt idx="15">
                        <c:v>283.624640097</c:v>
                      </c:pt>
                      <c:pt idx="16">
                        <c:v>287.78217005499999</c:v>
                      </c:pt>
                      <c:pt idx="17">
                        <c:v>292.05573320600001</c:v>
                      </c:pt>
                      <c:pt idx="18">
                        <c:v>296.32176995099996</c:v>
                      </c:pt>
                      <c:pt idx="19">
                        <c:v>300.53367638399999</c:v>
                      </c:pt>
                      <c:pt idx="20">
                        <c:v>304.30503896599998</c:v>
                      </c:pt>
                      <c:pt idx="21">
                        <c:v>308.502505144</c:v>
                      </c:pt>
                      <c:pt idx="22">
                        <c:v>312.79128605599999</c:v>
                      </c:pt>
                      <c:pt idx="23">
                        <c:v>317.15484573399999</c:v>
                      </c:pt>
                      <c:pt idx="24">
                        <c:v>321.62255970900003</c:v>
                      </c:pt>
                      <c:pt idx="25">
                        <c:v>324.95583763299999</c:v>
                      </c:pt>
                      <c:pt idx="26">
                        <c:v>329.14927004000003</c:v>
                      </c:pt>
                      <c:pt idx="27">
                        <c:v>333.44459427299995</c:v>
                      </c:pt>
                      <c:pt idx="28">
                        <c:v>337.70546769400005</c:v>
                      </c:pt>
                      <c:pt idx="29">
                        <c:v>341.96910485700005</c:v>
                      </c:pt>
                      <c:pt idx="30">
                        <c:v>346.29709889700001</c:v>
                      </c:pt>
                      <c:pt idx="31">
                        <c:v>350.73222687099997</c:v>
                      </c:pt>
                      <c:pt idx="32">
                        <c:v>355.28804058899999</c:v>
                      </c:pt>
                      <c:pt idx="33">
                        <c:v>359.95324925800003</c:v>
                      </c:pt>
                      <c:pt idx="34">
                        <c:v>364.70387096299999</c:v>
                      </c:pt>
                      <c:pt idx="35">
                        <c:v>369.51632867500001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7F9-419D-90DC-C3E392523E4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Données!$B$69</c15:sqref>
                        </c15:formulaRef>
                      </c:ext>
                    </c:extLst>
                    <c:strCache>
                      <c:ptCount val="1"/>
                      <c:pt idx="0">
                        <c:v>Entreprises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Données!$C$69:$AL$69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237.350124198</c:v>
                      </c:pt>
                      <c:pt idx="1">
                        <c:v>240.18043659899999</c:v>
                      </c:pt>
                      <c:pt idx="2">
                        <c:v>242.863827582</c:v>
                      </c:pt>
                      <c:pt idx="3">
                        <c:v>245.29589273900001</c:v>
                      </c:pt>
                      <c:pt idx="4">
                        <c:v>247.80458922300002</c:v>
                      </c:pt>
                      <c:pt idx="5">
                        <c:v>250.75424356899998</c:v>
                      </c:pt>
                      <c:pt idx="6">
                        <c:v>253.918216492</c:v>
                      </c:pt>
                      <c:pt idx="7">
                        <c:v>257.69058391300001</c:v>
                      </c:pt>
                      <c:pt idx="8">
                        <c:v>261.86334624</c:v>
                      </c:pt>
                      <c:pt idx="9">
                        <c:v>266.16020301699996</c:v>
                      </c:pt>
                      <c:pt idx="10">
                        <c:v>270.907013651</c:v>
                      </c:pt>
                      <c:pt idx="11">
                        <c:v>274.96153798</c:v>
                      </c:pt>
                      <c:pt idx="12">
                        <c:v>278.92251790500001</c:v>
                      </c:pt>
                      <c:pt idx="13">
                        <c:v>282.89333766499999</c:v>
                      </c:pt>
                      <c:pt idx="14">
                        <c:v>286.88903345299997</c:v>
                      </c:pt>
                      <c:pt idx="15">
                        <c:v>290.90892035900004</c:v>
                      </c:pt>
                      <c:pt idx="16">
                        <c:v>294.94668766500001</c:v>
                      </c:pt>
                      <c:pt idx="17">
                        <c:v>298.99639132200002</c:v>
                      </c:pt>
                      <c:pt idx="18">
                        <c:v>303.056414722</c:v>
                      </c:pt>
                      <c:pt idx="19">
                        <c:v>307.13324298099997</c:v>
                      </c:pt>
                      <c:pt idx="20">
                        <c:v>310.83775386000002</c:v>
                      </c:pt>
                      <c:pt idx="21">
                        <c:v>314.99846262</c:v>
                      </c:pt>
                      <c:pt idx="22">
                        <c:v>319.249541647</c:v>
                      </c:pt>
                      <c:pt idx="23">
                        <c:v>323.55859325699998</c:v>
                      </c:pt>
                      <c:pt idx="24">
                        <c:v>327.958976006</c:v>
                      </c:pt>
                      <c:pt idx="25">
                        <c:v>331.22725191200004</c:v>
                      </c:pt>
                      <c:pt idx="26">
                        <c:v>335.37392883500002</c:v>
                      </c:pt>
                      <c:pt idx="27">
                        <c:v>339.65000316500004</c:v>
                      </c:pt>
                      <c:pt idx="28">
                        <c:v>343.91712325399999</c:v>
                      </c:pt>
                      <c:pt idx="29">
                        <c:v>348.20469083099999</c:v>
                      </c:pt>
                      <c:pt idx="30">
                        <c:v>352.56437244800003</c:v>
                      </c:pt>
                      <c:pt idx="31">
                        <c:v>357.03084484300001</c:v>
                      </c:pt>
                      <c:pt idx="32">
                        <c:v>361.61383515399996</c:v>
                      </c:pt>
                      <c:pt idx="33">
                        <c:v>366.30286836700003</c:v>
                      </c:pt>
                      <c:pt idx="34">
                        <c:v>371.07770950100002</c:v>
                      </c:pt>
                      <c:pt idx="35">
                        <c:v>375.919268187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775-4A82-96A0-76304CD4EC78}"/>
                  </c:ext>
                </c:extLst>
              </c15:ser>
            </c15:filteredLineSeries>
          </c:ext>
        </c:extLst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Consommation énergétique (Mtep)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03868990952909"/>
          <c:y val="0.10956263094332325"/>
          <c:w val="0.88457713027791363"/>
          <c:h val="0.6941711791940763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Données!$B$627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Données!$C$625:$AL$625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Données!$C$627:$AL$627</c:f>
              <c:numCache>
                <c:formatCode>0.0%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6.6379360862328974E-5</c:v>
                </c:pt>
                <c:pt idx="7">
                  <c:v>-1.6709265778791434E-4</c:v>
                </c:pt>
                <c:pt idx="8">
                  <c:v>-4.8366285329262318E-4</c:v>
                </c:pt>
                <c:pt idx="9">
                  <c:v>-7.9892925029788201E-4</c:v>
                </c:pt>
                <c:pt idx="10">
                  <c:v>-1.0589161636411521E-3</c:v>
                </c:pt>
                <c:pt idx="11">
                  <c:v>-1.2323464246761324E-3</c:v>
                </c:pt>
                <c:pt idx="12">
                  <c:v>-1.313878401180861E-3</c:v>
                </c:pt>
                <c:pt idx="13">
                  <c:v>-1.320259381816321E-3</c:v>
                </c:pt>
                <c:pt idx="14">
                  <c:v>-1.2807362709857299E-3</c:v>
                </c:pt>
                <c:pt idx="15">
                  <c:v>-1.2239209183143606E-3</c:v>
                </c:pt>
                <c:pt idx="16">
                  <c:v>-1.1711296945793926E-3</c:v>
                </c:pt>
                <c:pt idx="17">
                  <c:v>-1.133672325843889E-3</c:v>
                </c:pt>
                <c:pt idx="18">
                  <c:v>-1.1127206892433091E-3</c:v>
                </c:pt>
                <c:pt idx="19">
                  <c:v>-1.1028075781283632E-3</c:v>
                </c:pt>
                <c:pt idx="20">
                  <c:v>-1.0964144726557446E-3</c:v>
                </c:pt>
                <c:pt idx="21">
                  <c:v>-1.0887575265670047E-3</c:v>
                </c:pt>
                <c:pt idx="22">
                  <c:v>-1.0774834646491225E-3</c:v>
                </c:pt>
                <c:pt idx="23">
                  <c:v>-1.0637802146150478E-3</c:v>
                </c:pt>
                <c:pt idx="24">
                  <c:v>-1.0502984570188883E-3</c:v>
                </c:pt>
                <c:pt idx="25">
                  <c:v>-1.0388230109550224E-3</c:v>
                </c:pt>
                <c:pt idx="26">
                  <c:v>-1.0314632079956006E-3</c:v>
                </c:pt>
                <c:pt idx="27">
                  <c:v>-1.0272954025402137E-3</c:v>
                </c:pt>
                <c:pt idx="28">
                  <c:v>-1.0249806504776067E-3</c:v>
                </c:pt>
                <c:pt idx="29">
                  <c:v>-1.0231811284300092E-3</c:v>
                </c:pt>
                <c:pt idx="30">
                  <c:v>-1.0210054670204039E-3</c:v>
                </c:pt>
                <c:pt idx="31">
                  <c:v>-1.0182150281790171E-3</c:v>
                </c:pt>
                <c:pt idx="32">
                  <c:v>-1.0151215506537534E-3</c:v>
                </c:pt>
                <c:pt idx="33">
                  <c:v>-1.0122959374019227E-3</c:v>
                </c:pt>
                <c:pt idx="34">
                  <c:v>-1.0102247789695387E-3</c:v>
                </c:pt>
                <c:pt idx="35">
                  <c:v>-1.0091019358468231E-3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74-494A-BB6C-F115A0D57B8C}"/>
            </c:ext>
          </c:extLst>
        </c:ser>
        <c:ser>
          <c:idx val="2"/>
          <c:order val="2"/>
          <c:tx>
            <c:strRef>
              <c:f>Données!$B$628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Données!$C$625:$AL$625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Données!$C$628:$AL$628</c:f>
              <c:numCache>
                <c:formatCode>0.0%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3.2818415348036369E-3</c:v>
                </c:pt>
                <c:pt idx="7">
                  <c:v>4.0189331493694583E-3</c:v>
                </c:pt>
                <c:pt idx="8">
                  <c:v>3.9083228929292432E-3</c:v>
                </c:pt>
                <c:pt idx="9">
                  <c:v>3.1920520207293687E-3</c:v>
                </c:pt>
                <c:pt idx="10">
                  <c:v>2.0931584635585721E-3</c:v>
                </c:pt>
                <c:pt idx="11">
                  <c:v>8.982654571823641E-4</c:v>
                </c:pt>
                <c:pt idx="12">
                  <c:v>-1.7284724743565943E-4</c:v>
                </c:pt>
                <c:pt idx="13">
                  <c:v>-9.7413047655924435E-4</c:v>
                </c:pt>
                <c:pt idx="14">
                  <c:v>-1.4630342398914108E-3</c:v>
                </c:pt>
                <c:pt idx="15">
                  <c:v>-1.6834389823067973E-3</c:v>
                </c:pt>
                <c:pt idx="16">
                  <c:v>-1.7313386941480761E-3</c:v>
                </c:pt>
                <c:pt idx="17">
                  <c:v>-1.7023859315673541E-3</c:v>
                </c:pt>
                <c:pt idx="18">
                  <c:v>-1.6640181717562843E-3</c:v>
                </c:pt>
                <c:pt idx="19">
                  <c:v>-1.6451092590448984E-3</c:v>
                </c:pt>
                <c:pt idx="20">
                  <c:v>-1.6452812068432825E-3</c:v>
                </c:pt>
                <c:pt idx="21">
                  <c:v>-1.6379943994331366E-3</c:v>
                </c:pt>
                <c:pt idx="22">
                  <c:v>-1.6062743208899986E-3</c:v>
                </c:pt>
                <c:pt idx="23">
                  <c:v>-1.5414214162891837E-3</c:v>
                </c:pt>
                <c:pt idx="24">
                  <c:v>-1.4467070555255999E-3</c:v>
                </c:pt>
                <c:pt idx="25">
                  <c:v>-1.3382121291575491E-3</c:v>
                </c:pt>
                <c:pt idx="26">
                  <c:v>-1.2209643956088644E-3</c:v>
                </c:pt>
                <c:pt idx="27">
                  <c:v>-1.103826472379547E-3</c:v>
                </c:pt>
                <c:pt idx="28">
                  <c:v>-9.8850980227956401E-4</c:v>
                </c:pt>
                <c:pt idx="29">
                  <c:v>-8.7324732723156515E-4</c:v>
                </c:pt>
                <c:pt idx="30">
                  <c:v>-7.5390185113961014E-4</c:v>
                </c:pt>
                <c:pt idx="31">
                  <c:v>-6.2626554844928098E-4</c:v>
                </c:pt>
                <c:pt idx="32">
                  <c:v>-4.885917764361617E-4</c:v>
                </c:pt>
                <c:pt idx="33">
                  <c:v>-3.4147180651572853E-4</c:v>
                </c:pt>
                <c:pt idx="34">
                  <c:v>-1.8671608792118863E-4</c:v>
                </c:pt>
                <c:pt idx="35">
                  <c:v>-2.6282785457751839E-5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74-494A-BB6C-F115A0D57B8C}"/>
            </c:ext>
          </c:extLst>
        </c:ser>
        <c:ser>
          <c:idx val="3"/>
          <c:order val="3"/>
          <c:tx>
            <c:strRef>
              <c:f>Données!$B$629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Données!$C$625:$AL$625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Données!$C$629:$AL$629</c:f>
              <c:numCache>
                <c:formatCode>0.0%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2.1106208970288406E-3</c:v>
                </c:pt>
                <c:pt idx="7">
                  <c:v>2.5852098705758139E-3</c:v>
                </c:pt>
                <c:pt idx="8">
                  <c:v>2.223133288974815E-3</c:v>
                </c:pt>
                <c:pt idx="9">
                  <c:v>1.1875057005772134E-3</c:v>
                </c:pt>
                <c:pt idx="10">
                  <c:v>-2.5163288981239104E-4</c:v>
                </c:pt>
                <c:pt idx="11">
                  <c:v>-1.7413713015927488E-3</c:v>
                </c:pt>
                <c:pt idx="12">
                  <c:v>-3.0039526861174431E-3</c:v>
                </c:pt>
                <c:pt idx="13">
                  <c:v>-3.8700745526599532E-3</c:v>
                </c:pt>
                <c:pt idx="14">
                  <c:v>-4.3026227046962162E-3</c:v>
                </c:pt>
                <c:pt idx="15">
                  <c:v>-4.3811390173662127E-3</c:v>
                </c:pt>
                <c:pt idx="16">
                  <c:v>-4.2488784680538546E-3</c:v>
                </c:pt>
                <c:pt idx="17">
                  <c:v>-4.0424742755536215E-3</c:v>
                </c:pt>
                <c:pt idx="18">
                  <c:v>-3.8525649035900666E-3</c:v>
                </c:pt>
                <c:pt idx="19">
                  <c:v>-3.7157467170974641E-3</c:v>
                </c:pt>
                <c:pt idx="20">
                  <c:v>-3.6307813365689017E-3</c:v>
                </c:pt>
                <c:pt idx="21">
                  <c:v>-3.566838342024258E-3</c:v>
                </c:pt>
                <c:pt idx="22">
                  <c:v>-3.5029060650029918E-3</c:v>
                </c:pt>
                <c:pt idx="23">
                  <c:v>-3.4271880943447654E-3</c:v>
                </c:pt>
                <c:pt idx="24">
                  <c:v>-3.3423285494268489E-3</c:v>
                </c:pt>
                <c:pt idx="25">
                  <c:v>-3.2661532214207359E-3</c:v>
                </c:pt>
                <c:pt idx="26">
                  <c:v>-3.2021009964653233E-3</c:v>
                </c:pt>
                <c:pt idx="27">
                  <c:v>-3.1605979650523456E-3</c:v>
                </c:pt>
                <c:pt idx="28">
                  <c:v>-3.1413192818502997E-3</c:v>
                </c:pt>
                <c:pt idx="29">
                  <c:v>-3.1381534761377714E-3</c:v>
                </c:pt>
                <c:pt idx="30">
                  <c:v>-3.142823448825174E-3</c:v>
                </c:pt>
                <c:pt idx="31">
                  <c:v>-3.1481354273509223E-3</c:v>
                </c:pt>
                <c:pt idx="32">
                  <c:v>-3.1500152158840445E-3</c:v>
                </c:pt>
                <c:pt idx="33">
                  <c:v>-3.1479147822835903E-3</c:v>
                </c:pt>
                <c:pt idx="34">
                  <c:v>-3.1438477421390078E-3</c:v>
                </c:pt>
                <c:pt idx="35">
                  <c:v>-3.1407386666425399E-3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74-494A-BB6C-F115A0D57B8C}"/>
            </c:ext>
          </c:extLst>
        </c:ser>
        <c:ser>
          <c:idx val="4"/>
          <c:order val="4"/>
          <c:tx>
            <c:strRef>
              <c:f>Données!$B$630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Données!$C$625:$AL$625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Données!$C$630:$AL$630</c:f>
              <c:numCache>
                <c:formatCode>0.0%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3.5860676727211549E-3</c:v>
                </c:pt>
                <c:pt idx="7">
                  <c:v>4.1916515507262478E-3</c:v>
                </c:pt>
                <c:pt idx="8">
                  <c:v>3.349578029465514E-3</c:v>
                </c:pt>
                <c:pt idx="9">
                  <c:v>1.4086508890194152E-3</c:v>
                </c:pt>
                <c:pt idx="10">
                  <c:v>-1.1580593746425324E-3</c:v>
                </c:pt>
                <c:pt idx="11">
                  <c:v>-3.7296851478036998E-3</c:v>
                </c:pt>
                <c:pt idx="12">
                  <c:v>-5.8515876443939073E-3</c:v>
                </c:pt>
                <c:pt idx="13">
                  <c:v>-7.2648175575803437E-3</c:v>
                </c:pt>
                <c:pt idx="14">
                  <c:v>-7.9396755616650671E-3</c:v>
                </c:pt>
                <c:pt idx="15">
                  <c:v>-8.029689905548627E-3</c:v>
                </c:pt>
                <c:pt idx="16">
                  <c:v>-7.791875328848407E-3</c:v>
                </c:pt>
                <c:pt idx="17">
                  <c:v>-7.4565084832209499E-3</c:v>
                </c:pt>
                <c:pt idx="18">
                  <c:v>-7.172991581956778E-3</c:v>
                </c:pt>
                <c:pt idx="19">
                  <c:v>-6.9960791051289998E-3</c:v>
                </c:pt>
                <c:pt idx="20">
                  <c:v>-6.9147010407220044E-3</c:v>
                </c:pt>
                <c:pt idx="21">
                  <c:v>-6.8642218030843761E-3</c:v>
                </c:pt>
                <c:pt idx="22">
                  <c:v>-6.8056405122372751E-3</c:v>
                </c:pt>
                <c:pt idx="23">
                  <c:v>-6.7215280863612238E-3</c:v>
                </c:pt>
                <c:pt idx="24">
                  <c:v>-6.6190880914563125E-3</c:v>
                </c:pt>
                <c:pt idx="25">
                  <c:v>-6.5349570354749087E-3</c:v>
                </c:pt>
                <c:pt idx="26">
                  <c:v>-6.474460277924453E-3</c:v>
                </c:pt>
                <c:pt idx="27">
                  <c:v>-6.4547586229954552E-3</c:v>
                </c:pt>
                <c:pt idx="28">
                  <c:v>-6.4730181899097829E-3</c:v>
                </c:pt>
                <c:pt idx="29">
                  <c:v>-6.5191064430073584E-3</c:v>
                </c:pt>
                <c:pt idx="30">
                  <c:v>-6.5788699365630816E-3</c:v>
                </c:pt>
                <c:pt idx="31">
                  <c:v>-6.6403165022814493E-3</c:v>
                </c:pt>
                <c:pt idx="32">
                  <c:v>-6.6972682150371948E-3</c:v>
                </c:pt>
                <c:pt idx="33">
                  <c:v>-6.7511289088426968E-3</c:v>
                </c:pt>
                <c:pt idx="34">
                  <c:v>-6.806062101752379E-3</c:v>
                </c:pt>
                <c:pt idx="35">
                  <c:v>-6.8673362428513596E-3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74-494A-BB6C-F115A0D57B8C}"/>
            </c:ext>
          </c:extLst>
        </c:ser>
        <c:ser>
          <c:idx val="5"/>
          <c:order val="5"/>
          <c:tx>
            <c:strRef>
              <c:f>Données!$B$631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Données!$C$625:$AL$625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Données!$C$631:$AL$631</c:f>
              <c:numCache>
                <c:formatCode>0.0%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1.5789025509163634E-3</c:v>
                </c:pt>
                <c:pt idx="7">
                  <c:v>1.9000038683184635E-3</c:v>
                </c:pt>
                <c:pt idx="8">
                  <c:v>1.6426423955529532E-3</c:v>
                </c:pt>
                <c:pt idx="9">
                  <c:v>9.0806362089515123E-4</c:v>
                </c:pt>
                <c:pt idx="10">
                  <c:v>-1.3518801092140246E-4</c:v>
                </c:pt>
                <c:pt idx="11">
                  <c:v>-1.2363319864211232E-3</c:v>
                </c:pt>
                <c:pt idx="12">
                  <c:v>-2.1944654848153932E-3</c:v>
                </c:pt>
                <c:pt idx="13">
                  <c:v>-2.8806957117201116E-3</c:v>
                </c:pt>
                <c:pt idx="14">
                  <c:v>-3.2628048001619452E-3</c:v>
                </c:pt>
                <c:pt idx="15">
                  <c:v>-3.3876217914160706E-3</c:v>
                </c:pt>
                <c:pt idx="16">
                  <c:v>-3.3479380129942467E-3</c:v>
                </c:pt>
                <c:pt idx="17">
                  <c:v>-3.2395997280250822E-3</c:v>
                </c:pt>
                <c:pt idx="18">
                  <c:v>-3.131787752506316E-3</c:v>
                </c:pt>
                <c:pt idx="19">
                  <c:v>-3.0562981782813223E-3</c:v>
                </c:pt>
                <c:pt idx="20">
                  <c:v>-3.0168220164486807E-3</c:v>
                </c:pt>
                <c:pt idx="21">
                  <c:v>-2.9884635281791109E-3</c:v>
                </c:pt>
                <c:pt idx="22">
                  <c:v>-2.9568156972672628E-3</c:v>
                </c:pt>
                <c:pt idx="23">
                  <c:v>-2.9134667729031759E-3</c:v>
                </c:pt>
                <c:pt idx="24">
                  <c:v>-2.8604269082832521E-3</c:v>
                </c:pt>
                <c:pt idx="25">
                  <c:v>-2.8138788513065011E-3</c:v>
                </c:pt>
                <c:pt idx="26">
                  <c:v>-2.7730731871498807E-3</c:v>
                </c:pt>
                <c:pt idx="27">
                  <c:v>-2.7471828628273512E-3</c:v>
                </c:pt>
                <c:pt idx="28">
                  <c:v>-2.7363830375278634E-3</c:v>
                </c:pt>
                <c:pt idx="29">
                  <c:v>-2.7363837083652647E-3</c:v>
                </c:pt>
                <c:pt idx="30">
                  <c:v>-2.7412314701287382E-3</c:v>
                </c:pt>
                <c:pt idx="31">
                  <c:v>-2.7457624305393421E-3</c:v>
                </c:pt>
                <c:pt idx="32">
                  <c:v>-2.7471395708667107E-3</c:v>
                </c:pt>
                <c:pt idx="33">
                  <c:v>-2.7451552603049855E-3</c:v>
                </c:pt>
                <c:pt idx="34">
                  <c:v>-2.7415109480256926E-3</c:v>
                </c:pt>
                <c:pt idx="35">
                  <c:v>-2.7386108139272258E-3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Données!$B$626</c:f>
              <c:strCache>
                <c:ptCount val="1"/>
                <c:pt idx="0">
                  <c:v>Consommation énergétique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Données!$C$625:$AL$625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Données!$C$626:$AL$626</c:f>
              <c:numCache>
                <c:formatCode>0.0%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1.0623811738642797E-2</c:v>
                </c:pt>
                <c:pt idx="7">
                  <c:v>1.2528705902756787E-2</c:v>
                </c:pt>
                <c:pt idx="8">
                  <c:v>1.0640013639689361E-2</c:v>
                </c:pt>
                <c:pt idx="9">
                  <c:v>5.8973429809232591E-3</c:v>
                </c:pt>
                <c:pt idx="10">
                  <c:v>-5.1063808069962136E-4</c:v>
                </c:pt>
                <c:pt idx="11">
                  <c:v>-7.0414691398242857E-3</c:v>
                </c:pt>
                <c:pt idx="12">
                  <c:v>-1.2536731688460478E-2</c:v>
                </c:pt>
                <c:pt idx="13">
                  <c:v>-1.6309977704377143E-2</c:v>
                </c:pt>
                <c:pt idx="14">
                  <c:v>-1.8248873702431667E-2</c:v>
                </c:pt>
                <c:pt idx="15">
                  <c:v>-1.870581032003038E-2</c:v>
                </c:pt>
                <c:pt idx="16">
                  <c:v>-1.8291160280438756E-2</c:v>
                </c:pt>
                <c:pt idx="17">
                  <c:v>-1.7574640529966712E-2</c:v>
                </c:pt>
                <c:pt idx="18">
                  <c:v>-1.6934082726085542E-2</c:v>
                </c:pt>
                <c:pt idx="19">
                  <c:v>-1.6516040928666542E-2</c:v>
                </c:pt>
                <c:pt idx="20">
                  <c:v>-1.6303999875863506E-2</c:v>
                </c:pt>
                <c:pt idx="21">
                  <c:v>-1.6146275739044258E-2</c:v>
                </c:pt>
                <c:pt idx="22">
                  <c:v>-1.5949119877190943E-2</c:v>
                </c:pt>
                <c:pt idx="23">
                  <c:v>-1.5667384579021504E-2</c:v>
                </c:pt>
                <c:pt idx="24">
                  <c:v>-1.5318849094363873E-2</c:v>
                </c:pt>
                <c:pt idx="25">
                  <c:v>-1.4992024269919968E-2</c:v>
                </c:pt>
                <c:pt idx="26">
                  <c:v>-1.4702062166917607E-2</c:v>
                </c:pt>
                <c:pt idx="27">
                  <c:v>-1.4493661501086885E-2</c:v>
                </c:pt>
                <c:pt idx="28">
                  <c:v>-1.4364210962044988E-2</c:v>
                </c:pt>
                <c:pt idx="29">
                  <c:v>-1.4290072475077298E-2</c:v>
                </c:pt>
                <c:pt idx="30">
                  <c:v>-1.4237831940471124E-2</c:v>
                </c:pt>
                <c:pt idx="31">
                  <c:v>-1.4178695054991364E-2</c:v>
                </c:pt>
                <c:pt idx="32">
                  <c:v>-1.409813597226095E-2</c:v>
                </c:pt>
                <c:pt idx="33">
                  <c:v>-1.3997966781197024E-2</c:v>
                </c:pt>
                <c:pt idx="34">
                  <c:v>-1.3888361593740517E-2</c:v>
                </c:pt>
                <c:pt idx="35">
                  <c:v>-1.3782070504253952E-2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5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3.7404048819870035E-2"/>
          <c:y val="0.88815746810704532"/>
          <c:w val="0.91015582410303764"/>
          <c:h val="8.87910617718346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Balance énergétique</a:t>
            </a:r>
          </a:p>
          <a:p>
            <a:pPr>
              <a:defRPr/>
            </a:pPr>
            <a:r>
              <a:rPr lang="fr-FR" sz="1800"/>
              <a:t>(en % d'écart au scénario tendanciel)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Données!$B$681</c:f>
              <c:strCache>
                <c:ptCount val="1"/>
                <c:pt idx="0">
                  <c:v>Consommation ménages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Données!$C$679:$AL$679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Données!$C$681:$AL$681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1.4709629589490885E-4</c:v>
                </c:pt>
                <c:pt idx="7">
                  <c:v>6.1054708859269421E-5</c:v>
                </c:pt>
                <c:pt idx="8">
                  <c:v>2.800527246128389E-4</c:v>
                </c:pt>
                <c:pt idx="9">
                  <c:v>7.5632261872827459E-4</c:v>
                </c:pt>
                <c:pt idx="10">
                  <c:v>1.3476681849775329E-3</c:v>
                </c:pt>
                <c:pt idx="11">
                  <c:v>1.8871251245756943E-3</c:v>
                </c:pt>
                <c:pt idx="12">
                  <c:v>2.2818184273286392E-3</c:v>
                </c:pt>
                <c:pt idx="13">
                  <c:v>2.4981787138572873E-3</c:v>
                </c:pt>
                <c:pt idx="14">
                  <c:v>2.5561357678784142E-3</c:v>
                </c:pt>
                <c:pt idx="15">
                  <c:v>2.4843608979454755E-3</c:v>
                </c:pt>
                <c:pt idx="16">
                  <c:v>2.2894378674877505E-3</c:v>
                </c:pt>
                <c:pt idx="17">
                  <c:v>2.0186284101909079E-3</c:v>
                </c:pt>
                <c:pt idx="18">
                  <c:v>1.734393956867584E-3</c:v>
                </c:pt>
                <c:pt idx="19">
                  <c:v>1.4862756880455485E-3</c:v>
                </c:pt>
                <c:pt idx="20">
                  <c:v>1.2981618861556742E-3</c:v>
                </c:pt>
                <c:pt idx="21">
                  <c:v>1.168344074719723E-3</c:v>
                </c:pt>
                <c:pt idx="22">
                  <c:v>1.0864951117306998E-3</c:v>
                </c:pt>
                <c:pt idx="23">
                  <c:v>1.0370594993169334E-3</c:v>
                </c:pt>
                <c:pt idx="24">
                  <c:v>1.0097497382373594E-3</c:v>
                </c:pt>
                <c:pt idx="25">
                  <c:v>9.9764412179408567E-4</c:v>
                </c:pt>
                <c:pt idx="26">
                  <c:v>9.9650826728263885E-4</c:v>
                </c:pt>
                <c:pt idx="27">
                  <c:v>1.0086025373880283E-3</c:v>
                </c:pt>
                <c:pt idx="28">
                  <c:v>1.0344189933433078E-3</c:v>
                </c:pt>
                <c:pt idx="29">
                  <c:v>1.0699765736138583E-3</c:v>
                </c:pt>
                <c:pt idx="30">
                  <c:v>1.1122252439704852E-3</c:v>
                </c:pt>
                <c:pt idx="31">
                  <c:v>1.1593022828673423E-3</c:v>
                </c:pt>
                <c:pt idx="32">
                  <c:v>1.2097415006725361E-3</c:v>
                </c:pt>
                <c:pt idx="33">
                  <c:v>1.2617417356898843E-3</c:v>
                </c:pt>
                <c:pt idx="34">
                  <c:v>1.3163053821786516E-3</c:v>
                </c:pt>
                <c:pt idx="35">
                  <c:v>1.3752742982320206E-3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2D-49AA-BF88-C168E58AAE98}"/>
            </c:ext>
          </c:extLst>
        </c:ser>
        <c:ser>
          <c:idx val="2"/>
          <c:order val="2"/>
          <c:tx>
            <c:strRef>
              <c:f>Données!$B$682</c:f>
              <c:strCache>
                <c:ptCount val="1"/>
                <c:pt idx="0">
                  <c:v>Consommation entreprises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Données!$C$679:$AL$679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Données!$C$682:$AL$682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1.4408749414084779E-2</c:v>
                </c:pt>
                <c:pt idx="7">
                  <c:v>1.7410310669855145E-2</c:v>
                </c:pt>
                <c:pt idx="8">
                  <c:v>1.4788593602877079E-2</c:v>
                </c:pt>
                <c:pt idx="9">
                  <c:v>8.0406849315184416E-3</c:v>
                </c:pt>
                <c:pt idx="10">
                  <c:v>-1.0612604316748084E-3</c:v>
                </c:pt>
                <c:pt idx="11">
                  <c:v>-1.0288456243379106E-2</c:v>
                </c:pt>
                <c:pt idx="12">
                  <c:v>-1.8003646257596838E-2</c:v>
                </c:pt>
                <c:pt idx="13">
                  <c:v>-2.3262355212998756E-2</c:v>
                </c:pt>
                <c:pt idx="14">
                  <c:v>-2.5934470780784754E-2</c:v>
                </c:pt>
                <c:pt idx="15">
                  <c:v>-2.6513524487123442E-2</c:v>
                </c:pt>
                <c:pt idx="16">
                  <c:v>-2.581296646738971E-2</c:v>
                </c:pt>
                <c:pt idx="17">
                  <c:v>-2.4633313114097756E-2</c:v>
                </c:pt>
                <c:pt idx="18">
                  <c:v>-2.3534794576958985E-2</c:v>
                </c:pt>
                <c:pt idx="19">
                  <c:v>-2.2758137351974028E-2</c:v>
                </c:pt>
                <c:pt idx="20">
                  <c:v>-2.2302334136544623E-2</c:v>
                </c:pt>
                <c:pt idx="21">
                  <c:v>-2.1965351781727642E-2</c:v>
                </c:pt>
                <c:pt idx="22">
                  <c:v>-2.1611246594100818E-2</c:v>
                </c:pt>
                <c:pt idx="23">
                  <c:v>-2.1165303627452513E-2</c:v>
                </c:pt>
                <c:pt idx="24">
                  <c:v>-2.064239919335055E-2</c:v>
                </c:pt>
                <c:pt idx="25">
                  <c:v>-2.0151630787460441E-2</c:v>
                </c:pt>
                <c:pt idx="26">
                  <c:v>-1.9716400293989567E-2</c:v>
                </c:pt>
                <c:pt idx="27">
                  <c:v>-1.939504874911405E-2</c:v>
                </c:pt>
                <c:pt idx="28">
                  <c:v>-1.9183479943886937E-2</c:v>
                </c:pt>
                <c:pt idx="29">
                  <c:v>-1.9048587370960685E-2</c:v>
                </c:pt>
                <c:pt idx="30">
                  <c:v>-1.8945579474137962E-2</c:v>
                </c:pt>
                <c:pt idx="31">
                  <c:v>-1.8836155180150985E-2</c:v>
                </c:pt>
                <c:pt idx="32">
                  <c:v>-1.8700449646299848E-2</c:v>
                </c:pt>
                <c:pt idx="33">
                  <c:v>-1.8539092542614849E-2</c:v>
                </c:pt>
                <c:pt idx="34">
                  <c:v>-1.8365825275865343E-2</c:v>
                </c:pt>
                <c:pt idx="35">
                  <c:v>-1.8198323267911449E-2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2D-49AA-BF88-C168E58AAE98}"/>
            </c:ext>
          </c:extLst>
        </c:ser>
        <c:ser>
          <c:idx val="3"/>
          <c:order val="3"/>
          <c:tx>
            <c:strRef>
              <c:f>Données!$B$683</c:f>
              <c:strCache>
                <c:ptCount val="1"/>
                <c:pt idx="0">
                  <c:v>Exportations nettes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Données!$C$679:$AL$679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Données!$C$683:$AL$683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-6.7282998367691306E-3</c:v>
                </c:pt>
                <c:pt idx="7">
                  <c:v>-8.6807804657433058E-3</c:v>
                </c:pt>
                <c:pt idx="8">
                  <c:v>-8.1836805567196361E-3</c:v>
                </c:pt>
                <c:pt idx="9">
                  <c:v>-5.8700983060114495E-3</c:v>
                </c:pt>
                <c:pt idx="10">
                  <c:v>-2.4154509137614059E-3</c:v>
                </c:pt>
                <c:pt idx="11">
                  <c:v>1.3053776052217015E-3</c:v>
                </c:pt>
                <c:pt idx="12">
                  <c:v>4.5907389529538456E-3</c:v>
                </c:pt>
                <c:pt idx="13">
                  <c:v>6.9904641673294247E-3</c:v>
                </c:pt>
                <c:pt idx="14">
                  <c:v>8.3765830702430752E-3</c:v>
                </c:pt>
                <c:pt idx="15">
                  <c:v>8.894023323593717E-3</c:v>
                </c:pt>
                <c:pt idx="16">
                  <c:v>8.8519772469335626E-3</c:v>
                </c:pt>
                <c:pt idx="17">
                  <c:v>8.5674389065668755E-3</c:v>
                </c:pt>
                <c:pt idx="18">
                  <c:v>8.2668879081331161E-3</c:v>
                </c:pt>
                <c:pt idx="19">
                  <c:v>8.0520408653837767E-3</c:v>
                </c:pt>
                <c:pt idx="20">
                  <c:v>7.9290464349769784E-3</c:v>
                </c:pt>
                <c:pt idx="21">
                  <c:v>7.8235632299891045E-3</c:v>
                </c:pt>
                <c:pt idx="22">
                  <c:v>7.6835613403125301E-3</c:v>
                </c:pt>
                <c:pt idx="23">
                  <c:v>7.481541792264291E-3</c:v>
                </c:pt>
                <c:pt idx="24">
                  <c:v>7.2260410063776075E-3</c:v>
                </c:pt>
                <c:pt idx="25">
                  <c:v>6.9641562629769622E-3</c:v>
                </c:pt>
                <c:pt idx="26">
                  <c:v>6.7109506061348544E-3</c:v>
                </c:pt>
                <c:pt idx="27">
                  <c:v>6.4927163177784294E-3</c:v>
                </c:pt>
                <c:pt idx="28">
                  <c:v>6.3112430697855847E-3</c:v>
                </c:pt>
                <c:pt idx="29">
                  <c:v>6.1562938086510248E-3</c:v>
                </c:pt>
                <c:pt idx="30">
                  <c:v>6.0110681369004377E-3</c:v>
                </c:pt>
                <c:pt idx="31">
                  <c:v>5.8596237891225473E-3</c:v>
                </c:pt>
                <c:pt idx="32">
                  <c:v>5.6931272977931323E-3</c:v>
                </c:pt>
                <c:pt idx="33">
                  <c:v>5.5109339400378479E-3</c:v>
                </c:pt>
                <c:pt idx="34">
                  <c:v>5.317554107323254E-3</c:v>
                </c:pt>
                <c:pt idx="35">
                  <c:v>5.119257753710779E-3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78449744"/>
        <c:axId val="778454336"/>
      </c:barChart>
      <c:lineChart>
        <c:grouping val="standard"/>
        <c:varyColors val="0"/>
        <c:ser>
          <c:idx val="0"/>
          <c:order val="0"/>
          <c:tx>
            <c:strRef>
              <c:f>Données!$B$680</c:f>
              <c:strCache>
                <c:ptCount val="1"/>
                <c:pt idx="0">
                  <c:v>Production nette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Données!$C$679:$AL$679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Données!$C$680:$AL$680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7.8275462125854123E-3</c:v>
                </c:pt>
                <c:pt idx="7">
                  <c:v>8.7905848459992608E-3</c:v>
                </c:pt>
                <c:pt idx="8">
                  <c:v>6.8849661010879082E-3</c:v>
                </c:pt>
                <c:pt idx="9">
                  <c:v>2.926908983487353E-3</c:v>
                </c:pt>
                <c:pt idx="10">
                  <c:v>-2.1290425816080649E-3</c:v>
                </c:pt>
                <c:pt idx="11">
                  <c:v>-7.0959536406486334E-3</c:v>
                </c:pt>
                <c:pt idx="12">
                  <c:v>-1.1131088060982175E-2</c:v>
                </c:pt>
                <c:pt idx="13">
                  <c:v>-1.3773711897207552E-2</c:v>
                </c:pt>
                <c:pt idx="14">
                  <c:v>-1.5001751758464743E-2</c:v>
                </c:pt>
                <c:pt idx="15">
                  <c:v>-1.5135140569228933E-2</c:v>
                </c:pt>
                <c:pt idx="16">
                  <c:v>-1.4671551352968493E-2</c:v>
                </c:pt>
                <c:pt idx="17">
                  <c:v>-1.404724573791083E-2</c:v>
                </c:pt>
                <c:pt idx="18">
                  <c:v>-1.353351224156607E-2</c:v>
                </c:pt>
                <c:pt idx="19">
                  <c:v>-1.3219820565820384E-2</c:v>
                </c:pt>
                <c:pt idx="20">
                  <c:v>-1.3075126045828944E-2</c:v>
                </c:pt>
                <c:pt idx="21">
                  <c:v>-1.2973444876112405E-2</c:v>
                </c:pt>
                <c:pt idx="22">
                  <c:v>-1.2841189070002312E-2</c:v>
                </c:pt>
                <c:pt idx="23">
                  <c:v>-1.2646701498353119E-2</c:v>
                </c:pt>
                <c:pt idx="24">
                  <c:v>-1.2406607896304545E-2</c:v>
                </c:pt>
                <c:pt idx="25">
                  <c:v>-1.2189830293215298E-2</c:v>
                </c:pt>
                <c:pt idx="26">
                  <c:v>-1.2008941041140808E-2</c:v>
                </c:pt>
                <c:pt idx="27">
                  <c:v>-1.1893729410836107E-2</c:v>
                </c:pt>
                <c:pt idx="28">
                  <c:v>-1.1837817880757773E-2</c:v>
                </c:pt>
                <c:pt idx="29">
                  <c:v>-1.1822316936045851E-2</c:v>
                </c:pt>
                <c:pt idx="30">
                  <c:v>-1.1822285780445307E-2</c:v>
                </c:pt>
                <c:pt idx="31">
                  <c:v>-1.1817228437086214E-2</c:v>
                </c:pt>
                <c:pt idx="32">
                  <c:v>-1.1797580592323387E-2</c:v>
                </c:pt>
                <c:pt idx="33">
                  <c:v>-1.1766416765722987E-2</c:v>
                </c:pt>
                <c:pt idx="34">
                  <c:v>-1.1731965936552902E-2</c:v>
                </c:pt>
                <c:pt idx="35">
                  <c:v>-1.1703791414159781E-2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8449744"/>
        <c:axId val="778454336"/>
      </c:lineChart>
      <c:dateAx>
        <c:axId val="77844974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54336"/>
        <c:crosses val="autoZero"/>
        <c:auto val="1"/>
        <c:lblOffset val="100"/>
        <c:baseTimeUnit val="years"/>
        <c:majorUnit val="5"/>
        <c:majorTimeUnit val="years"/>
      </c:dateAx>
      <c:valAx>
        <c:axId val="77845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497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Energie</a:t>
            </a:r>
            <a:r>
              <a:rPr lang="fr-FR" sz="2800" baseline="0"/>
              <a:t> primaire </a:t>
            </a:r>
            <a:r>
              <a:rPr lang="fr-FR" sz="2800"/>
              <a:t>(Mtep)</a:t>
            </a:r>
          </a:p>
        </c:rich>
      </c:tx>
      <c:layout>
        <c:manualLayout>
          <c:xMode val="edge"/>
          <c:yMode val="edge"/>
          <c:x val="0.33123145460476872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Données!$B$661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Données!$C$659:$AL$659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Données!$C$661:$AL$661</c:f>
              <c:numCache>
                <c:formatCode>0.0%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7.3527136627762031E-5</c:v>
                </c:pt>
                <c:pt idx="7">
                  <c:v>1.524667816227403E-4</c:v>
                </c:pt>
                <c:pt idx="8">
                  <c:v>2.1418549450994868E-4</c:v>
                </c:pt>
                <c:pt idx="9">
                  <c:v>2.4878166387048002E-4</c:v>
                </c:pt>
                <c:pt idx="10">
                  <c:v>2.5421503892888612E-4</c:v>
                </c:pt>
                <c:pt idx="11">
                  <c:v>2.3674655537180161E-4</c:v>
                </c:pt>
                <c:pt idx="12">
                  <c:v>2.0541032403729388E-4</c:v>
                </c:pt>
                <c:pt idx="13">
                  <c:v>1.706982132072287E-4</c:v>
                </c:pt>
                <c:pt idx="14">
                  <c:v>1.4113085763537065E-4</c:v>
                </c:pt>
                <c:pt idx="15">
                  <c:v>1.2103891292878032E-4</c:v>
                </c:pt>
                <c:pt idx="16">
                  <c:v>1.107517040744178E-4</c:v>
                </c:pt>
                <c:pt idx="17">
                  <c:v>1.0801692711003393E-4</c:v>
                </c:pt>
                <c:pt idx="18">
                  <c:v>1.0943133112449782E-4</c:v>
                </c:pt>
                <c:pt idx="19">
                  <c:v>1.1188890909098449E-4</c:v>
                </c:pt>
                <c:pt idx="20">
                  <c:v>1.1328843246130536E-4</c:v>
                </c:pt>
                <c:pt idx="21">
                  <c:v>1.1360328406508262E-4</c:v>
                </c:pt>
                <c:pt idx="22">
                  <c:v>1.1306517920756299E-4</c:v>
                </c:pt>
                <c:pt idx="23">
                  <c:v>1.1245137182176713E-4</c:v>
                </c:pt>
                <c:pt idx="24">
                  <c:v>1.1238532067893102E-4</c:v>
                </c:pt>
                <c:pt idx="25">
                  <c:v>1.1263470549210884E-4</c:v>
                </c:pt>
                <c:pt idx="26">
                  <c:v>1.1369026062395169E-4</c:v>
                </c:pt>
                <c:pt idx="27">
                  <c:v>1.1492664077415419E-4</c:v>
                </c:pt>
                <c:pt idx="28">
                  <c:v>1.1597911163374182E-4</c:v>
                </c:pt>
                <c:pt idx="29">
                  <c:v>1.1669742676597493E-4</c:v>
                </c:pt>
                <c:pt idx="30">
                  <c:v>1.1713099468182674E-4</c:v>
                </c:pt>
                <c:pt idx="31">
                  <c:v>1.174626913151677E-4</c:v>
                </c:pt>
                <c:pt idx="32">
                  <c:v>1.1790192393251479E-4</c:v>
                </c:pt>
                <c:pt idx="33">
                  <c:v>1.1859541249168053E-4</c:v>
                </c:pt>
                <c:pt idx="34">
                  <c:v>1.1958503218621515E-4</c:v>
                </c:pt>
                <c:pt idx="35">
                  <c:v>1.2081157244785811E-4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DB-4269-9B2A-85A0A366EDCC}"/>
            </c:ext>
          </c:extLst>
        </c:ser>
        <c:ser>
          <c:idx val="2"/>
          <c:order val="2"/>
          <c:tx>
            <c:strRef>
              <c:f>Données!$B$662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Données!$C$659:$AL$659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Données!$C$662:$AL$662</c:f>
              <c:numCache>
                <c:formatCode>0.0%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2.2114121481411663E-3</c:v>
                </c:pt>
                <c:pt idx="7">
                  <c:v>2.7058654036007952E-3</c:v>
                </c:pt>
                <c:pt idx="8">
                  <c:v>2.5765956243052088E-3</c:v>
                </c:pt>
                <c:pt idx="9">
                  <c:v>2.0052209862035397E-3</c:v>
                </c:pt>
                <c:pt idx="10">
                  <c:v>1.16180750914217E-3</c:v>
                </c:pt>
                <c:pt idx="11">
                  <c:v>2.6280784635595401E-4</c:v>
                </c:pt>
                <c:pt idx="12">
                  <c:v>-5.27011564028074E-4</c:v>
                </c:pt>
                <c:pt idx="13">
                  <c:v>-1.1032124771754963E-3</c:v>
                </c:pt>
                <c:pt idx="14">
                  <c:v>-1.4394684456322437E-3</c:v>
                </c:pt>
                <c:pt idx="15">
                  <c:v>-1.5724848917473971E-3</c:v>
                </c:pt>
                <c:pt idx="16">
                  <c:v>-1.575337068068749E-3</c:v>
                </c:pt>
                <c:pt idx="17">
                  <c:v>-1.5215967770122623E-3</c:v>
                </c:pt>
                <c:pt idx="18">
                  <c:v>-1.4638803391418603E-3</c:v>
                </c:pt>
                <c:pt idx="19">
                  <c:v>-1.4256837574011829E-3</c:v>
                </c:pt>
                <c:pt idx="20">
                  <c:v>-1.4079459536020702E-3</c:v>
                </c:pt>
                <c:pt idx="21">
                  <c:v>-1.3918749804981499E-3</c:v>
                </c:pt>
                <c:pt idx="22">
                  <c:v>-1.3645947042106943E-3</c:v>
                </c:pt>
                <c:pt idx="23">
                  <c:v>-1.3189617319561415E-3</c:v>
                </c:pt>
                <c:pt idx="24">
                  <c:v>-1.2564642275819306E-3</c:v>
                </c:pt>
                <c:pt idx="25">
                  <c:v>-1.1878235699167741E-3</c:v>
                </c:pt>
                <c:pt idx="26">
                  <c:v>-1.1163419641014188E-3</c:v>
                </c:pt>
                <c:pt idx="27">
                  <c:v>-1.0479524087328692E-3</c:v>
                </c:pt>
                <c:pt idx="28">
                  <c:v>-9.8338648893669424E-4</c:v>
                </c:pt>
                <c:pt idx="29">
                  <c:v>-9.208932746808526E-4</c:v>
                </c:pt>
                <c:pt idx="30">
                  <c:v>-8.5726572997052539E-4</c:v>
                </c:pt>
                <c:pt idx="31">
                  <c:v>-7.8947290370938081E-4</c:v>
                </c:pt>
                <c:pt idx="32">
                  <c:v>-7.161530760989484E-4</c:v>
                </c:pt>
                <c:pt idx="33">
                  <c:v>-6.3768293254918207E-4</c:v>
                </c:pt>
                <c:pt idx="34">
                  <c:v>-5.5542283753244668E-4</c:v>
                </c:pt>
                <c:pt idx="35">
                  <c:v>-4.7092992412976195E-4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DB-4269-9B2A-85A0A366EDCC}"/>
            </c:ext>
          </c:extLst>
        </c:ser>
        <c:ser>
          <c:idx val="3"/>
          <c:order val="3"/>
          <c:tx>
            <c:strRef>
              <c:f>Données!$B$663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Données!$C$659:$AL$659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Données!$C$663:$AL$663</c:f>
              <c:numCache>
                <c:formatCode>0.0%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9.9361243514112783E-4</c:v>
                </c:pt>
                <c:pt idx="7">
                  <c:v>1.1038312125656452E-3</c:v>
                </c:pt>
                <c:pt idx="8">
                  <c:v>9.708510514628906E-4</c:v>
                </c:pt>
                <c:pt idx="9">
                  <c:v>6.0028856002115611E-4</c:v>
                </c:pt>
                <c:pt idx="10">
                  <c:v>7.9908534372350319E-5</c:v>
                </c:pt>
                <c:pt idx="11">
                  <c:v>-4.5734675758104138E-4</c:v>
                </c:pt>
                <c:pt idx="12">
                  <c:v>-9.1045587831160586E-4</c:v>
                </c:pt>
                <c:pt idx="13">
                  <c:v>-1.2166071182319804E-3</c:v>
                </c:pt>
                <c:pt idx="14">
                  <c:v>-1.3625535426963955E-3</c:v>
                </c:pt>
                <c:pt idx="15">
                  <c:v>-1.3819210857104406E-3</c:v>
                </c:pt>
                <c:pt idx="16">
                  <c:v>-1.3325403441347492E-3</c:v>
                </c:pt>
                <c:pt idx="17">
                  <c:v>-1.2642068855912682E-3</c:v>
                </c:pt>
                <c:pt idx="18">
                  <c:v>-1.2062988213789006E-3</c:v>
                </c:pt>
                <c:pt idx="19">
                  <c:v>-1.1680744004793396E-3</c:v>
                </c:pt>
                <c:pt idx="20">
                  <c:v>-1.1466394588008602E-3</c:v>
                </c:pt>
                <c:pt idx="21">
                  <c:v>-1.129680248970828E-3</c:v>
                </c:pt>
                <c:pt idx="22">
                  <c:v>-1.1106267274481813E-3</c:v>
                </c:pt>
                <c:pt idx="23">
                  <c:v>-1.0862657804761667E-3</c:v>
                </c:pt>
                <c:pt idx="24">
                  <c:v>-1.0587442304832234E-3</c:v>
                </c:pt>
                <c:pt idx="25">
                  <c:v>-1.0355477089726791E-3</c:v>
                </c:pt>
                <c:pt idx="26">
                  <c:v>-1.0179756531961076E-3</c:v>
                </c:pt>
                <c:pt idx="27">
                  <c:v>-1.0097261161791024E-3</c:v>
                </c:pt>
                <c:pt idx="28">
                  <c:v>-1.009961819871826E-3</c:v>
                </c:pt>
                <c:pt idx="29">
                  <c:v>-1.016192523018145E-3</c:v>
                </c:pt>
                <c:pt idx="30">
                  <c:v>-1.0252734379849547E-3</c:v>
                </c:pt>
                <c:pt idx="31">
                  <c:v>-1.0345908953518436E-3</c:v>
                </c:pt>
                <c:pt idx="32">
                  <c:v>-1.0427589615578136E-3</c:v>
                </c:pt>
                <c:pt idx="33">
                  <c:v>-1.0497798267462325E-3</c:v>
                </c:pt>
                <c:pt idx="34">
                  <c:v>-1.0565073097928324E-3</c:v>
                </c:pt>
                <c:pt idx="35">
                  <c:v>-1.0640817589103368E-3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DB-4269-9B2A-85A0A366EDCC}"/>
            </c:ext>
          </c:extLst>
        </c:ser>
        <c:ser>
          <c:idx val="4"/>
          <c:order val="4"/>
          <c:tx>
            <c:strRef>
              <c:f>Données!$B$664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Données!$C$659:$AL$659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Données!$C$664:$AL$664</c:f>
              <c:numCache>
                <c:formatCode>0.0%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3.5980429576758306E-3</c:v>
                </c:pt>
                <c:pt idx="7">
                  <c:v>3.7595633965834623E-3</c:v>
                </c:pt>
                <c:pt idx="8">
                  <c:v>2.3385417383389251E-3</c:v>
                </c:pt>
                <c:pt idx="9">
                  <c:v>-1.4412522854136817E-4</c:v>
                </c:pt>
                <c:pt idx="10">
                  <c:v>-3.1100941057503697E-3</c:v>
                </c:pt>
                <c:pt idx="11">
                  <c:v>-5.8822839065860444E-3</c:v>
                </c:pt>
                <c:pt idx="12">
                  <c:v>-8.0162598549330388E-3</c:v>
                </c:pt>
                <c:pt idx="13">
                  <c:v>-9.3034330437977552E-3</c:v>
                </c:pt>
                <c:pt idx="14">
                  <c:v>-9.783250122968809E-3</c:v>
                </c:pt>
                <c:pt idx="15">
                  <c:v>-9.6743228917856271E-3</c:v>
                </c:pt>
                <c:pt idx="16">
                  <c:v>-9.2792169664521872E-3</c:v>
                </c:pt>
                <c:pt idx="17">
                  <c:v>-8.8445468679290932E-3</c:v>
                </c:pt>
                <c:pt idx="18">
                  <c:v>-8.5125832690922821E-3</c:v>
                </c:pt>
                <c:pt idx="19">
                  <c:v>-8.3190452708915216E-3</c:v>
                </c:pt>
                <c:pt idx="20">
                  <c:v>-8.2329903040421343E-3</c:v>
                </c:pt>
                <c:pt idx="21">
                  <c:v>-8.1769889771245042E-3</c:v>
                </c:pt>
                <c:pt idx="22">
                  <c:v>-8.1072092671756104E-3</c:v>
                </c:pt>
                <c:pt idx="23">
                  <c:v>-8.0079966009076065E-3</c:v>
                </c:pt>
                <c:pt idx="24">
                  <c:v>-7.8911082191761781E-3</c:v>
                </c:pt>
                <c:pt idx="25">
                  <c:v>-7.7960166274641607E-3</c:v>
                </c:pt>
                <c:pt idx="26">
                  <c:v>-7.7312695617930641E-3</c:v>
                </c:pt>
                <c:pt idx="27">
                  <c:v>-7.7111416694582054E-3</c:v>
                </c:pt>
                <c:pt idx="28">
                  <c:v>-7.7294087319986675E-3</c:v>
                </c:pt>
                <c:pt idx="29">
                  <c:v>-7.7740290692824782E-3</c:v>
                </c:pt>
                <c:pt idx="30">
                  <c:v>-7.8301147677989884E-3</c:v>
                </c:pt>
                <c:pt idx="31">
                  <c:v>-7.8860510854509014E-3</c:v>
                </c:pt>
                <c:pt idx="32">
                  <c:v>-7.9367322166450614E-3</c:v>
                </c:pt>
                <c:pt idx="33">
                  <c:v>-7.9848014816519958E-3</c:v>
                </c:pt>
                <c:pt idx="34">
                  <c:v>-8.0350850065825062E-3</c:v>
                </c:pt>
                <c:pt idx="35">
                  <c:v>-8.0928308185786776E-3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EDB-4269-9B2A-85A0A366EDCC}"/>
            </c:ext>
          </c:extLst>
        </c:ser>
        <c:ser>
          <c:idx val="5"/>
          <c:order val="5"/>
          <c:tx>
            <c:strRef>
              <c:f>Données!$B$665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Données!$C$659:$AL$659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Données!$C$665:$AL$665</c:f>
              <c:numCache>
                <c:formatCode>0.0%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1.0880901894959984E-3</c:v>
                </c:pt>
                <c:pt idx="7">
                  <c:v>1.2042971570636132E-3</c:v>
                </c:pt>
                <c:pt idx="8">
                  <c:v>8.8671516820634615E-4</c:v>
                </c:pt>
                <c:pt idx="9">
                  <c:v>2.5576536111600171E-4</c:v>
                </c:pt>
                <c:pt idx="10">
                  <c:v>-5.5345043394017994E-4</c:v>
                </c:pt>
                <c:pt idx="11">
                  <c:v>-1.3675163770338701E-3</c:v>
                </c:pt>
                <c:pt idx="12">
                  <c:v>-2.0506690814212514E-3</c:v>
                </c:pt>
                <c:pt idx="13">
                  <c:v>-2.5223963562334582E-3</c:v>
                </c:pt>
                <c:pt idx="14">
                  <c:v>-2.7698052991973823E-3</c:v>
                </c:pt>
                <c:pt idx="15">
                  <c:v>-2.8346842916962458E-3</c:v>
                </c:pt>
                <c:pt idx="16">
                  <c:v>-2.7904482665755278E-3</c:v>
                </c:pt>
                <c:pt idx="17">
                  <c:v>-2.7079053692593965E-3</c:v>
                </c:pt>
                <c:pt idx="18">
                  <c:v>-2.6340345116734475E-3</c:v>
                </c:pt>
                <c:pt idx="19">
                  <c:v>-2.5871877788119758E-3</c:v>
                </c:pt>
                <c:pt idx="20">
                  <c:v>-2.5659957978780342E-3</c:v>
                </c:pt>
                <c:pt idx="21">
                  <c:v>-2.5513489715395924E-3</c:v>
                </c:pt>
                <c:pt idx="22">
                  <c:v>-2.5320973868591871E-3</c:v>
                </c:pt>
                <c:pt idx="23">
                  <c:v>-2.5030592798114988E-3</c:v>
                </c:pt>
                <c:pt idx="24">
                  <c:v>-2.4665377575862945E-3</c:v>
                </c:pt>
                <c:pt idx="25">
                  <c:v>-2.4343893642992105E-3</c:v>
                </c:pt>
                <c:pt idx="26">
                  <c:v>-2.4072801415117345E-3</c:v>
                </c:pt>
                <c:pt idx="27">
                  <c:v>-2.3907104264359554E-3</c:v>
                </c:pt>
                <c:pt idx="28">
                  <c:v>-2.3840214647288301E-3</c:v>
                </c:pt>
                <c:pt idx="29">
                  <c:v>-2.3840139577429482E-3</c:v>
                </c:pt>
                <c:pt idx="30">
                  <c:v>-2.3865376136436856E-3</c:v>
                </c:pt>
                <c:pt idx="31">
                  <c:v>-2.3881534402778667E-3</c:v>
                </c:pt>
                <c:pt idx="32">
                  <c:v>-2.3871610178915759E-3</c:v>
                </c:pt>
                <c:pt idx="33">
                  <c:v>-2.3837783598936249E-3</c:v>
                </c:pt>
                <c:pt idx="34">
                  <c:v>-2.3793620237467649E-3</c:v>
                </c:pt>
                <c:pt idx="35">
                  <c:v>-2.3756314580886187E-3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Données!$B$660</c:f>
              <c:strCache>
                <c:ptCount val="1"/>
                <c:pt idx="0">
                  <c:v>Energie primaire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Données!$C$659:$AL$659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Données!$C$660:$AL$660</c:f>
              <c:numCache>
                <c:formatCode>0.0%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7.9646848205947585E-3</c:v>
                </c:pt>
                <c:pt idx="7">
                  <c:v>8.9260236700339224E-3</c:v>
                </c:pt>
                <c:pt idx="8">
                  <c:v>6.9868892136619731E-3</c:v>
                </c:pt>
                <c:pt idx="9">
                  <c:v>2.9659314677334958E-3</c:v>
                </c:pt>
                <c:pt idx="10">
                  <c:v>-2.167613154957726E-3</c:v>
                </c:pt>
                <c:pt idx="11">
                  <c:v>-7.207592831261489E-3</c:v>
                </c:pt>
                <c:pt idx="12">
                  <c:v>-1.129898591817402E-2</c:v>
                </c:pt>
                <c:pt idx="13">
                  <c:v>-1.3974950523574114E-2</c:v>
                </c:pt>
                <c:pt idx="14">
                  <c:v>-1.5213946640253551E-2</c:v>
                </c:pt>
                <c:pt idx="15">
                  <c:v>-1.5342374768921863E-2</c:v>
                </c:pt>
                <c:pt idx="16">
                  <c:v>-1.4866790811202568E-2</c:v>
                </c:pt>
                <c:pt idx="17">
                  <c:v>-1.4230238876826284E-2</c:v>
                </c:pt>
                <c:pt idx="18">
                  <c:v>-1.3707365426621543E-2</c:v>
                </c:pt>
                <c:pt idx="19">
                  <c:v>-1.3388102246604028E-2</c:v>
                </c:pt>
                <c:pt idx="20">
                  <c:v>-1.3240283206472081E-2</c:v>
                </c:pt>
                <c:pt idx="21">
                  <c:v>-1.3136289869725704E-2</c:v>
                </c:pt>
                <c:pt idx="22">
                  <c:v>-1.3001463087973009E-2</c:v>
                </c:pt>
                <c:pt idx="23">
                  <c:v>-1.2803832257081038E-2</c:v>
                </c:pt>
                <c:pt idx="24">
                  <c:v>-1.2560468907622524E-2</c:v>
                </c:pt>
                <c:pt idx="25">
                  <c:v>-1.2341142896003743E-2</c:v>
                </c:pt>
                <c:pt idx="26">
                  <c:v>-1.2159176951967776E-2</c:v>
                </c:pt>
                <c:pt idx="27">
                  <c:v>-1.2044603965769674E-2</c:v>
                </c:pt>
                <c:pt idx="28">
                  <c:v>-1.1990799744007852E-2</c:v>
                </c:pt>
                <c:pt idx="29">
                  <c:v>-1.197843143992694E-2</c:v>
                </c:pt>
                <c:pt idx="30">
                  <c:v>-1.1982060784291648E-2</c:v>
                </c:pt>
                <c:pt idx="31">
                  <c:v>-1.1980805902425673E-2</c:v>
                </c:pt>
                <c:pt idx="32">
                  <c:v>-1.1964903399183657E-2</c:v>
                </c:pt>
                <c:pt idx="33">
                  <c:v>-1.1937447344846142E-2</c:v>
                </c:pt>
                <c:pt idx="34">
                  <c:v>-1.1906792154020684E-2</c:v>
                </c:pt>
                <c:pt idx="35">
                  <c:v>-1.1882662257938659E-2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5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logements</a:t>
            </a:r>
            <a:r>
              <a:rPr lang="fr-FR" sz="2400" baseline="0"/>
              <a:t> (Mm2)</a:t>
            </a:r>
            <a:endParaRPr lang="fr-FR" sz="2400"/>
          </a:p>
          <a:p>
            <a:pPr>
              <a:defRPr/>
            </a:pPr>
            <a:r>
              <a:rPr lang="fr-FR" sz="1800" i="1"/>
              <a:t>Scénario</a:t>
            </a:r>
            <a:r>
              <a:rPr lang="fr-FR" sz="1800" i="1" baseline="0"/>
              <a:t> tendanciel</a:t>
            </a:r>
            <a:endParaRPr lang="fr-FR" sz="1800" i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Données!$B$405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Données!$C$404:$AL$404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Données!$C$405:$AL$405</c:f>
              <c:numCache>
                <c:formatCode>#,##0</c:formatCode>
                <c:ptCount val="36"/>
                <c:pt idx="0">
                  <c:v>3.476542051</c:v>
                </c:pt>
                <c:pt idx="1">
                  <c:v>7.0992244930000004</c:v>
                </c:pt>
                <c:pt idx="2">
                  <c:v>13.930695070000001</c:v>
                </c:pt>
                <c:pt idx="3">
                  <c:v>21.193309129999999</c:v>
                </c:pt>
                <c:pt idx="4">
                  <c:v>28.457763740000001</c:v>
                </c:pt>
                <c:pt idx="5">
                  <c:v>35.782543189999998</c:v>
                </c:pt>
                <c:pt idx="6">
                  <c:v>43.149881970000003</c:v>
                </c:pt>
                <c:pt idx="7">
                  <c:v>50.552811400000003</c:v>
                </c:pt>
                <c:pt idx="8">
                  <c:v>57.920923979999998</c:v>
                </c:pt>
                <c:pt idx="9">
                  <c:v>65.15817758</c:v>
                </c:pt>
                <c:pt idx="10">
                  <c:v>72.230702429999994</c:v>
                </c:pt>
                <c:pt idx="11">
                  <c:v>78.886914790000006</c:v>
                </c:pt>
                <c:pt idx="12">
                  <c:v>85.123244369999995</c:v>
                </c:pt>
                <c:pt idx="13">
                  <c:v>90.954486250000002</c:v>
                </c:pt>
                <c:pt idx="14">
                  <c:v>96.528613500000006</c:v>
                </c:pt>
                <c:pt idx="15">
                  <c:v>102.2024878</c:v>
                </c:pt>
                <c:pt idx="16">
                  <c:v>108.1638548</c:v>
                </c:pt>
                <c:pt idx="17">
                  <c:v>114.3231734</c:v>
                </c:pt>
                <c:pt idx="18">
                  <c:v>120.5549645</c:v>
                </c:pt>
                <c:pt idx="19">
                  <c:v>126.7838721</c:v>
                </c:pt>
                <c:pt idx="20">
                  <c:v>132.82834819999999</c:v>
                </c:pt>
                <c:pt idx="21">
                  <c:v>139.02317450000001</c:v>
                </c:pt>
                <c:pt idx="22">
                  <c:v>145.2749895</c:v>
                </c:pt>
                <c:pt idx="23">
                  <c:v>151.64360389999999</c:v>
                </c:pt>
                <c:pt idx="24">
                  <c:v>158.13298979999999</c:v>
                </c:pt>
                <c:pt idx="25">
                  <c:v>164.42636640000001</c:v>
                </c:pt>
                <c:pt idx="26">
                  <c:v>170.89736970000001</c:v>
                </c:pt>
                <c:pt idx="27">
                  <c:v>177.40324089999999</c:v>
                </c:pt>
                <c:pt idx="28">
                  <c:v>183.9592744</c:v>
                </c:pt>
                <c:pt idx="29">
                  <c:v>190.57806020000001</c:v>
                </c:pt>
                <c:pt idx="30">
                  <c:v>197.2673929</c:v>
                </c:pt>
                <c:pt idx="31">
                  <c:v>204.02256120000001</c:v>
                </c:pt>
                <c:pt idx="32">
                  <c:v>210.8249361</c:v>
                </c:pt>
                <c:pt idx="33">
                  <c:v>217.64746349999999</c:v>
                </c:pt>
                <c:pt idx="34">
                  <c:v>224.46158149999999</c:v>
                </c:pt>
                <c:pt idx="35">
                  <c:v>231.24283130000001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6B-4BFF-9D6E-7891C58785EB}"/>
            </c:ext>
          </c:extLst>
        </c:ser>
        <c:ser>
          <c:idx val="1"/>
          <c:order val="1"/>
          <c:tx>
            <c:strRef>
              <c:f>Données!$B$406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Données!$C$404:$AL$404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Données!$C$406:$AL$406</c:f>
              <c:numCache>
                <c:formatCode>#,##0</c:formatCode>
                <c:ptCount val="36"/>
                <c:pt idx="0">
                  <c:v>68.80476281</c:v>
                </c:pt>
                <c:pt idx="1">
                  <c:v>76.701300149999994</c:v>
                </c:pt>
                <c:pt idx="2">
                  <c:v>82.885768369999994</c:v>
                </c:pt>
                <c:pt idx="3">
                  <c:v>88.188079909999999</c:v>
                </c:pt>
                <c:pt idx="4">
                  <c:v>93.055322869999998</c:v>
                </c:pt>
                <c:pt idx="5">
                  <c:v>97.61531076</c:v>
                </c:pt>
                <c:pt idx="6">
                  <c:v>101.3453765</c:v>
                </c:pt>
                <c:pt idx="7">
                  <c:v>104.94736930000001</c:v>
                </c:pt>
                <c:pt idx="8">
                  <c:v>108.5000378</c:v>
                </c:pt>
                <c:pt idx="9">
                  <c:v>112.0821802</c:v>
                </c:pt>
                <c:pt idx="10">
                  <c:v>116.7909272</c:v>
                </c:pt>
                <c:pt idx="11">
                  <c:v>120.6807829</c:v>
                </c:pt>
                <c:pt idx="12">
                  <c:v>124.87595279999999</c:v>
                </c:pt>
                <c:pt idx="13">
                  <c:v>129.53245720000001</c:v>
                </c:pt>
                <c:pt idx="14">
                  <c:v>134.78060389999999</c:v>
                </c:pt>
                <c:pt idx="15">
                  <c:v>140.13108460000001</c:v>
                </c:pt>
                <c:pt idx="16">
                  <c:v>145.1165828</c:v>
                </c:pt>
                <c:pt idx="17">
                  <c:v>149.72423449999999</c:v>
                </c:pt>
                <c:pt idx="18">
                  <c:v>154.07999749999999</c:v>
                </c:pt>
                <c:pt idx="19">
                  <c:v>158.2922006</c:v>
                </c:pt>
                <c:pt idx="20">
                  <c:v>161.83559769999999</c:v>
                </c:pt>
                <c:pt idx="21">
                  <c:v>165.916357</c:v>
                </c:pt>
                <c:pt idx="22">
                  <c:v>169.89485060000001</c:v>
                </c:pt>
                <c:pt idx="23">
                  <c:v>173.74344210000001</c:v>
                </c:pt>
                <c:pt idx="24">
                  <c:v>177.4680927</c:v>
                </c:pt>
                <c:pt idx="25">
                  <c:v>179.34707299999999</c:v>
                </c:pt>
                <c:pt idx="26">
                  <c:v>182.1025463</c:v>
                </c:pt>
                <c:pt idx="27">
                  <c:v>184.8008873</c:v>
                </c:pt>
                <c:pt idx="28">
                  <c:v>187.43733030000001</c:v>
                </c:pt>
                <c:pt idx="29">
                  <c:v>190.00733919999999</c:v>
                </c:pt>
                <c:pt idx="30">
                  <c:v>192.50846390000001</c:v>
                </c:pt>
                <c:pt idx="31">
                  <c:v>194.9448304</c:v>
                </c:pt>
                <c:pt idx="32">
                  <c:v>197.3279934</c:v>
                </c:pt>
                <c:pt idx="33">
                  <c:v>199.67395389999999</c:v>
                </c:pt>
                <c:pt idx="34">
                  <c:v>201.99938040000001</c:v>
                </c:pt>
                <c:pt idx="35">
                  <c:v>204.3185445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6B-4BFF-9D6E-7891C58785EB}"/>
            </c:ext>
          </c:extLst>
        </c:ser>
        <c:ser>
          <c:idx val="2"/>
          <c:order val="2"/>
          <c:tx>
            <c:strRef>
              <c:f>Données!$B$407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Données!$C$404:$AL$404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Données!$C$407:$AL$407</c:f>
              <c:numCache>
                <c:formatCode>#,##0</c:formatCode>
                <c:ptCount val="36"/>
                <c:pt idx="0">
                  <c:v>408.28039699999999</c:v>
                </c:pt>
                <c:pt idx="1">
                  <c:v>423.5108955</c:v>
                </c:pt>
                <c:pt idx="2">
                  <c:v>436.57268920000001</c:v>
                </c:pt>
                <c:pt idx="3">
                  <c:v>448.16201369999999</c:v>
                </c:pt>
                <c:pt idx="4">
                  <c:v>459.08412120000003</c:v>
                </c:pt>
                <c:pt idx="5">
                  <c:v>469.60596520000001</c:v>
                </c:pt>
                <c:pt idx="6">
                  <c:v>478.13532140000001</c:v>
                </c:pt>
                <c:pt idx="7">
                  <c:v>486.52252579999998</c:v>
                </c:pt>
                <c:pt idx="8">
                  <c:v>494.86012770000002</c:v>
                </c:pt>
                <c:pt idx="9">
                  <c:v>503.23303329999999</c:v>
                </c:pt>
                <c:pt idx="10">
                  <c:v>514.61661590000006</c:v>
                </c:pt>
                <c:pt idx="11">
                  <c:v>523.31390480000005</c:v>
                </c:pt>
                <c:pt idx="12">
                  <c:v>532.31561839999995</c:v>
                </c:pt>
                <c:pt idx="13">
                  <c:v>541.77215769999998</c:v>
                </c:pt>
                <c:pt idx="14">
                  <c:v>551.81055119999996</c:v>
                </c:pt>
                <c:pt idx="15">
                  <c:v>561.95631739999999</c:v>
                </c:pt>
                <c:pt idx="16">
                  <c:v>571.75564559999998</c:v>
                </c:pt>
                <c:pt idx="17">
                  <c:v>581.19579580000004</c:v>
                </c:pt>
                <c:pt idx="18">
                  <c:v>590.39890100000002</c:v>
                </c:pt>
                <c:pt idx="19">
                  <c:v>599.47001799999998</c:v>
                </c:pt>
                <c:pt idx="20">
                  <c:v>606.63701419999995</c:v>
                </c:pt>
                <c:pt idx="21">
                  <c:v>615.59076889999994</c:v>
                </c:pt>
                <c:pt idx="22">
                  <c:v>624.45217500000001</c:v>
                </c:pt>
                <c:pt idx="23">
                  <c:v>633.19423210000002</c:v>
                </c:pt>
                <c:pt idx="24">
                  <c:v>641.82283810000001</c:v>
                </c:pt>
                <c:pt idx="25">
                  <c:v>645.22183610000002</c:v>
                </c:pt>
                <c:pt idx="26">
                  <c:v>651.29539620000003</c:v>
                </c:pt>
                <c:pt idx="27">
                  <c:v>657.31279310000002</c:v>
                </c:pt>
                <c:pt idx="28">
                  <c:v>663.2691446</c:v>
                </c:pt>
                <c:pt idx="29">
                  <c:v>669.15969070000006</c:v>
                </c:pt>
                <c:pt idx="30">
                  <c:v>674.98184330000004</c:v>
                </c:pt>
                <c:pt idx="31">
                  <c:v>680.73965959999998</c:v>
                </c:pt>
                <c:pt idx="32">
                  <c:v>686.44464719999996</c:v>
                </c:pt>
                <c:pt idx="33">
                  <c:v>692.11276150000003</c:v>
                </c:pt>
                <c:pt idx="34">
                  <c:v>697.76060589999997</c:v>
                </c:pt>
                <c:pt idx="35">
                  <c:v>703.40235070000006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6B-4BFF-9D6E-7891C58785EB}"/>
            </c:ext>
          </c:extLst>
        </c:ser>
        <c:ser>
          <c:idx val="3"/>
          <c:order val="3"/>
          <c:tx>
            <c:strRef>
              <c:f>Données!$B$408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Données!$C$404:$AL$404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Données!$C$408:$AL$408</c:f>
              <c:numCache>
                <c:formatCode>#,##0</c:formatCode>
                <c:ptCount val="36"/>
                <c:pt idx="0">
                  <c:v>954.38155940000001</c:v>
                </c:pt>
                <c:pt idx="1">
                  <c:v>946.68620120000003</c:v>
                </c:pt>
                <c:pt idx="2">
                  <c:v>940.18309839999995</c:v>
                </c:pt>
                <c:pt idx="3">
                  <c:v>934.55450470000005</c:v>
                </c:pt>
                <c:pt idx="4">
                  <c:v>929.46705050000003</c:v>
                </c:pt>
                <c:pt idx="5">
                  <c:v>924.72215440000002</c:v>
                </c:pt>
                <c:pt idx="6">
                  <c:v>920.19097390000002</c:v>
                </c:pt>
                <c:pt idx="7">
                  <c:v>915.79353909999998</c:v>
                </c:pt>
                <c:pt idx="8">
                  <c:v>911.48015959999998</c:v>
                </c:pt>
                <c:pt idx="9">
                  <c:v>907.21597569999994</c:v>
                </c:pt>
                <c:pt idx="10">
                  <c:v>902.9707995</c:v>
                </c:pt>
                <c:pt idx="11">
                  <c:v>898.67826839999998</c:v>
                </c:pt>
                <c:pt idx="12">
                  <c:v>894.20320260000005</c:v>
                </c:pt>
                <c:pt idx="13">
                  <c:v>889.21874070000001</c:v>
                </c:pt>
                <c:pt idx="14">
                  <c:v>883.31244530000004</c:v>
                </c:pt>
                <c:pt idx="15">
                  <c:v>877.08548619999999</c:v>
                </c:pt>
                <c:pt idx="16">
                  <c:v>871.26810520000004</c:v>
                </c:pt>
                <c:pt idx="17">
                  <c:v>865.97455730000001</c:v>
                </c:pt>
                <c:pt idx="18">
                  <c:v>861.08249750000004</c:v>
                </c:pt>
                <c:pt idx="19">
                  <c:v>856.45433720000005</c:v>
                </c:pt>
                <c:pt idx="20">
                  <c:v>851.92815880000001</c:v>
                </c:pt>
                <c:pt idx="21">
                  <c:v>847.54625750000002</c:v>
                </c:pt>
                <c:pt idx="22">
                  <c:v>843.28683409999996</c:v>
                </c:pt>
                <c:pt idx="23">
                  <c:v>839.14371059999996</c:v>
                </c:pt>
                <c:pt idx="24">
                  <c:v>835.10101329999998</c:v>
                </c:pt>
                <c:pt idx="25">
                  <c:v>831.10476019999999</c:v>
                </c:pt>
                <c:pt idx="26">
                  <c:v>827.1684851</c:v>
                </c:pt>
                <c:pt idx="27">
                  <c:v>823.28033149999999</c:v>
                </c:pt>
                <c:pt idx="28">
                  <c:v>819.43386239999995</c:v>
                </c:pt>
                <c:pt idx="29">
                  <c:v>815.62486520000004</c:v>
                </c:pt>
                <c:pt idx="30">
                  <c:v>811.84994319999998</c:v>
                </c:pt>
                <c:pt idx="31">
                  <c:v>808.10568450000005</c:v>
                </c:pt>
                <c:pt idx="32">
                  <c:v>804.38859209999998</c:v>
                </c:pt>
                <c:pt idx="33">
                  <c:v>800.69538469999998</c:v>
                </c:pt>
                <c:pt idx="34">
                  <c:v>797.02320010000005</c:v>
                </c:pt>
                <c:pt idx="35">
                  <c:v>793.36963690000005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6B-4BFF-9D6E-7891C58785EB}"/>
            </c:ext>
          </c:extLst>
        </c:ser>
        <c:ser>
          <c:idx val="4"/>
          <c:order val="4"/>
          <c:tx>
            <c:strRef>
              <c:f>Données!$B$409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Données!$C$404:$AL$404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Données!$C$409:$AL$409</c:f>
              <c:numCache>
                <c:formatCode>#,##0</c:formatCode>
                <c:ptCount val="36"/>
                <c:pt idx="0">
                  <c:v>878.79999729999997</c:v>
                </c:pt>
                <c:pt idx="1">
                  <c:v>870.04263679999997</c:v>
                </c:pt>
                <c:pt idx="2">
                  <c:v>863.22911360000001</c:v>
                </c:pt>
                <c:pt idx="3">
                  <c:v>857.45735960000002</c:v>
                </c:pt>
                <c:pt idx="4">
                  <c:v>852.22932200000002</c:v>
                </c:pt>
                <c:pt idx="5">
                  <c:v>847.28726080000001</c:v>
                </c:pt>
                <c:pt idx="6">
                  <c:v>842.50161939999998</c:v>
                </c:pt>
                <c:pt idx="7">
                  <c:v>837.80916130000003</c:v>
                </c:pt>
                <c:pt idx="8">
                  <c:v>833.17972610000004</c:v>
                </c:pt>
                <c:pt idx="9">
                  <c:v>828.59858789999998</c:v>
                </c:pt>
                <c:pt idx="10">
                  <c:v>824.05744159999995</c:v>
                </c:pt>
                <c:pt idx="11">
                  <c:v>819.54999869999995</c:v>
                </c:pt>
                <c:pt idx="12">
                  <c:v>815.07153010000002</c:v>
                </c:pt>
                <c:pt idx="13">
                  <c:v>810.61894859999995</c:v>
                </c:pt>
                <c:pt idx="14">
                  <c:v>806.19050500000003</c:v>
                </c:pt>
                <c:pt idx="15">
                  <c:v>801.78534430000002</c:v>
                </c:pt>
                <c:pt idx="16">
                  <c:v>797.403099</c:v>
                </c:pt>
                <c:pt idx="17">
                  <c:v>793.04357640000001</c:v>
                </c:pt>
                <c:pt idx="18">
                  <c:v>788.70657389999997</c:v>
                </c:pt>
                <c:pt idx="19">
                  <c:v>784.39182679999999</c:v>
                </c:pt>
                <c:pt idx="20">
                  <c:v>780.09888939999996</c:v>
                </c:pt>
                <c:pt idx="21">
                  <c:v>775.82772790000001</c:v>
                </c:pt>
                <c:pt idx="22">
                  <c:v>771.57823280000002</c:v>
                </c:pt>
                <c:pt idx="23">
                  <c:v>767.35030359999996</c:v>
                </c:pt>
                <c:pt idx="24">
                  <c:v>763.14400460000002</c:v>
                </c:pt>
                <c:pt idx="25">
                  <c:v>758.95905679999998</c:v>
                </c:pt>
                <c:pt idx="26">
                  <c:v>754.79592430000002</c:v>
                </c:pt>
                <c:pt idx="27">
                  <c:v>750.65482340000005</c:v>
                </c:pt>
                <c:pt idx="28">
                  <c:v>746.53548509999996</c:v>
                </c:pt>
                <c:pt idx="29">
                  <c:v>742.43750799999998</c:v>
                </c:pt>
                <c:pt idx="30">
                  <c:v>738.36062660000005</c:v>
                </c:pt>
                <c:pt idx="31">
                  <c:v>734.30481199999997</c:v>
                </c:pt>
                <c:pt idx="32">
                  <c:v>730.27021439999999</c:v>
                </c:pt>
                <c:pt idx="33">
                  <c:v>726.25703309999994</c:v>
                </c:pt>
                <c:pt idx="34">
                  <c:v>722.26539639999999</c:v>
                </c:pt>
                <c:pt idx="35">
                  <c:v>718.29530130000001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6B-4BFF-9D6E-7891C58785EB}"/>
            </c:ext>
          </c:extLst>
        </c:ser>
        <c:ser>
          <c:idx val="5"/>
          <c:order val="5"/>
          <c:tx>
            <c:strRef>
              <c:f>Données!$B$410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Données!$C$404:$AL$404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Données!$C$410:$AL$410</c:f>
              <c:numCache>
                <c:formatCode>#,##0</c:formatCode>
                <c:ptCount val="36"/>
                <c:pt idx="0">
                  <c:v>139.85209269999999</c:v>
                </c:pt>
                <c:pt idx="1">
                  <c:v>137.9614138</c:v>
                </c:pt>
                <c:pt idx="2">
                  <c:v>136.1236074</c:v>
                </c:pt>
                <c:pt idx="3">
                  <c:v>134.3328626</c:v>
                </c:pt>
                <c:pt idx="4">
                  <c:v>132.59747340000001</c:v>
                </c:pt>
                <c:pt idx="5">
                  <c:v>130.92073790000001</c:v>
                </c:pt>
                <c:pt idx="6">
                  <c:v>129.29314350000001</c:v>
                </c:pt>
                <c:pt idx="7">
                  <c:v>127.69745500000001</c:v>
                </c:pt>
                <c:pt idx="8">
                  <c:v>126.1142949</c:v>
                </c:pt>
                <c:pt idx="9">
                  <c:v>124.5269208</c:v>
                </c:pt>
                <c:pt idx="10">
                  <c:v>122.9279896</c:v>
                </c:pt>
                <c:pt idx="11">
                  <c:v>121.3136679</c:v>
                </c:pt>
                <c:pt idx="12">
                  <c:v>119.6907647</c:v>
                </c:pt>
                <c:pt idx="13">
                  <c:v>118.067594</c:v>
                </c:pt>
                <c:pt idx="14">
                  <c:v>116.4526709</c:v>
                </c:pt>
                <c:pt idx="15">
                  <c:v>114.8524283</c:v>
                </c:pt>
                <c:pt idx="16">
                  <c:v>113.2703973</c:v>
                </c:pt>
                <c:pt idx="17">
                  <c:v>111.7078276</c:v>
                </c:pt>
                <c:pt idx="18">
                  <c:v>110.16488560000001</c:v>
                </c:pt>
                <c:pt idx="19">
                  <c:v>108.6416282</c:v>
                </c:pt>
                <c:pt idx="20">
                  <c:v>107.137017</c:v>
                </c:pt>
                <c:pt idx="21">
                  <c:v>105.6532742</c:v>
                </c:pt>
                <c:pt idx="22">
                  <c:v>104.19098529999999</c:v>
                </c:pt>
                <c:pt idx="23">
                  <c:v>102.7514192</c:v>
                </c:pt>
                <c:pt idx="24">
                  <c:v>101.334766</c:v>
                </c:pt>
                <c:pt idx="25">
                  <c:v>99.936709550000003</c:v>
                </c:pt>
                <c:pt idx="26">
                  <c:v>98.558253730000004</c:v>
                </c:pt>
                <c:pt idx="27">
                  <c:v>97.198278630000004</c:v>
                </c:pt>
                <c:pt idx="28">
                  <c:v>95.85790858</c:v>
                </c:pt>
                <c:pt idx="29">
                  <c:v>94.5385201</c:v>
                </c:pt>
                <c:pt idx="30">
                  <c:v>93.241092940000001</c:v>
                </c:pt>
                <c:pt idx="31">
                  <c:v>91.96570328</c:v>
                </c:pt>
                <c:pt idx="32">
                  <c:v>90.711407280000003</c:v>
                </c:pt>
                <c:pt idx="33">
                  <c:v>89.476547049999994</c:v>
                </c:pt>
                <c:pt idx="34">
                  <c:v>88.259305449999999</c:v>
                </c:pt>
                <c:pt idx="35">
                  <c:v>87.058242489999998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6B-4BFF-9D6E-7891C58785EB}"/>
            </c:ext>
          </c:extLst>
        </c:ser>
        <c:ser>
          <c:idx val="6"/>
          <c:order val="6"/>
          <c:tx>
            <c:strRef>
              <c:f>Données!$B$411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Données!$C$404:$AL$404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Données!$C$411:$AL$411</c:f>
              <c:numCache>
                <c:formatCode>#,##0</c:formatCode>
                <c:ptCount val="36"/>
                <c:pt idx="0">
                  <c:v>3.874567114</c:v>
                </c:pt>
                <c:pt idx="1">
                  <c:v>3.7247016309999998</c:v>
                </c:pt>
                <c:pt idx="2">
                  <c:v>3.5831348620000001</c:v>
                </c:pt>
                <c:pt idx="3">
                  <c:v>3.4488551159999998</c:v>
                </c:pt>
                <c:pt idx="4">
                  <c:v>3.3221597639999998</c:v>
                </c:pt>
                <c:pt idx="5">
                  <c:v>3.2030279180000001</c:v>
                </c:pt>
                <c:pt idx="6">
                  <c:v>3.0904729620000002</c:v>
                </c:pt>
                <c:pt idx="7">
                  <c:v>2.9829869520000001</c:v>
                </c:pt>
                <c:pt idx="8">
                  <c:v>2.879007353</c:v>
                </c:pt>
                <c:pt idx="9">
                  <c:v>2.777300436</c:v>
                </c:pt>
                <c:pt idx="10">
                  <c:v>2.6774055790000002</c:v>
                </c:pt>
                <c:pt idx="11">
                  <c:v>2.579119768</c:v>
                </c:pt>
                <c:pt idx="12">
                  <c:v>2.4829393340000001</c:v>
                </c:pt>
                <c:pt idx="13">
                  <c:v>2.3893841789999999</c:v>
                </c:pt>
                <c:pt idx="14">
                  <c:v>2.298918494</c:v>
                </c:pt>
                <c:pt idx="15">
                  <c:v>2.2118252310000002</c:v>
                </c:pt>
                <c:pt idx="16">
                  <c:v>2.1281838820000001</c:v>
                </c:pt>
                <c:pt idx="17">
                  <c:v>2.047930053</c:v>
                </c:pt>
                <c:pt idx="18">
                  <c:v>1.9709372789999999</c:v>
                </c:pt>
                <c:pt idx="19">
                  <c:v>1.897076148</c:v>
                </c:pt>
                <c:pt idx="20">
                  <c:v>1.826165483</c:v>
                </c:pt>
                <c:pt idx="21">
                  <c:v>1.7581997789999999</c:v>
                </c:pt>
                <c:pt idx="22">
                  <c:v>1.693083925</c:v>
                </c:pt>
                <c:pt idx="23">
                  <c:v>1.6307595100000001</c:v>
                </c:pt>
                <c:pt idx="24">
                  <c:v>1.5711199890000001</c:v>
                </c:pt>
                <c:pt idx="25">
                  <c:v>1.5138602919999999</c:v>
                </c:pt>
                <c:pt idx="26">
                  <c:v>1.4589416900000001</c:v>
                </c:pt>
                <c:pt idx="27">
                  <c:v>1.406225429</c:v>
                </c:pt>
                <c:pt idx="28">
                  <c:v>1.355673466</c:v>
                </c:pt>
                <c:pt idx="29">
                  <c:v>1.3072558729999999</c:v>
                </c:pt>
                <c:pt idx="30">
                  <c:v>1.260925818</c:v>
                </c:pt>
                <c:pt idx="31">
                  <c:v>1.2166025300000001</c:v>
                </c:pt>
                <c:pt idx="32">
                  <c:v>1.1741705609999999</c:v>
                </c:pt>
                <c:pt idx="33">
                  <c:v>1.133494711</c:v>
                </c:pt>
                <c:pt idx="34">
                  <c:v>1.094442342</c:v>
                </c:pt>
                <c:pt idx="35">
                  <c:v>1.0569024060000001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6B-4BFF-9D6E-7891C5878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 b="0" i="0" baseline="0">
                <a:effectLst/>
              </a:rPr>
              <a:t>Stock de logements (Mm2)</a:t>
            </a:r>
            <a:endParaRPr lang="fr-FR" sz="2400">
              <a:effectLst/>
            </a:endParaRPr>
          </a:p>
          <a:p>
            <a:pPr>
              <a:defRPr/>
            </a:pPr>
            <a:r>
              <a:rPr lang="fr-FR" sz="1800" b="0" i="1" baseline="0">
                <a:effectLst/>
              </a:rPr>
              <a:t>Scénario Net Zero 2050</a:t>
            </a:r>
            <a:endParaRPr lang="fr-FR" sz="28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Données!$B$396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Données!$C$395:$AL$395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Données!$C$396:$AL$396</c:f>
              <c:numCache>
                <c:formatCode>#,##0</c:formatCode>
                <c:ptCount val="36"/>
                <c:pt idx="0">
                  <c:v>3.476542051</c:v>
                </c:pt>
                <c:pt idx="1">
                  <c:v>7.0992244930000004</c:v>
                </c:pt>
                <c:pt idx="2">
                  <c:v>13.930695070000001</c:v>
                </c:pt>
                <c:pt idx="3">
                  <c:v>21.193309129999999</c:v>
                </c:pt>
                <c:pt idx="4">
                  <c:v>28.457763740000001</c:v>
                </c:pt>
                <c:pt idx="5">
                  <c:v>35.782543189999998</c:v>
                </c:pt>
                <c:pt idx="6">
                  <c:v>42.67736893</c:v>
                </c:pt>
                <c:pt idx="7">
                  <c:v>50.686369800000001</c:v>
                </c:pt>
                <c:pt idx="8">
                  <c:v>59.205479099999998</c:v>
                </c:pt>
                <c:pt idx="9">
                  <c:v>67.895615399999997</c:v>
                </c:pt>
                <c:pt idx="10">
                  <c:v>76.721415750000006</c:v>
                </c:pt>
                <c:pt idx="11">
                  <c:v>85.53249477</c:v>
                </c:pt>
                <c:pt idx="12">
                  <c:v>94.305586079999998</c:v>
                </c:pt>
                <c:pt idx="13">
                  <c:v>102.9347903</c:v>
                </c:pt>
                <c:pt idx="14">
                  <c:v>111.5924796</c:v>
                </c:pt>
                <c:pt idx="15">
                  <c:v>120.2347578</c:v>
                </c:pt>
                <c:pt idx="16">
                  <c:v>128.84407949999999</c:v>
                </c:pt>
                <c:pt idx="17">
                  <c:v>137.41476990000001</c:v>
                </c:pt>
                <c:pt idx="18">
                  <c:v>145.94600370000001</c:v>
                </c:pt>
                <c:pt idx="19">
                  <c:v>154.43810350000001</c:v>
                </c:pt>
                <c:pt idx="20">
                  <c:v>162.8650931</c:v>
                </c:pt>
                <c:pt idx="21">
                  <c:v>171.27748990000001</c:v>
                </c:pt>
                <c:pt idx="22">
                  <c:v>179.64751759999999</c:v>
                </c:pt>
                <c:pt idx="23">
                  <c:v>187.9734675</c:v>
                </c:pt>
                <c:pt idx="24">
                  <c:v>196.25435949999999</c:v>
                </c:pt>
                <c:pt idx="25">
                  <c:v>204.41973540000001</c:v>
                </c:pt>
                <c:pt idx="26">
                  <c:v>212.57829749999999</c:v>
                </c:pt>
                <c:pt idx="27">
                  <c:v>220.69267769999999</c:v>
                </c:pt>
                <c:pt idx="28">
                  <c:v>228.76288310000001</c:v>
                </c:pt>
                <c:pt idx="29">
                  <c:v>236.78884619999999</c:v>
                </c:pt>
                <c:pt idx="30">
                  <c:v>244.7703587</c:v>
                </c:pt>
                <c:pt idx="31">
                  <c:v>252.70727790000001</c:v>
                </c:pt>
                <c:pt idx="32">
                  <c:v>260.59972979999998</c:v>
                </c:pt>
                <c:pt idx="33">
                  <c:v>268.4481452</c:v>
                </c:pt>
                <c:pt idx="34">
                  <c:v>276.2531449</c:v>
                </c:pt>
                <c:pt idx="35">
                  <c:v>284.01540080000001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F-4D83-A0F0-AAB37D9DB6AC}"/>
            </c:ext>
          </c:extLst>
        </c:ser>
        <c:ser>
          <c:idx val="1"/>
          <c:order val="1"/>
          <c:tx>
            <c:strRef>
              <c:f>Données!$B$397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Données!$C$395:$AL$395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Données!$C$397:$AL$397</c:f>
              <c:numCache>
                <c:formatCode>#,##0</c:formatCode>
                <c:ptCount val="36"/>
                <c:pt idx="0">
                  <c:v>68.80476281</c:v>
                </c:pt>
                <c:pt idx="1">
                  <c:v>76.701300149999994</c:v>
                </c:pt>
                <c:pt idx="2">
                  <c:v>82.885768369999994</c:v>
                </c:pt>
                <c:pt idx="3">
                  <c:v>88.188079909999999</c:v>
                </c:pt>
                <c:pt idx="4">
                  <c:v>93.055322869999998</c:v>
                </c:pt>
                <c:pt idx="5">
                  <c:v>97.61531076</c:v>
                </c:pt>
                <c:pt idx="6">
                  <c:v>101.6575686</c:v>
                </c:pt>
                <c:pt idx="7">
                  <c:v>104.9639243</c:v>
                </c:pt>
                <c:pt idx="8">
                  <c:v>107.94093669999999</c:v>
                </c:pt>
                <c:pt idx="9">
                  <c:v>110.7958306</c:v>
                </c:pt>
                <c:pt idx="10">
                  <c:v>114.6159117</c:v>
                </c:pt>
                <c:pt idx="11">
                  <c:v>117.3645623</c:v>
                </c:pt>
                <c:pt idx="12">
                  <c:v>120.10141539999999</c:v>
                </c:pt>
                <c:pt idx="13">
                  <c:v>122.87691479999999</c:v>
                </c:pt>
                <c:pt idx="14">
                  <c:v>125.60242220000001</c:v>
                </c:pt>
                <c:pt idx="15">
                  <c:v>128.3039934</c:v>
                </c:pt>
                <c:pt idx="16">
                  <c:v>130.99595020000001</c:v>
                </c:pt>
                <c:pt idx="17">
                  <c:v>133.68622389999999</c:v>
                </c:pt>
                <c:pt idx="18">
                  <c:v>136.3791081</c:v>
                </c:pt>
                <c:pt idx="19">
                  <c:v>139.07665900000001</c:v>
                </c:pt>
                <c:pt idx="20">
                  <c:v>141.09263759999999</c:v>
                </c:pt>
                <c:pt idx="21">
                  <c:v>143.7988004</c:v>
                </c:pt>
                <c:pt idx="22">
                  <c:v>146.50986219999999</c:v>
                </c:pt>
                <c:pt idx="23">
                  <c:v>149.22538309999999</c:v>
                </c:pt>
                <c:pt idx="24">
                  <c:v>151.94518429999999</c:v>
                </c:pt>
                <c:pt idx="25">
                  <c:v>152.7942185</c:v>
                </c:pt>
                <c:pt idx="26">
                  <c:v>154.63674560000001</c:v>
                </c:pt>
                <c:pt idx="27">
                  <c:v>156.47943939999999</c:v>
                </c:pt>
                <c:pt idx="28">
                  <c:v>158.32220280000001</c:v>
                </c:pt>
                <c:pt idx="29">
                  <c:v>160.164895</c:v>
                </c:pt>
                <c:pt idx="30">
                  <c:v>162.0073845</c:v>
                </c:pt>
                <c:pt idx="31">
                  <c:v>163.84963200000001</c:v>
                </c:pt>
                <c:pt idx="32">
                  <c:v>165.69172219999999</c:v>
                </c:pt>
                <c:pt idx="33">
                  <c:v>167.53383310000001</c:v>
                </c:pt>
                <c:pt idx="34">
                  <c:v>169.37616729999999</c:v>
                </c:pt>
                <c:pt idx="35">
                  <c:v>171.2189022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4F-4D83-A0F0-AAB37D9DB6AC}"/>
            </c:ext>
          </c:extLst>
        </c:ser>
        <c:ser>
          <c:idx val="2"/>
          <c:order val="2"/>
          <c:tx>
            <c:strRef>
              <c:f>Données!$B$398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Données!$C$395:$AL$395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Données!$C$398:$AL$398</c:f>
              <c:numCache>
                <c:formatCode>#,##0</c:formatCode>
                <c:ptCount val="36"/>
                <c:pt idx="0">
                  <c:v>408.28039699999999</c:v>
                </c:pt>
                <c:pt idx="1">
                  <c:v>423.5108955</c:v>
                </c:pt>
                <c:pt idx="2">
                  <c:v>436.57268920000001</c:v>
                </c:pt>
                <c:pt idx="3">
                  <c:v>448.16201369999999</c:v>
                </c:pt>
                <c:pt idx="4">
                  <c:v>459.08412120000003</c:v>
                </c:pt>
                <c:pt idx="5">
                  <c:v>469.60596520000001</c:v>
                </c:pt>
                <c:pt idx="6">
                  <c:v>478.43445550000001</c:v>
                </c:pt>
                <c:pt idx="7">
                  <c:v>486.52787130000002</c:v>
                </c:pt>
                <c:pt idx="8">
                  <c:v>494.3131664</c:v>
                </c:pt>
                <c:pt idx="9">
                  <c:v>501.99550950000003</c:v>
                </c:pt>
                <c:pt idx="10">
                  <c:v>512.53337060000001</c:v>
                </c:pt>
                <c:pt idx="11">
                  <c:v>520.13606460000005</c:v>
                </c:pt>
                <c:pt idx="12">
                  <c:v>527.72598070000004</c:v>
                </c:pt>
                <c:pt idx="13">
                  <c:v>535.34912999999995</c:v>
                </c:pt>
                <c:pt idx="14">
                  <c:v>542.92127140000002</c:v>
                </c:pt>
                <c:pt idx="15">
                  <c:v>550.47052010000004</c:v>
                </c:pt>
                <c:pt idx="16">
                  <c:v>558.01457870000002</c:v>
                </c:pt>
                <c:pt idx="17">
                  <c:v>565.56444329999999</c:v>
                </c:pt>
                <c:pt idx="18">
                  <c:v>573.1264817</c:v>
                </c:pt>
                <c:pt idx="19">
                  <c:v>580.7035674</c:v>
                </c:pt>
                <c:pt idx="20">
                  <c:v>586.36742179999999</c:v>
                </c:pt>
                <c:pt idx="21">
                  <c:v>593.96860000000004</c:v>
                </c:pt>
                <c:pt idx="22">
                  <c:v>601.58297319999997</c:v>
                </c:pt>
                <c:pt idx="23">
                  <c:v>609.20929820000003</c:v>
                </c:pt>
                <c:pt idx="24">
                  <c:v>616.84708950000004</c:v>
                </c:pt>
                <c:pt idx="25">
                  <c:v>619.23162739999998</c:v>
                </c:pt>
                <c:pt idx="26">
                  <c:v>624.4043494</c:v>
                </c:pt>
                <c:pt idx="27">
                  <c:v>629.57659200000001</c:v>
                </c:pt>
                <c:pt idx="28">
                  <c:v>634.74807629999998</c:v>
                </c:pt>
                <c:pt idx="29">
                  <c:v>639.91841060000002</c:v>
                </c:pt>
                <c:pt idx="30">
                  <c:v>645.08724540000003</c:v>
                </c:pt>
                <c:pt idx="31">
                  <c:v>650.25449330000004</c:v>
                </c:pt>
                <c:pt idx="32">
                  <c:v>655.42040850000001</c:v>
                </c:pt>
                <c:pt idx="33">
                  <c:v>660.5854971</c:v>
                </c:pt>
                <c:pt idx="34">
                  <c:v>665.75032610000005</c:v>
                </c:pt>
                <c:pt idx="35">
                  <c:v>670.91538509999998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4F-4D83-A0F0-AAB37D9DB6AC}"/>
            </c:ext>
          </c:extLst>
        </c:ser>
        <c:ser>
          <c:idx val="3"/>
          <c:order val="3"/>
          <c:tx>
            <c:strRef>
              <c:f>Données!$B$399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Données!$C$395:$AL$395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Données!$C$399:$AL$399</c:f>
              <c:numCache>
                <c:formatCode>#,##0</c:formatCode>
                <c:ptCount val="36"/>
                <c:pt idx="0">
                  <c:v>954.38155940000001</c:v>
                </c:pt>
                <c:pt idx="1">
                  <c:v>946.68620120000003</c:v>
                </c:pt>
                <c:pt idx="2">
                  <c:v>940.18309839999995</c:v>
                </c:pt>
                <c:pt idx="3">
                  <c:v>934.55450470000005</c:v>
                </c:pt>
                <c:pt idx="4">
                  <c:v>929.46705050000003</c:v>
                </c:pt>
                <c:pt idx="5">
                  <c:v>924.72215440000002</c:v>
                </c:pt>
                <c:pt idx="6">
                  <c:v>920.09282580000001</c:v>
                </c:pt>
                <c:pt idx="7">
                  <c:v>915.69425709999996</c:v>
                </c:pt>
                <c:pt idx="8">
                  <c:v>911.45738180000001</c:v>
                </c:pt>
                <c:pt idx="9">
                  <c:v>907.32430220000003</c:v>
                </c:pt>
                <c:pt idx="10">
                  <c:v>903.25427779999995</c:v>
                </c:pt>
                <c:pt idx="11">
                  <c:v>899.21790729999998</c:v>
                </c:pt>
                <c:pt idx="12">
                  <c:v>895.19419379999999</c:v>
                </c:pt>
                <c:pt idx="13">
                  <c:v>891.17280689999996</c:v>
                </c:pt>
                <c:pt idx="14">
                  <c:v>887.1544116</c:v>
                </c:pt>
                <c:pt idx="15">
                  <c:v>883.14329250000003</c:v>
                </c:pt>
                <c:pt idx="16">
                  <c:v>879.1453027</c:v>
                </c:pt>
                <c:pt idx="17">
                  <c:v>875.16544480000005</c:v>
                </c:pt>
                <c:pt idx="18">
                  <c:v>871.20684730000005</c:v>
                </c:pt>
                <c:pt idx="19">
                  <c:v>867.27039979999995</c:v>
                </c:pt>
                <c:pt idx="20">
                  <c:v>863.35554920000004</c:v>
                </c:pt>
                <c:pt idx="21">
                  <c:v>859.45983290000004</c:v>
                </c:pt>
                <c:pt idx="22">
                  <c:v>855.58162159999995</c:v>
                </c:pt>
                <c:pt idx="23">
                  <c:v>851.71936630000005</c:v>
                </c:pt>
                <c:pt idx="24">
                  <c:v>847.87238639999998</c:v>
                </c:pt>
                <c:pt idx="25">
                  <c:v>844.04164720000006</c:v>
                </c:pt>
                <c:pt idx="26">
                  <c:v>840.22627580000005</c:v>
                </c:pt>
                <c:pt idx="27">
                  <c:v>836.42682490000004</c:v>
                </c:pt>
                <c:pt idx="28">
                  <c:v>832.64278039999999</c:v>
                </c:pt>
                <c:pt idx="29">
                  <c:v>828.8735054</c:v>
                </c:pt>
                <c:pt idx="30">
                  <c:v>825.11845200000005</c:v>
                </c:pt>
                <c:pt idx="31">
                  <c:v>821.37740140000005</c:v>
                </c:pt>
                <c:pt idx="32">
                  <c:v>817.65052519999995</c:v>
                </c:pt>
                <c:pt idx="33">
                  <c:v>813.93826490000004</c:v>
                </c:pt>
                <c:pt idx="34">
                  <c:v>810.24110329999996</c:v>
                </c:pt>
                <c:pt idx="35">
                  <c:v>806.5594155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4F-4D83-A0F0-AAB37D9DB6AC}"/>
            </c:ext>
          </c:extLst>
        </c:ser>
        <c:ser>
          <c:idx val="4"/>
          <c:order val="4"/>
          <c:tx>
            <c:strRef>
              <c:f>Données!$B$400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Données!$C$395:$AL$395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Données!$C$400:$AL$400</c:f>
              <c:numCache>
                <c:formatCode>#,##0</c:formatCode>
                <c:ptCount val="36"/>
                <c:pt idx="0">
                  <c:v>878.79999729999997</c:v>
                </c:pt>
                <c:pt idx="1">
                  <c:v>870.04263679999997</c:v>
                </c:pt>
                <c:pt idx="2">
                  <c:v>863.22911360000001</c:v>
                </c:pt>
                <c:pt idx="3">
                  <c:v>857.45735960000002</c:v>
                </c:pt>
                <c:pt idx="4">
                  <c:v>852.22932200000002</c:v>
                </c:pt>
                <c:pt idx="5">
                  <c:v>847.28726080000001</c:v>
                </c:pt>
                <c:pt idx="6">
                  <c:v>842.5018139</c:v>
                </c:pt>
                <c:pt idx="7">
                  <c:v>837.82647399999996</c:v>
                </c:pt>
                <c:pt idx="8">
                  <c:v>833.22223269999995</c:v>
                </c:pt>
                <c:pt idx="9">
                  <c:v>828.66608740000004</c:v>
                </c:pt>
                <c:pt idx="10">
                  <c:v>824.14124460000005</c:v>
                </c:pt>
                <c:pt idx="11">
                  <c:v>819.63584800000001</c:v>
                </c:pt>
                <c:pt idx="12">
                  <c:v>815.1463205</c:v>
                </c:pt>
                <c:pt idx="13">
                  <c:v>810.67344379999997</c:v>
                </c:pt>
                <c:pt idx="14">
                  <c:v>806.22008700000004</c:v>
                </c:pt>
                <c:pt idx="15">
                  <c:v>801.78959359999999</c:v>
                </c:pt>
                <c:pt idx="16">
                  <c:v>797.38477590000002</c:v>
                </c:pt>
                <c:pt idx="17">
                  <c:v>793.00716920000002</c:v>
                </c:pt>
                <c:pt idx="18">
                  <c:v>788.65683009999998</c:v>
                </c:pt>
                <c:pt idx="19">
                  <c:v>784.33262030000003</c:v>
                </c:pt>
                <c:pt idx="20">
                  <c:v>780.03274239999996</c:v>
                </c:pt>
                <c:pt idx="21">
                  <c:v>775.75597049999999</c:v>
                </c:pt>
                <c:pt idx="22">
                  <c:v>771.50151470000003</c:v>
                </c:pt>
                <c:pt idx="23">
                  <c:v>767.26908539999999</c:v>
                </c:pt>
                <c:pt idx="24">
                  <c:v>763.05878410000003</c:v>
                </c:pt>
                <c:pt idx="25">
                  <c:v>758.8703706</c:v>
                </c:pt>
                <c:pt idx="26">
                  <c:v>754.70430150000004</c:v>
                </c:pt>
                <c:pt idx="27">
                  <c:v>750.56058710000002</c:v>
                </c:pt>
                <c:pt idx="28">
                  <c:v>746.43878659999996</c:v>
                </c:pt>
                <c:pt idx="29">
                  <c:v>742.33837489999996</c:v>
                </c:pt>
                <c:pt idx="30">
                  <c:v>738.25902870000004</c:v>
                </c:pt>
                <c:pt idx="31">
                  <c:v>734.20072040000002</c:v>
                </c:pt>
                <c:pt idx="32">
                  <c:v>730.1636317</c:v>
                </c:pt>
                <c:pt idx="33">
                  <c:v>726.1480037</c:v>
                </c:pt>
                <c:pt idx="34">
                  <c:v>722.15398519999997</c:v>
                </c:pt>
                <c:pt idx="35">
                  <c:v>718.18157280000003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4F-4D83-A0F0-AAB37D9DB6AC}"/>
            </c:ext>
          </c:extLst>
        </c:ser>
        <c:ser>
          <c:idx val="5"/>
          <c:order val="5"/>
          <c:tx>
            <c:strRef>
              <c:f>Données!$B$401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Données!$C$395:$AL$395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Données!$C$401:$AL$401</c:f>
              <c:numCache>
                <c:formatCode>#,##0</c:formatCode>
                <c:ptCount val="36"/>
                <c:pt idx="0">
                  <c:v>139.85209269999999</c:v>
                </c:pt>
                <c:pt idx="1">
                  <c:v>137.9614138</c:v>
                </c:pt>
                <c:pt idx="2">
                  <c:v>136.1236074</c:v>
                </c:pt>
                <c:pt idx="3">
                  <c:v>134.3328626</c:v>
                </c:pt>
                <c:pt idx="4">
                  <c:v>132.59747340000001</c:v>
                </c:pt>
                <c:pt idx="5">
                  <c:v>130.92073790000001</c:v>
                </c:pt>
                <c:pt idx="6">
                  <c:v>129.25513889999999</c:v>
                </c:pt>
                <c:pt idx="7">
                  <c:v>127.6282453</c:v>
                </c:pt>
                <c:pt idx="8">
                  <c:v>125.92724080000001</c:v>
                </c:pt>
                <c:pt idx="9">
                  <c:v>124.158968</c:v>
                </c:pt>
                <c:pt idx="10">
                  <c:v>122.3603734</c:v>
                </c:pt>
                <c:pt idx="11">
                  <c:v>120.5769906</c:v>
                </c:pt>
                <c:pt idx="12">
                  <c:v>118.8511014</c:v>
                </c:pt>
                <c:pt idx="13">
                  <c:v>117.2010178</c:v>
                </c:pt>
                <c:pt idx="14">
                  <c:v>115.6242641</c:v>
                </c:pt>
                <c:pt idx="15">
                  <c:v>114.10428659999999</c:v>
                </c:pt>
                <c:pt idx="16">
                  <c:v>112.6195067</c:v>
                </c:pt>
                <c:pt idx="17">
                  <c:v>111.151421</c:v>
                </c:pt>
                <c:pt idx="18">
                  <c:v>109.6878487</c:v>
                </c:pt>
                <c:pt idx="19">
                  <c:v>108.2241628</c:v>
                </c:pt>
                <c:pt idx="20">
                  <c:v>106.7606972</c:v>
                </c:pt>
                <c:pt idx="21">
                  <c:v>105.3042986</c:v>
                </c:pt>
                <c:pt idx="22">
                  <c:v>103.86083379999999</c:v>
                </c:pt>
                <c:pt idx="23">
                  <c:v>102.43547049999999</c:v>
                </c:pt>
                <c:pt idx="24">
                  <c:v>101.030523</c:v>
                </c:pt>
                <c:pt idx="25">
                  <c:v>99.642209910000005</c:v>
                </c:pt>
                <c:pt idx="26">
                  <c:v>98.271511239999995</c:v>
                </c:pt>
                <c:pt idx="27">
                  <c:v>96.917344279999995</c:v>
                </c:pt>
                <c:pt idx="28">
                  <c:v>95.581081780000005</c:v>
                </c:pt>
                <c:pt idx="29">
                  <c:v>94.264519649999997</c:v>
                </c:pt>
                <c:pt idx="30">
                  <c:v>92.969264339999995</c:v>
                </c:pt>
                <c:pt idx="31">
                  <c:v>91.695916710000006</c:v>
                </c:pt>
                <c:pt idx="32">
                  <c:v>90.443790509999999</c:v>
                </c:pt>
                <c:pt idx="33">
                  <c:v>89.211249440000003</c:v>
                </c:pt>
                <c:pt idx="34">
                  <c:v>87.996432769999998</c:v>
                </c:pt>
                <c:pt idx="35">
                  <c:v>86.797772370000004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34F-4D83-A0F0-AAB37D9DB6AC}"/>
            </c:ext>
          </c:extLst>
        </c:ser>
        <c:ser>
          <c:idx val="6"/>
          <c:order val="6"/>
          <c:tx>
            <c:strRef>
              <c:f>Données!$B$402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Données!$C$395:$AL$395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Données!$C$402:$AL$402</c:f>
              <c:numCache>
                <c:formatCode>#,##0</c:formatCode>
                <c:ptCount val="36"/>
                <c:pt idx="0">
                  <c:v>3.874567114</c:v>
                </c:pt>
                <c:pt idx="1">
                  <c:v>3.7247016309999998</c:v>
                </c:pt>
                <c:pt idx="2">
                  <c:v>3.5831348620000001</c:v>
                </c:pt>
                <c:pt idx="3">
                  <c:v>3.4488551159999998</c:v>
                </c:pt>
                <c:pt idx="4">
                  <c:v>3.3221597639999998</c:v>
                </c:pt>
                <c:pt idx="5">
                  <c:v>3.2030279180000001</c:v>
                </c:pt>
                <c:pt idx="6">
                  <c:v>3.087618032</c:v>
                </c:pt>
                <c:pt idx="7">
                  <c:v>2.978706893</c:v>
                </c:pt>
                <c:pt idx="8">
                  <c:v>2.8678398490000001</c:v>
                </c:pt>
                <c:pt idx="9">
                  <c:v>2.7558627520000001</c:v>
                </c:pt>
                <c:pt idx="10">
                  <c:v>2.6452879419999999</c:v>
                </c:pt>
                <c:pt idx="11">
                  <c:v>2.5387897430000002</c:v>
                </c:pt>
                <c:pt idx="12">
                  <c:v>2.4386545979999998</c:v>
                </c:pt>
                <c:pt idx="13">
                  <c:v>2.3456651800000001</c:v>
                </c:pt>
                <c:pt idx="14">
                  <c:v>2.2593722729999999</c:v>
                </c:pt>
                <c:pt idx="15">
                  <c:v>2.1785297890000002</c:v>
                </c:pt>
                <c:pt idx="16">
                  <c:v>2.1016745769999998</c:v>
                </c:pt>
                <c:pt idx="17">
                  <c:v>2.0276229350000001</c:v>
                </c:pt>
                <c:pt idx="18">
                  <c:v>1.955637624</c:v>
                </c:pt>
                <c:pt idx="19">
                  <c:v>1.885446371</c:v>
                </c:pt>
                <c:pt idx="20">
                  <c:v>1.817049548</c:v>
                </c:pt>
                <c:pt idx="21">
                  <c:v>1.7507673580000001</c:v>
                </c:pt>
                <c:pt idx="22">
                  <c:v>1.6868281709999999</c:v>
                </c:pt>
                <c:pt idx="23">
                  <c:v>1.6253999109999999</c:v>
                </c:pt>
                <c:pt idx="24">
                  <c:v>1.5664976719999999</c:v>
                </c:pt>
                <c:pt idx="25">
                  <c:v>1.5098533300000001</c:v>
                </c:pt>
                <c:pt idx="26">
                  <c:v>1.4554360019999999</c:v>
                </c:pt>
                <c:pt idx="27">
                  <c:v>1.403114816</c:v>
                </c:pt>
                <c:pt idx="28">
                  <c:v>1.3528679619999999</c:v>
                </c:pt>
                <c:pt idx="29">
                  <c:v>1.304687484</c:v>
                </c:pt>
                <c:pt idx="30">
                  <c:v>1.2585549680000001</c:v>
                </c:pt>
                <c:pt idx="31">
                  <c:v>1.2144119170000001</c:v>
                </c:pt>
                <c:pt idx="32">
                  <c:v>1.1721533200000001</c:v>
                </c:pt>
                <c:pt idx="33">
                  <c:v>1.131644919</c:v>
                </c:pt>
                <c:pt idx="34">
                  <c:v>1.0927525709999999</c:v>
                </c:pt>
                <c:pt idx="35">
                  <c:v>1.0553609779999999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4F-4D83-A0F0-AAB37D9DB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véhicules (milliers)</a:t>
            </a:r>
          </a:p>
          <a:p>
            <a:pPr>
              <a:defRPr/>
            </a:pPr>
            <a:r>
              <a:rPr lang="fr-FR" sz="1800" i="1"/>
              <a:t>Scénario tendanciel</a:t>
            </a:r>
          </a:p>
        </c:rich>
      </c:tx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Données!$B$387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Données!$C$386:$AL$386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Données!$C$387:$AL$387</c:f>
              <c:numCache>
                <c:formatCode>#,##0</c:formatCode>
                <c:ptCount val="36"/>
                <c:pt idx="0">
                  <c:v>7105.9689965623002</c:v>
                </c:pt>
                <c:pt idx="1">
                  <c:v>7167.8701310506003</c:v>
                </c:pt>
                <c:pt idx="2">
                  <c:v>7282.1147420061006</c:v>
                </c:pt>
                <c:pt idx="3">
                  <c:v>7429.0829375365001</c:v>
                </c:pt>
                <c:pt idx="4">
                  <c:v>7593.6382974983999</c:v>
                </c:pt>
                <c:pt idx="5">
                  <c:v>7766.9101580862989</c:v>
                </c:pt>
                <c:pt idx="6">
                  <c:v>7943.6934597888994</c:v>
                </c:pt>
                <c:pt idx="7">
                  <c:v>8123.8521463858997</c:v>
                </c:pt>
                <c:pt idx="8">
                  <c:v>8309.0203891258989</c:v>
                </c:pt>
                <c:pt idx="9">
                  <c:v>8501.0186712711002</c:v>
                </c:pt>
                <c:pt idx="10">
                  <c:v>8702.7637753973995</c:v>
                </c:pt>
                <c:pt idx="11">
                  <c:v>8911.3010701807998</c:v>
                </c:pt>
                <c:pt idx="12">
                  <c:v>9125.1174651827987</c:v>
                </c:pt>
                <c:pt idx="13">
                  <c:v>9342.7849529568011</c:v>
                </c:pt>
                <c:pt idx="14">
                  <c:v>9562.8092296242994</c:v>
                </c:pt>
                <c:pt idx="15">
                  <c:v>9784.0812497608986</c:v>
                </c:pt>
                <c:pt idx="16">
                  <c:v>10005.8995804224</c:v>
                </c:pt>
                <c:pt idx="17">
                  <c:v>10227.856278032499</c:v>
                </c:pt>
                <c:pt idx="18">
                  <c:v>10449.692098755098</c:v>
                </c:pt>
                <c:pt idx="19">
                  <c:v>10671.191025918799</c:v>
                </c:pt>
                <c:pt idx="20">
                  <c:v>10890.4018297773</c:v>
                </c:pt>
                <c:pt idx="21">
                  <c:v>11109.274503003</c:v>
                </c:pt>
                <c:pt idx="22">
                  <c:v>11327.830649939999</c:v>
                </c:pt>
                <c:pt idx="23">
                  <c:v>11545.750065209</c:v>
                </c:pt>
                <c:pt idx="24">
                  <c:v>11762.972791353999</c:v>
                </c:pt>
                <c:pt idx="25">
                  <c:v>11974.122016542</c:v>
                </c:pt>
                <c:pt idx="26">
                  <c:v>12184.080436164</c:v>
                </c:pt>
                <c:pt idx="27">
                  <c:v>12394.068674175001</c:v>
                </c:pt>
                <c:pt idx="28">
                  <c:v>12604.075596978</c:v>
                </c:pt>
                <c:pt idx="29">
                  <c:v>12813.934671775001</c:v>
                </c:pt>
                <c:pt idx="30">
                  <c:v>13023.435237645001</c:v>
                </c:pt>
                <c:pt idx="31">
                  <c:v>13232.539725363</c:v>
                </c:pt>
                <c:pt idx="32">
                  <c:v>13441.469418827</c:v>
                </c:pt>
                <c:pt idx="33">
                  <c:v>13650.656870091001</c:v>
                </c:pt>
                <c:pt idx="34">
                  <c:v>13860.617978249998</c:v>
                </c:pt>
                <c:pt idx="35">
                  <c:v>14071.814403362998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3B-46A1-8D5E-7BC161373771}"/>
            </c:ext>
          </c:extLst>
        </c:ser>
        <c:ser>
          <c:idx val="1"/>
          <c:order val="1"/>
          <c:tx>
            <c:strRef>
              <c:f>Données!$B$388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Données!$C$386:$AL$386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Données!$C$388:$AL$388</c:f>
              <c:numCache>
                <c:formatCode>#,##0</c:formatCode>
                <c:ptCount val="36"/>
                <c:pt idx="0">
                  <c:v>8263.1971436354015</c:v>
                </c:pt>
                <c:pt idx="1">
                  <c:v>8209.8729132815006</c:v>
                </c:pt>
                <c:pt idx="2">
                  <c:v>8214.3846243029984</c:v>
                </c:pt>
                <c:pt idx="3">
                  <c:v>8257.1463426830996</c:v>
                </c:pt>
                <c:pt idx="4">
                  <c:v>8322.9937550730992</c:v>
                </c:pt>
                <c:pt idx="5">
                  <c:v>8402.7783358271008</c:v>
                </c:pt>
                <c:pt idx="6">
                  <c:v>8490.8418073384</c:v>
                </c:pt>
                <c:pt idx="7">
                  <c:v>8586.357256949399</c:v>
                </c:pt>
                <c:pt idx="8">
                  <c:v>8690.2308514734996</c:v>
                </c:pt>
                <c:pt idx="9">
                  <c:v>8803.6347255944002</c:v>
                </c:pt>
                <c:pt idx="10">
                  <c:v>8928.8812981151004</c:v>
                </c:pt>
                <c:pt idx="11">
                  <c:v>9062.8526049199008</c:v>
                </c:pt>
                <c:pt idx="12">
                  <c:v>9203.8072546836011</c:v>
                </c:pt>
                <c:pt idx="13">
                  <c:v>9350.1202588131</c:v>
                </c:pt>
                <c:pt idx="14">
                  <c:v>9500.1181085704993</c:v>
                </c:pt>
                <c:pt idx="15">
                  <c:v>9652.4979904193988</c:v>
                </c:pt>
                <c:pt idx="16">
                  <c:v>9806.351814665999</c:v>
                </c:pt>
                <c:pt idx="17">
                  <c:v>9961.0652032939997</c:v>
                </c:pt>
                <c:pt idx="18">
                  <c:v>10116.186272360601</c:v>
                </c:pt>
                <c:pt idx="19">
                  <c:v>10271.3269924592</c:v>
                </c:pt>
                <c:pt idx="20">
                  <c:v>10424.5361577525</c:v>
                </c:pt>
                <c:pt idx="21">
                  <c:v>10577.4219393684</c:v>
                </c:pt>
                <c:pt idx="22">
                  <c:v>10729.872569848099</c:v>
                </c:pt>
                <c:pt idx="23">
                  <c:v>10881.457539346999</c:v>
                </c:pt>
                <c:pt idx="24">
                  <c:v>11031.974039004001</c:v>
                </c:pt>
                <c:pt idx="25">
                  <c:v>11176.461628673</c:v>
                </c:pt>
                <c:pt idx="26">
                  <c:v>11319.113851234999</c:v>
                </c:pt>
                <c:pt idx="27">
                  <c:v>11460.930120231002</c:v>
                </c:pt>
                <c:pt idx="28">
                  <c:v>11601.824528395999</c:v>
                </c:pt>
                <c:pt idx="29">
                  <c:v>11741.577179456001</c:v>
                </c:pt>
                <c:pt idx="30">
                  <c:v>11879.916338338</c:v>
                </c:pt>
                <c:pt idx="31">
                  <c:v>12016.702596250001</c:v>
                </c:pt>
                <c:pt idx="32">
                  <c:v>12152.006766418999</c:v>
                </c:pt>
                <c:pt idx="33">
                  <c:v>12286.077038715001</c:v>
                </c:pt>
                <c:pt idx="34">
                  <c:v>12419.237656537</c:v>
                </c:pt>
                <c:pt idx="35">
                  <c:v>12551.776305246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13B-46A1-8D5E-7BC161373771}"/>
            </c:ext>
          </c:extLst>
        </c:ser>
        <c:ser>
          <c:idx val="2"/>
          <c:order val="2"/>
          <c:tx>
            <c:strRef>
              <c:f>Données!$B$389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Données!$C$386:$AL$386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Données!$C$389:$AL$389</c:f>
              <c:numCache>
                <c:formatCode>#,##0</c:formatCode>
                <c:ptCount val="36"/>
                <c:pt idx="0">
                  <c:v>6787.4105911386005</c:v>
                </c:pt>
                <c:pt idx="1">
                  <c:v>6666.999193916</c:v>
                </c:pt>
                <c:pt idx="2">
                  <c:v>6592.3040797355998</c:v>
                </c:pt>
                <c:pt idx="3">
                  <c:v>6549.2197237277996</c:v>
                </c:pt>
                <c:pt idx="4">
                  <c:v>6526.7854631388</c:v>
                </c:pt>
                <c:pt idx="5">
                  <c:v>6518.2089743975002</c:v>
                </c:pt>
                <c:pt idx="6">
                  <c:v>6519.0984963460005</c:v>
                </c:pt>
                <c:pt idx="7">
                  <c:v>6528.3872338735</c:v>
                </c:pt>
                <c:pt idx="8">
                  <c:v>6546.2350701754003</c:v>
                </c:pt>
                <c:pt idx="9">
                  <c:v>6573.0483086160993</c:v>
                </c:pt>
                <c:pt idx="10">
                  <c:v>6610.083910474601</c:v>
                </c:pt>
                <c:pt idx="11">
                  <c:v>6654.9800331458</c:v>
                </c:pt>
                <c:pt idx="12">
                  <c:v>6706.3250622877003</c:v>
                </c:pt>
                <c:pt idx="13">
                  <c:v>6762.8128636612</c:v>
                </c:pt>
                <c:pt idx="14">
                  <c:v>6823.1159940195994</c:v>
                </c:pt>
                <c:pt idx="15">
                  <c:v>6886.1663986934991</c:v>
                </c:pt>
                <c:pt idx="16">
                  <c:v>6951.1736374138</c:v>
                </c:pt>
                <c:pt idx="17">
                  <c:v>7017.5603130701002</c:v>
                </c:pt>
                <c:pt idx="18">
                  <c:v>7084.8760871635004</c:v>
                </c:pt>
                <c:pt idx="19">
                  <c:v>7152.7308834536007</c:v>
                </c:pt>
                <c:pt idx="20">
                  <c:v>7219.7209533165997</c:v>
                </c:pt>
                <c:pt idx="21">
                  <c:v>7286.7874046253</c:v>
                </c:pt>
                <c:pt idx="22">
                  <c:v>7353.7663637604001</c:v>
                </c:pt>
                <c:pt idx="23">
                  <c:v>7420.2818060120999</c:v>
                </c:pt>
                <c:pt idx="24">
                  <c:v>7486.1034383203996</c:v>
                </c:pt>
                <c:pt idx="25">
                  <c:v>7547.9314439062991</c:v>
                </c:pt>
                <c:pt idx="26">
                  <c:v>7608.3621132135995</c:v>
                </c:pt>
                <c:pt idx="27">
                  <c:v>7667.9830265665005</c:v>
                </c:pt>
                <c:pt idx="28">
                  <c:v>7726.6931029691996</c:v>
                </c:pt>
                <c:pt idx="29">
                  <c:v>7784.3092653306003</c:v>
                </c:pt>
                <c:pt idx="30">
                  <c:v>7840.6089342649002</c:v>
                </c:pt>
                <c:pt idx="31">
                  <c:v>7895.4430356091998</c:v>
                </c:pt>
                <c:pt idx="32">
                  <c:v>7948.7872074616007</c:v>
                </c:pt>
                <c:pt idx="33">
                  <c:v>8000.7267778862997</c:v>
                </c:pt>
                <c:pt idx="34">
                  <c:v>8051.3991392075995</c:v>
                </c:pt>
                <c:pt idx="35">
                  <c:v>8100.9272689938998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13B-46A1-8D5E-7BC161373771}"/>
            </c:ext>
          </c:extLst>
        </c:ser>
        <c:ser>
          <c:idx val="3"/>
          <c:order val="3"/>
          <c:tx>
            <c:strRef>
              <c:f>Données!$B$390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Données!$C$386:$AL$386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Données!$C$390:$AL$390</c:f>
              <c:numCache>
                <c:formatCode>#,##0</c:formatCode>
                <c:ptCount val="36"/>
                <c:pt idx="0">
                  <c:v>4165.6835237371006</c:v>
                </c:pt>
                <c:pt idx="1">
                  <c:v>4066.3811176463</c:v>
                </c:pt>
                <c:pt idx="2">
                  <c:v>3992.9434470901997</c:v>
                </c:pt>
                <c:pt idx="3">
                  <c:v>3937.2649657057</c:v>
                </c:pt>
                <c:pt idx="4">
                  <c:v>3893.1083195604001</c:v>
                </c:pt>
                <c:pt idx="5">
                  <c:v>3856.4914448242002</c:v>
                </c:pt>
                <c:pt idx="6">
                  <c:v>3824.6745730920002</c:v>
                </c:pt>
                <c:pt idx="7">
                  <c:v>3796.6721691959997</c:v>
                </c:pt>
                <c:pt idx="8">
                  <c:v>3772.2037046737</c:v>
                </c:pt>
                <c:pt idx="9">
                  <c:v>3751.2299996587999</c:v>
                </c:pt>
                <c:pt idx="10">
                  <c:v>3734.2780347292</c:v>
                </c:pt>
                <c:pt idx="11">
                  <c:v>3720.1450428881999</c:v>
                </c:pt>
                <c:pt idx="12">
                  <c:v>3708.1038321071997</c:v>
                </c:pt>
                <c:pt idx="13">
                  <c:v>3697.5030880483</c:v>
                </c:pt>
                <c:pt idx="14">
                  <c:v>3687.6746097146001</c:v>
                </c:pt>
                <c:pt idx="15">
                  <c:v>3678.0719851424001</c:v>
                </c:pt>
                <c:pt idx="16">
                  <c:v>3668.2869646560998</c:v>
                </c:pt>
                <c:pt idx="17">
                  <c:v>3658.0266968388</c:v>
                </c:pt>
                <c:pt idx="18">
                  <c:v>3647.0770857631001</c:v>
                </c:pt>
                <c:pt idx="19">
                  <c:v>3635.2697326313</c:v>
                </c:pt>
                <c:pt idx="20">
                  <c:v>3622.0003794422</c:v>
                </c:pt>
                <c:pt idx="21">
                  <c:v>3607.6941324914997</c:v>
                </c:pt>
                <c:pt idx="22">
                  <c:v>3592.3239121521001</c:v>
                </c:pt>
                <c:pt idx="23">
                  <c:v>3575.7514379604004</c:v>
                </c:pt>
                <c:pt idx="24">
                  <c:v>3557.8861513500001</c:v>
                </c:pt>
                <c:pt idx="25">
                  <c:v>3537.383138576</c:v>
                </c:pt>
                <c:pt idx="26">
                  <c:v>3515.2725089568003</c:v>
                </c:pt>
                <c:pt idx="27">
                  <c:v>3491.8522508131005</c:v>
                </c:pt>
                <c:pt idx="28">
                  <c:v>3467.1501783363001</c:v>
                </c:pt>
                <c:pt idx="29">
                  <c:v>3441.1597483537003</c:v>
                </c:pt>
                <c:pt idx="30">
                  <c:v>3413.8422775608001</c:v>
                </c:pt>
                <c:pt idx="31">
                  <c:v>3385.166386632</c:v>
                </c:pt>
                <c:pt idx="32">
                  <c:v>3355.1328609334996</c:v>
                </c:pt>
                <c:pt idx="33">
                  <c:v>3323.7792588870998</c:v>
                </c:pt>
                <c:pt idx="34">
                  <c:v>3291.1683707054999</c:v>
                </c:pt>
                <c:pt idx="35">
                  <c:v>3257.3696194634999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13B-46A1-8D5E-7BC161373771}"/>
            </c:ext>
          </c:extLst>
        </c:ser>
        <c:ser>
          <c:idx val="4"/>
          <c:order val="4"/>
          <c:tx>
            <c:strRef>
              <c:f>Données!$B$391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Données!$C$386:$AL$386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Données!$C$391:$AL$391</c:f>
              <c:numCache>
                <c:formatCode>#,##0</c:formatCode>
                <c:ptCount val="36"/>
                <c:pt idx="0">
                  <c:v>2507.3524895615005</c:v>
                </c:pt>
                <c:pt idx="1">
                  <c:v>2449.9161799352</c:v>
                </c:pt>
                <c:pt idx="2">
                  <c:v>2407.015178781</c:v>
                </c:pt>
                <c:pt idx="3">
                  <c:v>2373.6542578975</c:v>
                </c:pt>
                <c:pt idx="4">
                  <c:v>2346.0475240952001</c:v>
                </c:pt>
                <c:pt idx="5">
                  <c:v>2321.7610160873</c:v>
                </c:pt>
                <c:pt idx="6">
                  <c:v>2299.0759843198998</c:v>
                </c:pt>
                <c:pt idx="7">
                  <c:v>2277.3071926920002</c:v>
                </c:pt>
                <c:pt idx="8">
                  <c:v>2256.2174448215001</c:v>
                </c:pt>
                <c:pt idx="9">
                  <c:v>2235.7701447598001</c:v>
                </c:pt>
                <c:pt idx="10">
                  <c:v>2216.3182380528997</c:v>
                </c:pt>
                <c:pt idx="11">
                  <c:v>2197.2805586789</c:v>
                </c:pt>
                <c:pt idx="12">
                  <c:v>2178.337351618</c:v>
                </c:pt>
                <c:pt idx="13">
                  <c:v>2159.2168588552995</c:v>
                </c:pt>
                <c:pt idx="14">
                  <c:v>2139.6297834389998</c:v>
                </c:pt>
                <c:pt idx="15">
                  <c:v>2119.3470515202998</c:v>
                </c:pt>
                <c:pt idx="16">
                  <c:v>2098.2128487893001</c:v>
                </c:pt>
                <c:pt idx="17">
                  <c:v>2076.1362295214999</c:v>
                </c:pt>
                <c:pt idx="18">
                  <c:v>2053.0731409231998</c:v>
                </c:pt>
                <c:pt idx="19">
                  <c:v>2029.0077787929999</c:v>
                </c:pt>
                <c:pt idx="20">
                  <c:v>2003.7080242503</c:v>
                </c:pt>
                <c:pt idx="21">
                  <c:v>1977.4510126625</c:v>
                </c:pt>
                <c:pt idx="22">
                  <c:v>1950.2988464912</c:v>
                </c:pt>
                <c:pt idx="23">
                  <c:v>1922.2475228418</c:v>
                </c:pt>
                <c:pt idx="24">
                  <c:v>1893.3075563436</c:v>
                </c:pt>
                <c:pt idx="25">
                  <c:v>1862.9029683319998</c:v>
                </c:pt>
                <c:pt idx="26">
                  <c:v>1831.5500044625001</c:v>
                </c:pt>
                <c:pt idx="27">
                  <c:v>1799.4552597651</c:v>
                </c:pt>
                <c:pt idx="28">
                  <c:v>1766.7004244264999</c:v>
                </c:pt>
                <c:pt idx="29">
                  <c:v>1733.3473857836</c:v>
                </c:pt>
                <c:pt idx="30">
                  <c:v>1699.4344512246</c:v>
                </c:pt>
                <c:pt idx="31">
                  <c:v>1664.9932420505002</c:v>
                </c:pt>
                <c:pt idx="32">
                  <c:v>1630.0623549899001</c:v>
                </c:pt>
                <c:pt idx="33">
                  <c:v>1594.6934015515999</c:v>
                </c:pt>
                <c:pt idx="34">
                  <c:v>1558.9494342766002</c:v>
                </c:pt>
                <c:pt idx="35">
                  <c:v>1522.8986794272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13B-46A1-8D5E-7BC161373771}"/>
            </c:ext>
          </c:extLst>
        </c:ser>
        <c:ser>
          <c:idx val="5"/>
          <c:order val="5"/>
          <c:tx>
            <c:strRef>
              <c:f>Données!$B$392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Données!$C$386:$AL$386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Données!$C$392:$AL$392</c:f>
              <c:numCache>
                <c:formatCode>#,##0</c:formatCode>
                <c:ptCount val="36"/>
                <c:pt idx="0">
                  <c:v>1245.466605953</c:v>
                </c:pt>
                <c:pt idx="1">
                  <c:v>1214.0468876889001</c:v>
                </c:pt>
                <c:pt idx="2">
                  <c:v>1188.1449829836001</c:v>
                </c:pt>
                <c:pt idx="3">
                  <c:v>1165.3222439982999</c:v>
                </c:pt>
                <c:pt idx="4">
                  <c:v>1143.8355894673</c:v>
                </c:pt>
                <c:pt idx="5">
                  <c:v>1122.5577675594002</c:v>
                </c:pt>
                <c:pt idx="6">
                  <c:v>1100.6577356724999</c:v>
                </c:pt>
                <c:pt idx="7">
                  <c:v>1077.7634828108</c:v>
                </c:pt>
                <c:pt idx="8">
                  <c:v>1053.7622463480002</c:v>
                </c:pt>
                <c:pt idx="9">
                  <c:v>1028.7193631005</c:v>
                </c:pt>
                <c:pt idx="10">
                  <c:v>1002.933486779</c:v>
                </c:pt>
                <c:pt idx="11">
                  <c:v>976.41398498709998</c:v>
                </c:pt>
                <c:pt idx="12">
                  <c:v>949.24523428980001</c:v>
                </c:pt>
                <c:pt idx="13">
                  <c:v>921.5228933899001</c:v>
                </c:pt>
                <c:pt idx="14">
                  <c:v>893.31758846059995</c:v>
                </c:pt>
                <c:pt idx="15">
                  <c:v>864.70341489180009</c:v>
                </c:pt>
                <c:pt idx="16">
                  <c:v>835.76690679960006</c:v>
                </c:pt>
                <c:pt idx="17">
                  <c:v>806.60791003330007</c:v>
                </c:pt>
                <c:pt idx="18">
                  <c:v>777.3349238349</c:v>
                </c:pt>
                <c:pt idx="19">
                  <c:v>748.05803996810005</c:v>
                </c:pt>
                <c:pt idx="20">
                  <c:v>718.82912080630001</c:v>
                </c:pt>
                <c:pt idx="21">
                  <c:v>689.80437462249995</c:v>
                </c:pt>
                <c:pt idx="22">
                  <c:v>661.08804341249993</c:v>
                </c:pt>
                <c:pt idx="23">
                  <c:v>632.75344218270004</c:v>
                </c:pt>
                <c:pt idx="24">
                  <c:v>604.86383156329987</c:v>
                </c:pt>
                <c:pt idx="25">
                  <c:v>577.36963720509993</c:v>
                </c:pt>
                <c:pt idx="26">
                  <c:v>550.40398515239997</c:v>
                </c:pt>
                <c:pt idx="27">
                  <c:v>524.05334014619996</c:v>
                </c:pt>
                <c:pt idx="28">
                  <c:v>498.37464399909999</c:v>
                </c:pt>
                <c:pt idx="29">
                  <c:v>473.41228121969999</c:v>
                </c:pt>
                <c:pt idx="30">
                  <c:v>449.19659384319999</c:v>
                </c:pt>
                <c:pt idx="31">
                  <c:v>425.74764804489996</c:v>
                </c:pt>
                <c:pt idx="32">
                  <c:v>403.07947959810002</c:v>
                </c:pt>
                <c:pt idx="33">
                  <c:v>381.20309955249996</c:v>
                </c:pt>
                <c:pt idx="34">
                  <c:v>360.12767074100003</c:v>
                </c:pt>
                <c:pt idx="35">
                  <c:v>339.86021597500002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13B-46A1-8D5E-7BC161373771}"/>
            </c:ext>
          </c:extLst>
        </c:ser>
        <c:ser>
          <c:idx val="6"/>
          <c:order val="6"/>
          <c:tx>
            <c:strRef>
              <c:f>Données!$B$393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Données!$C$386:$AL$386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Données!$C$393:$AL$393</c:f>
              <c:numCache>
                <c:formatCode>#,##0</c:formatCode>
                <c:ptCount val="36"/>
                <c:pt idx="0">
                  <c:v>2242.8616504070001</c:v>
                </c:pt>
                <c:pt idx="1">
                  <c:v>2189.5339513182998</c:v>
                </c:pt>
                <c:pt idx="2">
                  <c:v>2143.3373329002002</c:v>
                </c:pt>
                <c:pt idx="3">
                  <c:v>2099.8461127629998</c:v>
                </c:pt>
                <c:pt idx="4">
                  <c:v>2056.1192393878</c:v>
                </c:pt>
                <c:pt idx="5">
                  <c:v>2010.3315795669</c:v>
                </c:pt>
                <c:pt idx="6">
                  <c:v>1961.1715227299999</c:v>
                </c:pt>
                <c:pt idx="7">
                  <c:v>1908.1603362475</c:v>
                </c:pt>
                <c:pt idx="8">
                  <c:v>1851.3705967607</c:v>
                </c:pt>
                <c:pt idx="9">
                  <c:v>1791.2889919281001</c:v>
                </c:pt>
                <c:pt idx="10">
                  <c:v>1728.8392318892002</c:v>
                </c:pt>
                <c:pt idx="11">
                  <c:v>1664.5394921443001</c:v>
                </c:pt>
                <c:pt idx="12">
                  <c:v>1598.9511078338999</c:v>
                </c:pt>
                <c:pt idx="13">
                  <c:v>1532.5996792453</c:v>
                </c:pt>
                <c:pt idx="14">
                  <c:v>1465.9155700546</c:v>
                </c:pt>
                <c:pt idx="15">
                  <c:v>1399.2804791039</c:v>
                </c:pt>
                <c:pt idx="16">
                  <c:v>1333.0477002391001</c:v>
                </c:pt>
                <c:pt idx="17">
                  <c:v>1267.5489354041999</c:v>
                </c:pt>
                <c:pt idx="18">
                  <c:v>1203.0911225544</c:v>
                </c:pt>
                <c:pt idx="19">
                  <c:v>1139.9488458580001</c:v>
                </c:pt>
                <c:pt idx="20">
                  <c:v>1078.3058911192002</c:v>
                </c:pt>
                <c:pt idx="21">
                  <c:v>1018.4130387401</c:v>
                </c:pt>
                <c:pt idx="22">
                  <c:v>960.44529187039996</c:v>
                </c:pt>
                <c:pt idx="23">
                  <c:v>904.51818252800012</c:v>
                </c:pt>
                <c:pt idx="24">
                  <c:v>850.7131908929</c:v>
                </c:pt>
                <c:pt idx="25">
                  <c:v>799.0048057186001</c:v>
                </c:pt>
                <c:pt idx="26">
                  <c:v>749.48998558180006</c:v>
                </c:pt>
                <c:pt idx="27">
                  <c:v>702.22102174480005</c:v>
                </c:pt>
                <c:pt idx="28">
                  <c:v>657.21306322230009</c:v>
                </c:pt>
                <c:pt idx="29">
                  <c:v>614.45856550079998</c:v>
                </c:pt>
                <c:pt idx="30">
                  <c:v>573.92848696269994</c:v>
                </c:pt>
                <c:pt idx="31">
                  <c:v>535.57775507000008</c:v>
                </c:pt>
                <c:pt idx="32">
                  <c:v>499.3508214053</c:v>
                </c:pt>
                <c:pt idx="33">
                  <c:v>465.1857047451</c:v>
                </c:pt>
                <c:pt idx="34">
                  <c:v>433.0161613089</c:v>
                </c:pt>
                <c:pt idx="35">
                  <c:v>402.77248611330003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13B-46A1-8D5E-7BC161373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Stock de véhicules</a:t>
            </a:r>
            <a:r>
              <a:rPr lang="fr-FR" sz="2800" baseline="0"/>
              <a:t> (milliers)</a:t>
            </a:r>
            <a:endParaRPr lang="fr-FR" sz="2800"/>
          </a:p>
          <a:p>
            <a:pPr>
              <a:defRPr/>
            </a:pPr>
            <a:r>
              <a:rPr lang="fr-FR" sz="1800" i="1"/>
              <a:t>Scénario</a:t>
            </a:r>
            <a:r>
              <a:rPr lang="fr-FR" sz="1800" i="1" baseline="0"/>
              <a:t> Net Zero 2050</a:t>
            </a:r>
            <a:endParaRPr lang="fr-FR" sz="1800" i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Données!$B$356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Données!$C$355:$AL$355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Données!$C$356:$AL$356</c:f>
              <c:numCache>
                <c:formatCode>#,##0</c:formatCode>
                <c:ptCount val="36"/>
                <c:pt idx="0">
                  <c:v>7105.9689965623002</c:v>
                </c:pt>
                <c:pt idx="1">
                  <c:v>7167.8701310506003</c:v>
                </c:pt>
                <c:pt idx="2">
                  <c:v>7282.1147420061006</c:v>
                </c:pt>
                <c:pt idx="3">
                  <c:v>7429.0829375365001</c:v>
                </c:pt>
                <c:pt idx="4">
                  <c:v>7593.6382974983999</c:v>
                </c:pt>
                <c:pt idx="5">
                  <c:v>7766.9101580862989</c:v>
                </c:pt>
                <c:pt idx="6">
                  <c:v>7940.1573451696995</c:v>
                </c:pt>
                <c:pt idx="7">
                  <c:v>8124.1527310344991</c:v>
                </c:pt>
                <c:pt idx="8">
                  <c:v>8332.1548200993002</c:v>
                </c:pt>
                <c:pt idx="9">
                  <c:v>8556.0881984097996</c:v>
                </c:pt>
                <c:pt idx="10">
                  <c:v>8792.5565502826012</c:v>
                </c:pt>
                <c:pt idx="11">
                  <c:v>9031.6501190975014</c:v>
                </c:pt>
                <c:pt idx="12">
                  <c:v>9266.9091542775004</c:v>
                </c:pt>
                <c:pt idx="13">
                  <c:v>9494.9404006270997</c:v>
                </c:pt>
                <c:pt idx="14">
                  <c:v>9714.9968773932997</c:v>
                </c:pt>
                <c:pt idx="15">
                  <c:v>9928.6355319466002</c:v>
                </c:pt>
                <c:pt idx="16">
                  <c:v>10138.630799399101</c:v>
                </c:pt>
                <c:pt idx="17">
                  <c:v>10347.818571824298</c:v>
                </c:pt>
                <c:pt idx="18">
                  <c:v>10558.2302230757</c:v>
                </c:pt>
                <c:pt idx="19">
                  <c:v>10770.736209884601</c:v>
                </c:pt>
                <c:pt idx="20">
                  <c:v>10983.437218122001</c:v>
                </c:pt>
                <c:pt idx="21">
                  <c:v>11197.808199538</c:v>
                </c:pt>
                <c:pt idx="22">
                  <c:v>11413.229975517999</c:v>
                </c:pt>
                <c:pt idx="23">
                  <c:v>11628.904683258001</c:v>
                </c:pt>
                <c:pt idx="24">
                  <c:v>11844.555775616001</c:v>
                </c:pt>
                <c:pt idx="25">
                  <c:v>12054.710240257</c:v>
                </c:pt>
                <c:pt idx="26">
                  <c:v>12264.36125951</c:v>
                </c:pt>
                <c:pt idx="27">
                  <c:v>12474.694361631</c:v>
                </c:pt>
                <c:pt idx="28">
                  <c:v>12685.503226864999</c:v>
                </c:pt>
                <c:pt idx="29">
                  <c:v>12896.381247059002</c:v>
                </c:pt>
                <c:pt idx="30">
                  <c:v>13106.884466192001</c:v>
                </c:pt>
                <c:pt idx="31">
                  <c:v>13316.809360171001</c:v>
                </c:pt>
                <c:pt idx="32">
                  <c:v>13526.309529905</c:v>
                </c:pt>
                <c:pt idx="33">
                  <c:v>13735.842175774002</c:v>
                </c:pt>
                <c:pt idx="34">
                  <c:v>13946.005858445</c:v>
                </c:pt>
                <c:pt idx="35">
                  <c:v>14157.357631963001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69-4604-817E-AE29F1EB4142}"/>
            </c:ext>
          </c:extLst>
        </c:ser>
        <c:ser>
          <c:idx val="1"/>
          <c:order val="1"/>
          <c:tx>
            <c:strRef>
              <c:f>Données!$B$357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Données!$C$355:$AL$355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Données!$C$357:$AL$357</c:f>
              <c:numCache>
                <c:formatCode>#,##0</c:formatCode>
                <c:ptCount val="36"/>
                <c:pt idx="0">
                  <c:v>8263.1971436354015</c:v>
                </c:pt>
                <c:pt idx="1">
                  <c:v>8209.8729132815006</c:v>
                </c:pt>
                <c:pt idx="2">
                  <c:v>8214.3846243029984</c:v>
                </c:pt>
                <c:pt idx="3">
                  <c:v>8257.1463426830996</c:v>
                </c:pt>
                <c:pt idx="4">
                  <c:v>8322.9937550730992</c:v>
                </c:pt>
                <c:pt idx="5">
                  <c:v>8402.7783358271008</c:v>
                </c:pt>
                <c:pt idx="6">
                  <c:v>8487.0543357925981</c:v>
                </c:pt>
                <c:pt idx="7">
                  <c:v>8584.6149444021994</c:v>
                </c:pt>
                <c:pt idx="8">
                  <c:v>8707.8719400615009</c:v>
                </c:pt>
                <c:pt idx="9">
                  <c:v>8848.9391532750014</c:v>
                </c:pt>
                <c:pt idx="10">
                  <c:v>9004.5551092340993</c:v>
                </c:pt>
                <c:pt idx="11">
                  <c:v>9165.4029394411009</c:v>
                </c:pt>
                <c:pt idx="12">
                  <c:v>9325.2791635878002</c:v>
                </c:pt>
                <c:pt idx="13">
                  <c:v>9480.7303726397004</c:v>
                </c:pt>
                <c:pt idx="14">
                  <c:v>9630.6623659837987</c:v>
                </c:pt>
                <c:pt idx="15">
                  <c:v>9776.0767123803998</c:v>
                </c:pt>
                <c:pt idx="16">
                  <c:v>9919.1234000399982</c:v>
                </c:pt>
                <c:pt idx="17">
                  <c:v>10062.075478793298</c:v>
                </c:pt>
                <c:pt idx="18">
                  <c:v>10206.547574219399</c:v>
                </c:pt>
                <c:pt idx="19">
                  <c:v>10353.1593752973</c:v>
                </c:pt>
                <c:pt idx="20">
                  <c:v>10500.0455168321</c:v>
                </c:pt>
                <c:pt idx="21">
                  <c:v>10648.4146575633</c:v>
                </c:pt>
                <c:pt idx="22">
                  <c:v>10797.5895654099</c:v>
                </c:pt>
                <c:pt idx="23">
                  <c:v>10946.702403087</c:v>
                </c:pt>
                <c:pt idx="24">
                  <c:v>11095.336220478999</c:v>
                </c:pt>
                <c:pt idx="25">
                  <c:v>11238.428568476</c:v>
                </c:pt>
                <c:pt idx="26">
                  <c:v>11380.255749298</c:v>
                </c:pt>
                <c:pt idx="27">
                  <c:v>11521.788421805999</c:v>
                </c:pt>
                <c:pt idx="28">
                  <c:v>11662.778133761998</c:v>
                </c:pt>
                <c:pt idx="29">
                  <c:v>11802.805872099998</c:v>
                </c:pt>
                <c:pt idx="30">
                  <c:v>11941.404460903999</c:v>
                </c:pt>
                <c:pt idx="31">
                  <c:v>12078.292606138</c:v>
                </c:pt>
                <c:pt idx="32">
                  <c:v>12213.479345419</c:v>
                </c:pt>
                <c:pt idx="33">
                  <c:v>12347.228072561</c:v>
                </c:pt>
                <c:pt idx="34">
                  <c:v>12479.928371992</c:v>
                </c:pt>
                <c:pt idx="35">
                  <c:v>12611.946859778001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69-4604-817E-AE29F1EB4142}"/>
            </c:ext>
          </c:extLst>
        </c:ser>
        <c:ser>
          <c:idx val="2"/>
          <c:order val="2"/>
          <c:tx>
            <c:strRef>
              <c:f>Données!$B$358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Données!$C$355:$AL$355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Données!$C$358:$AL$358</c:f>
              <c:numCache>
                <c:formatCode>#,##0</c:formatCode>
                <c:ptCount val="36"/>
                <c:pt idx="0">
                  <c:v>6787.4105911386005</c:v>
                </c:pt>
                <c:pt idx="1">
                  <c:v>6666.999193916</c:v>
                </c:pt>
                <c:pt idx="2">
                  <c:v>6592.3040797355998</c:v>
                </c:pt>
                <c:pt idx="3">
                  <c:v>6549.2197237277996</c:v>
                </c:pt>
                <c:pt idx="4">
                  <c:v>6526.7854631388</c:v>
                </c:pt>
                <c:pt idx="5">
                  <c:v>6518.2089743975002</c:v>
                </c:pt>
                <c:pt idx="6">
                  <c:v>6516.2153618797001</c:v>
                </c:pt>
                <c:pt idx="7">
                  <c:v>6525.8342210694</c:v>
                </c:pt>
                <c:pt idx="8">
                  <c:v>6555.4212997638006</c:v>
                </c:pt>
                <c:pt idx="9">
                  <c:v>6599.4103055884989</c:v>
                </c:pt>
                <c:pt idx="10">
                  <c:v>6655.5214139906002</c:v>
                </c:pt>
                <c:pt idx="11">
                  <c:v>6717.4143270488003</c:v>
                </c:pt>
                <c:pt idx="12">
                  <c:v>6780.7740432690998</c:v>
                </c:pt>
                <c:pt idx="13">
                  <c:v>6843.0641520314002</c:v>
                </c:pt>
                <c:pt idx="14">
                  <c:v>6903.2662558430002</c:v>
                </c:pt>
                <c:pt idx="15">
                  <c:v>6961.7407811234998</c:v>
                </c:pt>
                <c:pt idx="16">
                  <c:v>7019.6333734678992</c:v>
                </c:pt>
                <c:pt idx="17">
                  <c:v>7078.219133700899</c:v>
                </c:pt>
                <c:pt idx="18">
                  <c:v>7138.3928839107002</c:v>
                </c:pt>
                <c:pt idx="19">
                  <c:v>7200.4390571817994</c:v>
                </c:pt>
                <c:pt idx="20">
                  <c:v>7263.0357522123995</c:v>
                </c:pt>
                <c:pt idx="21">
                  <c:v>7326.8830699280998</c:v>
                </c:pt>
                <c:pt idx="22">
                  <c:v>7391.4573068</c:v>
                </c:pt>
                <c:pt idx="23">
                  <c:v>7456.0937513979006</c:v>
                </c:pt>
                <c:pt idx="24">
                  <c:v>7520.4110129373003</c:v>
                </c:pt>
                <c:pt idx="25">
                  <c:v>7581.0337007896997</c:v>
                </c:pt>
                <c:pt idx="26">
                  <c:v>7640.6016266539</c:v>
                </c:pt>
                <c:pt idx="27">
                  <c:v>7699.6856557635001</c:v>
                </c:pt>
                <c:pt idx="28">
                  <c:v>7758.0873980078995</c:v>
                </c:pt>
                <c:pt idx="29">
                  <c:v>7815.5049592761998</c:v>
                </c:pt>
                <c:pt idx="30">
                  <c:v>7871.5977321872997</c:v>
                </c:pt>
                <c:pt idx="31">
                  <c:v>7926.1289780648995</c:v>
                </c:pt>
                <c:pt idx="32">
                  <c:v>7979.0337276534001</c:v>
                </c:pt>
                <c:pt idx="33">
                  <c:v>8030.4029784784998</c:v>
                </c:pt>
                <c:pt idx="34">
                  <c:v>8080.4111172232006</c:v>
                </c:pt>
                <c:pt idx="35">
                  <c:v>8129.2281900899998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69-4604-817E-AE29F1EB4142}"/>
            </c:ext>
          </c:extLst>
        </c:ser>
        <c:ser>
          <c:idx val="3"/>
          <c:order val="3"/>
          <c:tx>
            <c:strRef>
              <c:f>Données!$B$359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cat>
            <c:numRef>
              <c:f>Données!$C$355:$AL$355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Données!$C$359:$AL$359</c:f>
              <c:numCache>
                <c:formatCode>#,##0</c:formatCode>
                <c:ptCount val="36"/>
                <c:pt idx="0">
                  <c:v>4165.6835237371006</c:v>
                </c:pt>
                <c:pt idx="1">
                  <c:v>4066.3811176463</c:v>
                </c:pt>
                <c:pt idx="2">
                  <c:v>3992.9434470901997</c:v>
                </c:pt>
                <c:pt idx="3">
                  <c:v>3937.2649657057</c:v>
                </c:pt>
                <c:pt idx="4">
                  <c:v>3893.1083195604001</c:v>
                </c:pt>
                <c:pt idx="5">
                  <c:v>3856.4914448242002</c:v>
                </c:pt>
                <c:pt idx="6">
                  <c:v>3822.4842259041998</c:v>
                </c:pt>
                <c:pt idx="7">
                  <c:v>3792.2215780761999</c:v>
                </c:pt>
                <c:pt idx="8">
                  <c:v>3770.5557368699001</c:v>
                </c:pt>
                <c:pt idx="9">
                  <c:v>3754.8353264892999</c:v>
                </c:pt>
                <c:pt idx="10">
                  <c:v>3744.3308357493001</c:v>
                </c:pt>
                <c:pt idx="11">
                  <c:v>3736.2890433356001</c:v>
                </c:pt>
                <c:pt idx="12">
                  <c:v>3728.7391820098001</c:v>
                </c:pt>
                <c:pt idx="13">
                  <c:v>3720.3924016229003</c:v>
                </c:pt>
                <c:pt idx="14">
                  <c:v>3710.5359924906998</c:v>
                </c:pt>
                <c:pt idx="15">
                  <c:v>3699.0564218061995</c:v>
                </c:pt>
                <c:pt idx="16">
                  <c:v>3686.2428730748002</c:v>
                </c:pt>
                <c:pt idx="17">
                  <c:v>3672.5325589105</c:v>
                </c:pt>
                <c:pt idx="18">
                  <c:v>3658.2868308839002</c:v>
                </c:pt>
                <c:pt idx="19">
                  <c:v>3643.6653123750998</c:v>
                </c:pt>
                <c:pt idx="20">
                  <c:v>3628.1521752366002</c:v>
                </c:pt>
                <c:pt idx="21">
                  <c:v>3612.10552164</c:v>
                </c:pt>
                <c:pt idx="22">
                  <c:v>3595.3587951879003</c:v>
                </c:pt>
                <c:pt idx="23">
                  <c:v>3577.6418957768001</c:v>
                </c:pt>
                <c:pt idx="24">
                  <c:v>3558.7781392227998</c:v>
                </c:pt>
                <c:pt idx="25">
                  <c:v>3537.3779860375998</c:v>
                </c:pt>
                <c:pt idx="26">
                  <c:v>3514.4703259850999</c:v>
                </c:pt>
                <c:pt idx="27">
                  <c:v>3490.3492755061002</c:v>
                </c:pt>
                <c:pt idx="28">
                  <c:v>3465.0154936157996</c:v>
                </c:pt>
                <c:pt idx="29">
                  <c:v>3438.4288849607001</c:v>
                </c:pt>
                <c:pt idx="30">
                  <c:v>3410.5141453995998</c:v>
                </c:pt>
                <c:pt idx="31">
                  <c:v>3381.2085154895999</c:v>
                </c:pt>
                <c:pt idx="32">
                  <c:v>3350.4930250520001</c:v>
                </c:pt>
                <c:pt idx="33">
                  <c:v>3318.3991509872003</c:v>
                </c:pt>
                <c:pt idx="34">
                  <c:v>3284.9948601647002</c:v>
                </c:pt>
                <c:pt idx="35">
                  <c:v>3250.3607545535001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69-4604-817E-AE29F1EB4142}"/>
            </c:ext>
          </c:extLst>
        </c:ser>
        <c:ser>
          <c:idx val="4"/>
          <c:order val="4"/>
          <c:tx>
            <c:strRef>
              <c:f>Données!$B$360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Données!$C$355:$AL$355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Données!$C$360:$AL$360</c:f>
              <c:numCache>
                <c:formatCode>#,##0</c:formatCode>
                <c:ptCount val="36"/>
                <c:pt idx="0">
                  <c:v>2507.3524895615005</c:v>
                </c:pt>
                <c:pt idx="1">
                  <c:v>2449.9161799352</c:v>
                </c:pt>
                <c:pt idx="2">
                  <c:v>2407.015178781</c:v>
                </c:pt>
                <c:pt idx="3">
                  <c:v>2373.6542578975</c:v>
                </c:pt>
                <c:pt idx="4">
                  <c:v>2346.0475240952001</c:v>
                </c:pt>
                <c:pt idx="5">
                  <c:v>2321.7610160873</c:v>
                </c:pt>
                <c:pt idx="6">
                  <c:v>2297.4338102784</c:v>
                </c:pt>
                <c:pt idx="7">
                  <c:v>2273.091444832</c:v>
                </c:pt>
                <c:pt idx="8">
                  <c:v>2251.9529406314996</c:v>
                </c:pt>
                <c:pt idx="9">
                  <c:v>2232.7311776309998</c:v>
                </c:pt>
                <c:pt idx="10">
                  <c:v>2215.3389797499003</c:v>
                </c:pt>
                <c:pt idx="11">
                  <c:v>2198.5369195691997</c:v>
                </c:pt>
                <c:pt idx="12">
                  <c:v>2181.3965188875</c:v>
                </c:pt>
                <c:pt idx="13">
                  <c:v>2163.2629979510002</c:v>
                </c:pt>
                <c:pt idx="14">
                  <c:v>2143.7158311184003</c:v>
                </c:pt>
                <c:pt idx="15">
                  <c:v>2122.6305157136003</c:v>
                </c:pt>
                <c:pt idx="16">
                  <c:v>2100.1161006963998</c:v>
                </c:pt>
                <c:pt idx="17">
                  <c:v>2076.4032553273</c:v>
                </c:pt>
                <c:pt idx="18">
                  <c:v>2051.7286191171997</c:v>
                </c:pt>
                <c:pt idx="19">
                  <c:v>2026.2563025039999</c:v>
                </c:pt>
                <c:pt idx="20">
                  <c:v>1999.8227993076</c:v>
                </c:pt>
                <c:pt idx="21">
                  <c:v>1972.6895654129999</c:v>
                </c:pt>
                <c:pt idx="22">
                  <c:v>1944.8571386901001</c:v>
                </c:pt>
                <c:pt idx="23">
                  <c:v>1916.2540522004001</c:v>
                </c:pt>
                <c:pt idx="24">
                  <c:v>1886.8408014458</c:v>
                </c:pt>
                <c:pt idx="25">
                  <c:v>1856.0148972627999</c:v>
                </c:pt>
                <c:pt idx="26">
                  <c:v>1824.2866254266999</c:v>
                </c:pt>
                <c:pt idx="27">
                  <c:v>1791.8629363423001</c:v>
                </c:pt>
                <c:pt idx="28">
                  <c:v>1758.8181660186001</c:v>
                </c:pt>
                <c:pt idx="29">
                  <c:v>1725.2043596835999</c:v>
                </c:pt>
                <c:pt idx="30">
                  <c:v>1691.0471914708</c:v>
                </c:pt>
                <c:pt idx="31">
                  <c:v>1656.3657308022</c:v>
                </c:pt>
                <c:pt idx="32">
                  <c:v>1621.1891899668001</c:v>
                </c:pt>
                <c:pt idx="33">
                  <c:v>1585.5647809413999</c:v>
                </c:pt>
                <c:pt idx="34">
                  <c:v>1549.5561265278</c:v>
                </c:pt>
                <c:pt idx="35">
                  <c:v>1513.2354416262001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69-4604-817E-AE29F1EB4142}"/>
            </c:ext>
          </c:extLst>
        </c:ser>
        <c:ser>
          <c:idx val="5"/>
          <c:order val="5"/>
          <c:tx>
            <c:strRef>
              <c:f>Données!$B$361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Données!$C$355:$AL$355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Données!$C$361:$AL$361</c:f>
              <c:numCache>
                <c:formatCode>#,##0</c:formatCode>
                <c:ptCount val="36"/>
                <c:pt idx="0">
                  <c:v>1245.466605953</c:v>
                </c:pt>
                <c:pt idx="1">
                  <c:v>1214.0468876889001</c:v>
                </c:pt>
                <c:pt idx="2">
                  <c:v>1188.1449829836001</c:v>
                </c:pt>
                <c:pt idx="3">
                  <c:v>1165.3222439982999</c:v>
                </c:pt>
                <c:pt idx="4">
                  <c:v>1143.8355894673</c:v>
                </c:pt>
                <c:pt idx="5">
                  <c:v>1122.5577675594002</c:v>
                </c:pt>
                <c:pt idx="6">
                  <c:v>1099.4859510222</c:v>
                </c:pt>
                <c:pt idx="7">
                  <c:v>1073.9067645224</c:v>
                </c:pt>
                <c:pt idx="8">
                  <c:v>1047.7737323306999</c:v>
                </c:pt>
                <c:pt idx="9">
                  <c:v>1021.0328652623999</c:v>
                </c:pt>
                <c:pt idx="10">
                  <c:v>994.14975228620006</c:v>
                </c:pt>
                <c:pt idx="11">
                  <c:v>967.11924411630002</c:v>
                </c:pt>
                <c:pt idx="12">
                  <c:v>939.87101231669999</c:v>
                </c:pt>
                <c:pt idx="13">
                  <c:v>912.29904685629992</c:v>
                </c:pt>
                <c:pt idx="14">
                  <c:v>884.28718022659996</c:v>
                </c:pt>
                <c:pt idx="15">
                  <c:v>855.7899620856</c:v>
                </c:pt>
                <c:pt idx="16">
                  <c:v>826.85750396879996</c:v>
                </c:pt>
                <c:pt idx="17">
                  <c:v>797.61837608230007</c:v>
                </c:pt>
                <c:pt idx="18">
                  <c:v>768.23948990220003</c:v>
                </c:pt>
                <c:pt idx="19">
                  <c:v>738.8861092203</c:v>
                </c:pt>
                <c:pt idx="20">
                  <c:v>709.64421572010008</c:v>
                </c:pt>
                <c:pt idx="21">
                  <c:v>680.67735817439996</c:v>
                </c:pt>
                <c:pt idx="22">
                  <c:v>652.0786147683001</c:v>
                </c:pt>
                <c:pt idx="23">
                  <c:v>623.90272428380013</c:v>
                </c:pt>
                <c:pt idx="24">
                  <c:v>596.19594786380003</c:v>
                </c:pt>
                <c:pt idx="25">
                  <c:v>568.89961487479991</c:v>
                </c:pt>
                <c:pt idx="26">
                  <c:v>542.14185914519999</c:v>
                </c:pt>
                <c:pt idx="27">
                  <c:v>516.00899863129996</c:v>
                </c:pt>
                <c:pt idx="28">
                  <c:v>490.5577692183</c:v>
                </c:pt>
                <c:pt idx="29">
                  <c:v>465.83183525509997</c:v>
                </c:pt>
                <c:pt idx="30">
                  <c:v>441.85964936170001</c:v>
                </c:pt>
                <c:pt idx="31">
                  <c:v>418.65855561240005</c:v>
                </c:pt>
                <c:pt idx="32">
                  <c:v>396.23977184109998</c:v>
                </c:pt>
                <c:pt idx="33">
                  <c:v>374.61205625849999</c:v>
                </c:pt>
                <c:pt idx="34">
                  <c:v>353.78319192589998</c:v>
                </c:pt>
                <c:pt idx="35">
                  <c:v>333.75961979710002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E69-4604-817E-AE29F1EB4142}"/>
            </c:ext>
          </c:extLst>
        </c:ser>
        <c:ser>
          <c:idx val="6"/>
          <c:order val="6"/>
          <c:tx>
            <c:strRef>
              <c:f>Données!$B$362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Données!$C$355:$AL$355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Données!$C$362:$AL$362</c:f>
              <c:numCache>
                <c:formatCode>#,##0</c:formatCode>
                <c:ptCount val="36"/>
                <c:pt idx="0">
                  <c:v>2242.8616504070001</c:v>
                </c:pt>
                <c:pt idx="1">
                  <c:v>2189.5339513182998</c:v>
                </c:pt>
                <c:pt idx="2">
                  <c:v>2143.3373329002002</c:v>
                </c:pt>
                <c:pt idx="3">
                  <c:v>2099.8461127629998</c:v>
                </c:pt>
                <c:pt idx="4">
                  <c:v>2056.1192393878</c:v>
                </c:pt>
                <c:pt idx="5">
                  <c:v>2010.3315795669</c:v>
                </c:pt>
                <c:pt idx="6">
                  <c:v>1958.5913962304001</c:v>
                </c:pt>
                <c:pt idx="7">
                  <c:v>1899.2347633709001</c:v>
                </c:pt>
                <c:pt idx="8">
                  <c:v>1836.5914377798999</c:v>
                </c:pt>
                <c:pt idx="9">
                  <c:v>1771.4607189615999</c:v>
                </c:pt>
                <c:pt idx="10">
                  <c:v>1705.3769053235999</c:v>
                </c:pt>
                <c:pt idx="11">
                  <c:v>1639.0192099298999</c:v>
                </c:pt>
                <c:pt idx="12">
                  <c:v>1572.7148984266</c:v>
                </c:pt>
                <c:pt idx="13">
                  <c:v>1506.5641545230999</c:v>
                </c:pt>
                <c:pt idx="14">
                  <c:v>1440.5460936187001</c:v>
                </c:pt>
                <c:pt idx="15">
                  <c:v>1374.7016577813999</c:v>
                </c:pt>
                <c:pt idx="16">
                  <c:v>1309.2076751646</c:v>
                </c:pt>
                <c:pt idx="17">
                  <c:v>1244.3604827844999</c:v>
                </c:pt>
                <c:pt idx="18">
                  <c:v>1180.5101495993999</c:v>
                </c:pt>
                <c:pt idx="19">
                  <c:v>1117.9919815797998</c:v>
                </c:pt>
                <c:pt idx="20">
                  <c:v>1057.0326517709</c:v>
                </c:pt>
                <c:pt idx="21">
                  <c:v>997.89268851129998</c:v>
                </c:pt>
                <c:pt idx="22">
                  <c:v>940.73312984569998</c:v>
                </c:pt>
                <c:pt idx="23">
                  <c:v>885.64570661789992</c:v>
                </c:pt>
                <c:pt idx="24">
                  <c:v>832.68966601329998</c:v>
                </c:pt>
                <c:pt idx="25">
                  <c:v>781.82713557279999</c:v>
                </c:pt>
                <c:pt idx="26">
                  <c:v>733.14687103019992</c:v>
                </c:pt>
                <c:pt idx="27">
                  <c:v>686.6988009657</c:v>
                </c:pt>
                <c:pt idx="28">
                  <c:v>642.49653181849999</c:v>
                </c:pt>
                <c:pt idx="29">
                  <c:v>600.53076760290003</c:v>
                </c:pt>
                <c:pt idx="30">
                  <c:v>560.76992216629992</c:v>
                </c:pt>
                <c:pt idx="31">
                  <c:v>523.16589827590008</c:v>
                </c:pt>
                <c:pt idx="32">
                  <c:v>487.66028225759999</c:v>
                </c:pt>
                <c:pt idx="33">
                  <c:v>454.18891769739997</c:v>
                </c:pt>
                <c:pt idx="34">
                  <c:v>422.68428302239994</c:v>
                </c:pt>
                <c:pt idx="35">
                  <c:v>393.07619421099997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69-4604-817E-AE29F1EB4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véhicules</a:t>
            </a:r>
            <a:r>
              <a:rPr lang="fr-FR" sz="2400" baseline="0"/>
              <a:t> (milliers)</a:t>
            </a:r>
          </a:p>
          <a:p>
            <a:pPr>
              <a:defRPr sz="2800"/>
            </a:pPr>
            <a:r>
              <a:rPr lang="fr-FR" sz="1800" i="1" baseline="0"/>
              <a:t>Scénario tendanciel</a:t>
            </a:r>
            <a:endParaRPr lang="fr-FR" sz="1800" i="1"/>
          </a:p>
        </c:rich>
      </c:tx>
      <c:layout>
        <c:manualLayout>
          <c:xMode val="edge"/>
          <c:yMode val="edge"/>
          <c:x val="0.28700858772412563"/>
          <c:y val="2.095588192829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Données!$B$329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Données!$C$327:$AL$327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Données!$C$329:$AL$329</c:f>
              <c:numCache>
                <c:formatCode>#,##0</c:formatCode>
                <c:ptCount val="36"/>
                <c:pt idx="0">
                  <c:v>32271.24</c:v>
                </c:pt>
                <c:pt idx="1">
                  <c:v>31899.81165</c:v>
                </c:pt>
                <c:pt idx="2">
                  <c:v>31736.28599</c:v>
                </c:pt>
                <c:pt idx="3">
                  <c:v>31707.705740000001</c:v>
                </c:pt>
                <c:pt idx="4">
                  <c:v>31758.22797</c:v>
                </c:pt>
                <c:pt idx="5">
                  <c:v>31853.672910000001</c:v>
                </c:pt>
                <c:pt idx="6">
                  <c:v>31972.222559999998</c:v>
                </c:pt>
                <c:pt idx="7">
                  <c:v>32109.359189999999</c:v>
                </c:pt>
                <c:pt idx="8">
                  <c:v>32267.30041</c:v>
                </c:pt>
                <c:pt idx="9">
                  <c:v>32450.01455</c:v>
                </c:pt>
                <c:pt idx="10">
                  <c:v>32666.089319999999</c:v>
                </c:pt>
                <c:pt idx="11">
                  <c:v>32905.96428</c:v>
                </c:pt>
                <c:pt idx="12">
                  <c:v>33164.613490000003</c:v>
                </c:pt>
                <c:pt idx="13">
                  <c:v>33437.373169999999</c:v>
                </c:pt>
                <c:pt idx="14">
                  <c:v>33719.2762</c:v>
                </c:pt>
                <c:pt idx="15">
                  <c:v>34006.491929999997</c:v>
                </c:pt>
                <c:pt idx="16">
                  <c:v>34296.452709999998</c:v>
                </c:pt>
                <c:pt idx="17">
                  <c:v>34587.551789999998</c:v>
                </c:pt>
                <c:pt idx="18">
                  <c:v>34878.718540000002</c:v>
                </c:pt>
                <c:pt idx="19">
                  <c:v>35169.080719999998</c:v>
                </c:pt>
                <c:pt idx="20">
                  <c:v>35452.721409999998</c:v>
                </c:pt>
                <c:pt idx="21">
                  <c:v>35735.069219999998</c:v>
                </c:pt>
                <c:pt idx="22">
                  <c:v>36016.055699999997</c:v>
                </c:pt>
                <c:pt idx="23">
                  <c:v>36294.483650000002</c:v>
                </c:pt>
                <c:pt idx="24">
                  <c:v>36569.799550000003</c:v>
                </c:pt>
                <c:pt idx="25">
                  <c:v>36826.527479999997</c:v>
                </c:pt>
                <c:pt idx="26">
                  <c:v>37077.808230000002</c:v>
                </c:pt>
                <c:pt idx="27">
                  <c:v>37326.902069999996</c:v>
                </c:pt>
                <c:pt idx="28">
                  <c:v>37573.63222</c:v>
                </c:pt>
                <c:pt idx="29">
                  <c:v>37817.344190000003</c:v>
                </c:pt>
                <c:pt idx="30">
                  <c:v>38057.147729999997</c:v>
                </c:pt>
                <c:pt idx="31">
                  <c:v>38292.496449999999</c:v>
                </c:pt>
                <c:pt idx="32">
                  <c:v>38523.44932</c:v>
                </c:pt>
                <c:pt idx="33">
                  <c:v>38750.591</c:v>
                </c:pt>
                <c:pt idx="34">
                  <c:v>38974.733379999998</c:v>
                </c:pt>
                <c:pt idx="35">
                  <c:v>39196.573689999997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D4-4D49-89F4-ABF65BD94CDB}"/>
            </c:ext>
          </c:extLst>
        </c:ser>
        <c:ser>
          <c:idx val="2"/>
          <c:order val="2"/>
          <c:tx>
            <c:strRef>
              <c:f>Données!$B$330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Données!$C$327:$AL$327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Données!$C$330:$AL$330</c:f>
              <c:numCache>
                <c:formatCode>#,##0</c:formatCode>
                <c:ptCount val="36"/>
                <c:pt idx="0">
                  <c:v>1.9359999999999999</c:v>
                </c:pt>
                <c:pt idx="1">
                  <c:v>1.994779514</c:v>
                </c:pt>
                <c:pt idx="2">
                  <c:v>2.064923088</c:v>
                </c:pt>
                <c:pt idx="3">
                  <c:v>2.1409504849999998</c:v>
                </c:pt>
                <c:pt idx="4">
                  <c:v>2.2186847959999998</c:v>
                </c:pt>
                <c:pt idx="5">
                  <c:v>2.2956650189999999</c:v>
                </c:pt>
                <c:pt idx="6">
                  <c:v>2.3703990300000002</c:v>
                </c:pt>
                <c:pt idx="7">
                  <c:v>2.442798732</c:v>
                </c:pt>
                <c:pt idx="8">
                  <c:v>2.5133178420000002</c:v>
                </c:pt>
                <c:pt idx="9">
                  <c:v>2.5825432959999999</c:v>
                </c:pt>
                <c:pt idx="10">
                  <c:v>2.6514393709999999</c:v>
                </c:pt>
                <c:pt idx="11">
                  <c:v>2.7194415780000001</c:v>
                </c:pt>
                <c:pt idx="12">
                  <c:v>2.7863391489999998</c:v>
                </c:pt>
                <c:pt idx="13">
                  <c:v>2.8519320600000002</c:v>
                </c:pt>
                <c:pt idx="14">
                  <c:v>2.9159768079999999</c:v>
                </c:pt>
                <c:pt idx="15">
                  <c:v>2.9783081170000001</c:v>
                </c:pt>
                <c:pt idx="16">
                  <c:v>3.038852098</c:v>
                </c:pt>
                <c:pt idx="17">
                  <c:v>3.0976034220000002</c:v>
                </c:pt>
                <c:pt idx="18">
                  <c:v>3.1545916269999998</c:v>
                </c:pt>
                <c:pt idx="19">
                  <c:v>3.2098540720000002</c:v>
                </c:pt>
                <c:pt idx="20">
                  <c:v>3.262996271</c:v>
                </c:pt>
                <c:pt idx="21">
                  <c:v>3.314562859</c:v>
                </c:pt>
                <c:pt idx="22">
                  <c:v>3.3646381079999998</c:v>
                </c:pt>
                <c:pt idx="23">
                  <c:v>3.4132057470000001</c:v>
                </c:pt>
                <c:pt idx="24">
                  <c:v>3.4602967750000002</c:v>
                </c:pt>
                <c:pt idx="25">
                  <c:v>3.5046829860000002</c:v>
                </c:pt>
                <c:pt idx="26">
                  <c:v>3.5475158769999999</c:v>
                </c:pt>
                <c:pt idx="27">
                  <c:v>3.5891308159999999</c:v>
                </c:pt>
                <c:pt idx="28">
                  <c:v>3.6295747770000002</c:v>
                </c:pt>
                <c:pt idx="29">
                  <c:v>3.6688505060000001</c:v>
                </c:pt>
                <c:pt idx="30">
                  <c:v>3.7069364980000001</c:v>
                </c:pt>
                <c:pt idx="31">
                  <c:v>3.7438356530000001</c:v>
                </c:pt>
                <c:pt idx="32">
                  <c:v>3.7795979790000001</c:v>
                </c:pt>
                <c:pt idx="33">
                  <c:v>3.8143149059999999</c:v>
                </c:pt>
                <c:pt idx="34">
                  <c:v>3.8480950620000001</c:v>
                </c:pt>
                <c:pt idx="35">
                  <c:v>3.881035963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D4-4D49-89F4-ABF65BD94CDB}"/>
            </c:ext>
          </c:extLst>
        </c:ser>
        <c:ser>
          <c:idx val="3"/>
          <c:order val="3"/>
          <c:tx>
            <c:strRef>
              <c:f>Données!$B$331</c:f>
              <c:strCache>
                <c:ptCount val="1"/>
                <c:pt idx="0">
                  <c:v>Electrique</c:v>
                </c:pt>
              </c:strCache>
            </c:strRef>
          </c:tx>
          <c:spPr>
            <a:solidFill>
              <a:srgbClr val="00B050"/>
            </a:solidFill>
            <a:ln w="25400">
              <a:noFill/>
            </a:ln>
            <a:effectLst/>
          </c:spPr>
          <c:cat>
            <c:numRef>
              <c:f>Données!$C$327:$AL$327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Données!$C$331:$AL$331</c:f>
              <c:numCache>
                <c:formatCode>#,##0</c:formatCode>
                <c:ptCount val="36"/>
                <c:pt idx="0">
                  <c:v>44.765000000000001</c:v>
                </c:pt>
                <c:pt idx="1">
                  <c:v>62.813945330000003</c:v>
                </c:pt>
                <c:pt idx="2">
                  <c:v>81.893474699999999</c:v>
                </c:pt>
                <c:pt idx="3">
                  <c:v>101.68989879999999</c:v>
                </c:pt>
                <c:pt idx="4">
                  <c:v>122.08153040000001</c:v>
                </c:pt>
                <c:pt idx="5">
                  <c:v>143.07070630000001</c:v>
                </c:pt>
                <c:pt idx="6">
                  <c:v>164.62062130000001</c:v>
                </c:pt>
                <c:pt idx="7">
                  <c:v>186.6978264</c:v>
                </c:pt>
                <c:pt idx="8">
                  <c:v>209.2265735</c:v>
                </c:pt>
                <c:pt idx="9">
                  <c:v>232.11311359999999</c:v>
                </c:pt>
                <c:pt idx="10">
                  <c:v>255.3572159</c:v>
                </c:pt>
                <c:pt idx="11">
                  <c:v>278.82906400000002</c:v>
                </c:pt>
                <c:pt idx="12">
                  <c:v>302.48748219999999</c:v>
                </c:pt>
                <c:pt idx="13">
                  <c:v>326.33548810000002</c:v>
                </c:pt>
                <c:pt idx="14">
                  <c:v>350.38871139999998</c:v>
                </c:pt>
                <c:pt idx="15">
                  <c:v>374.67833250000001</c:v>
                </c:pt>
                <c:pt idx="16">
                  <c:v>399.24789570000002</c:v>
                </c:pt>
                <c:pt idx="17">
                  <c:v>424.15217660000002</c:v>
                </c:pt>
                <c:pt idx="18">
                  <c:v>449.45760030000002</c:v>
                </c:pt>
                <c:pt idx="19">
                  <c:v>475.24272760000002</c:v>
                </c:pt>
                <c:pt idx="20">
                  <c:v>501.51794940000002</c:v>
                </c:pt>
                <c:pt idx="21">
                  <c:v>528.46263399999998</c:v>
                </c:pt>
                <c:pt idx="22">
                  <c:v>556.20534080000004</c:v>
                </c:pt>
                <c:pt idx="23">
                  <c:v>584.86314259999995</c:v>
                </c:pt>
                <c:pt idx="24">
                  <c:v>614.56115079999995</c:v>
                </c:pt>
                <c:pt idx="25">
                  <c:v>645.14346639999997</c:v>
                </c:pt>
                <c:pt idx="26">
                  <c:v>676.91713849999996</c:v>
                </c:pt>
                <c:pt idx="27">
                  <c:v>710.07249590000004</c:v>
                </c:pt>
                <c:pt idx="28">
                  <c:v>744.76973699999996</c:v>
                </c:pt>
                <c:pt idx="29">
                  <c:v>781.18605849999994</c:v>
                </c:pt>
                <c:pt idx="30">
                  <c:v>819.50764349999997</c:v>
                </c:pt>
                <c:pt idx="31">
                  <c:v>859.93010330000004</c:v>
                </c:pt>
                <c:pt idx="32">
                  <c:v>902.65998420000005</c:v>
                </c:pt>
                <c:pt idx="33">
                  <c:v>947.91682969999999</c:v>
                </c:pt>
                <c:pt idx="34">
                  <c:v>995.93494190000001</c:v>
                </c:pt>
                <c:pt idx="35">
                  <c:v>1046.9642550000001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D4-4D49-89F4-ABF65BD94C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Données!$B$328</c15:sqref>
                        </c15:formulaRef>
                      </c:ext>
                    </c:extLst>
                    <c:strCache>
                      <c:ptCount val="1"/>
                      <c:pt idx="0">
                        <c:v>Véhicules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 w="25400"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Données!$C$327:$AL$327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Données!$C$328:$AL$328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32317.940999999999</c:v>
                      </c:pt>
                      <c:pt idx="1">
                        <c:v>31964.620370000001</c:v>
                      </c:pt>
                      <c:pt idx="2">
                        <c:v>31820.24439</c:v>
                      </c:pt>
                      <c:pt idx="3">
                        <c:v>31811.53658</c:v>
                      </c:pt>
                      <c:pt idx="4">
                        <c:v>31882.528190000001</c:v>
                      </c:pt>
                      <c:pt idx="5">
                        <c:v>31999.039280000001</c:v>
                      </c:pt>
                      <c:pt idx="6">
                        <c:v>32139.213589999999</c:v>
                      </c:pt>
                      <c:pt idx="7">
                        <c:v>32298.49984</c:v>
                      </c:pt>
                      <c:pt idx="8">
                        <c:v>32479.04034</c:v>
                      </c:pt>
                      <c:pt idx="9">
                        <c:v>32684.71027</c:v>
                      </c:pt>
                      <c:pt idx="10">
                        <c:v>32924.098030000001</c:v>
                      </c:pt>
                      <c:pt idx="11">
                        <c:v>33187.512840000003</c:v>
                      </c:pt>
                      <c:pt idx="12">
                        <c:v>33469.887349999997</c:v>
                      </c:pt>
                      <c:pt idx="13">
                        <c:v>33766.560640000003</c:v>
                      </c:pt>
                      <c:pt idx="14">
                        <c:v>34072.580929999996</c:v>
                      </c:pt>
                      <c:pt idx="15">
                        <c:v>34384.148609999997</c:v>
                      </c:pt>
                      <c:pt idx="16">
                        <c:v>34698.739500000003</c:v>
                      </c:pt>
                      <c:pt idx="17">
                        <c:v>35014.801610000002</c:v>
                      </c:pt>
                      <c:pt idx="18">
                        <c:v>35331.33077</c:v>
                      </c:pt>
                      <c:pt idx="19">
                        <c:v>35647.533340000002</c:v>
                      </c:pt>
                      <c:pt idx="20">
                        <c:v>35957.502399999998</c:v>
                      </c:pt>
                      <c:pt idx="21">
                        <c:v>36266.846460000001</c:v>
                      </c:pt>
                      <c:pt idx="22">
                        <c:v>36575.62573</c:v>
                      </c:pt>
                      <c:pt idx="23">
                        <c:v>36882.760040000001</c:v>
                      </c:pt>
                      <c:pt idx="24">
                        <c:v>37187.821040000003</c:v>
                      </c:pt>
                      <c:pt idx="25">
                        <c:v>37475.17568</c:v>
                      </c:pt>
                      <c:pt idx="26">
                        <c:v>37758.272929999999</c:v>
                      </c:pt>
                      <c:pt idx="27">
                        <c:v>38040.563739999998</c:v>
                      </c:pt>
                      <c:pt idx="28">
                        <c:v>38322.031580000003</c:v>
                      </c:pt>
                      <c:pt idx="29">
                        <c:v>38602.199139999997</c:v>
                      </c:pt>
                      <c:pt idx="30">
                        <c:v>38880.362359999999</c:v>
                      </c:pt>
                      <c:pt idx="31">
                        <c:v>39156.170440000002</c:v>
                      </c:pt>
                      <c:pt idx="32">
                        <c:v>39429.88895</c:v>
                      </c:pt>
                      <c:pt idx="33">
                        <c:v>39702.322189999999</c:v>
                      </c:pt>
                      <c:pt idx="34">
                        <c:v>39974.516459999999</c:v>
                      </c:pt>
                      <c:pt idx="35">
                        <c:v>40247.419029999997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5BD4-4D49-89F4-ABF65BD94CDB}"/>
                  </c:ext>
                </c:extLst>
              </c15:ser>
            </c15:filteredAreaSeries>
          </c:ext>
        </c:extLst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5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véhicules</a:t>
            </a:r>
            <a:r>
              <a:rPr lang="fr-FR" sz="2400" baseline="0"/>
              <a:t> (milliers)</a:t>
            </a:r>
          </a:p>
          <a:p>
            <a:pPr>
              <a:defRPr sz="2800"/>
            </a:pPr>
            <a:r>
              <a:rPr lang="fr-FR" sz="1800" i="1" baseline="0"/>
              <a:t>Scénario Net Zero 2050</a:t>
            </a:r>
            <a:endParaRPr lang="fr-FR" sz="1800" i="1"/>
          </a:p>
        </c:rich>
      </c:tx>
      <c:layout>
        <c:manualLayout>
          <c:xMode val="edge"/>
          <c:yMode val="edge"/>
          <c:x val="0.29110930698597887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Données!$B$323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Données!$C$321:$AL$321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Données!$C$323:$AL$323</c:f>
              <c:numCache>
                <c:formatCode>#,##0</c:formatCode>
                <c:ptCount val="36"/>
                <c:pt idx="0">
                  <c:v>32271.24</c:v>
                </c:pt>
                <c:pt idx="1">
                  <c:v>31899.81165</c:v>
                </c:pt>
                <c:pt idx="2">
                  <c:v>31736.28599</c:v>
                </c:pt>
                <c:pt idx="3">
                  <c:v>31707.705740000001</c:v>
                </c:pt>
                <c:pt idx="4">
                  <c:v>31758.22797</c:v>
                </c:pt>
                <c:pt idx="5">
                  <c:v>31853.672910000001</c:v>
                </c:pt>
                <c:pt idx="6">
                  <c:v>31954.920030000001</c:v>
                </c:pt>
                <c:pt idx="7">
                  <c:v>32086.10181</c:v>
                </c:pt>
                <c:pt idx="8">
                  <c:v>32295.42799</c:v>
                </c:pt>
                <c:pt idx="9">
                  <c:v>32558.591049999999</c:v>
                </c:pt>
                <c:pt idx="10">
                  <c:v>32867.774680000002</c:v>
                </c:pt>
                <c:pt idx="11">
                  <c:v>33193.977379999997</c:v>
                </c:pt>
                <c:pt idx="12">
                  <c:v>33517.314350000001</c:v>
                </c:pt>
                <c:pt idx="13">
                  <c:v>33826.181210000002</c:v>
                </c:pt>
                <c:pt idx="14">
                  <c:v>34116.271180000003</c:v>
                </c:pt>
                <c:pt idx="15">
                  <c:v>34390.190399999999</c:v>
                </c:pt>
                <c:pt idx="16">
                  <c:v>34654.646220000002</c:v>
                </c:pt>
                <c:pt idx="17">
                  <c:v>34917.169710000002</c:v>
                </c:pt>
                <c:pt idx="18">
                  <c:v>35183.477290000003</c:v>
                </c:pt>
                <c:pt idx="19">
                  <c:v>35456.211889999999</c:v>
                </c:pt>
                <c:pt idx="20">
                  <c:v>35729.99699</c:v>
                </c:pt>
                <c:pt idx="21">
                  <c:v>36009.200299999997</c:v>
                </c:pt>
                <c:pt idx="22">
                  <c:v>36292.055789999999</c:v>
                </c:pt>
                <c:pt idx="23">
                  <c:v>36576.012470000001</c:v>
                </c:pt>
                <c:pt idx="24">
                  <c:v>36859.860869999997</c:v>
                </c:pt>
                <c:pt idx="25">
                  <c:v>37127.76885</c:v>
                </c:pt>
                <c:pt idx="26">
                  <c:v>37393.283839999996</c:v>
                </c:pt>
                <c:pt idx="27">
                  <c:v>37659.720430000001</c:v>
                </c:pt>
                <c:pt idx="28">
                  <c:v>37926.534509999998</c:v>
                </c:pt>
                <c:pt idx="29">
                  <c:v>38192.591260000001</c:v>
                </c:pt>
                <c:pt idx="30">
                  <c:v>38456.52693</c:v>
                </c:pt>
                <c:pt idx="31">
                  <c:v>38717.488510000003</c:v>
                </c:pt>
                <c:pt idx="32">
                  <c:v>38975.486960000002</c:v>
                </c:pt>
                <c:pt idx="33">
                  <c:v>39231.315410000003</c:v>
                </c:pt>
                <c:pt idx="34">
                  <c:v>39486.171609999998</c:v>
                </c:pt>
                <c:pt idx="35">
                  <c:v>39741.202510000003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B-4332-9B45-E28FEF7596CF}"/>
            </c:ext>
          </c:extLst>
        </c:ser>
        <c:ser>
          <c:idx val="2"/>
          <c:order val="2"/>
          <c:tx>
            <c:strRef>
              <c:f>Données!$B$324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Données!$C$321:$AL$321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Données!$C$324:$AL$324</c:f>
              <c:numCache>
                <c:formatCode>#,##0</c:formatCode>
                <c:ptCount val="36"/>
                <c:pt idx="0">
                  <c:v>1.9359999999999999</c:v>
                </c:pt>
                <c:pt idx="1">
                  <c:v>1.994779514</c:v>
                </c:pt>
                <c:pt idx="2">
                  <c:v>2.064923088</c:v>
                </c:pt>
                <c:pt idx="3">
                  <c:v>2.1409504849999998</c:v>
                </c:pt>
                <c:pt idx="4">
                  <c:v>2.2186847959999998</c:v>
                </c:pt>
                <c:pt idx="5">
                  <c:v>2.2956650189999999</c:v>
                </c:pt>
                <c:pt idx="6">
                  <c:v>2.3689454269999999</c:v>
                </c:pt>
                <c:pt idx="7">
                  <c:v>2.4408225859999999</c:v>
                </c:pt>
                <c:pt idx="8">
                  <c:v>2.5156300539999998</c:v>
                </c:pt>
                <c:pt idx="9">
                  <c:v>2.5916534819999999</c:v>
                </c:pt>
                <c:pt idx="10">
                  <c:v>2.6685121920000001</c:v>
                </c:pt>
                <c:pt idx="11">
                  <c:v>2.7440184090000002</c:v>
                </c:pt>
                <c:pt idx="12">
                  <c:v>2.8166973899999999</c:v>
                </c:pt>
                <c:pt idx="13">
                  <c:v>2.8857322060000001</c:v>
                </c:pt>
                <c:pt idx="14">
                  <c:v>2.9508941950000001</c:v>
                </c:pt>
                <c:pt idx="15">
                  <c:v>3.012521596</c:v>
                </c:pt>
                <c:pt idx="16">
                  <c:v>3.0712930900000002</c:v>
                </c:pt>
                <c:pt idx="17">
                  <c:v>3.1279579929999999</c:v>
                </c:pt>
                <c:pt idx="18">
                  <c:v>3.1831155770000001</c:v>
                </c:pt>
                <c:pt idx="19">
                  <c:v>3.2371068219999999</c:v>
                </c:pt>
                <c:pt idx="20">
                  <c:v>3.2895949579999999</c:v>
                </c:pt>
                <c:pt idx="21">
                  <c:v>3.3410477329999999</c:v>
                </c:pt>
                <c:pt idx="22">
                  <c:v>3.3914169140000001</c:v>
                </c:pt>
                <c:pt idx="23">
                  <c:v>3.4405797919999999</c:v>
                </c:pt>
                <c:pt idx="24">
                  <c:v>3.488517351</c:v>
                </c:pt>
                <c:pt idx="25">
                  <c:v>3.5339753919999999</c:v>
                </c:pt>
                <c:pt idx="26">
                  <c:v>3.578142803</c:v>
                </c:pt>
                <c:pt idx="27">
                  <c:v>3.6213630640000001</c:v>
                </c:pt>
                <c:pt idx="28">
                  <c:v>3.6636556859999998</c:v>
                </c:pt>
                <c:pt idx="29">
                  <c:v>3.7049857780000002</c:v>
                </c:pt>
                <c:pt idx="30">
                  <c:v>3.7452939770000002</c:v>
                </c:pt>
                <c:pt idx="31">
                  <c:v>3.784558621</c:v>
                </c:pt>
                <c:pt idx="32">
                  <c:v>3.8228264090000001</c:v>
                </c:pt>
                <c:pt idx="33">
                  <c:v>3.8602069050000001</c:v>
                </c:pt>
                <c:pt idx="34">
                  <c:v>3.8968419999999999</c:v>
                </c:pt>
                <c:pt idx="35">
                  <c:v>3.9328682829999999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2B-4332-9B45-E28FEF7596CF}"/>
            </c:ext>
          </c:extLst>
        </c:ser>
        <c:ser>
          <c:idx val="3"/>
          <c:order val="3"/>
          <c:tx>
            <c:strRef>
              <c:f>Données!$B$325</c:f>
              <c:strCache>
                <c:ptCount val="1"/>
                <c:pt idx="0">
                  <c:v>Electrique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cat>
            <c:numRef>
              <c:f>Données!$C$321:$AL$321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Données!$C$325:$AL$325</c:f>
              <c:numCache>
                <c:formatCode>#,##0</c:formatCode>
                <c:ptCount val="36"/>
                <c:pt idx="0">
                  <c:v>44.765000000000001</c:v>
                </c:pt>
                <c:pt idx="1">
                  <c:v>62.813945330000003</c:v>
                </c:pt>
                <c:pt idx="2">
                  <c:v>81.893474699999999</c:v>
                </c:pt>
                <c:pt idx="3">
                  <c:v>101.68989879999999</c:v>
                </c:pt>
                <c:pt idx="4">
                  <c:v>122.08153040000001</c:v>
                </c:pt>
                <c:pt idx="5">
                  <c:v>143.07070630000001</c:v>
                </c:pt>
                <c:pt idx="6">
                  <c:v>164.1334458</c:v>
                </c:pt>
                <c:pt idx="7">
                  <c:v>184.51381369999999</c:v>
                </c:pt>
                <c:pt idx="8">
                  <c:v>204.3782855</c:v>
                </c:pt>
                <c:pt idx="9">
                  <c:v>223.3150411</c:v>
                </c:pt>
                <c:pt idx="10">
                  <c:v>241.38635210000001</c:v>
                </c:pt>
                <c:pt idx="11">
                  <c:v>258.7104046</c:v>
                </c:pt>
                <c:pt idx="12">
                  <c:v>275.55292550000001</c:v>
                </c:pt>
                <c:pt idx="13">
                  <c:v>292.18658040000003</c:v>
                </c:pt>
                <c:pt idx="14">
                  <c:v>308.78851989999998</c:v>
                </c:pt>
                <c:pt idx="15">
                  <c:v>325.42866099999998</c:v>
                </c:pt>
                <c:pt idx="16">
                  <c:v>342.09421980000002</c:v>
                </c:pt>
                <c:pt idx="17">
                  <c:v>358.73019040000003</c:v>
                </c:pt>
                <c:pt idx="18">
                  <c:v>375.27536509999999</c:v>
                </c:pt>
                <c:pt idx="19">
                  <c:v>391.6853524</c:v>
                </c:pt>
                <c:pt idx="20">
                  <c:v>407.88373860000002</c:v>
                </c:pt>
                <c:pt idx="21">
                  <c:v>423.92971610000001</c:v>
                </c:pt>
                <c:pt idx="22">
                  <c:v>439.85732489999998</c:v>
                </c:pt>
                <c:pt idx="23">
                  <c:v>455.6921711</c:v>
                </c:pt>
                <c:pt idx="24">
                  <c:v>471.45818659999998</c:v>
                </c:pt>
                <c:pt idx="25">
                  <c:v>486.98932450000001</c:v>
                </c:pt>
                <c:pt idx="26">
                  <c:v>502.40232109999999</c:v>
                </c:pt>
                <c:pt idx="27">
                  <c:v>517.74665640000001</c:v>
                </c:pt>
                <c:pt idx="28">
                  <c:v>533.05855020000001</c:v>
                </c:pt>
                <c:pt idx="29">
                  <c:v>548.39168270000005</c:v>
                </c:pt>
                <c:pt idx="30">
                  <c:v>563.80534390000003</c:v>
                </c:pt>
                <c:pt idx="31">
                  <c:v>579.35657649999996</c:v>
                </c:pt>
                <c:pt idx="32">
                  <c:v>595.09508649999998</c:v>
                </c:pt>
                <c:pt idx="33">
                  <c:v>611.06251959999997</c:v>
                </c:pt>
                <c:pt idx="34">
                  <c:v>627.29535550000003</c:v>
                </c:pt>
                <c:pt idx="35">
                  <c:v>643.82931459999998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2B-4332-9B45-E28FEF759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Données!$B$322</c15:sqref>
                        </c15:formulaRef>
                      </c:ext>
                    </c:extLst>
                    <c:strCache>
                      <c:ptCount val="1"/>
                      <c:pt idx="0">
                        <c:v>Véhicules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Données!$C$321:$AL$321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Données!$C$322:$AL$322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32317.940999999999</c:v>
                      </c:pt>
                      <c:pt idx="1">
                        <c:v>31964.620370000001</c:v>
                      </c:pt>
                      <c:pt idx="2">
                        <c:v>31820.24439</c:v>
                      </c:pt>
                      <c:pt idx="3">
                        <c:v>31811.53658</c:v>
                      </c:pt>
                      <c:pt idx="4">
                        <c:v>31882.528190000001</c:v>
                      </c:pt>
                      <c:pt idx="5">
                        <c:v>31999.039280000001</c:v>
                      </c:pt>
                      <c:pt idx="6">
                        <c:v>32121.422429999999</c:v>
                      </c:pt>
                      <c:pt idx="7">
                        <c:v>32273.05645</c:v>
                      </c:pt>
                      <c:pt idx="8">
                        <c:v>32502.321909999999</c:v>
                      </c:pt>
                      <c:pt idx="9">
                        <c:v>32784.497750000002</c:v>
                      </c:pt>
                      <c:pt idx="10">
                        <c:v>33111.829550000002</c:v>
                      </c:pt>
                      <c:pt idx="11">
                        <c:v>33455.431799999998</c:v>
                      </c:pt>
                      <c:pt idx="12">
                        <c:v>33795.683969999998</c:v>
                      </c:pt>
                      <c:pt idx="13">
                        <c:v>34121.253530000002</c:v>
                      </c:pt>
                      <c:pt idx="14">
                        <c:v>34428.010600000001</c:v>
                      </c:pt>
                      <c:pt idx="15">
                        <c:v>34718.631580000001</c:v>
                      </c:pt>
                      <c:pt idx="16">
                        <c:v>34999.811730000001</c:v>
                      </c:pt>
                      <c:pt idx="17">
                        <c:v>35279.027860000002</c:v>
                      </c:pt>
                      <c:pt idx="18">
                        <c:v>35561.93578</c:v>
                      </c:pt>
                      <c:pt idx="19">
                        <c:v>35851.13435</c:v>
                      </c:pt>
                      <c:pt idx="20">
                        <c:v>36141.170319999997</c:v>
                      </c:pt>
                      <c:pt idx="21">
                        <c:v>36436.471060000003</c:v>
                      </c:pt>
                      <c:pt idx="22">
                        <c:v>36735.304530000001</c:v>
                      </c:pt>
                      <c:pt idx="23">
                        <c:v>37035.145219999999</c:v>
                      </c:pt>
                      <c:pt idx="24">
                        <c:v>37334.807569999997</c:v>
                      </c:pt>
                      <c:pt idx="25">
                        <c:v>37618.292159999997</c:v>
                      </c:pt>
                      <c:pt idx="26">
                        <c:v>37899.264309999999</c:v>
                      </c:pt>
                      <c:pt idx="27">
                        <c:v>38181.088459999999</c:v>
                      </c:pt>
                      <c:pt idx="28">
                        <c:v>38463.256719999998</c:v>
                      </c:pt>
                      <c:pt idx="29">
                        <c:v>38744.68793</c:v>
                      </c:pt>
                      <c:pt idx="30">
                        <c:v>39024.077570000001</c:v>
                      </c:pt>
                      <c:pt idx="31">
                        <c:v>39300.629650000003</c:v>
                      </c:pt>
                      <c:pt idx="32">
                        <c:v>39574.404869999998</c:v>
                      </c:pt>
                      <c:pt idx="33">
                        <c:v>39846.238140000001</c:v>
                      </c:pt>
                      <c:pt idx="34">
                        <c:v>40117.363819999999</c:v>
                      </c:pt>
                      <c:pt idx="35">
                        <c:v>40388.964699999997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A2B-4332-9B45-E28FEF7596CF}"/>
                  </c:ext>
                </c:extLst>
              </c15:ser>
            </c15:filteredAreaSeries>
          </c:ext>
        </c:extLst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5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Emploi</a:t>
            </a:r>
          </a:p>
          <a:p>
            <a:pPr>
              <a:defRPr/>
            </a:pPr>
            <a:r>
              <a:rPr lang="fr-FR" sz="1800" baseline="0"/>
              <a:t>(écart en milliers au tendanciel)</a:t>
            </a:r>
            <a:endParaRPr lang="fr-FR"/>
          </a:p>
        </c:rich>
      </c:tx>
      <c:layout>
        <c:manualLayout>
          <c:xMode val="edge"/>
          <c:yMode val="edge"/>
          <c:x val="0.34667829259601385"/>
          <c:y val="1.46488058503185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56623915506E-2"/>
          <c:y val="0.15388432122165863"/>
          <c:w val="0.90465257274928901"/>
          <c:h val="0.59335536214829432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Données!$B$238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Données!$C$236:$E$236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Données!$C$238:$E$238</c:f>
              <c:numCache>
                <c:formatCode>#,##0</c:formatCode>
                <c:ptCount val="3"/>
                <c:pt idx="0">
                  <c:v>-10.767773099999999</c:v>
                </c:pt>
                <c:pt idx="1">
                  <c:v>3.8241230999999516</c:v>
                </c:pt>
                <c:pt idx="2">
                  <c:v>2.5859910000000355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16-4F95-8245-39FB8CC2FEA0}"/>
            </c:ext>
          </c:extLst>
        </c:ser>
        <c:ser>
          <c:idx val="2"/>
          <c:order val="2"/>
          <c:tx>
            <c:strRef>
              <c:f>Données!$B$239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Données!$C$236:$E$236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Données!$C$239:$E$239</c:f>
              <c:numCache>
                <c:formatCode>#,##0</c:formatCode>
                <c:ptCount val="3"/>
                <c:pt idx="0">
                  <c:v>-26.442622000000028</c:v>
                </c:pt>
                <c:pt idx="1">
                  <c:v>-28.531729000000041</c:v>
                </c:pt>
                <c:pt idx="2">
                  <c:v>-25.285275000000183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16-4F95-8245-39FB8CC2FEA0}"/>
            </c:ext>
          </c:extLst>
        </c:ser>
        <c:ser>
          <c:idx val="3"/>
          <c:order val="3"/>
          <c:tx>
            <c:strRef>
              <c:f>Données!$B$240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Données!$C$236:$E$236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Données!$C$240:$E$240</c:f>
              <c:numCache>
                <c:formatCode>#,##0</c:formatCode>
                <c:ptCount val="3"/>
                <c:pt idx="0">
                  <c:v>-1.5267245300000027</c:v>
                </c:pt>
                <c:pt idx="1">
                  <c:v>-1.1601052800000033</c:v>
                </c:pt>
                <c:pt idx="2">
                  <c:v>-1.2110832400000007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616-4F95-8245-39FB8CC2FEA0}"/>
            </c:ext>
          </c:extLst>
        </c:ser>
        <c:ser>
          <c:idx val="4"/>
          <c:order val="4"/>
          <c:tx>
            <c:strRef>
              <c:f>Données!$B$241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Données!$C$236:$E$236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Données!$C$241:$E$241</c:f>
              <c:numCache>
                <c:formatCode>#,##0</c:formatCode>
                <c:ptCount val="3"/>
                <c:pt idx="0">
                  <c:v>-79.402153999999882</c:v>
                </c:pt>
                <c:pt idx="1">
                  <c:v>-59.001905999999963</c:v>
                </c:pt>
                <c:pt idx="2">
                  <c:v>-54.907553999999436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616-4F95-8245-39FB8CC2FEA0}"/>
            </c:ext>
          </c:extLst>
        </c:ser>
        <c:ser>
          <c:idx val="5"/>
          <c:order val="5"/>
          <c:tx>
            <c:strRef>
              <c:f>Données!$B$242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Données!$C$236:$E$236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Données!$C$242:$E$242</c:f>
              <c:numCache>
                <c:formatCode>#,##0</c:formatCode>
                <c:ptCount val="3"/>
                <c:pt idx="0">
                  <c:v>-0.84266488000000095</c:v>
                </c:pt>
                <c:pt idx="1">
                  <c:v>-0.57115098000000586</c:v>
                </c:pt>
                <c:pt idx="2">
                  <c:v>-0.49574539999999701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616-4F95-8245-39FB8CC2FEA0}"/>
            </c:ext>
          </c:extLst>
        </c:ser>
        <c:ser>
          <c:idx val="6"/>
          <c:order val="6"/>
          <c:tx>
            <c:strRef>
              <c:f>Données!$B$243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Données!$C$236:$E$236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Données!$C$243:$E$243</c:f>
              <c:numCache>
                <c:formatCode>#,##0</c:formatCode>
                <c:ptCount val="3"/>
                <c:pt idx="0">
                  <c:v>-277.10782999999719</c:v>
                </c:pt>
                <c:pt idx="1">
                  <c:v>-295.48050000000148</c:v>
                </c:pt>
                <c:pt idx="2">
                  <c:v>-264.21234000000186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616-4F95-8245-39FB8CC2FEA0}"/>
            </c:ext>
          </c:extLst>
        </c:ser>
        <c:ser>
          <c:idx val="7"/>
          <c:order val="7"/>
          <c:tx>
            <c:strRef>
              <c:f>Données!$B$244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Données!$C$236:$E$236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Données!$C$244:$E$244</c:f>
              <c:numCache>
                <c:formatCode>#,##0</c:formatCode>
                <c:ptCount val="3"/>
                <c:pt idx="0">
                  <c:v>-15.083349999999996</c:v>
                </c:pt>
                <c:pt idx="1">
                  <c:v>-12.84457180000004</c:v>
                </c:pt>
                <c:pt idx="2">
                  <c:v>-11.612786000000028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Données!$B$237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Données!$C$236:$E$236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Données!$C$237:$E$237</c:f>
              <c:numCache>
                <c:formatCode>#,##0</c:formatCode>
                <c:ptCount val="3"/>
                <c:pt idx="0">
                  <c:v>-411.17311999999947</c:v>
                </c:pt>
                <c:pt idx="1">
                  <c:v>-393.76583000000028</c:v>
                </c:pt>
                <c:pt idx="2">
                  <c:v>-355.13879000000088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4636183921227952"/>
          <c:y val="0.84134454112981361"/>
          <c:w val="0.68407532811298444"/>
          <c:h val="0.11273515869539671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Investissement</a:t>
            </a:r>
          </a:p>
          <a:p>
            <a:pPr>
              <a:defRPr/>
            </a:pPr>
            <a:r>
              <a:rPr lang="fr-FR" sz="1800" baseline="0"/>
              <a:t>(% d'écart au tendanciel)</a:t>
            </a:r>
            <a:endParaRPr lang="fr-FR"/>
          </a:p>
        </c:rich>
      </c:tx>
      <c:layout>
        <c:manualLayout>
          <c:xMode val="edge"/>
          <c:yMode val="edge"/>
          <c:x val="0.36169070013054455"/>
          <c:y val="1.67360922218999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37068890296E-2"/>
          <c:y val="0.15805885654508087"/>
          <c:w val="0.90465257274928901"/>
          <c:h val="0.65806123966731622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Données!$B$303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Données!$C$301:$E$301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Données!$C$303:$E$303</c:f>
              <c:numCache>
                <c:formatCode>0.0%</c:formatCode>
                <c:ptCount val="3"/>
                <c:pt idx="0">
                  <c:v>-5.8375534845560795E-2</c:v>
                </c:pt>
                <c:pt idx="1">
                  <c:v>-3.2465617219334608E-2</c:v>
                </c:pt>
                <c:pt idx="2">
                  <c:v>-2.1380898748531108E-2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EF-4C8A-9797-5E7405BD4BE1}"/>
            </c:ext>
          </c:extLst>
        </c:ser>
        <c:ser>
          <c:idx val="2"/>
          <c:order val="2"/>
          <c:tx>
            <c:strRef>
              <c:f>Données!$B$304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Données!$C$301:$E$301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Données!$C$304:$E$304</c:f>
              <c:numCache>
                <c:formatCode>0.0%</c:formatCode>
                <c:ptCount val="3"/>
                <c:pt idx="0">
                  <c:v>-1.7085572686947881E-2</c:v>
                </c:pt>
                <c:pt idx="1">
                  <c:v>-1.6146017384327083E-2</c:v>
                </c:pt>
                <c:pt idx="2">
                  <c:v>-1.2333569170318248E-2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EF-4C8A-9797-5E7405BD4BE1}"/>
            </c:ext>
          </c:extLst>
        </c:ser>
        <c:ser>
          <c:idx val="3"/>
          <c:order val="3"/>
          <c:tx>
            <c:strRef>
              <c:f>Données!$B$305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Données!$C$301:$E$301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Données!$C$305:$E$305</c:f>
              <c:numCache>
                <c:formatCode>0.0%</c:formatCode>
                <c:ptCount val="3"/>
                <c:pt idx="0">
                  <c:v>-2.9190182628266892E-2</c:v>
                </c:pt>
                <c:pt idx="1">
                  <c:v>-3.0673749282142837E-2</c:v>
                </c:pt>
                <c:pt idx="2">
                  <c:v>-3.2282486212655725E-2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7EF-4C8A-9797-5E7405BD4BE1}"/>
            </c:ext>
          </c:extLst>
        </c:ser>
        <c:ser>
          <c:idx val="4"/>
          <c:order val="4"/>
          <c:tx>
            <c:strRef>
              <c:f>Données!$B$306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Données!$C$301:$E$301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Données!$C$306:$E$306</c:f>
              <c:numCache>
                <c:formatCode>0.0%</c:formatCode>
                <c:ptCount val="3"/>
                <c:pt idx="0">
                  <c:v>-2.7175290336444169E-2</c:v>
                </c:pt>
                <c:pt idx="1">
                  <c:v>-2.2729607139755803E-2</c:v>
                </c:pt>
                <c:pt idx="2">
                  <c:v>-1.8994275307218977E-2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7EF-4C8A-9797-5E7405BD4BE1}"/>
            </c:ext>
          </c:extLst>
        </c:ser>
        <c:ser>
          <c:idx val="5"/>
          <c:order val="5"/>
          <c:tx>
            <c:strRef>
              <c:f>Données!$B$307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Données!$C$301:$E$301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Données!$C$307:$E$307</c:f>
              <c:numCache>
                <c:formatCode>0.0%</c:formatCode>
                <c:ptCount val="3"/>
                <c:pt idx="0">
                  <c:v>-1.8704998677234297E-2</c:v>
                </c:pt>
                <c:pt idx="1">
                  <c:v>-1.8671596881451036E-2</c:v>
                </c:pt>
                <c:pt idx="2">
                  <c:v>-1.708588564507707E-2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7EF-4C8A-9797-5E7405BD4BE1}"/>
            </c:ext>
          </c:extLst>
        </c:ser>
        <c:ser>
          <c:idx val="7"/>
          <c:order val="7"/>
          <c:tx>
            <c:strRef>
              <c:f>Données!$B$309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Données!$C$301:$E$301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Données!$C$309:$E$309</c:f>
              <c:numCache>
                <c:formatCode>0.0%</c:formatCode>
                <c:ptCount val="3"/>
                <c:pt idx="0">
                  <c:v>-1.7019438684248156E-2</c:v>
                </c:pt>
                <c:pt idx="1">
                  <c:v>-1.633581075817403E-2</c:v>
                </c:pt>
                <c:pt idx="2">
                  <c:v>-1.3693876613254385E-2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2-47FC-944C-E01F82931F8E}"/>
            </c:ext>
          </c:extLst>
        </c:ser>
        <c:ser>
          <c:idx val="6"/>
          <c:order val="6"/>
          <c:tx>
            <c:strRef>
              <c:f>Données!$B$308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Données!$C$301:$E$301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Données!$C$308:$E$308</c:f>
              <c:numCache>
                <c:formatCode>0.0%</c:formatCode>
                <c:ptCount val="3"/>
                <c:pt idx="0">
                  <c:v>-1.1804913849085552E-2</c:v>
                </c:pt>
                <c:pt idx="1">
                  <c:v>-1.5397940260816312E-2</c:v>
                </c:pt>
                <c:pt idx="2">
                  <c:v>-1.3125631640438562E-2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7EF-4C8A-9797-5E7405BD4B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Données!$B$302</c15:sqref>
                        </c15:formulaRef>
                      </c:ext>
                    </c:extLst>
                    <c:strCache>
                      <c:ptCount val="1"/>
                      <c:pt idx="0">
                        <c:v>Entreprises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Données!$C$301:$E$301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2040</c:v>
                      </c:pt>
                      <c:pt idx="2">
                        <c:v>2050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Données!$C$302:$E$302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-1.5234507961407351E-2</c:v>
                      </c:pt>
                      <c:pt idx="1">
                        <c:v>-1.6825040168695016E-2</c:v>
                      </c:pt>
                      <c:pt idx="2">
                        <c:v>-1.4172346815481851E-2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7-27EF-4C8A-9797-5E7405BD4BE1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solidFill>
            <a:schemeClr val="accent3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4.8635257171030545E-2"/>
          <c:y val="0.91284494667147675"/>
          <c:w val="0.899999957015297"/>
          <c:h val="5.7933044126384371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Investissement</a:t>
            </a:r>
          </a:p>
          <a:p>
            <a:pPr>
              <a:defRPr/>
            </a:pPr>
            <a:r>
              <a:rPr lang="fr-FR" sz="1800" baseline="0"/>
              <a:t>(contributions à l'écart en %)</a:t>
            </a:r>
            <a:endParaRPr lang="fr-FR"/>
          </a:p>
        </c:rich>
      </c:tx>
      <c:layout>
        <c:manualLayout>
          <c:xMode val="edge"/>
          <c:yMode val="edge"/>
          <c:x val="0.36169070013054455"/>
          <c:y val="1.67360922218999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37068890296E-2"/>
          <c:y val="0.15805885654508087"/>
          <c:w val="0.90465257274928901"/>
          <c:h val="0.6184027986072705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Données!$B$313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Données!$C$311:$E$311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Données!$C$313:$E$313</c:f>
              <c:numCache>
                <c:formatCode>0.0%</c:formatCode>
                <c:ptCount val="3"/>
                <c:pt idx="0">
                  <c:v>-1.2548961956542753E-3</c:v>
                </c:pt>
                <c:pt idx="1">
                  <c:v>-5.8789875250113411E-4</c:v>
                </c:pt>
                <c:pt idx="2">
                  <c:v>-3.2956955248187989E-4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CB-4AD7-9A4D-33C053D706DF}"/>
            </c:ext>
          </c:extLst>
        </c:ser>
        <c:ser>
          <c:idx val="2"/>
          <c:order val="2"/>
          <c:tx>
            <c:strRef>
              <c:f>Données!$B$314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Données!$C$311:$E$311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Données!$C$314:$E$314</c:f>
              <c:numCache>
                <c:formatCode>0.0%</c:formatCode>
                <c:ptCount val="3"/>
                <c:pt idx="0">
                  <c:v>-3.0507065460053459E-4</c:v>
                </c:pt>
                <c:pt idx="1">
                  <c:v>-2.7906152590376741E-4</c:v>
                </c:pt>
                <c:pt idx="2">
                  <c:v>-2.1230402777464678E-4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CB-4AD7-9A4D-33C053D706DF}"/>
            </c:ext>
          </c:extLst>
        </c:ser>
        <c:ser>
          <c:idx val="3"/>
          <c:order val="3"/>
          <c:tx>
            <c:strRef>
              <c:f>Données!$B$315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Données!$C$311:$E$311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Données!$C$315:$E$315</c:f>
              <c:numCache>
                <c:formatCode>0.0%</c:formatCode>
                <c:ptCount val="3"/>
                <c:pt idx="0">
                  <c:v>-3.7756962520504937E-4</c:v>
                </c:pt>
                <c:pt idx="1">
                  <c:v>-3.6058717057023198E-4</c:v>
                </c:pt>
                <c:pt idx="2">
                  <c:v>-3.4901338744420315E-4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CB-4AD7-9A4D-33C053D706DF}"/>
            </c:ext>
          </c:extLst>
        </c:ser>
        <c:ser>
          <c:idx val="4"/>
          <c:order val="4"/>
          <c:tx>
            <c:strRef>
              <c:f>Données!$B$316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Données!$C$311:$E$311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Données!$C$316:$E$316</c:f>
              <c:numCache>
                <c:formatCode>0.0%</c:formatCode>
                <c:ptCount val="3"/>
                <c:pt idx="0">
                  <c:v>-3.326573484946747E-3</c:v>
                </c:pt>
                <c:pt idx="1">
                  <c:v>-2.691951281751077E-3</c:v>
                </c:pt>
                <c:pt idx="2">
                  <c:v>-2.1916634770426748E-3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ACB-4AD7-9A4D-33C053D706DF}"/>
            </c:ext>
          </c:extLst>
        </c:ser>
        <c:ser>
          <c:idx val="5"/>
          <c:order val="5"/>
          <c:tx>
            <c:strRef>
              <c:f>Données!$B$317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Données!$C$311:$E$311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Données!$C$317:$E$317</c:f>
              <c:numCache>
                <c:formatCode>0.0%</c:formatCode>
                <c:ptCount val="3"/>
                <c:pt idx="0">
                  <c:v>-1.731419288891786E-4</c:v>
                </c:pt>
                <c:pt idx="1">
                  <c:v>-1.6237412998415586E-4</c:v>
                </c:pt>
                <c:pt idx="2">
                  <c:v>-1.3711361669597273E-4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ACB-4AD7-9A4D-33C053D706DF}"/>
            </c:ext>
          </c:extLst>
        </c:ser>
        <c:ser>
          <c:idx val="6"/>
          <c:order val="6"/>
          <c:tx>
            <c:strRef>
              <c:f>Données!$B$318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Données!$C$311:$E$311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Données!$C$318:$E$318</c:f>
              <c:numCache>
                <c:formatCode>0.0%</c:formatCode>
                <c:ptCount val="3"/>
                <c:pt idx="0">
                  <c:v>-9.2622467705651013E-3</c:v>
                </c:pt>
                <c:pt idx="1">
                  <c:v>-1.2242537568531837E-2</c:v>
                </c:pt>
                <c:pt idx="2">
                  <c:v>-1.0541691681487629E-2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ACB-4AD7-9A4D-33C053D706DF}"/>
            </c:ext>
          </c:extLst>
        </c:ser>
        <c:ser>
          <c:idx val="7"/>
          <c:order val="7"/>
          <c:tx>
            <c:strRef>
              <c:f>Données!$B$319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Données!$C$311:$E$311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Données!$C$319:$E$319</c:f>
              <c:numCache>
                <c:formatCode>0.0%</c:formatCode>
                <c:ptCount val="3"/>
                <c:pt idx="0">
                  <c:v>-5.3500929984112114E-4</c:v>
                </c:pt>
                <c:pt idx="1">
                  <c:v>-5.0062974955986756E-4</c:v>
                </c:pt>
                <c:pt idx="2">
                  <c:v>-4.1099099363827162E-4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ACB-4AD7-9A4D-33C053D706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Données!$B$312</c:f>
              <c:strCache>
                <c:ptCount val="1"/>
                <c:pt idx="0">
                  <c:v>Entreprises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Données!$C$311:$E$311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Données!$C$312:$E$312</c:f>
              <c:numCache>
                <c:formatCode>0.0%</c:formatCode>
                <c:ptCount val="3"/>
                <c:pt idx="0">
                  <c:v>-1.5234507961407351E-2</c:v>
                </c:pt>
                <c:pt idx="1">
                  <c:v>-1.6825040168695016E-2</c:v>
                </c:pt>
                <c:pt idx="2">
                  <c:v>-1.4172346815481851E-2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9ACB-4AD7-9A4D-33C053D706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solidFill>
            <a:schemeClr val="accent3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3188588077160981"/>
          <c:y val="0.8648373601251057"/>
          <c:w val="0.71410014318204573"/>
          <c:h val="0.11273515869539671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Emissions de CO2 des</a:t>
            </a:r>
            <a:r>
              <a:rPr lang="fr-FR" sz="2400" baseline="0"/>
              <a:t> entreprises (MtCO2/an)</a:t>
            </a:r>
          </a:p>
          <a:p>
            <a:pPr>
              <a:defRPr/>
            </a:pPr>
            <a:r>
              <a:rPr lang="fr-FR" sz="1800" i="1" baseline="0"/>
              <a:t>Scénario Net Zero 2050</a:t>
            </a:r>
            <a:endParaRPr lang="fr-FR" sz="1800" i="1"/>
          </a:p>
        </c:rich>
      </c:tx>
      <c:layout>
        <c:manualLayout>
          <c:xMode val="edge"/>
          <c:yMode val="edge"/>
          <c:x val="0.19666974238549709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Données!$B$586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Données!$C$585:$F$585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Données!$C$586:$F$586</c:f>
              <c:numCache>
                <c:formatCode>#,##0</c:formatCode>
                <c:ptCount val="4"/>
                <c:pt idx="0">
                  <c:v>14.456653075699998</c:v>
                </c:pt>
                <c:pt idx="1">
                  <c:v>15.121059349399998</c:v>
                </c:pt>
                <c:pt idx="2">
                  <c:v>15.745341037199999</c:v>
                </c:pt>
                <c:pt idx="3">
                  <c:v>16.013920067299999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84-46BD-89B3-C66A209FCBCA}"/>
            </c:ext>
          </c:extLst>
        </c:ser>
        <c:ser>
          <c:idx val="1"/>
          <c:order val="1"/>
          <c:tx>
            <c:strRef>
              <c:f>Données!$B$587</c:f>
              <c:strCache>
                <c:ptCount val="1"/>
                <c:pt idx="0">
                  <c:v>Alimentation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Données!$C$585:$F$585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Données!$C$587:$F$587</c:f>
              <c:numCache>
                <c:formatCode>#,##0</c:formatCode>
                <c:ptCount val="4"/>
                <c:pt idx="0">
                  <c:v>9.9099053609999999</c:v>
                </c:pt>
                <c:pt idx="1">
                  <c:v>9.7539531200000003</c:v>
                </c:pt>
                <c:pt idx="2">
                  <c:v>10.18812323</c:v>
                </c:pt>
                <c:pt idx="3">
                  <c:v>10.38552095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84-46BD-89B3-C66A209FCBCA}"/>
            </c:ext>
          </c:extLst>
        </c:ser>
        <c:ser>
          <c:idx val="2"/>
          <c:order val="2"/>
          <c:tx>
            <c:strRef>
              <c:f>Données!$B$588</c:f>
              <c:strCache>
                <c:ptCount val="1"/>
                <c:pt idx="0">
                  <c:v>Verre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Données!$C$585:$F$585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Données!$C$588:$F$588</c:f>
              <c:numCache>
                <c:formatCode>#,##0</c:formatCode>
                <c:ptCount val="4"/>
                <c:pt idx="0">
                  <c:v>22.300054793000001</c:v>
                </c:pt>
                <c:pt idx="1">
                  <c:v>25.008115602</c:v>
                </c:pt>
                <c:pt idx="2">
                  <c:v>28.719629308999998</c:v>
                </c:pt>
                <c:pt idx="3">
                  <c:v>33.500673216000003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84-46BD-89B3-C66A209FCBCA}"/>
            </c:ext>
          </c:extLst>
        </c:ser>
        <c:ser>
          <c:idx val="3"/>
          <c:order val="3"/>
          <c:tx>
            <c:strRef>
              <c:f>Données!$B$589</c:f>
              <c:strCache>
                <c:ptCount val="1"/>
                <c:pt idx="0">
                  <c:v>Chimie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Données!$C$585:$F$585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Données!$C$589:$F$589</c:f>
              <c:numCache>
                <c:formatCode>#,##0</c:formatCode>
                <c:ptCount val="4"/>
                <c:pt idx="0">
                  <c:v>6.6438906850000006</c:v>
                </c:pt>
                <c:pt idx="1">
                  <c:v>7.4535029230000003</c:v>
                </c:pt>
                <c:pt idx="2">
                  <c:v>8.6073361300000002</c:v>
                </c:pt>
                <c:pt idx="3">
                  <c:v>9.9050930479999995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84-46BD-89B3-C66A209FCBCA}"/>
            </c:ext>
          </c:extLst>
        </c:ser>
        <c:ser>
          <c:idx val="4"/>
          <c:order val="4"/>
          <c:tx>
            <c:strRef>
              <c:f>Données!$B$590</c:f>
              <c:strCache>
                <c:ptCount val="1"/>
                <c:pt idx="0">
                  <c:v>Métallurgie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Données!$C$585:$F$585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Données!$C$590:$F$590</c:f>
              <c:numCache>
                <c:formatCode>#,##0</c:formatCode>
                <c:ptCount val="4"/>
                <c:pt idx="0">
                  <c:v>22.121164692000001</c:v>
                </c:pt>
                <c:pt idx="1">
                  <c:v>25.159545525999999</c:v>
                </c:pt>
                <c:pt idx="2">
                  <c:v>29.002228860000002</c:v>
                </c:pt>
                <c:pt idx="3">
                  <c:v>33.363603980000001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84-46BD-89B3-C66A209FCBCA}"/>
            </c:ext>
          </c:extLst>
        </c:ser>
        <c:ser>
          <c:idx val="5"/>
          <c:order val="5"/>
          <c:tx>
            <c:strRef>
              <c:f>Données!$B$591</c:f>
              <c:strCache>
                <c:ptCount val="1"/>
                <c:pt idx="0">
                  <c:v>Autres industries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Données!$C$585:$F$585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Données!$C$591:$F$591</c:f>
              <c:numCache>
                <c:formatCode>#,##0</c:formatCode>
                <c:ptCount val="4"/>
                <c:pt idx="0">
                  <c:v>19.160849740099998</c:v>
                </c:pt>
                <c:pt idx="1">
                  <c:v>21.484861159000001</c:v>
                </c:pt>
                <c:pt idx="2">
                  <c:v>24.722777902099999</c:v>
                </c:pt>
                <c:pt idx="3">
                  <c:v>28.873015622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84-46BD-89B3-C66A209FCBCA}"/>
            </c:ext>
          </c:extLst>
        </c:ser>
        <c:ser>
          <c:idx val="6"/>
          <c:order val="6"/>
          <c:tx>
            <c:strRef>
              <c:f>Données!$B$592</c:f>
              <c:strCache>
                <c:ptCount val="1"/>
                <c:pt idx="0">
                  <c:v>Routier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Données!$C$585:$F$585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Données!$C$592:$F$592</c:f>
              <c:numCache>
                <c:formatCode>#,##0</c:formatCode>
                <c:ptCount val="4"/>
                <c:pt idx="0">
                  <c:v>16.232448120000001</c:v>
                </c:pt>
                <c:pt idx="1">
                  <c:v>17.973839510000001</c:v>
                </c:pt>
                <c:pt idx="2">
                  <c:v>20.40524177</c:v>
                </c:pt>
                <c:pt idx="3">
                  <c:v>23.015665569999999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84-46BD-89B3-C66A209FCBCA}"/>
            </c:ext>
          </c:extLst>
        </c:ser>
        <c:ser>
          <c:idx val="7"/>
          <c:order val="7"/>
          <c:tx>
            <c:strRef>
              <c:f>Données!$B$593</c:f>
              <c:strCache>
                <c:ptCount val="1"/>
                <c:pt idx="0">
                  <c:v>Aérien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Données!$C$585:$F$585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Données!$C$593:$F$593</c:f>
              <c:numCache>
                <c:formatCode>#,##0</c:formatCode>
                <c:ptCount val="4"/>
                <c:pt idx="0">
                  <c:v>21.536563260000001</c:v>
                </c:pt>
                <c:pt idx="1">
                  <c:v>25.348126279999999</c:v>
                </c:pt>
                <c:pt idx="2">
                  <c:v>30.01812352</c:v>
                </c:pt>
                <c:pt idx="3">
                  <c:v>35.267655329999997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84-46BD-89B3-C66A209FCBCA}"/>
            </c:ext>
          </c:extLst>
        </c:ser>
        <c:ser>
          <c:idx val="8"/>
          <c:order val="8"/>
          <c:tx>
            <c:strRef>
              <c:f>Données!$B$594</c:f>
              <c:strCache>
                <c:ptCount val="1"/>
                <c:pt idx="0">
                  <c:v>Autres transports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Données!$C$585:$F$585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Données!$C$594:$F$594</c:f>
              <c:numCache>
                <c:formatCode>#,##0</c:formatCode>
                <c:ptCount val="4"/>
                <c:pt idx="0">
                  <c:v>9.8322431670000014</c:v>
                </c:pt>
                <c:pt idx="1">
                  <c:v>11.083546663</c:v>
                </c:pt>
                <c:pt idx="2">
                  <c:v>12.708034952</c:v>
                </c:pt>
                <c:pt idx="3">
                  <c:v>14.469920026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84-46BD-89B3-C66A209FCBCA}"/>
            </c:ext>
          </c:extLst>
        </c:ser>
        <c:ser>
          <c:idx val="9"/>
          <c:order val="9"/>
          <c:tx>
            <c:strRef>
              <c:f>Données!$B$595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Données!$C$585:$F$585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Données!$C$595:$F$595</c:f>
              <c:numCache>
                <c:formatCode>#,##0</c:formatCode>
                <c:ptCount val="4"/>
                <c:pt idx="0">
                  <c:v>58.175589744500002</c:v>
                </c:pt>
                <c:pt idx="1">
                  <c:v>68.816568244600006</c:v>
                </c:pt>
                <c:pt idx="2">
                  <c:v>81.915233802700001</c:v>
                </c:pt>
                <c:pt idx="3">
                  <c:v>94.990099312599995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C84-46BD-89B3-C66A209FCBCA}"/>
            </c:ext>
          </c:extLst>
        </c:ser>
        <c:ser>
          <c:idx val="10"/>
          <c:order val="10"/>
          <c:tx>
            <c:strRef>
              <c:f>Données!$B$596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Données!$C$585:$F$585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Données!$C$596:$F$596</c:f>
              <c:numCache>
                <c:formatCode>#,##0</c:formatCode>
                <c:ptCount val="4"/>
                <c:pt idx="0">
                  <c:v>40.424070088600004</c:v>
                </c:pt>
                <c:pt idx="1">
                  <c:v>45.712046892700002</c:v>
                </c:pt>
                <c:pt idx="2">
                  <c:v>51.241287462100004</c:v>
                </c:pt>
                <c:pt idx="3">
                  <c:v>57.0437076033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C84-46BD-89B3-C66A209FCBCA}"/>
            </c:ext>
          </c:extLst>
        </c:ser>
        <c:ser>
          <c:idx val="11"/>
          <c:order val="11"/>
          <c:tx>
            <c:strRef>
              <c:f>Données!$B$597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Données!$C$585:$F$585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Données!$C$597:$F$597</c:f>
              <c:numCache>
                <c:formatCode>#,##0</c:formatCode>
                <c:ptCount val="4"/>
                <c:pt idx="0">
                  <c:v>9.8811377836000016</c:v>
                </c:pt>
                <c:pt idx="1">
                  <c:v>10.618508241100001</c:v>
                </c:pt>
                <c:pt idx="2">
                  <c:v>11.581805420999999</c:v>
                </c:pt>
                <c:pt idx="3">
                  <c:v>12.5774166689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C84-46BD-89B3-C66A209FC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882840"/>
        <c:axId val="956883496"/>
      </c:barChart>
      <c:catAx>
        <c:axId val="956882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3496"/>
        <c:crosses val="autoZero"/>
        <c:auto val="1"/>
        <c:lblAlgn val="ctr"/>
        <c:lblOffset val="100"/>
        <c:noMultiLvlLbl val="0"/>
      </c:catAx>
      <c:valAx>
        <c:axId val="95688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284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0024052171481532"/>
          <c:y val="0.80979270012578475"/>
          <c:w val="0.80772028746364921"/>
          <c:h val="0.17134700613875334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Intensité capitalistique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d'écart au tendanciel)</a:t>
            </a:r>
            <a:endParaRPr lang="fr-FR" sz="1800"/>
          </a:p>
        </c:rich>
      </c:tx>
      <c:layout>
        <c:manualLayout>
          <c:xMode val="edge"/>
          <c:yMode val="edge"/>
          <c:x val="0.35804860624249651"/>
          <c:y val="2.29979513366439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1648261333239339E-2"/>
          <c:y val="0.15917119939255037"/>
          <c:w val="0.90333933113222997"/>
          <c:h val="0.65577656503335136"/>
        </c:manualLayout>
      </c:layout>
      <c:lineChart>
        <c:grouping val="standard"/>
        <c:varyColors val="0"/>
        <c:ser>
          <c:idx val="1"/>
          <c:order val="1"/>
          <c:tx>
            <c:strRef>
              <c:f>Données!$B$201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Données!$C$199:$AL$199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Données!$C$201:$AL$201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3.9014662298038072E-3</c:v>
                </c:pt>
                <c:pt idx="7">
                  <c:v>1.4901132472303624E-2</c:v>
                </c:pt>
                <c:pt idx="8">
                  <c:v>2.9910000297193484E-2</c:v>
                </c:pt>
                <c:pt idx="9">
                  <c:v>4.3272411109344766E-2</c:v>
                </c:pt>
                <c:pt idx="10">
                  <c:v>5.2167181413352193E-2</c:v>
                </c:pt>
                <c:pt idx="11">
                  <c:v>5.5585917583453659E-2</c:v>
                </c:pt>
                <c:pt idx="12">
                  <c:v>5.4007333458779394E-2</c:v>
                </c:pt>
                <c:pt idx="13">
                  <c:v>4.8754007553371892E-2</c:v>
                </c:pt>
                <c:pt idx="14">
                  <c:v>4.1441263049339039E-2</c:v>
                </c:pt>
                <c:pt idx="15">
                  <c:v>3.3546665190674174E-2</c:v>
                </c:pt>
                <c:pt idx="16">
                  <c:v>2.6189242462764772E-2</c:v>
                </c:pt>
                <c:pt idx="17">
                  <c:v>2.0072394346277278E-2</c:v>
                </c:pt>
                <c:pt idx="18">
                  <c:v>1.5532870434490142E-2</c:v>
                </c:pt>
                <c:pt idx="19">
                  <c:v>1.2629284136221441E-2</c:v>
                </c:pt>
                <c:pt idx="20">
                  <c:v>1.123013839551823E-2</c:v>
                </c:pt>
                <c:pt idx="21">
                  <c:v>1.1078086013209809E-2</c:v>
                </c:pt>
                <c:pt idx="22">
                  <c:v>1.1846264421490726E-2</c:v>
                </c:pt>
                <c:pt idx="23">
                  <c:v>1.3186226965312686E-2</c:v>
                </c:pt>
                <c:pt idx="24">
                  <c:v>1.4763179418471717E-2</c:v>
                </c:pt>
                <c:pt idx="25">
                  <c:v>1.6296469772333788E-2</c:v>
                </c:pt>
                <c:pt idx="26">
                  <c:v>1.7576448339217565E-2</c:v>
                </c:pt>
                <c:pt idx="27">
                  <c:v>1.8476424898954624E-2</c:v>
                </c:pt>
                <c:pt idx="28">
                  <c:v>1.8967164743090681E-2</c:v>
                </c:pt>
                <c:pt idx="29">
                  <c:v>1.9089780649665267E-2</c:v>
                </c:pt>
                <c:pt idx="30">
                  <c:v>1.8934499326641152E-2</c:v>
                </c:pt>
                <c:pt idx="31">
                  <c:v>1.8615542139813757E-2</c:v>
                </c:pt>
                <c:pt idx="32">
                  <c:v>1.8248396567132064E-2</c:v>
                </c:pt>
                <c:pt idx="33">
                  <c:v>1.7933014652318002E-2</c:v>
                </c:pt>
                <c:pt idx="34">
                  <c:v>1.7744067544266606E-2</c:v>
                </c:pt>
                <c:pt idx="35">
                  <c:v>1.7727745199459521E-2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BC-46A1-8051-5FF16B24E7D2}"/>
            </c:ext>
          </c:extLst>
        </c:ser>
        <c:ser>
          <c:idx val="2"/>
          <c:order val="2"/>
          <c:tx>
            <c:strRef>
              <c:f>Données!$B$204</c:f>
              <c:strCache>
                <c:ptCount val="1"/>
                <c:pt idx="0">
                  <c:v>Industrie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Données!$C$199:$AL$199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Données!$C$204:$AL$204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6.892449370389464E-3</c:v>
                </c:pt>
                <c:pt idx="7">
                  <c:v>1.3928026014268458E-2</c:v>
                </c:pt>
                <c:pt idx="8">
                  <c:v>1.9780336642567953E-2</c:v>
                </c:pt>
                <c:pt idx="9">
                  <c:v>2.2865344072125371E-2</c:v>
                </c:pt>
                <c:pt idx="10">
                  <c:v>2.2916712379843052E-2</c:v>
                </c:pt>
                <c:pt idx="11">
                  <c:v>2.0658968441778169E-2</c:v>
                </c:pt>
                <c:pt idx="12">
                  <c:v>1.7091123132213282E-2</c:v>
                </c:pt>
                <c:pt idx="13">
                  <c:v>1.3238371917548841E-2</c:v>
                </c:pt>
                <c:pt idx="14">
                  <c:v>9.8437950594953971E-3</c:v>
                </c:pt>
                <c:pt idx="15">
                  <c:v>7.244150900133528E-3</c:v>
                </c:pt>
                <c:pt idx="16">
                  <c:v>5.4281565357754413E-3</c:v>
                </c:pt>
                <c:pt idx="17">
                  <c:v>4.1859633423073639E-3</c:v>
                </c:pt>
                <c:pt idx="18">
                  <c:v>3.2630673310252156E-3</c:v>
                </c:pt>
                <c:pt idx="19">
                  <c:v>2.4701014854333625E-3</c:v>
                </c:pt>
                <c:pt idx="20">
                  <c:v>1.7321104778751373E-3</c:v>
                </c:pt>
                <c:pt idx="21">
                  <c:v>1.0335949400417377E-3</c:v>
                </c:pt>
                <c:pt idx="22">
                  <c:v>4.3436897134374597E-4</c:v>
                </c:pt>
                <c:pt idx="23">
                  <c:v>-2.2481837428145468E-5</c:v>
                </c:pt>
                <c:pt idx="24">
                  <c:v>-3.3025886584792108E-4</c:v>
                </c:pt>
                <c:pt idx="25">
                  <c:v>-4.9084008405020363E-4</c:v>
                </c:pt>
                <c:pt idx="26">
                  <c:v>-6.1427035279004727E-4</c:v>
                </c:pt>
                <c:pt idx="27">
                  <c:v>-7.1727133919841091E-4</c:v>
                </c:pt>
                <c:pt idx="28">
                  <c:v>-8.1837698061815178E-4</c:v>
                </c:pt>
                <c:pt idx="29">
                  <c:v>-9.210803338483009E-4</c:v>
                </c:pt>
                <c:pt idx="30">
                  <c:v>-1.0146023696722128E-3</c:v>
                </c:pt>
                <c:pt idx="31">
                  <c:v>-1.0827402690832821E-3</c:v>
                </c:pt>
                <c:pt idx="32">
                  <c:v>-1.1127872131158068E-3</c:v>
                </c:pt>
                <c:pt idx="33">
                  <c:v>-1.1007728732962407E-3</c:v>
                </c:pt>
                <c:pt idx="34">
                  <c:v>-1.0519567812398156E-3</c:v>
                </c:pt>
                <c:pt idx="35">
                  <c:v>-9.7760597556495465E-4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BC-46A1-8051-5FF16B24E7D2}"/>
            </c:ext>
          </c:extLst>
        </c:ser>
        <c:ser>
          <c:idx val="3"/>
          <c:order val="3"/>
          <c:tx>
            <c:strRef>
              <c:f>Données!$B$207</c:f>
              <c:strCache>
                <c:ptCount val="1"/>
                <c:pt idx="0">
                  <c:v>Transports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Données!$C$199:$AL$199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Données!$C$207:$AL$207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6.0458879358191719E-3</c:v>
                </c:pt>
                <c:pt idx="7">
                  <c:v>1.0907037290314614E-2</c:v>
                </c:pt>
                <c:pt idx="8">
                  <c:v>1.3922060700452876E-2</c:v>
                </c:pt>
                <c:pt idx="9">
                  <c:v>1.4409686309682534E-2</c:v>
                </c:pt>
                <c:pt idx="10">
                  <c:v>1.2599510819747195E-2</c:v>
                </c:pt>
                <c:pt idx="11">
                  <c:v>9.352724715775862E-3</c:v>
                </c:pt>
                <c:pt idx="12">
                  <c:v>5.6846993735231166E-3</c:v>
                </c:pt>
                <c:pt idx="13">
                  <c:v>2.45675596335726E-3</c:v>
                </c:pt>
                <c:pt idx="14">
                  <c:v>1.7055944122024158E-4</c:v>
                </c:pt>
                <c:pt idx="15">
                  <c:v>-1.0695040108379406E-3</c:v>
                </c:pt>
                <c:pt idx="16">
                  <c:v>-1.4753078745162185E-3</c:v>
                </c:pt>
                <c:pt idx="17">
                  <c:v>-1.4136319093916994E-3</c:v>
                </c:pt>
                <c:pt idx="18">
                  <c:v>-1.235925910712643E-3</c:v>
                </c:pt>
                <c:pt idx="19">
                  <c:v>-1.1696918316996818E-3</c:v>
                </c:pt>
                <c:pt idx="20">
                  <c:v>-1.2960877540654225E-3</c:v>
                </c:pt>
                <c:pt idx="21">
                  <c:v>-1.5650437993375288E-3</c:v>
                </c:pt>
                <c:pt idx="22">
                  <c:v>-1.8921343554484382E-3</c:v>
                </c:pt>
                <c:pt idx="23">
                  <c:v>-2.1924975437667138E-3</c:v>
                </c:pt>
                <c:pt idx="24">
                  <c:v>-2.4220817071284317E-3</c:v>
                </c:pt>
                <c:pt idx="25">
                  <c:v>-2.5862874009374703E-3</c:v>
                </c:pt>
                <c:pt idx="26">
                  <c:v>-2.7057689271458019E-3</c:v>
                </c:pt>
                <c:pt idx="27">
                  <c:v>-2.8140393310198686E-3</c:v>
                </c:pt>
                <c:pt idx="28">
                  <c:v>-2.9230328603679911E-3</c:v>
                </c:pt>
                <c:pt idx="29">
                  <c:v>-3.0286993355188585E-3</c:v>
                </c:pt>
                <c:pt idx="30">
                  <c:v>-3.1161948008767704E-3</c:v>
                </c:pt>
                <c:pt idx="31">
                  <c:v>-3.1687586966456793E-3</c:v>
                </c:pt>
                <c:pt idx="32">
                  <c:v>-3.1756778731389934E-3</c:v>
                </c:pt>
                <c:pt idx="33">
                  <c:v>-3.1362973765426405E-3</c:v>
                </c:pt>
                <c:pt idx="34">
                  <c:v>-3.059306953176022E-3</c:v>
                </c:pt>
                <c:pt idx="35">
                  <c:v>-2.9586450155995037E-3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BC-46A1-8051-5FF16B24E7D2}"/>
            </c:ext>
          </c:extLst>
        </c:ser>
        <c:ser>
          <c:idx val="4"/>
          <c:order val="4"/>
          <c:tx>
            <c:strRef>
              <c:f>Données!$B$206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Données!$C$199:$AL$199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Données!$C$206:$AL$206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8.8193608508411181E-3</c:v>
                </c:pt>
                <c:pt idx="7">
                  <c:v>1.448657763642891E-2</c:v>
                </c:pt>
                <c:pt idx="8">
                  <c:v>1.7052805149464945E-2</c:v>
                </c:pt>
                <c:pt idx="9">
                  <c:v>1.6080498099827256E-2</c:v>
                </c:pt>
                <c:pt idx="10">
                  <c:v>1.2361213270470683E-2</c:v>
                </c:pt>
                <c:pt idx="11">
                  <c:v>7.3121015046624382E-3</c:v>
                </c:pt>
                <c:pt idx="12">
                  <c:v>2.3719507971617926E-3</c:v>
                </c:pt>
                <c:pt idx="13">
                  <c:v>-1.4008339889377552E-3</c:v>
                </c:pt>
                <c:pt idx="14">
                  <c:v>-3.539642272733734E-3</c:v>
                </c:pt>
                <c:pt idx="15">
                  <c:v>-4.1213295450109877E-3</c:v>
                </c:pt>
                <c:pt idx="16">
                  <c:v>-3.6178041612227041E-3</c:v>
                </c:pt>
                <c:pt idx="17">
                  <c:v>-2.6459069071160801E-3</c:v>
                </c:pt>
                <c:pt idx="18">
                  <c:v>-1.7192201819880015E-3</c:v>
                </c:pt>
                <c:pt idx="19">
                  <c:v>-1.122686823993746E-3</c:v>
                </c:pt>
                <c:pt idx="20">
                  <c:v>-9.2666749693748329E-4</c:v>
                </c:pt>
                <c:pt idx="21">
                  <c:v>-9.9664692384759945E-4</c:v>
                </c:pt>
                <c:pt idx="22">
                  <c:v>-1.2091577080988181E-3</c:v>
                </c:pt>
                <c:pt idx="23">
                  <c:v>-1.4426110879544041E-3</c:v>
                </c:pt>
                <c:pt idx="24">
                  <c:v>-1.6424666167444979E-3</c:v>
                </c:pt>
                <c:pt idx="25">
                  <c:v>-1.8405062821856832E-3</c:v>
                </c:pt>
                <c:pt idx="26">
                  <c:v>-2.0235731856066419E-3</c:v>
                </c:pt>
                <c:pt idx="27">
                  <c:v>-2.2471491527981113E-3</c:v>
                </c:pt>
                <c:pt idx="28">
                  <c:v>-2.5127826688050581E-3</c:v>
                </c:pt>
                <c:pt idx="29">
                  <c:v>-2.8000069462080779E-3</c:v>
                </c:pt>
                <c:pt idx="30">
                  <c:v>-3.0769415331219907E-3</c:v>
                </c:pt>
                <c:pt idx="31">
                  <c:v>-3.3137659384784302E-3</c:v>
                </c:pt>
                <c:pt idx="32">
                  <c:v>-3.4930328216653539E-3</c:v>
                </c:pt>
                <c:pt idx="33">
                  <c:v>-3.6133415109216305E-3</c:v>
                </c:pt>
                <c:pt idx="34">
                  <c:v>-3.6862988051413748E-3</c:v>
                </c:pt>
                <c:pt idx="35">
                  <c:v>-3.7296110628830537E-3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BC-46A1-8051-5FF16B24E7D2}"/>
            </c:ext>
          </c:extLst>
        </c:ser>
        <c:ser>
          <c:idx val="5"/>
          <c:order val="5"/>
          <c:tx>
            <c:strRef>
              <c:f>Données!$B$205</c:f>
              <c:strCache>
                <c:ptCount val="1"/>
                <c:pt idx="0">
                  <c:v>Oil &amp; Gas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Données!$C$199:$AL$199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Données!$C$205:$AL$205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-6.1219491432138451E-3</c:v>
                </c:pt>
                <c:pt idx="7">
                  <c:v>-6.8939814824602319E-3</c:v>
                </c:pt>
                <c:pt idx="8">
                  <c:v>-5.4656017421624847E-3</c:v>
                </c:pt>
                <c:pt idx="9">
                  <c:v>-2.5987329497950684E-3</c:v>
                </c:pt>
                <c:pt idx="10">
                  <c:v>8.8352115138978782E-4</c:v>
                </c:pt>
                <c:pt idx="11">
                  <c:v>4.0531944703039446E-3</c:v>
                </c:pt>
                <c:pt idx="12">
                  <c:v>6.2772958073420426E-3</c:v>
                </c:pt>
                <c:pt idx="13">
                  <c:v>7.2451871977732285E-3</c:v>
                </c:pt>
                <c:pt idx="14">
                  <c:v>7.0045559075395669E-3</c:v>
                </c:pt>
                <c:pt idx="15">
                  <c:v>5.8754837914165581E-3</c:v>
                </c:pt>
                <c:pt idx="16">
                  <c:v>4.2944044342496657E-3</c:v>
                </c:pt>
                <c:pt idx="17">
                  <c:v>2.6347868462881507E-3</c:v>
                </c:pt>
                <c:pt idx="18">
                  <c:v>1.1230223478539969E-3</c:v>
                </c:pt>
                <c:pt idx="19">
                  <c:v>-1.6658821963000392E-4</c:v>
                </c:pt>
                <c:pt idx="20">
                  <c:v>-1.2570381284056076E-3</c:v>
                </c:pt>
                <c:pt idx="21">
                  <c:v>-2.2436063072083234E-3</c:v>
                </c:pt>
                <c:pt idx="22">
                  <c:v>-3.1819847783260968E-3</c:v>
                </c:pt>
                <c:pt idx="23">
                  <c:v>-4.0988495864668906E-3</c:v>
                </c:pt>
                <c:pt idx="24">
                  <c:v>-4.9836918353971527E-3</c:v>
                </c:pt>
                <c:pt idx="25">
                  <c:v>-5.7901158058744073E-3</c:v>
                </c:pt>
                <c:pt idx="26">
                  <c:v>-6.5150627311221232E-3</c:v>
                </c:pt>
                <c:pt idx="27">
                  <c:v>-7.139795349020317E-3</c:v>
                </c:pt>
                <c:pt idx="28">
                  <c:v>-7.6730799214159706E-3</c:v>
                </c:pt>
                <c:pt idx="29">
                  <c:v>-8.134637534263689E-3</c:v>
                </c:pt>
                <c:pt idx="30">
                  <c:v>-8.5476866617789637E-3</c:v>
                </c:pt>
                <c:pt idx="31">
                  <c:v>-8.9314000422775486E-3</c:v>
                </c:pt>
                <c:pt idx="32">
                  <c:v>-9.2959963527822209E-3</c:v>
                </c:pt>
                <c:pt idx="33">
                  <c:v>-9.642896566176451E-3</c:v>
                </c:pt>
                <c:pt idx="34">
                  <c:v>-9.9684919022084983E-3</c:v>
                </c:pt>
                <c:pt idx="35">
                  <c:v>-1.0268092430480436E-2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BC-46A1-8051-5FF16B24E7D2}"/>
            </c:ext>
          </c:extLst>
        </c:ser>
        <c:ser>
          <c:idx val="6"/>
          <c:order val="6"/>
          <c:tx>
            <c:strRef>
              <c:f>Données!$B$203</c:f>
              <c:strCache>
                <c:ptCount val="1"/>
                <c:pt idx="0">
                  <c:v>Electricity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Données!$C$199:$AL$199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Données!$C$203:$AL$203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-8.8243152550920856E-3</c:v>
                </c:pt>
                <c:pt idx="7">
                  <c:v>-8.5123843236745156E-3</c:v>
                </c:pt>
                <c:pt idx="8">
                  <c:v>-4.334513533344353E-3</c:v>
                </c:pt>
                <c:pt idx="9">
                  <c:v>2.2105118362758525E-3</c:v>
                </c:pt>
                <c:pt idx="10">
                  <c:v>9.6023477113591493E-3</c:v>
                </c:pt>
                <c:pt idx="11">
                  <c:v>1.6081281883280729E-2</c:v>
                </c:pt>
                <c:pt idx="12">
                  <c:v>2.0491779658908138E-2</c:v>
                </c:pt>
                <c:pt idx="13">
                  <c:v>2.2338693723028991E-2</c:v>
                </c:pt>
                <c:pt idx="14">
                  <c:v>2.183467401544581E-2</c:v>
                </c:pt>
                <c:pt idx="15">
                  <c:v>1.9707068160488284E-2</c:v>
                </c:pt>
                <c:pt idx="16">
                  <c:v>1.6911238588550148E-2</c:v>
                </c:pt>
                <c:pt idx="17">
                  <c:v>1.4170862993613476E-2</c:v>
                </c:pt>
                <c:pt idx="18">
                  <c:v>1.1864321686299029E-2</c:v>
                </c:pt>
                <c:pt idx="19">
                  <c:v>1.0053887153502972E-2</c:v>
                </c:pt>
                <c:pt idx="20">
                  <c:v>8.6188598632170876E-3</c:v>
                </c:pt>
                <c:pt idx="21">
                  <c:v>7.3390859842599188E-3</c:v>
                </c:pt>
                <c:pt idx="22">
                  <c:v>6.0848299285263252E-3</c:v>
                </c:pt>
                <c:pt idx="23">
                  <c:v>4.8213384395576764E-3</c:v>
                </c:pt>
                <c:pt idx="24">
                  <c:v>3.5864134342991072E-3</c:v>
                </c:pt>
                <c:pt idx="25">
                  <c:v>2.4846523238404306E-3</c:v>
                </c:pt>
                <c:pt idx="26">
                  <c:v>1.5507326627055562E-3</c:v>
                </c:pt>
                <c:pt idx="27">
                  <c:v>8.0405327175370189E-4</c:v>
                </c:pt>
                <c:pt idx="28">
                  <c:v>2.1481833351177926E-4</c:v>
                </c:pt>
                <c:pt idx="29">
                  <c:v>-2.5804423317965508E-4</c:v>
                </c:pt>
                <c:pt idx="30">
                  <c:v>-6.6180106584257103E-4</c:v>
                </c:pt>
                <c:pt idx="31">
                  <c:v>-1.0317856831209005E-3</c:v>
                </c:pt>
                <c:pt idx="32">
                  <c:v>-1.3827974804504484E-3</c:v>
                </c:pt>
                <c:pt idx="33">
                  <c:v>-1.7054798741470423E-3</c:v>
                </c:pt>
                <c:pt idx="34">
                  <c:v>-1.9869907217890947E-3</c:v>
                </c:pt>
                <c:pt idx="35">
                  <c:v>-2.2146939964899914E-3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BC-46A1-8051-5FF16B24E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Données!$B$200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ln w="38100" cap="rnd">
                    <a:solidFill>
                      <a:schemeClr val="tx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Données!$C$199:$AL$199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Données!$C$200:$AL$200</c15:sqref>
                        </c15:formulaRef>
                      </c:ext>
                    </c:extLst>
                    <c:numCache>
                      <c:formatCode>0%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8.1535948544682046E-3</c:v>
                      </c:pt>
                      <c:pt idx="7">
                        <c:v>1.4276016931831004E-2</c:v>
                      </c:pt>
                      <c:pt idx="8">
                        <c:v>1.7953773916966398E-2</c:v>
                      </c:pt>
                      <c:pt idx="9">
                        <c:v>1.835833531328479E-2</c:v>
                      </c:pt>
                      <c:pt idx="10">
                        <c:v>1.588296656374788E-2</c:v>
                      </c:pt>
                      <c:pt idx="11">
                        <c:v>1.1800798933352397E-2</c:v>
                      </c:pt>
                      <c:pt idx="12">
                        <c:v>7.3402928527939171E-3</c:v>
                      </c:pt>
                      <c:pt idx="13">
                        <c:v>3.584194141769137E-3</c:v>
                      </c:pt>
                      <c:pt idx="14">
                        <c:v>1.11366269081703E-3</c:v>
                      </c:pt>
                      <c:pt idx="15">
                        <c:v>-2.4570244163024668E-5</c:v>
                      </c:pt>
                      <c:pt idx="16">
                        <c:v>-1.6644176215596662E-4</c:v>
                      </c:pt>
                      <c:pt idx="17">
                        <c:v>1.9969392596541624E-4</c:v>
                      </c:pt>
                      <c:pt idx="18">
                        <c:v>6.3941849585358312E-4</c:v>
                      </c:pt>
                      <c:pt idx="19">
                        <c:v>8.9186322701895193E-4</c:v>
                      </c:pt>
                      <c:pt idx="20">
                        <c:v>8.91037894825919E-4</c:v>
                      </c:pt>
                      <c:pt idx="21">
                        <c:v>6.8901048651937025E-4</c:v>
                      </c:pt>
                      <c:pt idx="22">
                        <c:v>4.0814440850156508E-4</c:v>
                      </c:pt>
                      <c:pt idx="23">
                        <c:v>1.435865767283051E-4</c:v>
                      </c:pt>
                      <c:pt idx="24">
                        <c:v>-6.5778480757061608E-5</c:v>
                      </c:pt>
                      <c:pt idx="25">
                        <c:v>-2.1030446922531976E-4</c:v>
                      </c:pt>
                      <c:pt idx="26">
                        <c:v>-3.8636388249246867E-4</c:v>
                      </c:pt>
                      <c:pt idx="27">
                        <c:v>-5.9585336422829371E-4</c:v>
                      </c:pt>
                      <c:pt idx="28">
                        <c:v>-8.4557861164180625E-4</c:v>
                      </c:pt>
                      <c:pt idx="29">
                        <c:v>-1.1205376506492337E-3</c:v>
                      </c:pt>
                      <c:pt idx="30">
                        <c:v>-1.3924076030148447E-3</c:v>
                      </c:pt>
                      <c:pt idx="31">
                        <c:v>-1.6323358681233913E-3</c:v>
                      </c:pt>
                      <c:pt idx="32">
                        <c:v>-1.8214525669073556E-3</c:v>
                      </c:pt>
                      <c:pt idx="33">
                        <c:v>-1.9553762064905555E-3</c:v>
                      </c:pt>
                      <c:pt idx="34">
                        <c:v>-2.0424738945946652E-3</c:v>
                      </c:pt>
                      <c:pt idx="35">
                        <c:v>-2.0978994254005068E-3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7BC-46A1-8051-5FF16B24E7D2}"/>
                  </c:ext>
                </c:extLst>
              </c15:ser>
            </c15:filteredLineSeries>
          </c:ext>
        </c:extLst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0000021492351526E-2"/>
          <c:y val="0.90658308755673267"/>
          <c:w val="0.899999957015297"/>
          <c:h val="5.7933044126384371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Intensité</a:t>
            </a:r>
            <a:r>
              <a:rPr lang="fr-FR" sz="2400" baseline="0"/>
              <a:t> énergétique</a:t>
            </a:r>
            <a:endParaRPr lang="fr-FR" sz="2400"/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d'écart au tendanciel)</a:t>
            </a:r>
            <a:endParaRPr lang="fr-FR" sz="1800"/>
          </a:p>
        </c:rich>
      </c:tx>
      <c:layout>
        <c:manualLayout>
          <c:xMode val="edge"/>
          <c:yMode val="edge"/>
          <c:x val="0.35804860624249651"/>
          <c:y val="1.88233785934812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Données!$B$265</c:f>
              <c:strCache>
                <c:ptCount val="1"/>
                <c:pt idx="0">
                  <c:v>Entreprises</c:v>
                </c:pt>
              </c:strCache>
            </c:strRef>
          </c:tx>
          <c:spPr>
            <a:ln w="412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Données!$C$264:$AL$264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Données!$C$265:$AL$265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2.9021076274311275E-2</c:v>
                </c:pt>
                <c:pt idx="7">
                  <c:v>4.0477913874636728E-2</c:v>
                </c:pt>
                <c:pt idx="8">
                  <c:v>4.2103575967069595E-2</c:v>
                </c:pt>
                <c:pt idx="9">
                  <c:v>3.4703278554957695E-2</c:v>
                </c:pt>
                <c:pt idx="10">
                  <c:v>2.1025583079874011E-2</c:v>
                </c:pt>
                <c:pt idx="11">
                  <c:v>5.438505872148669E-3</c:v>
                </c:pt>
                <c:pt idx="12">
                  <c:v>-8.6043986354890079E-3</c:v>
                </c:pt>
                <c:pt idx="13">
                  <c:v>-1.8753010917657242E-2</c:v>
                </c:pt>
                <c:pt idx="14">
                  <c:v>-2.4259763961749892E-2</c:v>
                </c:pt>
                <c:pt idx="15">
                  <c:v>-2.5715286070785437E-2</c:v>
                </c:pt>
                <c:pt idx="16">
                  <c:v>-2.4488366264807326E-2</c:v>
                </c:pt>
                <c:pt idx="17">
                  <c:v>-2.2102961084300543E-2</c:v>
                </c:pt>
                <c:pt idx="18">
                  <c:v>-1.9739965453951736E-2</c:v>
                </c:pt>
                <c:pt idx="19">
                  <c:v>-1.800066049975857E-2</c:v>
                </c:pt>
                <c:pt idx="20">
                  <c:v>-1.6981606818067707E-2</c:v>
                </c:pt>
                <c:pt idx="21">
                  <c:v>-1.6359465106962179E-2</c:v>
                </c:pt>
                <c:pt idx="22">
                  <c:v>-1.5844900276472562E-2</c:v>
                </c:pt>
                <c:pt idx="23">
                  <c:v>-1.5239075071922126E-2</c:v>
                </c:pt>
                <c:pt idx="24">
                  <c:v>-1.4512051841124252E-2</c:v>
                </c:pt>
                <c:pt idx="25">
                  <c:v>-1.3812508830743475E-2</c:v>
                </c:pt>
                <c:pt idx="26">
                  <c:v>-1.3221722050510532E-2</c:v>
                </c:pt>
                <c:pt idx="27">
                  <c:v>-1.2841676865041007E-2</c:v>
                </c:pt>
                <c:pt idx="28">
                  <c:v>-1.2683458357712118E-2</c:v>
                </c:pt>
                <c:pt idx="29">
                  <c:v>-1.2687650132967909E-2</c:v>
                </c:pt>
                <c:pt idx="30">
                  <c:v>-1.2764137948432452E-2</c:v>
                </c:pt>
                <c:pt idx="31">
                  <c:v>-1.2830639554494705E-2</c:v>
                </c:pt>
                <c:pt idx="32">
                  <c:v>-1.283882129722147E-2</c:v>
                </c:pt>
                <c:pt idx="33">
                  <c:v>-1.2781599609499095E-2</c:v>
                </c:pt>
                <c:pt idx="34">
                  <c:v>-1.2683659532710889E-2</c:v>
                </c:pt>
                <c:pt idx="35">
                  <c:v>-1.2582762453347329E-2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044A-4877-A4A9-C7609B9F9543}"/>
            </c:ext>
          </c:extLst>
        </c:ser>
        <c:ser>
          <c:idx val="1"/>
          <c:order val="1"/>
          <c:tx>
            <c:strRef>
              <c:f>Données!$B$266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Données!$C$264:$AL$264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Données!$C$266:$AL$266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7.978607111099012E-2</c:v>
                </c:pt>
                <c:pt idx="7">
                  <c:v>0.10141382596834836</c:v>
                </c:pt>
                <c:pt idx="8">
                  <c:v>0.10652870796783298</c:v>
                </c:pt>
                <c:pt idx="9">
                  <c:v>9.9478612857534232E-2</c:v>
                </c:pt>
                <c:pt idx="10">
                  <c:v>8.4034733010832419E-2</c:v>
                </c:pt>
                <c:pt idx="11">
                  <c:v>6.5253745884469971E-2</c:v>
                </c:pt>
                <c:pt idx="12">
                  <c:v>4.7643658419296742E-2</c:v>
                </c:pt>
                <c:pt idx="13">
                  <c:v>3.4308450057819684E-2</c:v>
                </c:pt>
                <c:pt idx="14">
                  <c:v>2.6488576241016304E-2</c:v>
                </c:pt>
                <c:pt idx="15">
                  <c:v>2.3749081390207039E-2</c:v>
                </c:pt>
                <c:pt idx="16">
                  <c:v>2.4587341401550056E-2</c:v>
                </c:pt>
                <c:pt idx="17">
                  <c:v>2.7185902569584197E-2</c:v>
                </c:pt>
                <c:pt idx="18">
                  <c:v>3.0050711026074373E-2</c:v>
                </c:pt>
                <c:pt idx="19">
                  <c:v>3.2344817413432203E-2</c:v>
                </c:pt>
                <c:pt idx="20">
                  <c:v>3.3874141542412639E-2</c:v>
                </c:pt>
                <c:pt idx="21">
                  <c:v>3.4876954047282416E-2</c:v>
                </c:pt>
                <c:pt idx="22">
                  <c:v>3.571340886974772E-2</c:v>
                </c:pt>
                <c:pt idx="23">
                  <c:v>3.6629199668716694E-2</c:v>
                </c:pt>
                <c:pt idx="24">
                  <c:v>3.7677174660371238E-2</c:v>
                </c:pt>
                <c:pt idx="25">
                  <c:v>3.8761598419250198E-2</c:v>
                </c:pt>
                <c:pt idx="26">
                  <c:v>3.9668956259741206E-2</c:v>
                </c:pt>
                <c:pt idx="27">
                  <c:v>4.0324570491112377E-2</c:v>
                </c:pt>
                <c:pt idx="28">
                  <c:v>4.0723155704116554E-2</c:v>
                </c:pt>
                <c:pt idx="29">
                  <c:v>4.092756703071232E-2</c:v>
                </c:pt>
                <c:pt idx="30">
                  <c:v>4.1038082791815089E-2</c:v>
                </c:pt>
                <c:pt idx="31">
                  <c:v>4.11504678126835E-2</c:v>
                </c:pt>
                <c:pt idx="32">
                  <c:v>4.1324085762397766E-2</c:v>
                </c:pt>
                <c:pt idx="33">
                  <c:v>4.157047960485416E-2</c:v>
                </c:pt>
                <c:pt idx="34">
                  <c:v>4.1862206100307109E-2</c:v>
                </c:pt>
                <c:pt idx="35">
                  <c:v>4.2153832123663193E-2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4A-4877-A4A9-C7609B9F9543}"/>
            </c:ext>
          </c:extLst>
        </c:ser>
        <c:ser>
          <c:idx val="2"/>
          <c:order val="2"/>
          <c:tx>
            <c:strRef>
              <c:f>Données!$B$267</c:f>
              <c:strCache>
                <c:ptCount val="1"/>
                <c:pt idx="0">
                  <c:v>Industrie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Données!$C$264:$AL$264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Données!$C$267:$AL$267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9.0158682630994136E-3</c:v>
                </c:pt>
                <c:pt idx="7">
                  <c:v>1.2465573002722552E-2</c:v>
                </c:pt>
                <c:pt idx="8">
                  <c:v>1.31445700641315E-2</c:v>
                </c:pt>
                <c:pt idx="9">
                  <c:v>1.1377157580414021E-2</c:v>
                </c:pt>
                <c:pt idx="10">
                  <c:v>8.1319583460761624E-3</c:v>
                </c:pt>
                <c:pt idx="11">
                  <c:v>4.4161158774962406E-3</c:v>
                </c:pt>
                <c:pt idx="12">
                  <c:v>1.2547236145541429E-3</c:v>
                </c:pt>
                <c:pt idx="13">
                  <c:v>-8.2260594948868615E-4</c:v>
                </c:pt>
                <c:pt idx="14">
                  <c:v>-1.7508332386733105E-3</c:v>
                </c:pt>
                <c:pt idx="15">
                  <c:v>-1.7752406795139564E-3</c:v>
                </c:pt>
                <c:pt idx="16">
                  <c:v>-1.3035535190363268E-3</c:v>
                </c:pt>
                <c:pt idx="17">
                  <c:v>-7.4149105966547779E-4</c:v>
                </c:pt>
                <c:pt idx="18">
                  <c:v>-3.486274537172207E-4</c:v>
                </c:pt>
                <c:pt idx="19">
                  <c:v>-1.9668147440299322E-4</c:v>
                </c:pt>
                <c:pt idx="20">
                  <c:v>-2.5325371823758935E-4</c:v>
                </c:pt>
                <c:pt idx="21">
                  <c:v>-3.1214613129360025E-4</c:v>
                </c:pt>
                <c:pt idx="22">
                  <c:v>-3.1554397289257352E-4</c:v>
                </c:pt>
                <c:pt idx="23">
                  <c:v>-2.2734437753979542E-4</c:v>
                </c:pt>
                <c:pt idx="24">
                  <c:v>-6.5674667045323432E-5</c:v>
                </c:pt>
                <c:pt idx="25">
                  <c:v>3.3900254668761676E-5</c:v>
                </c:pt>
                <c:pt idx="26">
                  <c:v>1.7459695693289312E-4</c:v>
                </c:pt>
                <c:pt idx="27">
                  <c:v>2.6353390334321602E-4</c:v>
                </c:pt>
                <c:pt idx="28">
                  <c:v>2.9085933327266389E-4</c:v>
                </c:pt>
                <c:pt idx="29">
                  <c:v>2.7614478208581872E-4</c:v>
                </c:pt>
                <c:pt idx="30">
                  <c:v>2.4644813720775538E-4</c:v>
                </c:pt>
                <c:pt idx="31">
                  <c:v>2.2351164852318917E-4</c:v>
                </c:pt>
                <c:pt idx="32">
                  <c:v>2.17594309371405E-4</c:v>
                </c:pt>
                <c:pt idx="33">
                  <c:v>2.2732195626651297E-4</c:v>
                </c:pt>
                <c:pt idx="34">
                  <c:v>2.4393378934206567E-4</c:v>
                </c:pt>
                <c:pt idx="35">
                  <c:v>2.5703539785215668E-4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4A-4877-A4A9-C7609B9F9543}"/>
            </c:ext>
          </c:extLst>
        </c:ser>
        <c:ser>
          <c:idx val="3"/>
          <c:order val="3"/>
          <c:tx>
            <c:strRef>
              <c:f>Données!$B$269</c:f>
              <c:strCache>
                <c:ptCount val="1"/>
                <c:pt idx="0">
                  <c:v>Transport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Données!$C$264:$AL$264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Données!$C$269:$AL$269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4.7144822323517133E-3</c:v>
                </c:pt>
                <c:pt idx="7">
                  <c:v>6.8326102342466388E-3</c:v>
                </c:pt>
                <c:pt idx="8">
                  <c:v>7.5890968470819775E-3</c:v>
                </c:pt>
                <c:pt idx="9">
                  <c:v>6.9537604686447096E-3</c:v>
                </c:pt>
                <c:pt idx="10">
                  <c:v>5.2539648765077551E-3</c:v>
                </c:pt>
                <c:pt idx="11">
                  <c:v>3.0635274975860938E-3</c:v>
                </c:pt>
                <c:pt idx="12">
                  <c:v>9.2544115323023313E-4</c:v>
                </c:pt>
                <c:pt idx="13">
                  <c:v>-7.5430161322131983E-4</c:v>
                </c:pt>
                <c:pt idx="14">
                  <c:v>-1.7909905262216697E-3</c:v>
                </c:pt>
                <c:pt idx="15">
                  <c:v>-2.2152985311507667E-3</c:v>
                </c:pt>
                <c:pt idx="16">
                  <c:v>-2.2020710855228387E-3</c:v>
                </c:pt>
                <c:pt idx="17">
                  <c:v>-1.9697174660016081E-3</c:v>
                </c:pt>
                <c:pt idx="18">
                  <c:v>-1.6957431157729186E-3</c:v>
                </c:pt>
                <c:pt idx="19">
                  <c:v>-1.4763073040796604E-3</c:v>
                </c:pt>
                <c:pt idx="20">
                  <c:v>-1.3308580062124653E-3</c:v>
                </c:pt>
                <c:pt idx="21">
                  <c:v>-1.229552411184498E-3</c:v>
                </c:pt>
                <c:pt idx="22">
                  <c:v>-1.1326067564527698E-3</c:v>
                </c:pt>
                <c:pt idx="23">
                  <c:v>-1.0149573951390156E-3</c:v>
                </c:pt>
                <c:pt idx="24">
                  <c:v>-8.7643074229026841E-4</c:v>
                </c:pt>
                <c:pt idx="25">
                  <c:v>-7.33551069311833E-4</c:v>
                </c:pt>
                <c:pt idx="26">
                  <c:v>-6.1770025386198579E-4</c:v>
                </c:pt>
                <c:pt idx="27">
                  <c:v>-5.4066708266398145E-4</c:v>
                </c:pt>
                <c:pt idx="28">
                  <c:v>-5.0256278842553126E-4</c:v>
                </c:pt>
                <c:pt idx="29">
                  <c:v>-4.9425294006533171E-4</c:v>
                </c:pt>
                <c:pt idx="30">
                  <c:v>-5.0148535375338366E-4</c:v>
                </c:pt>
                <c:pt idx="31">
                  <c:v>-5.1068412842925071E-4</c:v>
                </c:pt>
                <c:pt idx="32">
                  <c:v>-5.1321977841134458E-4</c:v>
                </c:pt>
                <c:pt idx="33">
                  <c:v>-5.0685460954680295E-4</c:v>
                </c:pt>
                <c:pt idx="34">
                  <c:v>-4.9450552184493457E-4</c:v>
                </c:pt>
                <c:pt idx="35">
                  <c:v>-4.8146063658516258E-4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4A-4877-A4A9-C7609B9F9543}"/>
            </c:ext>
          </c:extLst>
        </c:ser>
        <c:ser>
          <c:idx val="4"/>
          <c:order val="4"/>
          <c:tx>
            <c:strRef>
              <c:f>Données!$B$268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Données!$C$264:$AL$264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Données!$C$268:$AL$268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5.0502945967052737E-2</c:v>
                </c:pt>
                <c:pt idx="7">
                  <c:v>7.4037059608344391E-2</c:v>
                </c:pt>
                <c:pt idx="8">
                  <c:v>7.9851837471441645E-2</c:v>
                </c:pt>
                <c:pt idx="9">
                  <c:v>6.8058967429764472E-2</c:v>
                </c:pt>
                <c:pt idx="10">
                  <c:v>4.3621823307663288E-2</c:v>
                </c:pt>
                <c:pt idx="11">
                  <c:v>1.4509756156781517E-2</c:v>
                </c:pt>
                <c:pt idx="12">
                  <c:v>-1.2370497859309992E-2</c:v>
                </c:pt>
                <c:pt idx="13">
                  <c:v>-3.2460922066196218E-2</c:v>
                </c:pt>
                <c:pt idx="14">
                  <c:v>-4.414405242331032E-2</c:v>
                </c:pt>
                <c:pt idx="15">
                  <c:v>-4.8279155016682895E-2</c:v>
                </c:pt>
                <c:pt idx="16">
                  <c:v>-4.7224590717666937E-2</c:v>
                </c:pt>
                <c:pt idx="17">
                  <c:v>-4.3712005720583758E-2</c:v>
                </c:pt>
                <c:pt idx="18">
                  <c:v>-3.992077446879172E-2</c:v>
                </c:pt>
                <c:pt idx="19">
                  <c:v>-3.7014000517428314E-2</c:v>
                </c:pt>
                <c:pt idx="20">
                  <c:v>-3.5198580500753418E-2</c:v>
                </c:pt>
                <c:pt idx="21">
                  <c:v>-3.4042155982641487E-2</c:v>
                </c:pt>
                <c:pt idx="22">
                  <c:v>-3.3003109772173356E-2</c:v>
                </c:pt>
                <c:pt idx="23">
                  <c:v>-3.1733744702540312E-2</c:v>
                </c:pt>
                <c:pt idx="24">
                  <c:v>-3.0199528126422681E-2</c:v>
                </c:pt>
                <c:pt idx="25">
                  <c:v>-2.8605868251047273E-2</c:v>
                </c:pt>
                <c:pt idx="26">
                  <c:v>-2.7293453929639666E-2</c:v>
                </c:pt>
                <c:pt idx="27">
                  <c:v>-2.6418504169469892E-2</c:v>
                </c:pt>
                <c:pt idx="28">
                  <c:v>-2.5994169383846244E-2</c:v>
                </c:pt>
                <c:pt idx="29">
                  <c:v>-2.5912275673962926E-2</c:v>
                </c:pt>
                <c:pt idx="30">
                  <c:v>-2.6001240135189452E-2</c:v>
                </c:pt>
                <c:pt idx="31">
                  <c:v>-2.6098001431904438E-2</c:v>
                </c:pt>
                <c:pt idx="32">
                  <c:v>-2.6100434238554793E-2</c:v>
                </c:pt>
                <c:pt idx="33">
                  <c:v>-2.5984673732042274E-2</c:v>
                </c:pt>
                <c:pt idx="34">
                  <c:v>-2.5789434085827123E-2</c:v>
                </c:pt>
                <c:pt idx="35">
                  <c:v>-2.5581651931183891E-2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4A-4877-A4A9-C7609B9F9543}"/>
            </c:ext>
          </c:extLst>
        </c:ser>
        <c:ser>
          <c:idx val="5"/>
          <c:order val="5"/>
          <c:tx>
            <c:strRef>
              <c:f>Données!$B$270</c:f>
              <c:strCache>
                <c:ptCount val="1"/>
                <c:pt idx="0">
                  <c:v>Ménages</c:v>
                </c:pt>
              </c:strCache>
            </c:strRef>
          </c:tx>
          <c:spPr>
            <a:ln w="412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Données!$C$264:$AL$264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Données!$C$270:$AL$270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1.6657166343859497E-2</c:v>
                </c:pt>
                <c:pt idx="7">
                  <c:v>2.2765580845936384E-2</c:v>
                </c:pt>
                <c:pt idx="8">
                  <c:v>2.4472251042431781E-2</c:v>
                </c:pt>
                <c:pt idx="9">
                  <c:v>2.2091886857660059E-2</c:v>
                </c:pt>
                <c:pt idx="10">
                  <c:v>1.7031890124141524E-2</c:v>
                </c:pt>
                <c:pt idx="11">
                  <c:v>1.1385203476026895E-2</c:v>
                </c:pt>
                <c:pt idx="12">
                  <c:v>6.6685259781424921E-3</c:v>
                </c:pt>
                <c:pt idx="13">
                  <c:v>3.8967198212727094E-3</c:v>
                </c:pt>
                <c:pt idx="14">
                  <c:v>3.2884522394815985E-3</c:v>
                </c:pt>
                <c:pt idx="15">
                  <c:v>4.3809056726373807E-3</c:v>
                </c:pt>
                <c:pt idx="16">
                  <c:v>6.295691441632556E-3</c:v>
                </c:pt>
                <c:pt idx="17">
                  <c:v>8.2370398420452684E-3</c:v>
                </c:pt>
                <c:pt idx="18">
                  <c:v>9.7090937536368216E-3</c:v>
                </c:pt>
                <c:pt idx="19">
                  <c:v>1.0558650823955684E-2</c:v>
                </c:pt>
                <c:pt idx="20">
                  <c:v>1.088350554785622E-2</c:v>
                </c:pt>
                <c:pt idx="21">
                  <c:v>1.0907188423102898E-2</c:v>
                </c:pt>
                <c:pt idx="22">
                  <c:v>1.0832844491663884E-2</c:v>
                </c:pt>
                <c:pt idx="23">
                  <c:v>1.0783799204004296E-2</c:v>
                </c:pt>
                <c:pt idx="24">
                  <c:v>1.0787723285471618E-2</c:v>
                </c:pt>
                <c:pt idx="25">
                  <c:v>1.0813473665387541E-2</c:v>
                </c:pt>
                <c:pt idx="26">
                  <c:v>1.0758999856614659E-2</c:v>
                </c:pt>
                <c:pt idx="27">
                  <c:v>1.0635122083772819E-2</c:v>
                </c:pt>
                <c:pt idx="28">
                  <c:v>1.0460449673663996E-2</c:v>
                </c:pt>
                <c:pt idx="29">
                  <c:v>1.027046021653466E-2</c:v>
                </c:pt>
                <c:pt idx="30">
                  <c:v>1.0110773742303403E-2</c:v>
                </c:pt>
                <c:pt idx="31">
                  <c:v>1.0018259197124291E-2</c:v>
                </c:pt>
                <c:pt idx="32">
                  <c:v>1.0007559107425568E-2</c:v>
                </c:pt>
                <c:pt idx="33">
                  <c:v>1.0068307713264835E-2</c:v>
                </c:pt>
                <c:pt idx="34">
                  <c:v>1.0181051786037898E-2</c:v>
                </c:pt>
                <c:pt idx="35">
                  <c:v>1.0323987733098727E-2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4A-4877-A4A9-C7609B9F9543}"/>
            </c:ext>
          </c:extLst>
        </c:ser>
        <c:ser>
          <c:idx val="6"/>
          <c:order val="6"/>
          <c:tx>
            <c:strRef>
              <c:f>Données!$B$271</c:f>
              <c:strCache>
                <c:ptCount val="1"/>
                <c:pt idx="0">
                  <c:v>Ménages (logement)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Données!$C$264:$AL$264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Données!$C$271:$AL$271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1.7405177737189081E-2</c:v>
                </c:pt>
                <c:pt idx="7">
                  <c:v>2.3616720299481031E-2</c:v>
                </c:pt>
                <c:pt idx="8">
                  <c:v>2.4455994244874768E-2</c:v>
                </c:pt>
                <c:pt idx="9">
                  <c:v>2.0933871640965718E-2</c:v>
                </c:pt>
                <c:pt idx="10">
                  <c:v>1.4654999081302744E-2</c:v>
                </c:pt>
                <c:pt idx="11">
                  <c:v>7.9110876582257905E-3</c:v>
                </c:pt>
                <c:pt idx="12">
                  <c:v>2.4159733755153567E-3</c:v>
                </c:pt>
                <c:pt idx="13">
                  <c:v>-7.2245901387923972E-4</c:v>
                </c:pt>
                <c:pt idx="14">
                  <c:v>-1.2813246134282252E-3</c:v>
                </c:pt>
                <c:pt idx="15">
                  <c:v>1.5800324394832366E-4</c:v>
                </c:pt>
                <c:pt idx="16">
                  <c:v>2.4832700573942379E-3</c:v>
                </c:pt>
                <c:pt idx="17">
                  <c:v>4.7508685773776094E-3</c:v>
                </c:pt>
                <c:pt idx="18">
                  <c:v>6.4137949002591732E-3</c:v>
                </c:pt>
                <c:pt idx="19">
                  <c:v>7.332524503142368E-3</c:v>
                </c:pt>
                <c:pt idx="20">
                  <c:v>7.6442006498649295E-3</c:v>
                </c:pt>
                <c:pt idx="21">
                  <c:v>7.6066146592390638E-3</c:v>
                </c:pt>
                <c:pt idx="22">
                  <c:v>7.4494422881783429E-3</c:v>
                </c:pt>
                <c:pt idx="23">
                  <c:v>7.3011504003517302E-3</c:v>
                </c:pt>
                <c:pt idx="24">
                  <c:v>7.186939600537956E-3</c:v>
                </c:pt>
                <c:pt idx="25">
                  <c:v>7.0642025351572713E-3</c:v>
                </c:pt>
                <c:pt idx="26">
                  <c:v>6.8207760900322878E-3</c:v>
                </c:pt>
                <c:pt idx="27">
                  <c:v>6.4727670822313232E-3</c:v>
                </c:pt>
                <c:pt idx="28">
                  <c:v>6.0525327356499847E-3</c:v>
                </c:pt>
                <c:pt idx="29">
                  <c:v>5.6009419819615935E-3</c:v>
                </c:pt>
                <c:pt idx="30">
                  <c:v>5.1708396224048325E-3</c:v>
                </c:pt>
                <c:pt idx="31">
                  <c:v>4.804714893988038E-3</c:v>
                </c:pt>
                <c:pt idx="32">
                  <c:v>4.5168105720079232E-3</c:v>
                </c:pt>
                <c:pt idx="33">
                  <c:v>4.2884093048483063E-3</c:v>
                </c:pt>
                <c:pt idx="34">
                  <c:v>4.0946933047194545E-3</c:v>
                </c:pt>
                <c:pt idx="35">
                  <c:v>3.9095050287898392E-3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4A-4877-A4A9-C7609B9F9543}"/>
            </c:ext>
          </c:extLst>
        </c:ser>
        <c:ser>
          <c:idx val="7"/>
          <c:order val="7"/>
          <c:tx>
            <c:strRef>
              <c:f>Données!$B$272</c:f>
              <c:strCache>
                <c:ptCount val="1"/>
                <c:pt idx="0">
                  <c:v>Ménages (transport)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Données!$C$264:$AL$264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Données!$C$272:$AL$272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1.5783337187195601E-2</c:v>
                </c:pt>
                <c:pt idx="7">
                  <c:v>2.1777983156108016E-2</c:v>
                </c:pt>
                <c:pt idx="8">
                  <c:v>2.4490981002404544E-2</c:v>
                </c:pt>
                <c:pt idx="9">
                  <c:v>2.3415921251727312E-2</c:v>
                </c:pt>
                <c:pt idx="10">
                  <c:v>1.9728070016803656E-2</c:v>
                </c:pt>
                <c:pt idx="11">
                  <c:v>1.5292259778294959E-2</c:v>
                </c:pt>
                <c:pt idx="12">
                  <c:v>1.1408217421764455E-2</c:v>
                </c:pt>
                <c:pt idx="13">
                  <c:v>8.9975661426111575E-3</c:v>
                </c:pt>
                <c:pt idx="14">
                  <c:v>8.2870607237957028E-3</c:v>
                </c:pt>
                <c:pt idx="15">
                  <c:v>8.955836847368559E-3</c:v>
                </c:pt>
                <c:pt idx="16">
                  <c:v>1.0386388582847017E-2</c:v>
                </c:pt>
                <c:pt idx="17">
                  <c:v>1.1942207182106701E-2</c:v>
                </c:pt>
                <c:pt idx="18">
                  <c:v>1.3178623264521017E-2</c:v>
                </c:pt>
                <c:pt idx="19">
                  <c:v>1.3924018144438666E-2</c:v>
                </c:pt>
                <c:pt idx="20">
                  <c:v>1.4231263524265403E-2</c:v>
                </c:pt>
                <c:pt idx="21">
                  <c:v>1.4287566137517249E-2</c:v>
                </c:pt>
                <c:pt idx="22">
                  <c:v>1.4267490353580436E-2</c:v>
                </c:pt>
                <c:pt idx="23">
                  <c:v>1.4288612182486782E-2</c:v>
                </c:pt>
                <c:pt idx="24">
                  <c:v>1.4380632925625969E-2</c:v>
                </c:pt>
                <c:pt idx="25">
                  <c:v>1.4521409393316809E-2</c:v>
                </c:pt>
                <c:pt idx="26">
                  <c:v>1.4620078034748074E-2</c:v>
                </c:pt>
                <c:pt idx="27">
                  <c:v>1.4680987987859551E-2</c:v>
                </c:pt>
                <c:pt idx="28">
                  <c:v>1.4708799295763741E-2</c:v>
                </c:pt>
                <c:pt idx="29">
                  <c:v>1.4733514437320183E-2</c:v>
                </c:pt>
                <c:pt idx="30">
                  <c:v>1.4793735058820978E-2</c:v>
                </c:pt>
                <c:pt idx="31">
                  <c:v>1.4920990989564897E-2</c:v>
                </c:pt>
                <c:pt idx="32">
                  <c:v>1.5130283372608133E-2</c:v>
                </c:pt>
                <c:pt idx="33">
                  <c:v>1.5418885062564724E-2</c:v>
                </c:pt>
                <c:pt idx="34">
                  <c:v>1.5771965669582277E-2</c:v>
                </c:pt>
                <c:pt idx="35">
                  <c:v>1.6171321414728101E-2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4A-4877-A4A9-C7609B9F9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/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  <c:majorUnit val="4.0000000000000008E-2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 baseline="0"/>
              <a:t>Valeur ajoutée sectorielle</a:t>
            </a:r>
          </a:p>
          <a:p>
            <a:pPr>
              <a:defRPr/>
            </a:pPr>
            <a:r>
              <a:rPr lang="fr-FR" sz="1800" i="0" baseline="0"/>
              <a:t>(% d'écart au tendanciel)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5469120517936996"/>
          <c:w val="0.88919974947941849"/>
          <c:h val="0.67626132545788187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Données!$B$101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Données!$C$99:$E$99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Données!$C$101:$E$101</c:f>
              <c:numCache>
                <c:formatCode>0.0%</c:formatCode>
                <c:ptCount val="3"/>
                <c:pt idx="0">
                  <c:v>-0.12721837925977622</c:v>
                </c:pt>
                <c:pt idx="1">
                  <c:v>-0.11951077486293162</c:v>
                </c:pt>
                <c:pt idx="2">
                  <c:v>-0.11956397948437253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EF-431D-9A51-747E617C00CC}"/>
            </c:ext>
          </c:extLst>
        </c:ser>
        <c:ser>
          <c:idx val="2"/>
          <c:order val="2"/>
          <c:tx>
            <c:strRef>
              <c:f>Données!$B$102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Données!$C$99:$E$99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Données!$C$102:$E$102</c:f>
              <c:numCache>
                <c:formatCode>0.0%</c:formatCode>
                <c:ptCount val="3"/>
                <c:pt idx="0">
                  <c:v>-1.128643005188508E-2</c:v>
                </c:pt>
                <c:pt idx="1">
                  <c:v>-1.4019107058193649E-2</c:v>
                </c:pt>
                <c:pt idx="2">
                  <c:v>-1.1722984466223489E-2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EF-431D-9A51-747E617C00CC}"/>
            </c:ext>
          </c:extLst>
        </c:ser>
        <c:ser>
          <c:idx val="3"/>
          <c:order val="3"/>
          <c:tx>
            <c:strRef>
              <c:f>Données!$B$103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Données!$C$99:$E$99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Données!$C$103:$E$103</c:f>
              <c:numCache>
                <c:formatCode>0.0%</c:formatCode>
                <c:ptCount val="3"/>
                <c:pt idx="0">
                  <c:v>-2.6109644708181126E-2</c:v>
                </c:pt>
                <c:pt idx="1">
                  <c:v>-2.2640763850476812E-2</c:v>
                </c:pt>
                <c:pt idx="2">
                  <c:v>-2.4791290249996722E-2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EF-431D-9A51-747E617C00CC}"/>
            </c:ext>
          </c:extLst>
        </c:ser>
        <c:ser>
          <c:idx val="4"/>
          <c:order val="4"/>
          <c:tx>
            <c:strRef>
              <c:f>Données!$B$104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Données!$C$99:$E$99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Données!$C$104:$E$104</c:f>
              <c:numCache>
                <c:formatCode>0.0%</c:formatCode>
                <c:ptCount val="3"/>
                <c:pt idx="0">
                  <c:v>-2.3802953891532041E-2</c:v>
                </c:pt>
                <c:pt idx="1">
                  <c:v>-2.0423732176364718E-2</c:v>
                </c:pt>
                <c:pt idx="2">
                  <c:v>-1.8989114218434851E-2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3EF-431D-9A51-747E617C00CC}"/>
            </c:ext>
          </c:extLst>
        </c:ser>
        <c:ser>
          <c:idx val="5"/>
          <c:order val="5"/>
          <c:tx>
            <c:strRef>
              <c:f>Données!$B$105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Données!$C$99:$E$99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Données!$C$105:$E$105</c:f>
              <c:numCache>
                <c:formatCode>0.0%</c:formatCode>
                <c:ptCount val="3"/>
                <c:pt idx="0">
                  <c:v>-1.494640864100857E-2</c:v>
                </c:pt>
                <c:pt idx="1">
                  <c:v>-1.263491963264435E-2</c:v>
                </c:pt>
                <c:pt idx="2">
                  <c:v>-1.1849966878317963E-2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EF-431D-9A51-747E617C00CC}"/>
            </c:ext>
          </c:extLst>
        </c:ser>
        <c:ser>
          <c:idx val="6"/>
          <c:order val="6"/>
          <c:tx>
            <c:strRef>
              <c:f>Données!$B$106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Données!$C$99:$E$99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Données!$C$106:$E$106</c:f>
              <c:numCache>
                <c:formatCode>0.0%</c:formatCode>
                <c:ptCount val="3"/>
                <c:pt idx="0">
                  <c:v>-5.8299930175336112E-3</c:v>
                </c:pt>
                <c:pt idx="1">
                  <c:v>-9.5133590456521235E-3</c:v>
                </c:pt>
                <c:pt idx="2">
                  <c:v>-8.5406518375786087E-3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7-4A45-A893-6FC38B935A54}"/>
            </c:ext>
          </c:extLst>
        </c:ser>
        <c:ser>
          <c:idx val="7"/>
          <c:order val="7"/>
          <c:tx>
            <c:strRef>
              <c:f>Données!$B$107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Données!$C$99:$E$99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Données!$C$107:$E$107</c:f>
              <c:numCache>
                <c:formatCode>0.0%</c:formatCode>
                <c:ptCount val="3"/>
                <c:pt idx="0">
                  <c:v>-1.3145587241155693E-2</c:v>
                </c:pt>
                <c:pt idx="1">
                  <c:v>-1.3306040960416519E-2</c:v>
                </c:pt>
                <c:pt idx="2">
                  <c:v>-1.2163322469517842E-2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04-4294-8BCA-AB4920EECA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Données!$B$100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spPr>
                  <a:solidFill>
                    <a:schemeClr val="bg1"/>
                  </a:solidFill>
                  <a:ln w="25400">
                    <a:solidFill>
                      <a:schemeClr val="tx1"/>
                    </a:solidFill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Données!$C$99:$E$99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2040</c:v>
                      </c:pt>
                      <c:pt idx="2">
                        <c:v>2050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Données!$C$100:$E$100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-1.032959050126161E-2</c:v>
                      </c:pt>
                      <c:pt idx="1">
                        <c:v>-1.2610976413294495E-2</c:v>
                      </c:pt>
                      <c:pt idx="2">
                        <c:v>-1.1357238811300021E-2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C3EF-431D-9A51-747E617C00CC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 baseline="0"/>
              <a:t>Valeur ajoutée sectorielle</a:t>
            </a:r>
          </a:p>
          <a:p>
            <a:pPr>
              <a:defRPr/>
            </a:pPr>
            <a:r>
              <a:rPr lang="fr-FR" sz="1800" i="0" baseline="0"/>
              <a:t>(contributions à l'écart en %)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5678679337219906"/>
          <c:w val="0.88919974947941849"/>
          <c:h val="0.64482750256544541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Données!$B$111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Données!$C$109:$E$109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Données!$C$111:$E$111</c:f>
              <c:numCache>
                <c:formatCode>0.0%</c:formatCode>
                <c:ptCount val="3"/>
                <c:pt idx="0">
                  <c:v>-1.9472094717654855E-3</c:v>
                </c:pt>
                <c:pt idx="1">
                  <c:v>-1.6226938044968447E-3</c:v>
                </c:pt>
                <c:pt idx="2">
                  <c:v>-1.4509939901041816E-3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0-47FE-9AA2-B7A42F957044}"/>
            </c:ext>
          </c:extLst>
        </c:ser>
        <c:ser>
          <c:idx val="2"/>
          <c:order val="2"/>
          <c:tx>
            <c:strRef>
              <c:f>Données!$B$112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Données!$C$109:$E$109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Données!$C$112:$E$112</c:f>
              <c:numCache>
                <c:formatCode>0.0%</c:formatCode>
                <c:ptCount val="3"/>
                <c:pt idx="0">
                  <c:v>-6.7481932344759076E-4</c:v>
                </c:pt>
                <c:pt idx="1">
                  <c:v>-8.0709965388124855E-4</c:v>
                </c:pt>
                <c:pt idx="2">
                  <c:v>-6.969184233204588E-4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B0-47FE-9AA2-B7A42F957044}"/>
            </c:ext>
          </c:extLst>
        </c:ser>
        <c:ser>
          <c:idx val="3"/>
          <c:order val="3"/>
          <c:tx>
            <c:strRef>
              <c:f>Données!$B$113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Données!$C$109:$E$109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Données!$C$113:$E$113</c:f>
              <c:numCache>
                <c:formatCode>0.0%</c:formatCode>
                <c:ptCount val="3"/>
                <c:pt idx="0">
                  <c:v>-1.6635124188396749E-4</c:v>
                </c:pt>
                <c:pt idx="1">
                  <c:v>-1.3416380031986105E-4</c:v>
                </c:pt>
                <c:pt idx="2">
                  <c:v>-1.3862439939478792E-4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B0-47FE-9AA2-B7A42F957044}"/>
            </c:ext>
          </c:extLst>
        </c:ser>
        <c:ser>
          <c:idx val="4"/>
          <c:order val="4"/>
          <c:tx>
            <c:strRef>
              <c:f>Données!$B$114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Données!$C$109:$E$109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Données!$C$114:$E$114</c:f>
              <c:numCache>
                <c:formatCode>0.0%</c:formatCode>
                <c:ptCount val="3"/>
                <c:pt idx="0">
                  <c:v>-2.6273541227717712E-3</c:v>
                </c:pt>
                <c:pt idx="1">
                  <c:v>-2.1853537386336943E-3</c:v>
                </c:pt>
                <c:pt idx="2">
                  <c:v>-1.9902420123067192E-3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0BB0-47FE-9AA2-B7A42F957044}"/>
            </c:ext>
          </c:extLst>
        </c:ser>
        <c:ser>
          <c:idx val="5"/>
          <c:order val="5"/>
          <c:tx>
            <c:strRef>
              <c:f>Données!$B$115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Données!$C$109:$E$109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Données!$C$115:$E$115</c:f>
              <c:numCache>
                <c:formatCode>0.0%</c:formatCode>
                <c:ptCount val="3"/>
                <c:pt idx="0">
                  <c:v>-3.1367246188214108E-5</c:v>
                </c:pt>
                <c:pt idx="1">
                  <c:v>-2.5223828074973059E-5</c:v>
                </c:pt>
                <c:pt idx="2">
                  <c:v>-2.2612813029978248E-5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B0-47FE-9AA2-B7A42F957044}"/>
            </c:ext>
          </c:extLst>
        </c:ser>
        <c:ser>
          <c:idx val="6"/>
          <c:order val="6"/>
          <c:tx>
            <c:strRef>
              <c:f>Données!$B$116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Données!$C$109:$E$109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Données!$C$116:$E$116</c:f>
              <c:numCache>
                <c:formatCode>0.0%</c:formatCode>
                <c:ptCount val="3"/>
                <c:pt idx="0">
                  <c:v>-4.5532968042384598E-3</c:v>
                </c:pt>
                <c:pt idx="1">
                  <c:v>-7.5092782998048132E-3</c:v>
                </c:pt>
                <c:pt idx="2">
                  <c:v>-6.7631508972426247E-3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BB0-47FE-9AA2-B7A42F957044}"/>
            </c:ext>
          </c:extLst>
        </c:ser>
        <c:ser>
          <c:idx val="7"/>
          <c:order val="7"/>
          <c:tx>
            <c:strRef>
              <c:f>Données!$B$117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Données!$C$109:$E$109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Données!$C$117:$E$117</c:f>
              <c:numCache>
                <c:formatCode>0.0%</c:formatCode>
                <c:ptCount val="3"/>
                <c:pt idx="0">
                  <c:v>-3.2919188034773275E-4</c:v>
                </c:pt>
                <c:pt idx="1">
                  <c:v>-3.2716365662497618E-4</c:v>
                </c:pt>
                <c:pt idx="2">
                  <c:v>-2.9469601358577297E-4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BB0-47FE-9AA2-B7A42F9570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Données!$B$110</c:f>
              <c:strCache>
                <c:ptCount val="1"/>
                <c:pt idx="0">
                  <c:v>Total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Données!$C$109:$E$109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Données!$C$110:$E$110</c:f>
              <c:numCache>
                <c:formatCode>0.0%</c:formatCode>
                <c:ptCount val="3"/>
                <c:pt idx="0">
                  <c:v>-1.032959050126161E-2</c:v>
                </c:pt>
                <c:pt idx="1">
                  <c:v>-1.2610976413294495E-2</c:v>
                </c:pt>
                <c:pt idx="2">
                  <c:v>-1.1357238811300021E-2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0BB0-47FE-9AA2-B7A42F9570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5400816247630916"/>
          <c:y val="0.87424292751360444"/>
          <c:w val="0.6947173802581903"/>
          <c:h val="0.1131835433294210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Valeur</a:t>
            </a:r>
            <a:r>
              <a:rPr lang="fr-FR" sz="2400" baseline="0"/>
              <a:t> ajoutée sectorielle</a:t>
            </a:r>
          </a:p>
          <a:p>
            <a:pPr>
              <a:defRPr/>
            </a:pPr>
            <a:r>
              <a:rPr lang="fr-FR" sz="1800" baseline="0"/>
              <a:t>(écart au tendanciel en % de l'économie)</a:t>
            </a:r>
            <a:endParaRPr lang="fr-FR"/>
          </a:p>
        </c:rich>
      </c:tx>
      <c:layout>
        <c:manualLayout>
          <c:xMode val="edge"/>
          <c:yMode val="edge"/>
          <c:x val="0.30247765977521579"/>
          <c:y val="2.296015008739484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1268310946183582"/>
          <c:y val="0.1620204274663877"/>
          <c:w val="0.8723044830036335"/>
          <c:h val="0.684057487482444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Données!$B$120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Données!$C$119:$E$119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Données!$C$120:$E$120</c:f>
              <c:numCache>
                <c:formatCode>0.0%</c:formatCode>
                <c:ptCount val="3"/>
                <c:pt idx="0">
                  <c:v>-1.8077779629934176E-3</c:v>
                </c:pt>
                <c:pt idx="1">
                  <c:v>-1.4700026144551116E-3</c:v>
                </c:pt>
                <c:pt idx="2">
                  <c:v>-1.3282510783698409E-3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82-485E-9582-B510024133C5}"/>
            </c:ext>
          </c:extLst>
        </c:ser>
        <c:ser>
          <c:idx val="1"/>
          <c:order val="1"/>
          <c:tx>
            <c:strRef>
              <c:f>Données!$B$121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Données!$C$119:$E$119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Données!$C$121:$E$121</c:f>
              <c:numCache>
                <c:formatCode>0.0%</c:formatCode>
                <c:ptCount val="3"/>
                <c:pt idx="0">
                  <c:v>-5.7806869208372469E-5</c:v>
                </c:pt>
                <c:pt idx="1">
                  <c:v>-8.2103460811597251E-5</c:v>
                </c:pt>
                <c:pt idx="2">
                  <c:v>-2.1992952714322556E-5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82-485E-9582-B510024133C5}"/>
            </c:ext>
          </c:extLst>
        </c:ser>
        <c:ser>
          <c:idx val="2"/>
          <c:order val="2"/>
          <c:tx>
            <c:strRef>
              <c:f>Données!$B$122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Données!$C$119:$E$119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Données!$C$122:$E$122</c:f>
              <c:numCache>
                <c:formatCode>0.0%</c:formatCode>
                <c:ptCount val="3"/>
                <c:pt idx="0">
                  <c:v>-1.0158813576566748E-4</c:v>
                </c:pt>
                <c:pt idx="1">
                  <c:v>-6.0193238629837297E-5</c:v>
                </c:pt>
                <c:pt idx="2">
                  <c:v>-7.5981552592021759E-5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82-485E-9582-B510024133C5}"/>
            </c:ext>
          </c:extLst>
        </c:ser>
        <c:ser>
          <c:idx val="3"/>
          <c:order val="3"/>
          <c:tx>
            <c:strRef>
              <c:f>Données!$B$123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Données!$C$119:$E$119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Données!$C$123:$E$123</c:f>
              <c:numCache>
                <c:formatCode>0.0%</c:formatCode>
                <c:ptCount val="3"/>
                <c:pt idx="0">
                  <c:v>-1.5027031434170085E-3</c:v>
                </c:pt>
                <c:pt idx="1">
                  <c:v>-8.4664742420277606E-4</c:v>
                </c:pt>
                <c:pt idx="2">
                  <c:v>-8.0908297698986664E-4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82-485E-9582-B510024133C5}"/>
            </c:ext>
          </c:extLst>
        </c:ser>
        <c:ser>
          <c:idx val="4"/>
          <c:order val="4"/>
          <c:tx>
            <c:strRef>
              <c:f>Données!$B$124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Données!$C$119:$E$119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Données!$C$124:$E$124</c:f>
              <c:numCache>
                <c:formatCode>0.0%</c:formatCode>
                <c:ptCount val="3"/>
                <c:pt idx="0">
                  <c:v>-9.7902035860429615E-6</c:v>
                </c:pt>
                <c:pt idx="1">
                  <c:v>-4.8409741431210823E-8</c:v>
                </c:pt>
                <c:pt idx="2">
                  <c:v>-9.5105441514156674E-7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82-485E-9582-B510024133C5}"/>
            </c:ext>
          </c:extLst>
        </c:ser>
        <c:ser>
          <c:idx val="5"/>
          <c:order val="5"/>
          <c:tx>
            <c:strRef>
              <c:f>Données!$B$125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Données!$C$119:$E$119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Données!$C$125:$E$125</c:f>
              <c:numCache>
                <c:formatCode>0.0%</c:formatCode>
                <c:ptCount val="3"/>
                <c:pt idx="0">
                  <c:v>3.5509209627218041E-3</c:v>
                </c:pt>
                <c:pt idx="1">
                  <c:v>2.4763030220660287E-3</c:v>
                </c:pt>
                <c:pt idx="2">
                  <c:v>2.2560142311524034E-3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82-485E-9582-B510024133C5}"/>
            </c:ext>
          </c:extLst>
        </c:ser>
        <c:ser>
          <c:idx val="6"/>
          <c:order val="6"/>
          <c:tx>
            <c:strRef>
              <c:f>Données!$B$126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Données!$C$119:$E$119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Données!$C$126:$E$126</c:f>
              <c:numCache>
                <c:formatCode>0.0%</c:formatCode>
                <c:ptCount val="3"/>
                <c:pt idx="0">
                  <c:v>-7.1254235569747498E-5</c:v>
                </c:pt>
                <c:pt idx="1">
                  <c:v>-1.7308245224639807E-5</c:v>
                </c:pt>
                <c:pt idx="2">
                  <c:v>-1.9754351006665005E-5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37-4945-8C79-01199D2AD8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  <c:majorUnit val="1.0000000000000002E-3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Production sectorielle</a:t>
            </a:r>
          </a:p>
          <a:p>
            <a:pPr>
              <a:defRPr/>
            </a:pPr>
            <a:r>
              <a:rPr lang="fr-FR" sz="1800" baseline="0"/>
              <a:t>(% d'écart au tendanciel)</a:t>
            </a:r>
            <a:endParaRPr lang="fr-FR"/>
          </a:p>
        </c:rich>
      </c:tx>
      <c:layout>
        <c:manualLayout>
          <c:xMode val="edge"/>
          <c:yMode val="edge"/>
          <c:x val="0.33272800300307576"/>
          <c:y val="1.88622763384542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3571602891676875E-2"/>
          <c:y val="0.17305998269885345"/>
          <c:w val="0.88919974947941849"/>
          <c:h val="0.62664904647315034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Données!$B$152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Données!$C$150:$E$150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Données!$C$152:$E$152</c:f>
              <c:numCache>
                <c:formatCode>0.0%</c:formatCode>
                <c:ptCount val="3"/>
                <c:pt idx="0">
                  <c:v>-5.6723496360588828E-2</c:v>
                </c:pt>
                <c:pt idx="1">
                  <c:v>-4.5761262595500472E-2</c:v>
                </c:pt>
                <c:pt idx="2">
                  <c:v>-4.6079895647869157E-2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2D-4067-BD64-AD80378C548C}"/>
            </c:ext>
          </c:extLst>
        </c:ser>
        <c:ser>
          <c:idx val="2"/>
          <c:order val="2"/>
          <c:tx>
            <c:strRef>
              <c:f>Données!$B$153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Données!$C$150:$E$150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Données!$C$153:$E$153</c:f>
              <c:numCache>
                <c:formatCode>0.0%</c:formatCode>
                <c:ptCount val="3"/>
                <c:pt idx="0">
                  <c:v>-1.1218686001050603E-2</c:v>
                </c:pt>
                <c:pt idx="1">
                  <c:v>-1.3941366670594143E-2</c:v>
                </c:pt>
                <c:pt idx="2">
                  <c:v>-1.1721363278526596E-2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2D-4067-BD64-AD80378C548C}"/>
            </c:ext>
          </c:extLst>
        </c:ser>
        <c:ser>
          <c:idx val="3"/>
          <c:order val="3"/>
          <c:tx>
            <c:strRef>
              <c:f>Données!$B$154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Données!$C$150:$E$150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Données!$C$154:$E$154</c:f>
              <c:numCache>
                <c:formatCode>0.0%</c:formatCode>
                <c:ptCount val="3"/>
                <c:pt idx="0">
                  <c:v>-2.6031923177759261E-2</c:v>
                </c:pt>
                <c:pt idx="1">
                  <c:v>-2.2208594656538998E-2</c:v>
                </c:pt>
                <c:pt idx="2">
                  <c:v>-2.4119240413010851E-2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2D-4067-BD64-AD80378C548C}"/>
            </c:ext>
          </c:extLst>
        </c:ser>
        <c:ser>
          <c:idx val="4"/>
          <c:order val="4"/>
          <c:tx>
            <c:strRef>
              <c:f>Données!$B$155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Données!$C$150:$E$150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Données!$C$155:$E$155</c:f>
              <c:numCache>
                <c:formatCode>0.0%</c:formatCode>
                <c:ptCount val="3"/>
                <c:pt idx="0">
                  <c:v>-2.5649870843963959E-2</c:v>
                </c:pt>
                <c:pt idx="1">
                  <c:v>-2.1302906304137184E-2</c:v>
                </c:pt>
                <c:pt idx="2">
                  <c:v>-1.9887369300764228E-2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2D-4067-BD64-AD80378C548C}"/>
            </c:ext>
          </c:extLst>
        </c:ser>
        <c:ser>
          <c:idx val="7"/>
          <c:order val="5"/>
          <c:tx>
            <c:strRef>
              <c:f>Données!$B$156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Données!$C$150:$E$150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Données!$C$156:$E$156</c:f>
              <c:numCache>
                <c:formatCode>0.0%</c:formatCode>
                <c:ptCount val="3"/>
                <c:pt idx="0">
                  <c:v>-9.0405819293927266E-3</c:v>
                </c:pt>
                <c:pt idx="1">
                  <c:v>-6.8637253588649137E-3</c:v>
                </c:pt>
                <c:pt idx="2">
                  <c:v>-5.4061804570670917E-3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2-45B6-A986-EF05989A50E2}"/>
            </c:ext>
          </c:extLst>
        </c:ser>
        <c:ser>
          <c:idx val="6"/>
          <c:order val="6"/>
          <c:tx>
            <c:strRef>
              <c:f>Données!$B$157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Données!$C$150:$E$150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Données!$C$157:$E$157</c:f>
              <c:numCache>
                <c:formatCode>0.0%</c:formatCode>
                <c:ptCount val="3"/>
                <c:pt idx="0">
                  <c:v>-6.9872692111917004E-3</c:v>
                </c:pt>
                <c:pt idx="1">
                  <c:v>-1.0570339470219224E-2</c:v>
                </c:pt>
                <c:pt idx="2">
                  <c:v>-9.4831642974861768E-3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52-45B6-A986-EF05989A50E2}"/>
            </c:ext>
          </c:extLst>
        </c:ser>
        <c:ser>
          <c:idx val="5"/>
          <c:order val="7"/>
          <c:tx>
            <c:strRef>
              <c:f>Données!$B$158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Données!$C$150:$E$150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Données!$C$158:$E$158</c:f>
              <c:numCache>
                <c:formatCode>0.0%</c:formatCode>
                <c:ptCount val="3"/>
                <c:pt idx="0">
                  <c:v>-1.3617460395898732E-2</c:v>
                </c:pt>
                <c:pt idx="1">
                  <c:v>-1.3356051762555093E-2</c:v>
                </c:pt>
                <c:pt idx="2">
                  <c:v>-1.2231533658576748E-2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33-402B-99FF-FCD4904E30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Données!$B$151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solidFill>
                    <a:schemeClr val="bg1"/>
                  </a:solidFill>
                  <a:ln w="15875">
                    <a:solidFill>
                      <a:schemeClr val="tx1"/>
                    </a:solidFill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Données!$C$150:$E$150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2040</c:v>
                      </c:pt>
                      <c:pt idx="2">
                        <c:v>2050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Données!$C$151:$E$151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-1.1986176935020149E-2</c:v>
                      </c:pt>
                      <c:pt idx="1">
                        <c:v>-1.3391574197589599E-2</c:v>
                      </c:pt>
                      <c:pt idx="2">
                        <c:v>-1.2105332262119361E-2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CA2D-4067-BD64-AD80378C548C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4.7265608894168178E-2"/>
          <c:y val="0.90410587034305578"/>
          <c:w val="0.89999992464320977"/>
          <c:h val="5.8169576980035692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Production sectorielle</a:t>
            </a:r>
          </a:p>
          <a:p>
            <a:pPr>
              <a:defRPr/>
            </a:pPr>
            <a:r>
              <a:rPr lang="fr-FR" sz="1800" baseline="0"/>
              <a:t>(contributions à l'écart en %)</a:t>
            </a:r>
            <a:endParaRPr lang="fr-FR"/>
          </a:p>
        </c:rich>
      </c:tx>
      <c:layout>
        <c:manualLayout>
          <c:xMode val="edge"/>
          <c:yMode val="edge"/>
          <c:x val="0.33272800300307576"/>
          <c:y val="1.88622763384542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3571602891676875E-2"/>
          <c:y val="0.17305998269885345"/>
          <c:w val="0.88919974947941849"/>
          <c:h val="0.59102030227829239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Données!$B$162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Données!$C$160:$E$160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Données!$C$162:$E$162</c:f>
              <c:numCache>
                <c:formatCode>0.0%</c:formatCode>
                <c:ptCount val="3"/>
                <c:pt idx="0">
                  <c:v>-1.1116822395577633E-3</c:v>
                </c:pt>
                <c:pt idx="1">
                  <c:v>-7.9759240537163466E-4</c:v>
                </c:pt>
                <c:pt idx="2">
                  <c:v>-7.1818652123841256E-4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E-4871-A0C0-CDCBAB32DBE7}"/>
            </c:ext>
          </c:extLst>
        </c:ser>
        <c:ser>
          <c:idx val="2"/>
          <c:order val="2"/>
          <c:tx>
            <c:strRef>
              <c:f>Données!$B$163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Données!$C$160:$E$160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Données!$C$163:$E$163</c:f>
              <c:numCache>
                <c:formatCode>0.0%</c:formatCode>
                <c:ptCount val="3"/>
                <c:pt idx="0">
                  <c:v>-8.5791615373992836E-4</c:v>
                </c:pt>
                <c:pt idx="1">
                  <c:v>-1.037777160840622E-3</c:v>
                </c:pt>
                <c:pt idx="2">
                  <c:v>-8.9952685667662742E-4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4E-4871-A0C0-CDCBAB32DBE7}"/>
            </c:ext>
          </c:extLst>
        </c:ser>
        <c:ser>
          <c:idx val="3"/>
          <c:order val="3"/>
          <c:tx>
            <c:strRef>
              <c:f>Données!$B$164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Données!$C$160:$E$160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Données!$C$164:$E$164</c:f>
              <c:numCache>
                <c:formatCode>0.0%</c:formatCode>
                <c:ptCount val="3"/>
                <c:pt idx="0">
                  <c:v>-2.7582441212262979E-4</c:v>
                </c:pt>
                <c:pt idx="1">
                  <c:v>-2.2052361440403012E-4</c:v>
                </c:pt>
                <c:pt idx="2">
                  <c:v>-2.267911459315745E-4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4E-4871-A0C0-CDCBAB32DBE7}"/>
            </c:ext>
          </c:extLst>
        </c:ser>
        <c:ser>
          <c:idx val="4"/>
          <c:order val="4"/>
          <c:tx>
            <c:strRef>
              <c:f>Données!$B$165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Données!$C$160:$E$160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Données!$C$165:$E$165</c:f>
              <c:numCache>
                <c:formatCode>0.0%</c:formatCode>
                <c:ptCount val="3"/>
                <c:pt idx="0">
                  <c:v>-4.4841279275565915E-3</c:v>
                </c:pt>
                <c:pt idx="1">
                  <c:v>-3.6181491218689457E-3</c:v>
                </c:pt>
                <c:pt idx="2">
                  <c:v>-3.3059756816715782E-3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4E-4871-A0C0-CDCBAB32DBE7}"/>
            </c:ext>
          </c:extLst>
        </c:ser>
        <c:ser>
          <c:idx val="7"/>
          <c:order val="5"/>
          <c:tx>
            <c:strRef>
              <c:f>Données!$B$166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Données!$C$160:$E$160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Données!$C$166:$E$166</c:f>
              <c:numCache>
                <c:formatCode>0.0%</c:formatCode>
                <c:ptCount val="3"/>
                <c:pt idx="0">
                  <c:v>-1.6262749879702998E-4</c:v>
                </c:pt>
                <c:pt idx="1">
                  <c:v>-1.1910207617939668E-4</c:v>
                </c:pt>
                <c:pt idx="2">
                  <c:v>-9.0397965181162785E-5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4E-4871-A0C0-CDCBAB32DBE7}"/>
            </c:ext>
          </c:extLst>
        </c:ser>
        <c:ser>
          <c:idx val="6"/>
          <c:order val="6"/>
          <c:tx>
            <c:strRef>
              <c:f>Données!$B$167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Données!$C$160:$E$160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Données!$C$167:$E$167</c:f>
              <c:numCache>
                <c:formatCode>0.0%</c:formatCode>
                <c:ptCount val="3"/>
                <c:pt idx="0">
                  <c:v>-4.6847807497779692E-3</c:v>
                </c:pt>
                <c:pt idx="1">
                  <c:v>-7.2012255869328187E-3</c:v>
                </c:pt>
                <c:pt idx="2">
                  <c:v>-6.5038502820180429E-3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34E-4871-A0C0-CDCBAB32DBE7}"/>
            </c:ext>
          </c:extLst>
        </c:ser>
        <c:ser>
          <c:idx val="5"/>
          <c:order val="7"/>
          <c:tx>
            <c:strRef>
              <c:f>Données!$B$168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Données!$C$160:$E$160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Données!$C$168:$E$168</c:f>
              <c:numCache>
                <c:formatCode>0.0%</c:formatCode>
                <c:ptCount val="3"/>
                <c:pt idx="0">
                  <c:v>-4.0921796276840062E-4</c:v>
                </c:pt>
                <c:pt idx="1">
                  <c:v>-3.9720431272250416E-4</c:v>
                </c:pt>
                <c:pt idx="2">
                  <c:v>-3.6060385156213057E-4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4E-4871-A0C0-CDCBAB32DB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Données!$B$161</c:f>
              <c:strCache>
                <c:ptCount val="1"/>
                <c:pt idx="0">
                  <c:v>Total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Données!$C$160:$E$160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Données!$C$161:$E$161</c:f>
              <c:numCache>
                <c:formatCode>0.0%</c:formatCode>
                <c:ptCount val="3"/>
                <c:pt idx="0">
                  <c:v>-1.1986176935020149E-2</c:v>
                </c:pt>
                <c:pt idx="1">
                  <c:v>-1.3391574197589599E-2</c:v>
                </c:pt>
                <c:pt idx="2">
                  <c:v>-1.2105332262119361E-2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A34E-4871-A0C0-CDCBAB32DB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3066404511158891"/>
          <c:y val="0.85799808373794539"/>
          <c:w val="0.7071649128450278"/>
          <c:h val="0.11319544123699567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Production </a:t>
            </a:r>
            <a:r>
              <a:rPr lang="fr-FR" baseline="0"/>
              <a:t>sectorielle</a:t>
            </a:r>
          </a:p>
          <a:p>
            <a:pPr>
              <a:defRPr/>
            </a:pPr>
            <a:r>
              <a:rPr lang="fr-FR" sz="1800" baseline="0"/>
              <a:t>(écart au tendanciel de la part en %)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1940426989276671"/>
          <c:y val="2.095588192829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038689909529092"/>
          <c:y val="0.16700270330876876"/>
          <c:w val="0.88457713027791363"/>
          <c:h val="0.6575071311876158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Données!$B$171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Données!$C$170:$E$170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Données!$C$171:$E$171</c:f>
              <c:numCache>
                <c:formatCode>0.0%</c:formatCode>
                <c:ptCount val="3"/>
                <c:pt idx="0">
                  <c:v>-8.8741060147366074E-4</c:v>
                </c:pt>
                <c:pt idx="1">
                  <c:v>-5.7184286950714633E-4</c:v>
                </c:pt>
                <c:pt idx="2">
                  <c:v>-5.8921635212122805E-4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1-4B6A-9132-8653F2D77B61}"/>
            </c:ext>
          </c:extLst>
        </c:ser>
        <c:ser>
          <c:idx val="1"/>
          <c:order val="1"/>
          <c:tx>
            <c:strRef>
              <c:f>Données!$B$172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Données!$C$170:$E$170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Données!$C$172:$E$172</c:f>
              <c:numCache>
                <c:formatCode>0.0%</c:formatCode>
                <c:ptCount val="3"/>
                <c:pt idx="0">
                  <c:v>5.9403643872135703E-5</c:v>
                </c:pt>
                <c:pt idx="1">
                  <c:v>-4.1481335355184057E-5</c:v>
                </c:pt>
                <c:pt idx="2">
                  <c:v>-4.1274750967629226E-5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F1-4B6A-9132-8653F2D77B61}"/>
            </c:ext>
          </c:extLst>
        </c:ser>
        <c:ser>
          <c:idx val="2"/>
          <c:order val="2"/>
          <c:tx>
            <c:strRef>
              <c:f>Données!$B$173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Données!$C$170:$E$170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Données!$C$173:$E$173</c:f>
              <c:numCache>
                <c:formatCode>0.0%</c:formatCode>
                <c:ptCount val="3"/>
                <c:pt idx="0">
                  <c:v>-1.5062887916266268E-4</c:v>
                </c:pt>
                <c:pt idx="1">
                  <c:v>-8.8738289449609778E-5</c:v>
                </c:pt>
                <c:pt idx="2">
                  <c:v>-8.7750680724781385E-5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F1-4B6A-9132-8653F2D77B61}"/>
            </c:ext>
          </c:extLst>
        </c:ser>
        <c:ser>
          <c:idx val="3"/>
          <c:order val="3"/>
          <c:tx>
            <c:strRef>
              <c:f>Données!$B$174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Données!$C$170:$E$170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Données!$C$174:$E$174</c:f>
              <c:numCache>
                <c:formatCode>0.0%</c:formatCode>
                <c:ptCount val="3"/>
                <c:pt idx="0">
                  <c:v>-2.4176749749617865E-3</c:v>
                </c:pt>
                <c:pt idx="1">
                  <c:v>-1.361922519288794E-3</c:v>
                </c:pt>
                <c:pt idx="2">
                  <c:v>-1.3479302935840154E-3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F1-4B6A-9132-8653F2D77B61}"/>
            </c:ext>
          </c:extLst>
        </c:ser>
        <c:ser>
          <c:idx val="4"/>
          <c:order val="4"/>
          <c:tx>
            <c:strRef>
              <c:f>Données!$B$175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Données!$C$170:$E$170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Données!$C$175:$E$175</c:f>
              <c:numCache>
                <c:formatCode>0.0%</c:formatCode>
                <c:ptCount val="3"/>
                <c:pt idx="0">
                  <c:v>5.3629976960255232E-5</c:v>
                </c:pt>
                <c:pt idx="1">
                  <c:v>1.1481131829203448E-4</c:v>
                </c:pt>
                <c:pt idx="2">
                  <c:v>1.1791602943866247E-4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F1-4B6A-9132-8653F2D77B61}"/>
            </c:ext>
          </c:extLst>
        </c:ser>
        <c:ser>
          <c:idx val="5"/>
          <c:order val="5"/>
          <c:tx>
            <c:strRef>
              <c:f>Données!$B$176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Données!$C$170:$E$170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Données!$C$176:$E$176</c:f>
              <c:numCache>
                <c:formatCode>0.0%</c:formatCode>
                <c:ptCount val="3"/>
                <c:pt idx="0">
                  <c:v>3.3922971960113069E-3</c:v>
                </c:pt>
                <c:pt idx="1">
                  <c:v>1.9481028505983211E-3</c:v>
                </c:pt>
                <c:pt idx="2">
                  <c:v>1.9452541452827932E-3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F1-4B6A-9132-8653F2D77B61}"/>
            </c:ext>
          </c:extLst>
        </c:ser>
        <c:ser>
          <c:idx val="6"/>
          <c:order val="6"/>
          <c:tx>
            <c:strRef>
              <c:f>Données!$B$177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Données!$C$170:$E$170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Données!$C$177:$E$177</c:f>
              <c:numCache>
                <c:formatCode>0.0%</c:formatCode>
                <c:ptCount val="3"/>
                <c:pt idx="0">
                  <c:v>-4.9616369182221842E-5</c:v>
                </c:pt>
                <c:pt idx="1">
                  <c:v>1.0707640219938253E-6</c:v>
                </c:pt>
                <c:pt idx="2">
                  <c:v>3.0019806783292136E-6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FD-41DD-B0C4-371ACB164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0000037670649387E-2"/>
          <c:y val="0.92507183164803475"/>
          <c:w val="0.89999992465870116"/>
          <c:h val="5.8163462809332329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chart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chart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chart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chart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chart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chart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chart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chart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chart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chart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chart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100-000000000000}">
  <sheetPr>
    <tabColor rgb="FFFF0000"/>
  </sheetPr>
  <sheetViews>
    <sheetView tabSelected="1" zoomScale="55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200-000000000000}">
  <sheetPr>
    <tabColor rgb="FFFF0000"/>
  </sheetPr>
  <sheetViews>
    <sheetView zoomScale="40"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400-000000000000}">
  <sheetPr>
    <tabColor rgb="FFFF0000"/>
  </sheetPr>
  <sheetViews>
    <sheetView zoomScale="80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500-000000000000}">
  <sheetPr/>
  <sheetViews>
    <sheetView zoomScale="70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600-000000000000}">
  <sheetPr>
    <tabColor rgb="FFFF0000"/>
  </sheetPr>
  <sheetViews>
    <sheetView zoomScale="80" workbookViewId="0" zoomToFit="1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700-000000000000}">
  <sheetPr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800-000000000000}">
  <sheetPr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900-000000000000}">
  <sheetPr>
    <tabColor theme="7"/>
  </sheetPr>
  <sheetViews>
    <sheetView zoomScale="80" workbookViewId="0" zoomToFit="1"/>
  </sheetViews>
  <pageMargins left="0.7" right="0.7" top="0.75" bottom="0.75" header="0.3" footer="0.3"/>
  <drawing r:id="rId1"/>
</chartsheet>
</file>

<file path=xl/chartsheets/sheet1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A00-000000000000}">
  <sheetPr>
    <tabColor theme="7"/>
  </sheetPr>
  <sheetViews>
    <sheetView zoomScale="80" workbookViewId="0" zoomToFit="1"/>
  </sheetViews>
  <pageMargins left="0.7" right="0.7" top="0.75" bottom="0.75" header="0.3" footer="0.3"/>
  <drawing r:id="rId1"/>
</chartsheet>
</file>

<file path=xl/chartsheets/sheet1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B00-000000000000}">
  <sheetPr>
    <tabColor theme="7"/>
  </sheetPr>
  <sheetViews>
    <sheetView zoomScale="80" workbookViewId="0" zoomToFit="1"/>
  </sheetViews>
  <pageMargins left="0.7" right="0.7" top="0.75" bottom="0.75" header="0.3" footer="0.3"/>
  <drawing r:id="rId1"/>
</chartsheet>
</file>

<file path=xl/chartsheets/sheet1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C00-000000000000}">
  <sheetPr>
    <tabColor theme="7"/>
  </sheetPr>
  <sheetViews>
    <sheetView zoomScale="80" workbookViewId="0" zoomToFit="1"/>
  </sheetViews>
  <pageMargins left="0.7" right="0.7" top="0.75" bottom="0.75" header="0.3" footer="0.3"/>
  <drawing r:id="rId1"/>
</chartsheet>
</file>

<file path=xl/chartsheets/sheet1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D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DDA2B46-5A07-4ACE-885C-07A2D48EDB46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54114DFF-06B8-43B9-B39F-3ACF44666A0A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F00-000000000000}">
  <sheetPr>
    <tabColor rgb="FF7030A0"/>
  </sheetPr>
  <sheetViews>
    <sheetView zoomScale="80" workbookViewId="0" zoomToFit="1"/>
  </sheetViews>
  <pageMargins left="0.7" right="0.7" top="0.75" bottom="0.75" header="0.3" footer="0.3"/>
  <drawing r:id="rId1"/>
</chartsheet>
</file>

<file path=xl/chartsheets/sheet1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0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1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200-000000000000}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2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BDA4938-6DEA-4E86-B7A8-FEF44F7274B9}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2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3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2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400-000000000000}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6FC3720-83B2-4315-9FAD-13ED81F9AB47}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500-000000000000}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77350" cy="60579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579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579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579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579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579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579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3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4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8DB0A543-F1F5-7285-B880-A9AED1CDD33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631245AD-793D-C7EB-8120-76A89EADAF1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579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8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9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0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E908D0-2AE8-2580-D739-4790B3FD3CA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1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2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3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</c:userShapes>
</file>

<file path=xl/drawings/drawing24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558F814-7EC0-C772-3C76-2743A5B95D4F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5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</c:userShapes>
</file>

<file path=xl/drawings/drawing26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lori\Documents\Github\ThreeME_V3-ADEME\results\2023-01-30_00-15-44_Result_France.xlsx" TargetMode="External"/><Relationship Id="rId1" Type="http://schemas.openxmlformats.org/officeDocument/2006/relationships/externalLinkPath" Target="2023-01-30_00-15-44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ort"/>
      <sheetName val="Import"/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/>
      <sheetData sheetId="1"/>
      <sheetData sheetId="2"/>
      <sheetData sheetId="3">
        <row r="2">
          <cell r="B2">
            <v>3869147.554</v>
          </cell>
          <cell r="C2">
            <v>3902911.9929999998</v>
          </cell>
          <cell r="D2">
            <v>3953427.3530000001</v>
          </cell>
          <cell r="E2">
            <v>4014120.7930000001</v>
          </cell>
          <cell r="F2">
            <v>4079606.835</v>
          </cell>
          <cell r="G2">
            <v>4146378.0419999999</v>
          </cell>
          <cell r="H2">
            <v>4169170.9339999999</v>
          </cell>
          <cell r="I2">
            <v>4194733.4589999998</v>
          </cell>
          <cell r="J2">
            <v>4225996.4740000004</v>
          </cell>
          <cell r="K2">
            <v>4269893.8150000004</v>
          </cell>
          <cell r="L2">
            <v>4334842.2070000004</v>
          </cell>
          <cell r="M2">
            <v>4406242.4850000003</v>
          </cell>
          <cell r="N2">
            <v>4485232.7570000002</v>
          </cell>
          <cell r="O2">
            <v>4566049.9440000001</v>
          </cell>
          <cell r="P2">
            <v>4644533.7460000003</v>
          </cell>
          <cell r="Q2">
            <v>4718975.9979999997</v>
          </cell>
          <cell r="R2">
            <v>4789929.432</v>
          </cell>
          <cell r="S2">
            <v>4859293.1109999996</v>
          </cell>
          <cell r="T2">
            <v>4929189.5829999996</v>
          </cell>
          <cell r="U2">
            <v>5001130.46</v>
          </cell>
          <cell r="V2">
            <v>5070541.1169999996</v>
          </cell>
          <cell r="W2">
            <v>5147083.8569999998</v>
          </cell>
          <cell r="X2">
            <v>5225985.8830000004</v>
          </cell>
          <cell r="Y2">
            <v>5306255.12</v>
          </cell>
          <cell r="Z2">
            <v>5387349.9749999996</v>
          </cell>
          <cell r="AA2">
            <v>5452521.9069999997</v>
          </cell>
          <cell r="AB2">
            <v>5528635.3159999996</v>
          </cell>
          <cell r="AC2">
            <v>5606209.6619999995</v>
          </cell>
          <cell r="AD2">
            <v>5685540.3320000004</v>
          </cell>
          <cell r="AE2">
            <v>5766700.6710000001</v>
          </cell>
          <cell r="AF2">
            <v>5849298.9230000004</v>
          </cell>
          <cell r="AG2">
            <v>5932788.1770000001</v>
          </cell>
          <cell r="AH2">
            <v>6016779.7139999997</v>
          </cell>
          <cell r="AI2">
            <v>6101195.551</v>
          </cell>
          <cell r="AJ2">
            <v>6186242.6529999999</v>
          </cell>
          <cell r="AK2">
            <v>6272269.858</v>
          </cell>
        </row>
        <row r="3">
          <cell r="B3">
            <v>3869147.554</v>
          </cell>
          <cell r="C3">
            <v>3902911.9929999998</v>
          </cell>
          <cell r="D3">
            <v>3953427.3530000001</v>
          </cell>
          <cell r="E3">
            <v>4014120.7930000001</v>
          </cell>
          <cell r="F3">
            <v>4079606.835</v>
          </cell>
          <cell r="G3">
            <v>4146378.0419999999</v>
          </cell>
          <cell r="H3">
            <v>4206927.2180000003</v>
          </cell>
          <cell r="I3">
            <v>4264993.4450000003</v>
          </cell>
          <cell r="J3">
            <v>4320808.034</v>
          </cell>
          <cell r="K3">
            <v>4376463.2889999999</v>
          </cell>
          <cell r="L3">
            <v>4440624.8689999999</v>
          </cell>
          <cell r="M3">
            <v>4502469.2810000004</v>
          </cell>
          <cell r="N3">
            <v>4567851.1859999998</v>
          </cell>
          <cell r="O3">
            <v>4635812.9819999998</v>
          </cell>
          <cell r="P3">
            <v>4705468.7050000001</v>
          </cell>
          <cell r="Q3">
            <v>4776224.6720000003</v>
          </cell>
          <cell r="R3">
            <v>4847851.034</v>
          </cell>
          <cell r="S3">
            <v>4920421.7980000004</v>
          </cell>
          <cell r="T3">
            <v>4994154.9740000004</v>
          </cell>
          <cell r="U3">
            <v>5069256.7529999996</v>
          </cell>
          <cell r="V3">
            <v>5140619.0609999998</v>
          </cell>
          <cell r="W3">
            <v>5218168.5779999997</v>
          </cell>
          <cell r="X3">
            <v>5297625.1370000001</v>
          </cell>
          <cell r="Y3">
            <v>5378475.5420000004</v>
          </cell>
          <cell r="Z3">
            <v>5460408.8490000004</v>
          </cell>
          <cell r="AA3">
            <v>5526530.8550000004</v>
          </cell>
          <cell r="AB3">
            <v>5603533.0020000003</v>
          </cell>
          <cell r="AC3">
            <v>5681756.0769999996</v>
          </cell>
          <cell r="AD3">
            <v>5761409.8569999998</v>
          </cell>
          <cell r="AE3">
            <v>5842607.7539999997</v>
          </cell>
          <cell r="AF3">
            <v>5925090.2980000004</v>
          </cell>
          <cell r="AG3">
            <v>6008472.5539999995</v>
          </cell>
          <cell r="AH3">
            <v>6092494.7539999997</v>
          </cell>
          <cell r="AI3">
            <v>6177136.7259999998</v>
          </cell>
          <cell r="AJ3">
            <v>6262587.7529999996</v>
          </cell>
          <cell r="AK3">
            <v>6349128.1639999999</v>
          </cell>
        </row>
        <row r="4">
          <cell r="B4">
            <v>81868.050499999998</v>
          </cell>
          <cell r="C4">
            <v>81437.69094</v>
          </cell>
          <cell r="D4">
            <v>81293.52721</v>
          </cell>
          <cell r="E4">
            <v>81434.511799999993</v>
          </cell>
          <cell r="F4">
            <v>81871.010209999993</v>
          </cell>
          <cell r="G4">
            <v>82540.138810000004</v>
          </cell>
          <cell r="H4">
            <v>82785.718340000007</v>
          </cell>
          <cell r="I4">
            <v>82468.069270000007</v>
          </cell>
          <cell r="J4">
            <v>81696.108630000002</v>
          </cell>
          <cell r="K4">
            <v>80922.192039999994</v>
          </cell>
          <cell r="L4">
            <v>80465.561740000005</v>
          </cell>
          <cell r="M4">
            <v>80301.438219999996</v>
          </cell>
          <cell r="N4">
            <v>80448.880780000007</v>
          </cell>
          <cell r="O4">
            <v>80836.375150000007</v>
          </cell>
          <cell r="P4">
            <v>81372.463319999995</v>
          </cell>
          <cell r="Q4">
            <v>81969.943580000006</v>
          </cell>
          <cell r="R4">
            <v>82561.019039999999</v>
          </cell>
          <cell r="S4">
            <v>83102.109360000002</v>
          </cell>
          <cell r="T4">
            <v>83571.478969999996</v>
          </cell>
          <cell r="U4">
            <v>83963.656260000003</v>
          </cell>
          <cell r="V4">
            <v>84223.456040000005</v>
          </cell>
          <cell r="W4">
            <v>84455.940050000005</v>
          </cell>
          <cell r="X4">
            <v>84655.559500000003</v>
          </cell>
          <cell r="Y4">
            <v>84840.633090000003</v>
          </cell>
          <cell r="Z4">
            <v>85025.196400000001</v>
          </cell>
          <cell r="AA4">
            <v>85051.900739999997</v>
          </cell>
          <cell r="AB4">
            <v>85117.329280000005</v>
          </cell>
          <cell r="AC4">
            <v>85207.305829999998</v>
          </cell>
          <cell r="AD4">
            <v>85337.841700000004</v>
          </cell>
          <cell r="AE4">
            <v>85510.55846</v>
          </cell>
          <cell r="AF4">
            <v>85718.218609999996</v>
          </cell>
          <cell r="AG4">
            <v>85948.934779999996</v>
          </cell>
          <cell r="AH4">
            <v>86190.07187</v>
          </cell>
          <cell r="AI4">
            <v>86430.974319999994</v>
          </cell>
          <cell r="AJ4">
            <v>86664.238899999997</v>
          </cell>
          <cell r="AK4">
            <v>86885.773140000005</v>
          </cell>
        </row>
        <row r="5">
          <cell r="B5">
            <v>81868.050499999998</v>
          </cell>
          <cell r="C5">
            <v>81437.69094</v>
          </cell>
          <cell r="D5">
            <v>81293.52721</v>
          </cell>
          <cell r="E5">
            <v>81434.511799999993</v>
          </cell>
          <cell r="F5">
            <v>81871.010209999993</v>
          </cell>
          <cell r="G5">
            <v>82540.138810000004</v>
          </cell>
          <cell r="H5">
            <v>83291.61593</v>
          </cell>
          <cell r="I5">
            <v>84052.904070000004</v>
          </cell>
          <cell r="J5">
            <v>84756.593240000002</v>
          </cell>
          <cell r="K5">
            <v>85365.883329999997</v>
          </cell>
          <cell r="L5">
            <v>85958.700880000004</v>
          </cell>
          <cell r="M5">
            <v>86403.227469999998</v>
          </cell>
          <cell r="N5">
            <v>86738.184469999993</v>
          </cell>
          <cell r="O5">
            <v>86977.315220000004</v>
          </cell>
          <cell r="P5">
            <v>87145.130480000007</v>
          </cell>
          <cell r="Q5">
            <v>87270.325200000007</v>
          </cell>
          <cell r="R5">
            <v>87381.690109999996</v>
          </cell>
          <cell r="S5">
            <v>87504.381760000004</v>
          </cell>
          <cell r="T5">
            <v>87657.211930000005</v>
          </cell>
          <cell r="U5">
            <v>87851.271869999997</v>
          </cell>
          <cell r="V5">
            <v>88026.682119999998</v>
          </cell>
          <cell r="W5">
            <v>88278.45491</v>
          </cell>
          <cell r="X5">
            <v>88576.196670000005</v>
          </cell>
          <cell r="Y5">
            <v>88910.712570000003</v>
          </cell>
          <cell r="Z5">
            <v>89267.781919999994</v>
          </cell>
          <cell r="AA5">
            <v>89455.310360000003</v>
          </cell>
          <cell r="AB5">
            <v>89660.979170000006</v>
          </cell>
          <cell r="AC5">
            <v>89855.741569999998</v>
          </cell>
          <cell r="AD5">
            <v>90051.441099999996</v>
          </cell>
          <cell r="AE5">
            <v>90251.530580000006</v>
          </cell>
          <cell r="AF5">
            <v>90455.075200000007</v>
          </cell>
          <cell r="AG5">
            <v>90659.064110000007</v>
          </cell>
          <cell r="AH5">
            <v>90860.520069999999</v>
          </cell>
          <cell r="AI5">
            <v>91057.772070000006</v>
          </cell>
          <cell r="AJ5">
            <v>91250.739279999994</v>
          </cell>
          <cell r="AK5">
            <v>91440.488410000005</v>
          </cell>
        </row>
        <row r="6">
          <cell r="B6">
            <v>6539.7419149999996</v>
          </cell>
          <cell r="C6">
            <v>6391.9366449999998</v>
          </cell>
          <cell r="D6">
            <v>6276.7886019999996</v>
          </cell>
          <cell r="E6">
            <v>6195.4462789999998</v>
          </cell>
          <cell r="F6">
            <v>6143.5298489999996</v>
          </cell>
          <cell r="G6">
            <v>6115.9983620000003</v>
          </cell>
          <cell r="H6">
            <v>6190.2883730000003</v>
          </cell>
          <cell r="I6">
            <v>6162.8024519999999</v>
          </cell>
          <cell r="J6">
            <v>6132.2963149999996</v>
          </cell>
          <cell r="K6">
            <v>6116.584073</v>
          </cell>
          <cell r="L6">
            <v>6131.7753300000004</v>
          </cell>
          <cell r="M6">
            <v>6150.1641060000002</v>
          </cell>
          <cell r="N6">
            <v>6182.3592410000001</v>
          </cell>
          <cell r="O6">
            <v>6225.471141</v>
          </cell>
          <cell r="P6">
            <v>6274.6504910000003</v>
          </cell>
          <cell r="Q6">
            <v>6326.1397239999997</v>
          </cell>
          <cell r="R6">
            <v>6377.8019089999998</v>
          </cell>
          <cell r="S6">
            <v>6429.2093779999996</v>
          </cell>
          <cell r="T6">
            <v>6481.0366899999999</v>
          </cell>
          <cell r="U6">
            <v>6534.285519</v>
          </cell>
          <cell r="V6">
            <v>6580.2918090000003</v>
          </cell>
          <cell r="W6">
            <v>6638.7421260000001</v>
          </cell>
          <cell r="X6">
            <v>6700.3705739999996</v>
          </cell>
          <cell r="Y6">
            <v>6763.3757059999998</v>
          </cell>
          <cell r="Z6">
            <v>6827.4074950000004</v>
          </cell>
          <cell r="AA6">
            <v>6864.4245279999996</v>
          </cell>
          <cell r="AB6">
            <v>6920.6510509999998</v>
          </cell>
          <cell r="AC6">
            <v>6980.871236</v>
          </cell>
          <cell r="AD6">
            <v>7042.5129420000003</v>
          </cell>
          <cell r="AE6">
            <v>7105.609281</v>
          </cell>
          <cell r="AF6">
            <v>7170.2740979999999</v>
          </cell>
          <cell r="AG6">
            <v>7236.3341330000003</v>
          </cell>
          <cell r="AH6">
            <v>7303.4815870000002</v>
          </cell>
          <cell r="AI6">
            <v>7371.4713089999996</v>
          </cell>
          <cell r="AJ6">
            <v>7440.2296729999998</v>
          </cell>
          <cell r="AK6">
            <v>7509.8502580000004</v>
          </cell>
        </row>
        <row r="7">
          <cell r="B7">
            <v>6539.7419149999996</v>
          </cell>
          <cell r="C7">
            <v>6391.9366449999998</v>
          </cell>
          <cell r="D7">
            <v>6276.7886019999996</v>
          </cell>
          <cell r="E7">
            <v>6195.4462789999998</v>
          </cell>
          <cell r="F7">
            <v>6143.5298489999996</v>
          </cell>
          <cell r="G7">
            <v>6115.9983620000003</v>
          </cell>
          <cell r="H7">
            <v>6098.4648120000002</v>
          </cell>
          <cell r="I7">
            <v>6095.2473149999996</v>
          </cell>
          <cell r="J7">
            <v>6102.3920589999998</v>
          </cell>
          <cell r="K7">
            <v>6117.1051829999997</v>
          </cell>
          <cell r="L7">
            <v>6151.2002279999997</v>
          </cell>
          <cell r="M7">
            <v>6177.6999370000003</v>
          </cell>
          <cell r="N7">
            <v>6209.612169</v>
          </cell>
          <cell r="O7">
            <v>6247.4749149999998</v>
          </cell>
          <cell r="P7">
            <v>6289.8459700000003</v>
          </cell>
          <cell r="Q7">
            <v>6335.4022439999999</v>
          </cell>
          <cell r="R7">
            <v>6383.3320970000004</v>
          </cell>
          <cell r="S7">
            <v>6433.2795649999998</v>
          </cell>
          <cell r="T7">
            <v>6485.1713540000001</v>
          </cell>
          <cell r="U7">
            <v>6539.0457130000004</v>
          </cell>
          <cell r="V7">
            <v>6585.6023279999999</v>
          </cell>
          <cell r="W7">
            <v>6644.0636949999998</v>
          </cell>
          <cell r="X7">
            <v>6705.3088879999996</v>
          </cell>
          <cell r="Y7">
            <v>6767.8553780000002</v>
          </cell>
          <cell r="Z7">
            <v>6831.6234279999999</v>
          </cell>
          <cell r="AA7">
            <v>6868.9339460000001</v>
          </cell>
          <cell r="AB7">
            <v>6925.5539870000002</v>
          </cell>
          <cell r="AC7">
            <v>6986.180077</v>
          </cell>
          <cell r="AD7">
            <v>7048.1400709999998</v>
          </cell>
          <cell r="AE7">
            <v>7111.3828620000004</v>
          </cell>
          <cell r="AF7">
            <v>7176.0098029999999</v>
          </cell>
          <cell r="AG7">
            <v>7241.9046980000003</v>
          </cell>
          <cell r="AH7">
            <v>7308.8497850000003</v>
          </cell>
          <cell r="AI7">
            <v>7376.6811250000001</v>
          </cell>
          <cell r="AJ7">
            <v>7445.3659470000002</v>
          </cell>
          <cell r="AK7">
            <v>7514.9932570000001</v>
          </cell>
        </row>
        <row r="8">
          <cell r="B8">
            <v>157897.0117</v>
          </cell>
          <cell r="C8">
            <v>158147.5435</v>
          </cell>
          <cell r="D8">
            <v>158527.12760000001</v>
          </cell>
          <cell r="E8">
            <v>159179.5496</v>
          </cell>
          <cell r="F8">
            <v>160086.4921</v>
          </cell>
          <cell r="G8">
            <v>161125.8088</v>
          </cell>
          <cell r="H8">
            <v>160035.78289999999</v>
          </cell>
          <cell r="I8">
            <v>158776.29999999999</v>
          </cell>
          <cell r="J8">
            <v>157035.3075</v>
          </cell>
          <cell r="K8">
            <v>155651.8988</v>
          </cell>
          <cell r="L8">
            <v>155057.90599999999</v>
          </cell>
          <cell r="M8">
            <v>155001.046</v>
          </cell>
          <cell r="N8">
            <v>155409.72260000001</v>
          </cell>
          <cell r="O8">
            <v>156103.91099999999</v>
          </cell>
          <cell r="P8">
            <v>156932.2328</v>
          </cell>
          <cell r="Q8">
            <v>157792.0417</v>
          </cell>
          <cell r="R8">
            <v>158631.2078</v>
          </cell>
          <cell r="S8">
            <v>159433.87849999999</v>
          </cell>
          <cell r="T8">
            <v>160201.12210000001</v>
          </cell>
          <cell r="U8">
            <v>160935.9026</v>
          </cell>
          <cell r="V8">
            <v>161518.5074</v>
          </cell>
          <cell r="W8">
            <v>162128.38930000001</v>
          </cell>
          <cell r="X8">
            <v>162719.71220000001</v>
          </cell>
          <cell r="Y8">
            <v>163293.49650000001</v>
          </cell>
          <cell r="Z8">
            <v>163847.6795</v>
          </cell>
          <cell r="AA8">
            <v>164053.9155</v>
          </cell>
          <cell r="AB8">
            <v>164293.04459999999</v>
          </cell>
          <cell r="AC8">
            <v>164536.571</v>
          </cell>
          <cell r="AD8">
            <v>164815.48130000001</v>
          </cell>
          <cell r="AE8">
            <v>165133.1018</v>
          </cell>
          <cell r="AF8">
            <v>165480.19450000001</v>
          </cell>
          <cell r="AG8">
            <v>165843.8039</v>
          </cell>
          <cell r="AH8">
            <v>166213.3125</v>
          </cell>
          <cell r="AI8">
            <v>166583.00750000001</v>
          </cell>
          <cell r="AJ8">
            <v>166951.6391</v>
          </cell>
          <cell r="AK8">
            <v>167320.3352</v>
          </cell>
        </row>
        <row r="9">
          <cell r="B9">
            <v>157897.0117</v>
          </cell>
          <cell r="C9">
            <v>158147.5435</v>
          </cell>
          <cell r="D9">
            <v>158527.12760000001</v>
          </cell>
          <cell r="E9">
            <v>159179.5496</v>
          </cell>
          <cell r="F9">
            <v>160086.4921</v>
          </cell>
          <cell r="G9">
            <v>161125.8088</v>
          </cell>
          <cell r="H9">
            <v>162060.6213</v>
          </cell>
          <cell r="I9">
            <v>162867.5742</v>
          </cell>
          <cell r="J9">
            <v>163542.62349999999</v>
          </cell>
          <cell r="K9">
            <v>164125.3707</v>
          </cell>
          <cell r="L9">
            <v>164844.348</v>
          </cell>
          <cell r="M9">
            <v>165451.08910000001</v>
          </cell>
          <cell r="N9">
            <v>166019.2401</v>
          </cell>
          <cell r="O9">
            <v>166543.49540000001</v>
          </cell>
          <cell r="P9">
            <v>167031.78289999999</v>
          </cell>
          <cell r="Q9">
            <v>167498.1409</v>
          </cell>
          <cell r="R9">
            <v>167959.85440000001</v>
          </cell>
          <cell r="S9">
            <v>168433.49299999999</v>
          </cell>
          <cell r="T9">
            <v>168931.44940000001</v>
          </cell>
          <cell r="U9">
            <v>169459.8241</v>
          </cell>
          <cell r="V9">
            <v>169893.36629999999</v>
          </cell>
          <cell r="W9">
            <v>170422.35140000001</v>
          </cell>
          <cell r="X9">
            <v>170993.09820000001</v>
          </cell>
          <cell r="Y9">
            <v>171596.984</v>
          </cell>
          <cell r="Z9">
            <v>172217.0698</v>
          </cell>
          <cell r="AA9">
            <v>172489.9571</v>
          </cell>
          <cell r="AB9">
            <v>172802.9148</v>
          </cell>
          <cell r="AC9">
            <v>173112.57750000001</v>
          </cell>
          <cell r="AD9">
            <v>173446.2507</v>
          </cell>
          <cell r="AE9">
            <v>173807.13269999999</v>
          </cell>
          <cell r="AF9">
            <v>174188.3273</v>
          </cell>
          <cell r="AG9">
            <v>174580.1182</v>
          </cell>
          <cell r="AH9">
            <v>174974.76439999999</v>
          </cell>
          <cell r="AI9">
            <v>175368.38370000001</v>
          </cell>
          <cell r="AJ9">
            <v>175760.41380000001</v>
          </cell>
          <cell r="AK9">
            <v>176151.84099999999</v>
          </cell>
        </row>
        <row r="10">
          <cell r="B10">
            <v>125865.50380000001</v>
          </cell>
          <cell r="C10">
            <v>126647.4307</v>
          </cell>
          <cell r="D10">
            <v>128069.91650000001</v>
          </cell>
          <cell r="E10">
            <v>129806.9072</v>
          </cell>
          <cell r="F10">
            <v>131692.8143</v>
          </cell>
          <cell r="G10">
            <v>133631.68350000001</v>
          </cell>
          <cell r="H10">
            <v>134679.38630000001</v>
          </cell>
          <cell r="I10">
            <v>135597.30429999999</v>
          </cell>
          <cell r="J10">
            <v>136703.63690000001</v>
          </cell>
          <cell r="K10">
            <v>138004.40950000001</v>
          </cell>
          <cell r="L10">
            <v>139774.66990000001</v>
          </cell>
          <cell r="M10">
            <v>141621.04689999999</v>
          </cell>
          <cell r="N10">
            <v>143626.74280000001</v>
          </cell>
          <cell r="O10">
            <v>145714.35639999999</v>
          </cell>
          <cell r="P10">
            <v>147811.1465</v>
          </cell>
          <cell r="Q10">
            <v>149876.66209999999</v>
          </cell>
          <cell r="R10">
            <v>151908.03700000001</v>
          </cell>
          <cell r="S10">
            <v>153929.7401</v>
          </cell>
          <cell r="T10">
            <v>155975.54070000001</v>
          </cell>
          <cell r="U10">
            <v>158072.4025</v>
          </cell>
          <cell r="V10">
            <v>160080.4737</v>
          </cell>
          <cell r="W10">
            <v>162282.1182</v>
          </cell>
          <cell r="X10">
            <v>164554.37169999999</v>
          </cell>
          <cell r="Y10">
            <v>166874.6777</v>
          </cell>
          <cell r="Z10">
            <v>169227.64980000001</v>
          </cell>
          <cell r="AA10">
            <v>171161.96290000001</v>
          </cell>
          <cell r="AB10">
            <v>173311.7378</v>
          </cell>
          <cell r="AC10">
            <v>175526.8768</v>
          </cell>
          <cell r="AD10">
            <v>177807.70850000001</v>
          </cell>
          <cell r="AE10">
            <v>180150.96960000001</v>
          </cell>
          <cell r="AF10">
            <v>182546.65729999999</v>
          </cell>
          <cell r="AG10">
            <v>184982.40710000001</v>
          </cell>
          <cell r="AH10">
            <v>187448.459</v>
          </cell>
          <cell r="AI10">
            <v>189940.65400000001</v>
          </cell>
          <cell r="AJ10">
            <v>192460.5698</v>
          </cell>
          <cell r="AK10">
            <v>195013.36139999999</v>
          </cell>
        </row>
        <row r="11">
          <cell r="B11">
            <v>125865.50380000001</v>
          </cell>
          <cell r="C11">
            <v>126647.4307</v>
          </cell>
          <cell r="D11">
            <v>128069.91650000001</v>
          </cell>
          <cell r="E11">
            <v>129806.9072</v>
          </cell>
          <cell r="F11">
            <v>131692.8143</v>
          </cell>
          <cell r="G11">
            <v>133631.68350000001</v>
          </cell>
          <cell r="H11">
            <v>135442.32029999999</v>
          </cell>
          <cell r="I11">
            <v>137195.1452</v>
          </cell>
          <cell r="J11">
            <v>138905.34229999999</v>
          </cell>
          <cell r="K11">
            <v>140610.0613</v>
          </cell>
          <cell r="L11">
            <v>142558.6042</v>
          </cell>
          <cell r="M11">
            <v>144391.42360000001</v>
          </cell>
          <cell r="N11">
            <v>146265.74619999999</v>
          </cell>
          <cell r="O11">
            <v>148181.82629999999</v>
          </cell>
          <cell r="P11">
            <v>150130.1519</v>
          </cell>
          <cell r="Q11">
            <v>152103.71729999999</v>
          </cell>
          <cell r="R11">
            <v>154101.0166</v>
          </cell>
          <cell r="S11">
            <v>156125.69349999999</v>
          </cell>
          <cell r="T11">
            <v>158184.3155</v>
          </cell>
          <cell r="U11">
            <v>160283.5429</v>
          </cell>
          <cell r="V11">
            <v>162274.08309999999</v>
          </cell>
          <cell r="W11">
            <v>164445.91639999999</v>
          </cell>
          <cell r="X11">
            <v>166685.1642</v>
          </cell>
          <cell r="Y11">
            <v>168979.48019999999</v>
          </cell>
          <cell r="Z11">
            <v>171319.16380000001</v>
          </cell>
          <cell r="AA11">
            <v>173248.62419999999</v>
          </cell>
          <cell r="AB11">
            <v>175402.95809999999</v>
          </cell>
          <cell r="AC11">
            <v>177625.3394</v>
          </cell>
          <cell r="AD11">
            <v>179913.18919999999</v>
          </cell>
          <cell r="AE11">
            <v>182262.07889999999</v>
          </cell>
          <cell r="AF11">
            <v>184662.7126</v>
          </cell>
          <cell r="AG11">
            <v>187104.43410000001</v>
          </cell>
          <cell r="AH11">
            <v>189579.0937</v>
          </cell>
          <cell r="AI11">
            <v>192083.21900000001</v>
          </cell>
          <cell r="AJ11">
            <v>194617.87280000001</v>
          </cell>
          <cell r="AK11">
            <v>197186.76819999999</v>
          </cell>
        </row>
        <row r="12">
          <cell r="B12">
            <v>22138.05402</v>
          </cell>
          <cell r="C12">
            <v>22856.698929999999</v>
          </cell>
          <cell r="D12">
            <v>23695.40638</v>
          </cell>
          <cell r="E12">
            <v>24357.000840000001</v>
          </cell>
          <cell r="F12">
            <v>24874.695759999999</v>
          </cell>
          <cell r="G12">
            <v>25319.599900000001</v>
          </cell>
          <cell r="H12">
            <v>25260.696499999998</v>
          </cell>
          <cell r="I12">
            <v>25257.958210000001</v>
          </cell>
          <cell r="J12">
            <v>25350.85757</v>
          </cell>
          <cell r="K12">
            <v>25556.40367</v>
          </cell>
          <cell r="L12">
            <v>26186.64689</v>
          </cell>
          <cell r="M12">
            <v>26487.404279999999</v>
          </cell>
          <cell r="N12">
            <v>26899.470949999999</v>
          </cell>
          <cell r="O12">
            <v>27386.312969999999</v>
          </cell>
          <cell r="P12">
            <v>27887.177660000001</v>
          </cell>
          <cell r="Q12">
            <v>28369.029989999999</v>
          </cell>
          <cell r="R12">
            <v>28824.91344</v>
          </cell>
          <cell r="S12">
            <v>29264.259129999999</v>
          </cell>
          <cell r="T12">
            <v>29702.303980000001</v>
          </cell>
          <cell r="U12">
            <v>30151.973569999998</v>
          </cell>
          <cell r="V12">
            <v>30400.166389999999</v>
          </cell>
          <cell r="W12">
            <v>30969.024649999999</v>
          </cell>
          <cell r="X12">
            <v>31535.520260000001</v>
          </cell>
          <cell r="Y12">
            <v>32078.708139999999</v>
          </cell>
          <cell r="Z12">
            <v>32609.32634</v>
          </cell>
          <cell r="AA12">
            <v>32487.642349999998</v>
          </cell>
          <cell r="AB12">
            <v>32998.049059999998</v>
          </cell>
          <cell r="AC12">
            <v>33557.278140000002</v>
          </cell>
          <cell r="AD12">
            <v>34106.392699999997</v>
          </cell>
          <cell r="AE12">
            <v>34651.217149999997</v>
          </cell>
          <cell r="AF12">
            <v>35197.187550000002</v>
          </cell>
          <cell r="AG12">
            <v>35744.87371</v>
          </cell>
          <cell r="AH12">
            <v>36293.179700000001</v>
          </cell>
          <cell r="AI12">
            <v>36841.901720000002</v>
          </cell>
          <cell r="AJ12">
            <v>37392.536829999997</v>
          </cell>
          <cell r="AK12">
            <v>37947.737379999999</v>
          </cell>
        </row>
        <row r="13">
          <cell r="B13">
            <v>22138.05402</v>
          </cell>
          <cell r="C13">
            <v>22856.698929999999</v>
          </cell>
          <cell r="D13">
            <v>23695.40638</v>
          </cell>
          <cell r="E13">
            <v>24357.000840000001</v>
          </cell>
          <cell r="F13">
            <v>24874.695759999999</v>
          </cell>
          <cell r="G13">
            <v>25319.599900000001</v>
          </cell>
          <cell r="H13">
            <v>25513.800090000001</v>
          </cell>
          <cell r="I13">
            <v>25773.018680000001</v>
          </cell>
          <cell r="J13">
            <v>26070.153559999999</v>
          </cell>
          <cell r="K13">
            <v>26386.048610000002</v>
          </cell>
          <cell r="L13">
            <v>27029.31049</v>
          </cell>
          <cell r="M13">
            <v>27263.765670000001</v>
          </cell>
          <cell r="N13">
            <v>27567.793610000001</v>
          </cell>
          <cell r="O13">
            <v>27943.515309999999</v>
          </cell>
          <cell r="P13">
            <v>28360.258330000001</v>
          </cell>
          <cell r="Q13">
            <v>28796.030350000001</v>
          </cell>
          <cell r="R13">
            <v>29240.02766</v>
          </cell>
          <cell r="S13">
            <v>29690.683300000001</v>
          </cell>
          <cell r="T13">
            <v>30149.904009999998</v>
          </cell>
          <cell r="U13">
            <v>30619.776150000002</v>
          </cell>
          <cell r="V13">
            <v>30880.972549999999</v>
          </cell>
          <cell r="W13">
            <v>31456.836930000001</v>
          </cell>
          <cell r="X13">
            <v>32026.364600000001</v>
          </cell>
          <cell r="Y13">
            <v>32572.227510000001</v>
          </cell>
          <cell r="Z13">
            <v>33107.472569999998</v>
          </cell>
          <cell r="AA13">
            <v>32990.850859999999</v>
          </cell>
          <cell r="AB13">
            <v>33507.836589999999</v>
          </cell>
          <cell r="AC13">
            <v>34072.515890000002</v>
          </cell>
          <cell r="AD13">
            <v>34624.86909</v>
          </cell>
          <cell r="AE13">
            <v>35170.668729999998</v>
          </cell>
          <cell r="AF13">
            <v>35716.101990000003</v>
          </cell>
          <cell r="AG13">
            <v>36262.880949999999</v>
          </cell>
          <cell r="AH13">
            <v>36810.951289999997</v>
          </cell>
          <cell r="AI13">
            <v>37360.686580000001</v>
          </cell>
          <cell r="AJ13">
            <v>37913.584369999997</v>
          </cell>
          <cell r="AK13">
            <v>38471.847439999998</v>
          </cell>
        </row>
        <row r="14">
          <cell r="B14">
            <v>25205.436549999999</v>
          </cell>
          <cell r="C14">
            <v>25333.331190000001</v>
          </cell>
          <cell r="D14">
            <v>25577.1859</v>
          </cell>
          <cell r="E14">
            <v>25960.85197</v>
          </cell>
          <cell r="F14">
            <v>26424.568370000001</v>
          </cell>
          <cell r="G14">
            <v>26919.512729999999</v>
          </cell>
          <cell r="H14">
            <v>27206.52851</v>
          </cell>
          <cell r="I14">
            <v>27436.89746</v>
          </cell>
          <cell r="J14">
            <v>27693.168409999998</v>
          </cell>
          <cell r="K14">
            <v>28022.156930000001</v>
          </cell>
          <cell r="L14">
            <v>28423.900320000001</v>
          </cell>
          <cell r="M14">
            <v>28966.586240000001</v>
          </cell>
          <cell r="N14">
            <v>29543.03947</v>
          </cell>
          <cell r="O14">
            <v>30122.889380000001</v>
          </cell>
          <cell r="P14">
            <v>30683.678100000001</v>
          </cell>
          <cell r="Q14">
            <v>31215.580089999999</v>
          </cell>
          <cell r="R14">
            <v>31722.366580000002</v>
          </cell>
          <cell r="S14">
            <v>32216.768479999999</v>
          </cell>
          <cell r="T14">
            <v>32713.536410000001</v>
          </cell>
          <cell r="U14">
            <v>33223.719969999998</v>
          </cell>
          <cell r="V14">
            <v>33761.864220000003</v>
          </cell>
          <cell r="W14">
            <v>34280.463400000001</v>
          </cell>
          <cell r="X14">
            <v>34826.869350000001</v>
          </cell>
          <cell r="Y14">
            <v>35391.337780000002</v>
          </cell>
          <cell r="Z14">
            <v>35965.694009999999</v>
          </cell>
          <cell r="AA14">
            <v>36563.643530000001</v>
          </cell>
          <cell r="AB14">
            <v>37088.313719999998</v>
          </cell>
          <cell r="AC14">
            <v>37625.736490000003</v>
          </cell>
          <cell r="AD14">
            <v>38181.036059999999</v>
          </cell>
          <cell r="AE14">
            <v>38752.979229999997</v>
          </cell>
          <cell r="AF14">
            <v>39337.620600000002</v>
          </cell>
          <cell r="AG14">
            <v>39930.420819999999</v>
          </cell>
          <cell r="AH14">
            <v>40528.102709999999</v>
          </cell>
          <cell r="AI14">
            <v>41129.613259999998</v>
          </cell>
          <cell r="AJ14">
            <v>41735.981769999999</v>
          </cell>
          <cell r="AK14">
            <v>42349.392140000004</v>
          </cell>
        </row>
        <row r="15">
          <cell r="B15">
            <v>25205.436549999999</v>
          </cell>
          <cell r="C15">
            <v>25333.331190000001</v>
          </cell>
          <cell r="D15">
            <v>25577.1859</v>
          </cell>
          <cell r="E15">
            <v>25960.85197</v>
          </cell>
          <cell r="F15">
            <v>26424.568370000001</v>
          </cell>
          <cell r="G15">
            <v>26919.512729999999</v>
          </cell>
          <cell r="H15">
            <v>27423.444380000001</v>
          </cell>
          <cell r="I15">
            <v>27885.218870000001</v>
          </cell>
          <cell r="J15">
            <v>28316.338400000001</v>
          </cell>
          <cell r="K15">
            <v>28736.853350000001</v>
          </cell>
          <cell r="L15">
            <v>29145.812959999999</v>
          </cell>
          <cell r="M15">
            <v>29635.12242</v>
          </cell>
          <cell r="N15">
            <v>30128.172549999999</v>
          </cell>
          <cell r="O15">
            <v>30626.470590000001</v>
          </cell>
          <cell r="P15">
            <v>31129.984629999999</v>
          </cell>
          <cell r="Q15">
            <v>31638.114320000001</v>
          </cell>
          <cell r="R15">
            <v>32150.730629999998</v>
          </cell>
          <cell r="S15">
            <v>32668.435010000001</v>
          </cell>
          <cell r="T15">
            <v>33192.650280000002</v>
          </cell>
          <cell r="U15">
            <v>33724.963479999999</v>
          </cell>
          <cell r="V15">
            <v>34275.760779999997</v>
          </cell>
          <cell r="W15">
            <v>34799.310850000002</v>
          </cell>
          <cell r="X15">
            <v>35346.663209999999</v>
          </cell>
          <cell r="Y15">
            <v>35911.84865</v>
          </cell>
          <cell r="Z15">
            <v>36488.918640000004</v>
          </cell>
          <cell r="AA15">
            <v>37091.035709999996</v>
          </cell>
          <cell r="AB15">
            <v>37620.661930000002</v>
          </cell>
          <cell r="AC15">
            <v>38162.717810000002</v>
          </cell>
          <cell r="AD15">
            <v>38721.56121</v>
          </cell>
          <cell r="AE15">
            <v>39295.959020000002</v>
          </cell>
          <cell r="AF15">
            <v>39882.584390000004</v>
          </cell>
          <cell r="AG15">
            <v>40477.769540000001</v>
          </cell>
          <cell r="AH15">
            <v>41078.960619999998</v>
          </cell>
          <cell r="AI15">
            <v>41685.409540000001</v>
          </cell>
          <cell r="AJ15">
            <v>42297.980210000002</v>
          </cell>
          <cell r="AK15">
            <v>42918.355409999996</v>
          </cell>
        </row>
        <row r="16">
          <cell r="B16">
            <v>85784.298280000003</v>
          </cell>
          <cell r="C16">
            <v>85655.508249999999</v>
          </cell>
          <cell r="D16">
            <v>86047.789810000002</v>
          </cell>
          <cell r="E16">
            <v>86803.930290000004</v>
          </cell>
          <cell r="F16">
            <v>87817.004490000007</v>
          </cell>
          <cell r="G16">
            <v>88995.028739999994</v>
          </cell>
          <cell r="H16">
            <v>89574.621950000001</v>
          </cell>
          <cell r="I16">
            <v>90028.322669999994</v>
          </cell>
          <cell r="J16">
            <v>90535.896309999996</v>
          </cell>
          <cell r="K16">
            <v>91231.723540000006</v>
          </cell>
          <cell r="L16">
            <v>92359.694340000002</v>
          </cell>
          <cell r="M16">
            <v>93584.033909999998</v>
          </cell>
          <cell r="N16">
            <v>94997.454100000003</v>
          </cell>
          <cell r="O16">
            <v>96524.403049999994</v>
          </cell>
          <cell r="P16">
            <v>98078.660629999998</v>
          </cell>
          <cell r="Q16">
            <v>99605.138810000004</v>
          </cell>
          <cell r="R16">
            <v>101088.2159</v>
          </cell>
          <cell r="S16">
            <v>102543.3005</v>
          </cell>
          <cell r="T16">
            <v>104000.1593</v>
          </cell>
          <cell r="U16">
            <v>105486.71769999999</v>
          </cell>
          <cell r="V16">
            <v>106890.90790000001</v>
          </cell>
          <cell r="W16">
            <v>108467.1972</v>
          </cell>
          <cell r="X16">
            <v>110101.40489999999</v>
          </cell>
          <cell r="Y16">
            <v>111768.1069</v>
          </cell>
          <cell r="Z16">
            <v>113457.06510000001</v>
          </cell>
          <cell r="AA16">
            <v>114778.7692</v>
          </cell>
          <cell r="AB16">
            <v>116334.482</v>
          </cell>
          <cell r="AC16">
            <v>117945.3319</v>
          </cell>
          <cell r="AD16">
            <v>119596.1679</v>
          </cell>
          <cell r="AE16">
            <v>121289.511</v>
          </cell>
          <cell r="AF16">
            <v>123021.6354</v>
          </cell>
          <cell r="AG16">
            <v>124783.7862</v>
          </cell>
          <cell r="AH16">
            <v>126567.32799999999</v>
          </cell>
          <cell r="AI16">
            <v>128367.5903</v>
          </cell>
          <cell r="AJ16">
            <v>130184.9571</v>
          </cell>
          <cell r="AK16">
            <v>132023.51130000001</v>
          </cell>
        </row>
        <row r="17">
          <cell r="B17">
            <v>85784.298280000003</v>
          </cell>
          <cell r="C17">
            <v>85655.508249999999</v>
          </cell>
          <cell r="D17">
            <v>86047.789810000002</v>
          </cell>
          <cell r="E17">
            <v>86803.930290000004</v>
          </cell>
          <cell r="F17">
            <v>87817.004490000007</v>
          </cell>
          <cell r="G17">
            <v>88995.028739999994</v>
          </cell>
          <cell r="H17">
            <v>90138.660350000006</v>
          </cell>
          <cell r="I17">
            <v>91294.434510000006</v>
          </cell>
          <cell r="J17">
            <v>92439.685960000003</v>
          </cell>
          <cell r="K17">
            <v>93582.143169999996</v>
          </cell>
          <cell r="L17">
            <v>94923.961630000005</v>
          </cell>
          <cell r="M17">
            <v>96149.249469999995</v>
          </cell>
          <cell r="N17">
            <v>97420.050189999994</v>
          </cell>
          <cell r="O17">
            <v>98744.923760000005</v>
          </cell>
          <cell r="P17">
            <v>100110.7035</v>
          </cell>
          <cell r="Q17">
            <v>101505.69779999999</v>
          </cell>
          <cell r="R17">
            <v>102924.06020000001</v>
          </cell>
          <cell r="S17">
            <v>104366.0727</v>
          </cell>
          <cell r="T17">
            <v>105835.7736</v>
          </cell>
          <cell r="U17">
            <v>107338.03810000001</v>
          </cell>
          <cell r="V17">
            <v>108746.0243</v>
          </cell>
          <cell r="W17">
            <v>110316.4287</v>
          </cell>
          <cell r="X17">
            <v>111939.5824</v>
          </cell>
          <cell r="Y17">
            <v>113597.98729999999</v>
          </cell>
          <cell r="Z17">
            <v>115286.7968</v>
          </cell>
          <cell r="AA17">
            <v>116612.7838</v>
          </cell>
          <cell r="AB17">
            <v>118180.1563</v>
          </cell>
          <cell r="AC17">
            <v>119804.0707</v>
          </cell>
          <cell r="AD17">
            <v>121466.1381</v>
          </cell>
          <cell r="AE17">
            <v>123167.6743</v>
          </cell>
          <cell r="AF17">
            <v>124905.6603</v>
          </cell>
          <cell r="AG17">
            <v>126673.2212</v>
          </cell>
          <cell r="AH17">
            <v>128463.7415</v>
          </cell>
          <cell r="AI17">
            <v>130273.84080000001</v>
          </cell>
          <cell r="AJ17">
            <v>132104.065</v>
          </cell>
          <cell r="AK17">
            <v>133957.6545</v>
          </cell>
        </row>
        <row r="18">
          <cell r="B18">
            <v>29132.513650000001</v>
          </cell>
          <cell r="C18">
            <v>29223.43821</v>
          </cell>
          <cell r="D18">
            <v>29479.44976</v>
          </cell>
          <cell r="E18">
            <v>29821.154310000002</v>
          </cell>
          <cell r="F18">
            <v>30218.231469999999</v>
          </cell>
          <cell r="G18">
            <v>30652.80948</v>
          </cell>
          <cell r="H18">
            <v>30843.413919999999</v>
          </cell>
          <cell r="I18">
            <v>30989.940129999999</v>
          </cell>
          <cell r="J18">
            <v>31175.634829999999</v>
          </cell>
          <cell r="K18">
            <v>31436.328379999999</v>
          </cell>
          <cell r="L18">
            <v>31888.03153</v>
          </cell>
          <cell r="M18">
            <v>32318.914840000001</v>
          </cell>
          <cell r="N18">
            <v>32818.906860000003</v>
          </cell>
          <cell r="O18">
            <v>33360.083729999998</v>
          </cell>
          <cell r="P18">
            <v>33909.17772</v>
          </cell>
          <cell r="Q18">
            <v>34446.723109999999</v>
          </cell>
          <cell r="R18">
            <v>34968.550139999999</v>
          </cell>
          <cell r="S18">
            <v>35481.439460000001</v>
          </cell>
          <cell r="T18">
            <v>35996.520239999998</v>
          </cell>
          <cell r="U18">
            <v>36523.443019999999</v>
          </cell>
          <cell r="V18">
            <v>36996.777260000003</v>
          </cell>
          <cell r="W18">
            <v>37567.372259999996</v>
          </cell>
          <cell r="X18">
            <v>38154.429649999998</v>
          </cell>
          <cell r="Y18">
            <v>38746.917930000003</v>
          </cell>
          <cell r="Z18">
            <v>39343.293890000001</v>
          </cell>
          <cell r="AA18">
            <v>39732.840470000003</v>
          </cell>
          <cell r="AB18">
            <v>40283.970520000003</v>
          </cell>
          <cell r="AC18">
            <v>40857.995060000001</v>
          </cell>
          <cell r="AD18">
            <v>41441.628620000003</v>
          </cell>
          <cell r="AE18">
            <v>42036.564469999998</v>
          </cell>
          <cell r="AF18">
            <v>42642.59994</v>
          </cell>
          <cell r="AG18">
            <v>43257.366099999999</v>
          </cell>
          <cell r="AH18">
            <v>43878.324950000002</v>
          </cell>
          <cell r="AI18">
            <v>44504.239909999997</v>
          </cell>
          <cell r="AJ18">
            <v>45135.561479999997</v>
          </cell>
          <cell r="AK18">
            <v>45773.911870000004</v>
          </cell>
        </row>
        <row r="19">
          <cell r="B19">
            <v>29132.513650000001</v>
          </cell>
          <cell r="C19">
            <v>29223.43821</v>
          </cell>
          <cell r="D19">
            <v>29479.44976</v>
          </cell>
          <cell r="E19">
            <v>29821.154310000002</v>
          </cell>
          <cell r="F19">
            <v>30218.231469999999</v>
          </cell>
          <cell r="G19">
            <v>30652.80948</v>
          </cell>
          <cell r="H19">
            <v>31039.768479999999</v>
          </cell>
          <cell r="I19">
            <v>31441.03715</v>
          </cell>
          <cell r="J19">
            <v>31846.838489999998</v>
          </cell>
          <cell r="K19">
            <v>32257.160179999999</v>
          </cell>
          <cell r="L19">
            <v>32776.858840000001</v>
          </cell>
          <cell r="M19">
            <v>33204.316030000002</v>
          </cell>
          <cell r="N19">
            <v>33655.738770000004</v>
          </cell>
          <cell r="O19">
            <v>34132.778559999999</v>
          </cell>
          <cell r="P19">
            <v>34626.377200000003</v>
          </cell>
          <cell r="Q19">
            <v>35129.633450000001</v>
          </cell>
          <cell r="R19">
            <v>35639.305379999998</v>
          </cell>
          <cell r="S19">
            <v>36155.454059999996</v>
          </cell>
          <cell r="T19">
            <v>36679.782749999998</v>
          </cell>
          <cell r="U19">
            <v>37214.242760000001</v>
          </cell>
          <cell r="V19">
            <v>37688.937530000003</v>
          </cell>
          <cell r="W19">
            <v>38256.753190000003</v>
          </cell>
          <cell r="X19">
            <v>38839.08425</v>
          </cell>
          <cell r="Y19">
            <v>39428.128089999998</v>
          </cell>
          <cell r="Z19">
            <v>40024.419809999999</v>
          </cell>
          <cell r="AA19">
            <v>40415.571859999996</v>
          </cell>
          <cell r="AB19">
            <v>40971.509689999999</v>
          </cell>
          <cell r="AC19">
            <v>41551.220840000002</v>
          </cell>
          <cell r="AD19">
            <v>42140.20738</v>
          </cell>
          <cell r="AE19">
            <v>42739.731789999998</v>
          </cell>
          <cell r="AF19">
            <v>43349.821360000002</v>
          </cell>
          <cell r="AG19">
            <v>43968.717530000002</v>
          </cell>
          <cell r="AH19">
            <v>44594.50935</v>
          </cell>
          <cell r="AI19">
            <v>45226.312510000003</v>
          </cell>
          <cell r="AJ19">
            <v>45864.537759999999</v>
          </cell>
          <cell r="AK19">
            <v>46510.440029999998</v>
          </cell>
        </row>
        <row r="20">
          <cell r="B20">
            <v>30384.026959999999</v>
          </cell>
          <cell r="C20">
            <v>30808.90883</v>
          </cell>
          <cell r="D20">
            <v>31332.256300000001</v>
          </cell>
          <cell r="E20">
            <v>31886.506890000001</v>
          </cell>
          <cell r="F20">
            <v>32466.818039999998</v>
          </cell>
          <cell r="G20">
            <v>33066.664689999998</v>
          </cell>
          <cell r="H20">
            <v>33405.509789999996</v>
          </cell>
          <cell r="I20">
            <v>33684.608489999999</v>
          </cell>
          <cell r="J20">
            <v>33957.37947</v>
          </cell>
          <cell r="K20">
            <v>34269.233339999999</v>
          </cell>
          <cell r="L20">
            <v>34762.066830000003</v>
          </cell>
          <cell r="M20">
            <v>35211.58251</v>
          </cell>
          <cell r="N20">
            <v>35738.325539999998</v>
          </cell>
          <cell r="O20">
            <v>36318.493820000003</v>
          </cell>
          <cell r="P20">
            <v>36917.637710000003</v>
          </cell>
          <cell r="Q20">
            <v>37510.72378</v>
          </cell>
          <cell r="R20">
            <v>38086.951990000001</v>
          </cell>
          <cell r="S20">
            <v>38648.241820000003</v>
          </cell>
          <cell r="T20">
            <v>39204.012199999997</v>
          </cell>
          <cell r="U20">
            <v>39765.14705</v>
          </cell>
          <cell r="V20">
            <v>40261.53241</v>
          </cell>
          <cell r="W20">
            <v>40865.733460000003</v>
          </cell>
          <cell r="X20">
            <v>41485.69083</v>
          </cell>
          <cell r="Y20">
            <v>42113.539190000003</v>
          </cell>
          <cell r="Z20">
            <v>42748.01556</v>
          </cell>
          <cell r="AA20">
            <v>43160.210950000001</v>
          </cell>
          <cell r="AB20">
            <v>43748.309459999997</v>
          </cell>
          <cell r="AC20">
            <v>44358.020920000003</v>
          </cell>
          <cell r="AD20">
            <v>44978.646780000003</v>
          </cell>
          <cell r="AE20">
            <v>45612.75303</v>
          </cell>
          <cell r="AF20">
            <v>46260.951159999997</v>
          </cell>
          <cell r="AG20">
            <v>46921.145499999999</v>
          </cell>
          <cell r="AH20">
            <v>47590.3704</v>
          </cell>
          <cell r="AI20">
            <v>48266.506990000002</v>
          </cell>
          <cell r="AJ20">
            <v>48949.093950000002</v>
          </cell>
          <cell r="AK20">
            <v>49639.173649999997</v>
          </cell>
        </row>
        <row r="21">
          <cell r="B21">
            <v>30384.026959999999</v>
          </cell>
          <cell r="C21">
            <v>30808.90883</v>
          </cell>
          <cell r="D21">
            <v>31332.256300000001</v>
          </cell>
          <cell r="E21">
            <v>31886.506890000001</v>
          </cell>
          <cell r="F21">
            <v>32466.818039999998</v>
          </cell>
          <cell r="G21">
            <v>33066.664689999998</v>
          </cell>
          <cell r="H21">
            <v>33599.003669999998</v>
          </cell>
          <cell r="I21">
            <v>34130.344140000001</v>
          </cell>
          <cell r="J21">
            <v>34646.43374</v>
          </cell>
          <cell r="K21">
            <v>35144.649969999999</v>
          </cell>
          <cell r="L21">
            <v>35743.604590000003</v>
          </cell>
          <cell r="M21">
            <v>36215.540110000002</v>
          </cell>
          <cell r="N21">
            <v>36702.085270000003</v>
          </cell>
          <cell r="O21">
            <v>37208.525090000003</v>
          </cell>
          <cell r="P21">
            <v>37729.167600000001</v>
          </cell>
          <cell r="Q21">
            <v>38258.824419999997</v>
          </cell>
          <cell r="R21">
            <v>38794.901279999998</v>
          </cell>
          <cell r="S21">
            <v>39337.632530000003</v>
          </cell>
          <cell r="T21">
            <v>39888.839379999998</v>
          </cell>
          <cell r="U21">
            <v>40450.75477</v>
          </cell>
          <cell r="V21">
            <v>40946.215920000002</v>
          </cell>
          <cell r="W21">
            <v>41547.437109999999</v>
          </cell>
          <cell r="X21">
            <v>42162.442190000002</v>
          </cell>
          <cell r="Y21">
            <v>42785.821929999998</v>
          </cell>
          <cell r="Z21">
            <v>43418.541169999997</v>
          </cell>
          <cell r="AA21">
            <v>43830.269070000002</v>
          </cell>
          <cell r="AB21">
            <v>44422.071900000003</v>
          </cell>
          <cell r="AC21">
            <v>45036.991390000003</v>
          </cell>
          <cell r="AD21">
            <v>45662.942519999997</v>
          </cell>
          <cell r="AE21">
            <v>46301.753790000002</v>
          </cell>
          <cell r="AF21">
            <v>46953.979760000002</v>
          </cell>
          <cell r="AG21">
            <v>47617.97984</v>
          </cell>
          <cell r="AH21">
            <v>48291.426319999999</v>
          </cell>
          <cell r="AI21">
            <v>48972.687480000001</v>
          </cell>
          <cell r="AJ21">
            <v>49661.4355</v>
          </cell>
          <cell r="AK21">
            <v>50358.473760000001</v>
          </cell>
        </row>
        <row r="22">
          <cell r="B22">
            <v>210552.8855</v>
          </cell>
          <cell r="C22">
            <v>210805.73009999999</v>
          </cell>
          <cell r="D22">
            <v>212259.73190000001</v>
          </cell>
          <cell r="E22">
            <v>214481.46040000001</v>
          </cell>
          <cell r="F22">
            <v>217223.72899999999</v>
          </cell>
          <cell r="G22">
            <v>220293.3793</v>
          </cell>
          <cell r="H22">
            <v>221714.17379999999</v>
          </cell>
          <cell r="I22">
            <v>222753.1231</v>
          </cell>
          <cell r="J22">
            <v>223943.73300000001</v>
          </cell>
          <cell r="K22">
            <v>225634.9774</v>
          </cell>
          <cell r="L22">
            <v>228509.78810000001</v>
          </cell>
          <cell r="M22">
            <v>231532.5624</v>
          </cell>
          <cell r="N22">
            <v>235044.1269</v>
          </cell>
          <cell r="O22">
            <v>238845.81770000001</v>
          </cell>
          <cell r="P22">
            <v>242705.7438</v>
          </cell>
          <cell r="Q22">
            <v>246480.85490000001</v>
          </cell>
          <cell r="R22">
            <v>250135.0379</v>
          </cell>
          <cell r="S22">
            <v>253713.1439</v>
          </cell>
          <cell r="T22">
            <v>257295.18849999999</v>
          </cell>
          <cell r="U22">
            <v>260953.78659999999</v>
          </cell>
          <cell r="V22">
            <v>264354.99440000003</v>
          </cell>
          <cell r="W22">
            <v>268263.29100000003</v>
          </cell>
          <cell r="X22">
            <v>272311.94959999999</v>
          </cell>
          <cell r="Y22">
            <v>276428.12079999998</v>
          </cell>
          <cell r="Z22">
            <v>280590.15130000003</v>
          </cell>
          <cell r="AA22">
            <v>283664.61829999997</v>
          </cell>
          <cell r="AB22">
            <v>287495.21360000002</v>
          </cell>
          <cell r="AC22">
            <v>291480.1004</v>
          </cell>
          <cell r="AD22">
            <v>295557.34980000003</v>
          </cell>
          <cell r="AE22">
            <v>299733.74339999998</v>
          </cell>
          <cell r="AF22">
            <v>304001.36339999997</v>
          </cell>
          <cell r="AG22">
            <v>308338.69549999997</v>
          </cell>
          <cell r="AH22">
            <v>312724.37929999997</v>
          </cell>
          <cell r="AI22">
            <v>317147.3958</v>
          </cell>
          <cell r="AJ22">
            <v>321609.76280000003</v>
          </cell>
          <cell r="AK22">
            <v>326122.76040000003</v>
          </cell>
        </row>
        <row r="23">
          <cell r="B23">
            <v>210552.8855</v>
          </cell>
          <cell r="C23">
            <v>210805.73009999999</v>
          </cell>
          <cell r="D23">
            <v>212259.73190000001</v>
          </cell>
          <cell r="E23">
            <v>214481.46040000001</v>
          </cell>
          <cell r="F23">
            <v>217223.72899999999</v>
          </cell>
          <cell r="G23">
            <v>220293.3793</v>
          </cell>
          <cell r="H23">
            <v>223161.20259999999</v>
          </cell>
          <cell r="I23">
            <v>226048.58929999999</v>
          </cell>
          <cell r="J23">
            <v>228903.35250000001</v>
          </cell>
          <cell r="K23">
            <v>231746.04240000001</v>
          </cell>
          <cell r="L23">
            <v>235159.6183</v>
          </cell>
          <cell r="M23">
            <v>238169.81779999999</v>
          </cell>
          <cell r="N23">
            <v>241304.0251</v>
          </cell>
          <cell r="O23">
            <v>244585.20269999999</v>
          </cell>
          <cell r="P23">
            <v>247970.22469999999</v>
          </cell>
          <cell r="Q23">
            <v>251423.34959999999</v>
          </cell>
          <cell r="R23">
            <v>254927.8749</v>
          </cell>
          <cell r="S23">
            <v>258485.6189</v>
          </cell>
          <cell r="T23">
            <v>262108.63440000001</v>
          </cell>
          <cell r="U23">
            <v>265810.65000000002</v>
          </cell>
          <cell r="V23">
            <v>269221.38059999997</v>
          </cell>
          <cell r="W23">
            <v>273113.46120000002</v>
          </cell>
          <cell r="X23">
            <v>277133.20809999999</v>
          </cell>
          <cell r="Y23">
            <v>281228.69790000003</v>
          </cell>
          <cell r="Z23">
            <v>285391.80940000003</v>
          </cell>
          <cell r="AA23">
            <v>288478.29220000003</v>
          </cell>
          <cell r="AB23">
            <v>292338.98910000001</v>
          </cell>
          <cell r="AC23">
            <v>296356.18440000003</v>
          </cell>
          <cell r="AD23">
            <v>300459.52389999997</v>
          </cell>
          <cell r="AE23">
            <v>304653.03820000001</v>
          </cell>
          <cell r="AF23">
            <v>308931.11180000001</v>
          </cell>
          <cell r="AG23">
            <v>313277.50540000002</v>
          </cell>
          <cell r="AH23">
            <v>317676.34110000002</v>
          </cell>
          <cell r="AI23">
            <v>322120.03700000001</v>
          </cell>
          <cell r="AJ23">
            <v>326611.01890000002</v>
          </cell>
          <cell r="AK23">
            <v>331158.34840000002</v>
          </cell>
        </row>
        <row r="24">
          <cell r="B24">
            <v>16342.12429</v>
          </cell>
          <cell r="C24">
            <v>15948.086359999999</v>
          </cell>
          <cell r="D24">
            <v>15729.248380000001</v>
          </cell>
          <cell r="E24">
            <v>15681.79608</v>
          </cell>
          <cell r="F24">
            <v>15739.566769999999</v>
          </cell>
          <cell r="G24">
            <v>15858.52577</v>
          </cell>
          <cell r="H24">
            <v>15891.723959999999</v>
          </cell>
          <cell r="I24">
            <v>15959.1774</v>
          </cell>
          <cell r="J24">
            <v>16058.545690000001</v>
          </cell>
          <cell r="K24">
            <v>16214.348400000001</v>
          </cell>
          <cell r="L24">
            <v>16383.773499999999</v>
          </cell>
          <cell r="M24">
            <v>16692.85327</v>
          </cell>
          <cell r="N24">
            <v>17009.01324</v>
          </cell>
          <cell r="O24">
            <v>17323.861099999998</v>
          </cell>
          <cell r="P24">
            <v>17629.421350000001</v>
          </cell>
          <cell r="Q24">
            <v>17923.040499999999</v>
          </cell>
          <cell r="R24">
            <v>18208.04869</v>
          </cell>
          <cell r="S24">
            <v>18491.337049999998</v>
          </cell>
          <cell r="T24">
            <v>18780.011760000001</v>
          </cell>
          <cell r="U24">
            <v>19078.824400000001</v>
          </cell>
          <cell r="V24">
            <v>19418.365549999999</v>
          </cell>
          <cell r="W24">
            <v>19709.545030000001</v>
          </cell>
          <cell r="X24">
            <v>20025.348470000001</v>
          </cell>
          <cell r="Y24">
            <v>20355.055759999999</v>
          </cell>
          <cell r="Z24">
            <v>20692.553660000001</v>
          </cell>
          <cell r="AA24">
            <v>21109.755969999998</v>
          </cell>
          <cell r="AB24">
            <v>21412.830180000001</v>
          </cell>
          <cell r="AC24">
            <v>21729.118450000002</v>
          </cell>
          <cell r="AD24">
            <v>22057.575499999999</v>
          </cell>
          <cell r="AE24">
            <v>22396.127250000001</v>
          </cell>
          <cell r="AF24">
            <v>22742.01082</v>
          </cell>
          <cell r="AG24">
            <v>23092.675790000001</v>
          </cell>
          <cell r="AH24">
            <v>23446.565180000001</v>
          </cell>
          <cell r="AI24">
            <v>23803.403689999999</v>
          </cell>
          <cell r="AJ24">
            <v>24163.950430000001</v>
          </cell>
          <cell r="AK24">
            <v>24529.431860000001</v>
          </cell>
        </row>
        <row r="25">
          <cell r="B25">
            <v>16342.12429</v>
          </cell>
          <cell r="C25">
            <v>15948.086359999999</v>
          </cell>
          <cell r="D25">
            <v>15729.248380000001</v>
          </cell>
          <cell r="E25">
            <v>15681.79608</v>
          </cell>
          <cell r="F25">
            <v>15739.566769999999</v>
          </cell>
          <cell r="G25">
            <v>15858.52577</v>
          </cell>
          <cell r="H25">
            <v>16038.96545</v>
          </cell>
          <cell r="I25">
            <v>16211.6196</v>
          </cell>
          <cell r="J25">
            <v>16386.897400000002</v>
          </cell>
          <cell r="K25">
            <v>16574.849719999998</v>
          </cell>
          <cell r="L25">
            <v>16735.996920000001</v>
          </cell>
          <cell r="M25">
            <v>17011.545569999998</v>
          </cell>
          <cell r="N25">
            <v>17284.757119999998</v>
          </cell>
          <cell r="O25">
            <v>17562.55516</v>
          </cell>
          <cell r="P25">
            <v>17846.19182</v>
          </cell>
          <cell r="Q25">
            <v>18135.800050000002</v>
          </cell>
          <cell r="R25">
            <v>18431.153999999999</v>
          </cell>
          <cell r="S25">
            <v>18731.899399999998</v>
          </cell>
          <cell r="T25">
            <v>19038.100630000001</v>
          </cell>
          <cell r="U25">
            <v>19350.040489999999</v>
          </cell>
          <cell r="V25">
            <v>19696.840769999999</v>
          </cell>
          <cell r="W25">
            <v>19990.637429999999</v>
          </cell>
          <cell r="X25">
            <v>20306.7271</v>
          </cell>
          <cell r="Y25">
            <v>20636.359199999999</v>
          </cell>
          <cell r="Z25">
            <v>20974.484710000001</v>
          </cell>
          <cell r="AA25">
            <v>21392.89889</v>
          </cell>
          <cell r="AB25">
            <v>21696.980370000001</v>
          </cell>
          <cell r="AC25">
            <v>22013.914359999999</v>
          </cell>
          <cell r="AD25">
            <v>22342.43478</v>
          </cell>
          <cell r="AE25">
            <v>22680.63077</v>
          </cell>
          <cell r="AF25">
            <v>23026.165659999999</v>
          </cell>
          <cell r="AG25">
            <v>23376.9715</v>
          </cell>
          <cell r="AH25">
            <v>23731.833869999999</v>
          </cell>
          <cell r="AI25">
            <v>24090.569240000001</v>
          </cell>
          <cell r="AJ25">
            <v>24453.787359999998</v>
          </cell>
          <cell r="AK25">
            <v>24822.413960000002</v>
          </cell>
        </row>
        <row r="26">
          <cell r="B26">
            <v>271497.77740000002</v>
          </cell>
          <cell r="C26">
            <v>288739.83899999998</v>
          </cell>
          <cell r="D26">
            <v>306308.34960000002</v>
          </cell>
          <cell r="E26">
            <v>317500.20669999998</v>
          </cell>
          <cell r="F26">
            <v>324696.00579999998</v>
          </cell>
          <cell r="G26">
            <v>330019.89500000002</v>
          </cell>
          <cell r="H26">
            <v>324012.22720000002</v>
          </cell>
          <cell r="I26">
            <v>321868.50640000001</v>
          </cell>
          <cell r="J26">
            <v>321883.61869999999</v>
          </cell>
          <cell r="K26">
            <v>323985.61259999999</v>
          </cell>
          <cell r="L26">
            <v>336448.55420000001</v>
          </cell>
          <cell r="M26">
            <v>337412.00809999998</v>
          </cell>
          <cell r="N26">
            <v>342168.92180000001</v>
          </cell>
          <cell r="O26">
            <v>348432.81150000001</v>
          </cell>
          <cell r="P26">
            <v>354946.06819999998</v>
          </cell>
          <cell r="Q26">
            <v>361150.1925</v>
          </cell>
          <cell r="R26">
            <v>366956.10820000002</v>
          </cell>
          <cell r="S26">
            <v>372533.66190000001</v>
          </cell>
          <cell r="T26">
            <v>378126.79229999997</v>
          </cell>
          <cell r="U26">
            <v>383926.9007</v>
          </cell>
          <cell r="V26">
            <v>384064.60330000002</v>
          </cell>
          <cell r="W26">
            <v>393597.90149999998</v>
          </cell>
          <cell r="X26">
            <v>401726.88709999999</v>
          </cell>
          <cell r="Y26">
            <v>409120.02799999999</v>
          </cell>
          <cell r="Z26">
            <v>416178.09620000003</v>
          </cell>
          <cell r="AA26">
            <v>405652.4449</v>
          </cell>
          <cell r="AB26">
            <v>414741.17489999998</v>
          </cell>
          <cell r="AC26">
            <v>422883.73629999999</v>
          </cell>
          <cell r="AD26">
            <v>430499.62209999998</v>
          </cell>
          <cell r="AE26">
            <v>437917.8763</v>
          </cell>
          <cell r="AF26">
            <v>445270.3971</v>
          </cell>
          <cell r="AG26">
            <v>452579.9301</v>
          </cell>
          <cell r="AH26">
            <v>459840.30910000001</v>
          </cell>
          <cell r="AI26">
            <v>467060.73670000001</v>
          </cell>
          <cell r="AJ26">
            <v>474276.32980000001</v>
          </cell>
          <cell r="AK26">
            <v>481536.83010000002</v>
          </cell>
        </row>
        <row r="27">
          <cell r="B27">
            <v>271497.77740000002</v>
          </cell>
          <cell r="C27">
            <v>288739.83899999998</v>
          </cell>
          <cell r="D27">
            <v>306308.34960000002</v>
          </cell>
          <cell r="E27">
            <v>317500.20669999998</v>
          </cell>
          <cell r="F27">
            <v>324696.00579999998</v>
          </cell>
          <cell r="G27">
            <v>330019.89500000002</v>
          </cell>
          <cell r="H27">
            <v>328706.88449999999</v>
          </cell>
          <cell r="I27">
            <v>330269.94900000002</v>
          </cell>
          <cell r="J27">
            <v>332893.99359999999</v>
          </cell>
          <cell r="K27">
            <v>336055.78110000002</v>
          </cell>
          <cell r="L27">
            <v>348068.09669999999</v>
          </cell>
          <cell r="M27">
            <v>347483.79550000001</v>
          </cell>
          <cell r="N27">
            <v>350193.99119999999</v>
          </cell>
          <cell r="O27">
            <v>354535.23979999998</v>
          </cell>
          <cell r="P27">
            <v>359710.32829999999</v>
          </cell>
          <cell r="Q27">
            <v>365247.7928</v>
          </cell>
          <cell r="R27">
            <v>370929.26549999998</v>
          </cell>
          <cell r="S27">
            <v>376734.25599999999</v>
          </cell>
          <cell r="T27">
            <v>382696.25530000002</v>
          </cell>
          <cell r="U27">
            <v>388842.37099999998</v>
          </cell>
          <cell r="V27">
            <v>389228.12849999999</v>
          </cell>
          <cell r="W27">
            <v>398904.56770000001</v>
          </cell>
          <cell r="X27">
            <v>407121.03249999997</v>
          </cell>
          <cell r="Y27">
            <v>414600.40149999998</v>
          </cell>
          <cell r="Z27">
            <v>421771.45380000002</v>
          </cell>
          <cell r="AA27">
            <v>411387.7524</v>
          </cell>
          <cell r="AB27">
            <v>420591.0528</v>
          </cell>
          <cell r="AC27">
            <v>428809.9178</v>
          </cell>
          <cell r="AD27">
            <v>436452.35310000001</v>
          </cell>
          <cell r="AE27">
            <v>443850.56479999999</v>
          </cell>
          <cell r="AF27">
            <v>451152.3039</v>
          </cell>
          <cell r="AG27">
            <v>458401.45429999998</v>
          </cell>
          <cell r="AH27">
            <v>465609.8873</v>
          </cell>
          <cell r="AI27">
            <v>472796.1237</v>
          </cell>
          <cell r="AJ27">
            <v>479994.7794</v>
          </cell>
          <cell r="AK27">
            <v>487248.04139999999</v>
          </cell>
        </row>
        <row r="28">
          <cell r="B28">
            <v>25041.260969999999</v>
          </cell>
          <cell r="C28">
            <v>24958.000339999999</v>
          </cell>
          <cell r="D28">
            <v>24987.691279999999</v>
          </cell>
          <cell r="E28">
            <v>25128.0831</v>
          </cell>
          <cell r="F28">
            <v>25343.627100000002</v>
          </cell>
          <cell r="G28">
            <v>25604.778010000002</v>
          </cell>
          <cell r="H28">
            <v>25728.680670000002</v>
          </cell>
          <cell r="I28">
            <v>25857.183280000001</v>
          </cell>
          <cell r="J28">
            <v>26007.314839999999</v>
          </cell>
          <cell r="K28">
            <v>26208.969949999999</v>
          </cell>
          <cell r="L28">
            <v>26481.699789999999</v>
          </cell>
          <cell r="M28">
            <v>26822.222249999999</v>
          </cell>
          <cell r="N28">
            <v>27195.299650000001</v>
          </cell>
          <cell r="O28">
            <v>27582.315839999999</v>
          </cell>
          <cell r="P28">
            <v>27968.580279999998</v>
          </cell>
          <cell r="Q28">
            <v>28346.499449999999</v>
          </cell>
          <cell r="R28">
            <v>28716.134839999999</v>
          </cell>
          <cell r="S28">
            <v>29082.815559999999</v>
          </cell>
          <cell r="T28">
            <v>29453.437809999999</v>
          </cell>
          <cell r="U28">
            <v>29833.317429999999</v>
          </cell>
          <cell r="V28">
            <v>30216.603009999999</v>
          </cell>
          <cell r="W28">
            <v>30605.847379999999</v>
          </cell>
          <cell r="X28">
            <v>31010.647250000002</v>
          </cell>
          <cell r="Y28">
            <v>31426.098740000001</v>
          </cell>
          <cell r="Z28">
            <v>31848.274839999998</v>
          </cell>
          <cell r="AA28">
            <v>32246.203270000002</v>
          </cell>
          <cell r="AB28">
            <v>32632.607789999998</v>
          </cell>
          <cell r="AC28">
            <v>33027.056810000002</v>
          </cell>
          <cell r="AD28">
            <v>33431.797209999997</v>
          </cell>
          <cell r="AE28">
            <v>33846.67798</v>
          </cell>
          <cell r="AF28">
            <v>34269.980560000004</v>
          </cell>
          <cell r="AG28">
            <v>34699.451229999999</v>
          </cell>
          <cell r="AH28">
            <v>35133.352229999997</v>
          </cell>
          <cell r="AI28">
            <v>35571.049220000001</v>
          </cell>
          <cell r="AJ28">
            <v>36012.996740000002</v>
          </cell>
          <cell r="AK28">
            <v>36460.280780000001</v>
          </cell>
        </row>
        <row r="29">
          <cell r="B29">
            <v>25041.260969999999</v>
          </cell>
          <cell r="C29">
            <v>24958.000339999999</v>
          </cell>
          <cell r="D29">
            <v>24987.691279999999</v>
          </cell>
          <cell r="E29">
            <v>25128.0831</v>
          </cell>
          <cell r="F29">
            <v>25343.627100000002</v>
          </cell>
          <cell r="G29">
            <v>25604.778010000002</v>
          </cell>
          <cell r="H29">
            <v>25883.590240000001</v>
          </cell>
          <cell r="I29">
            <v>26162.279490000001</v>
          </cell>
          <cell r="J29">
            <v>26441.321530000001</v>
          </cell>
          <cell r="K29">
            <v>26726.992269999999</v>
          </cell>
          <cell r="L29">
            <v>27034.424299999999</v>
          </cell>
          <cell r="M29">
            <v>27370.559710000001</v>
          </cell>
          <cell r="N29">
            <v>27716.12428</v>
          </cell>
          <cell r="O29">
            <v>28069.681499999999</v>
          </cell>
          <cell r="P29">
            <v>28429.454129999998</v>
          </cell>
          <cell r="Q29">
            <v>28794.081610000001</v>
          </cell>
          <cell r="R29">
            <v>29163.043300000001</v>
          </cell>
          <cell r="S29">
            <v>29536.61249</v>
          </cell>
          <cell r="T29">
            <v>29915.65654</v>
          </cell>
          <cell r="U29">
            <v>30301.162240000001</v>
          </cell>
          <cell r="V29">
            <v>30685.385060000001</v>
          </cell>
          <cell r="W29">
            <v>31072.248200000002</v>
          </cell>
          <cell r="X29">
            <v>31473.331470000001</v>
          </cell>
          <cell r="Y29">
            <v>31885.7752</v>
          </cell>
          <cell r="Z29">
            <v>32306.78052</v>
          </cell>
          <cell r="AA29">
            <v>32704.670010000002</v>
          </cell>
          <cell r="AB29">
            <v>33092.06684</v>
          </cell>
          <cell r="AC29">
            <v>33487.628989999997</v>
          </cell>
          <cell r="AD29">
            <v>33893.121270000003</v>
          </cell>
          <cell r="AE29">
            <v>34308.319739999999</v>
          </cell>
          <cell r="AF29">
            <v>34731.785239999997</v>
          </cell>
          <cell r="AG29">
            <v>35161.70248</v>
          </cell>
          <cell r="AH29">
            <v>35596.713660000001</v>
          </cell>
          <cell r="AI29">
            <v>36036.354180000002</v>
          </cell>
          <cell r="AJ29">
            <v>36480.999730000003</v>
          </cell>
          <cell r="AK29">
            <v>36931.472860000002</v>
          </cell>
        </row>
        <row r="30">
          <cell r="B30">
            <v>59929.144229999998</v>
          </cell>
          <cell r="C30">
            <v>59666.835420000003</v>
          </cell>
          <cell r="D30">
            <v>59675.480660000001</v>
          </cell>
          <cell r="E30">
            <v>59968.599000000002</v>
          </cell>
          <cell r="F30">
            <v>60457.166709999998</v>
          </cell>
          <cell r="G30">
            <v>61057.92035</v>
          </cell>
          <cell r="H30">
            <v>61263.102559999999</v>
          </cell>
          <cell r="I30">
            <v>61475.601190000001</v>
          </cell>
          <cell r="J30">
            <v>61756.431629999999</v>
          </cell>
          <cell r="K30">
            <v>62190.550130000003</v>
          </cell>
          <cell r="L30">
            <v>62825.97496</v>
          </cell>
          <cell r="M30">
            <v>63648.778789999997</v>
          </cell>
          <cell r="N30">
            <v>64559.891680000001</v>
          </cell>
          <cell r="O30">
            <v>65499.82346</v>
          </cell>
          <cell r="P30">
            <v>66422.719400000002</v>
          </cell>
          <cell r="Q30">
            <v>67306.371979999996</v>
          </cell>
          <cell r="R30">
            <v>68153.219280000005</v>
          </cell>
          <cell r="S30">
            <v>68982.147719999994</v>
          </cell>
          <cell r="T30">
            <v>69816.49351</v>
          </cell>
          <cell r="U30">
            <v>70674.102679999996</v>
          </cell>
          <cell r="V30">
            <v>71544.638529999997</v>
          </cell>
          <cell r="W30">
            <v>72432.771240000002</v>
          </cell>
          <cell r="X30">
            <v>73360.477490000005</v>
          </cell>
          <cell r="Y30">
            <v>74314.15453</v>
          </cell>
          <cell r="Z30">
            <v>75282.802660000001</v>
          </cell>
          <cell r="AA30">
            <v>76195.725080000004</v>
          </cell>
          <cell r="AB30">
            <v>77080.456439999994</v>
          </cell>
          <cell r="AC30">
            <v>77985.862210000007</v>
          </cell>
          <cell r="AD30">
            <v>78918.355349999998</v>
          </cell>
          <cell r="AE30">
            <v>79877.142879999999</v>
          </cell>
          <cell r="AF30">
            <v>80856.628320000003</v>
          </cell>
          <cell r="AG30">
            <v>81849.693710000007</v>
          </cell>
          <cell r="AH30">
            <v>82850.951820000002</v>
          </cell>
          <cell r="AI30">
            <v>83858.519799999995</v>
          </cell>
          <cell r="AJ30">
            <v>84873.921629999997</v>
          </cell>
          <cell r="AK30">
            <v>85900.632740000001</v>
          </cell>
        </row>
        <row r="31">
          <cell r="B31">
            <v>59929.144229999998</v>
          </cell>
          <cell r="C31">
            <v>59666.835420000003</v>
          </cell>
          <cell r="D31">
            <v>59675.480660000001</v>
          </cell>
          <cell r="E31">
            <v>59968.599000000002</v>
          </cell>
          <cell r="F31">
            <v>60457.166709999998</v>
          </cell>
          <cell r="G31">
            <v>61057.92035</v>
          </cell>
          <cell r="H31">
            <v>61693.623489999998</v>
          </cell>
          <cell r="I31">
            <v>62315.221619999997</v>
          </cell>
          <cell r="J31">
            <v>62925.213230000001</v>
          </cell>
          <cell r="K31">
            <v>63545.013959999997</v>
          </cell>
          <cell r="L31">
            <v>64216.862719999997</v>
          </cell>
          <cell r="M31">
            <v>64963.906060000001</v>
          </cell>
          <cell r="N31">
            <v>65740.682069999995</v>
          </cell>
          <cell r="O31">
            <v>66542.780180000002</v>
          </cell>
          <cell r="P31">
            <v>67364.179120000001</v>
          </cell>
          <cell r="Q31">
            <v>68199.917990000002</v>
          </cell>
          <cell r="R31">
            <v>69047.598580000005</v>
          </cell>
          <cell r="S31">
            <v>69907.334310000006</v>
          </cell>
          <cell r="T31">
            <v>70781.033030000006</v>
          </cell>
          <cell r="U31">
            <v>71670.937760000001</v>
          </cell>
          <cell r="V31">
            <v>72559.490300000005</v>
          </cell>
          <cell r="W31">
            <v>73454.160059999995</v>
          </cell>
          <cell r="X31">
            <v>74382.465190000003</v>
          </cell>
          <cell r="Y31">
            <v>75336.79075</v>
          </cell>
          <cell r="Z31">
            <v>76309.538799999995</v>
          </cell>
          <cell r="AA31">
            <v>77228.500180000003</v>
          </cell>
          <cell r="AB31">
            <v>78120.542979999998</v>
          </cell>
          <cell r="AC31">
            <v>79032.014009999999</v>
          </cell>
          <cell r="AD31">
            <v>79968.099910000004</v>
          </cell>
          <cell r="AE31">
            <v>80928.072419999997</v>
          </cell>
          <cell r="AF31">
            <v>81907.472580000001</v>
          </cell>
          <cell r="AG31">
            <v>82900.767540000001</v>
          </cell>
          <cell r="AH31">
            <v>83903.917149999994</v>
          </cell>
          <cell r="AI31">
            <v>84915.681649999999</v>
          </cell>
          <cell r="AJ31">
            <v>85937.419569999998</v>
          </cell>
          <cell r="AK31">
            <v>86971.848979999995</v>
          </cell>
        </row>
        <row r="32">
          <cell r="B32">
            <v>15483.22897</v>
          </cell>
          <cell r="C32">
            <v>15727.5764</v>
          </cell>
          <cell r="D32">
            <v>16008.56026</v>
          </cell>
          <cell r="E32">
            <v>16319.50714</v>
          </cell>
          <cell r="F32">
            <v>16656.258290000002</v>
          </cell>
          <cell r="G32">
            <v>17005.82908</v>
          </cell>
          <cell r="H32">
            <v>17235.474129999999</v>
          </cell>
          <cell r="I32">
            <v>17414.00966</v>
          </cell>
          <cell r="J32">
            <v>17570.960159999999</v>
          </cell>
          <cell r="K32">
            <v>17740.143390000001</v>
          </cell>
          <cell r="L32">
            <v>17974.985629999999</v>
          </cell>
          <cell r="M32">
            <v>18230.828740000001</v>
          </cell>
          <cell r="N32">
            <v>18526.505130000001</v>
          </cell>
          <cell r="O32">
            <v>18846.988740000001</v>
          </cell>
          <cell r="P32">
            <v>19174.73763</v>
          </cell>
          <cell r="Q32">
            <v>19495.878069999999</v>
          </cell>
          <cell r="R32">
            <v>19803.774580000001</v>
          </cell>
          <cell r="S32">
            <v>20099.201410000001</v>
          </cell>
          <cell r="T32">
            <v>20387.83308</v>
          </cell>
          <cell r="U32">
            <v>20676.741849999999</v>
          </cell>
          <cell r="V32">
            <v>20950.522250000002</v>
          </cell>
          <cell r="W32">
            <v>21252.52075</v>
          </cell>
          <cell r="X32">
            <v>21564.870350000001</v>
          </cell>
          <cell r="Y32">
            <v>21885.923460000002</v>
          </cell>
          <cell r="Z32">
            <v>22213.154490000001</v>
          </cell>
          <cell r="AA32">
            <v>22484.005679999998</v>
          </cell>
          <cell r="AB32">
            <v>22786.195530000001</v>
          </cell>
          <cell r="AC32">
            <v>23094.290130000001</v>
          </cell>
          <cell r="AD32">
            <v>23411.06061</v>
          </cell>
          <cell r="AE32">
            <v>23737.731100000001</v>
          </cell>
          <cell r="AF32">
            <v>24073.65004</v>
          </cell>
          <cell r="AG32">
            <v>24416.877270000001</v>
          </cell>
          <cell r="AH32">
            <v>24765.190579999999</v>
          </cell>
          <cell r="AI32">
            <v>25116.99092</v>
          </cell>
          <cell r="AJ32">
            <v>25471.758040000001</v>
          </cell>
          <cell r="AK32">
            <v>25829.97741</v>
          </cell>
        </row>
        <row r="33">
          <cell r="B33">
            <v>15483.22897</v>
          </cell>
          <cell r="C33">
            <v>15727.5764</v>
          </cell>
          <cell r="D33">
            <v>16008.56026</v>
          </cell>
          <cell r="E33">
            <v>16319.50714</v>
          </cell>
          <cell r="F33">
            <v>16656.258290000002</v>
          </cell>
          <cell r="G33">
            <v>17005.82908</v>
          </cell>
          <cell r="H33">
            <v>17335.62774</v>
          </cell>
          <cell r="I33">
            <v>17646.68867</v>
          </cell>
          <cell r="J33">
            <v>17933.96773</v>
          </cell>
          <cell r="K33">
            <v>18200.927339999998</v>
          </cell>
          <cell r="L33">
            <v>18485.771069999999</v>
          </cell>
          <cell r="M33">
            <v>18742.117839999999</v>
          </cell>
          <cell r="N33">
            <v>19000.982069999998</v>
          </cell>
          <cell r="O33">
            <v>19265.108189999999</v>
          </cell>
          <cell r="P33">
            <v>19534.933410000001</v>
          </cell>
          <cell r="Q33">
            <v>19809.840459999999</v>
          </cell>
          <cell r="R33">
            <v>20089.18866</v>
          </cell>
          <cell r="S33">
            <v>20372.889660000001</v>
          </cell>
          <cell r="T33">
            <v>20661.477889999998</v>
          </cell>
          <cell r="U33">
            <v>20955.807789999999</v>
          </cell>
          <cell r="V33">
            <v>21235.317129999999</v>
          </cell>
          <cell r="W33">
            <v>21541.542030000001</v>
          </cell>
          <cell r="X33">
            <v>21856.228469999998</v>
          </cell>
          <cell r="Y33">
            <v>22178.858830000001</v>
          </cell>
          <cell r="Z33">
            <v>22508.18348</v>
          </cell>
          <cell r="AA33">
            <v>22781.556560000001</v>
          </cell>
          <cell r="AB33">
            <v>23087.622670000001</v>
          </cell>
          <cell r="AC33">
            <v>23399.929800000002</v>
          </cell>
          <cell r="AD33">
            <v>23720.603810000001</v>
          </cell>
          <cell r="AE33">
            <v>24050.485929999999</v>
          </cell>
          <cell r="AF33">
            <v>24388.920399999999</v>
          </cell>
          <cell r="AG33">
            <v>24734.273639999999</v>
          </cell>
          <cell r="AH33">
            <v>25084.757300000001</v>
          </cell>
          <cell r="AI33">
            <v>25439.13248</v>
          </cell>
          <cell r="AJ33">
            <v>25797.032009999999</v>
          </cell>
          <cell r="AK33">
            <v>26158.86087</v>
          </cell>
        </row>
        <row r="34">
          <cell r="B34">
            <v>20690.476719999999</v>
          </cell>
          <cell r="C34">
            <v>20943.070479999998</v>
          </cell>
          <cell r="D34">
            <v>21269.844969999998</v>
          </cell>
          <cell r="E34">
            <v>21658.280630000001</v>
          </cell>
          <cell r="F34">
            <v>22084.114249999999</v>
          </cell>
          <cell r="G34">
            <v>22522.17283</v>
          </cell>
          <cell r="H34">
            <v>22730.66995</v>
          </cell>
          <cell r="I34">
            <v>22962.640479999998</v>
          </cell>
          <cell r="J34">
            <v>23229.02305</v>
          </cell>
          <cell r="K34">
            <v>23559.688269999999</v>
          </cell>
          <cell r="L34">
            <v>23991.37284</v>
          </cell>
          <cell r="M34">
            <v>24464.849259999999</v>
          </cell>
          <cell r="N34">
            <v>24967.097140000002</v>
          </cell>
          <cell r="O34">
            <v>25471.781650000001</v>
          </cell>
          <cell r="P34">
            <v>25960.51123</v>
          </cell>
          <cell r="Q34">
            <v>26426.942080000001</v>
          </cell>
          <cell r="R34">
            <v>26876.08308</v>
          </cell>
          <cell r="S34">
            <v>27319.6263</v>
          </cell>
          <cell r="T34">
            <v>27769.997299999999</v>
          </cell>
          <cell r="U34">
            <v>28235.85025</v>
          </cell>
          <cell r="V34">
            <v>28698.28327</v>
          </cell>
          <cell r="W34">
            <v>29192.108049999999</v>
          </cell>
          <cell r="X34">
            <v>29704.202120000002</v>
          </cell>
          <cell r="Y34">
            <v>30229.19918</v>
          </cell>
          <cell r="Z34">
            <v>30762.860390000002</v>
          </cell>
          <cell r="AA34">
            <v>31236.000700000001</v>
          </cell>
          <cell r="AB34">
            <v>31731.51153</v>
          </cell>
          <cell r="AC34">
            <v>32240.056710000001</v>
          </cell>
          <cell r="AD34">
            <v>32764.004099999998</v>
          </cell>
          <cell r="AE34">
            <v>33302.207240000003</v>
          </cell>
          <cell r="AF34">
            <v>33851.549550000003</v>
          </cell>
          <cell r="AG34">
            <v>34408.7238</v>
          </cell>
          <cell r="AH34">
            <v>34971.7016</v>
          </cell>
          <cell r="AI34">
            <v>35540.357360000002</v>
          </cell>
          <cell r="AJ34">
            <v>36116.173419999999</v>
          </cell>
          <cell r="AK34">
            <v>36701.354910000002</v>
          </cell>
        </row>
        <row r="35">
          <cell r="B35">
            <v>20690.476719999999</v>
          </cell>
          <cell r="C35">
            <v>20943.070479999998</v>
          </cell>
          <cell r="D35">
            <v>21269.844969999998</v>
          </cell>
          <cell r="E35">
            <v>21658.280630000001</v>
          </cell>
          <cell r="F35">
            <v>22084.114249999999</v>
          </cell>
          <cell r="G35">
            <v>22522.17283</v>
          </cell>
          <cell r="H35">
            <v>22937.10975</v>
          </cell>
          <cell r="I35">
            <v>23330.86663</v>
          </cell>
          <cell r="J35">
            <v>23709.883119999999</v>
          </cell>
          <cell r="K35">
            <v>24087.597310000001</v>
          </cell>
          <cell r="L35">
            <v>24505.844779999999</v>
          </cell>
          <cell r="M35">
            <v>24925.910189999999</v>
          </cell>
          <cell r="N35">
            <v>25360.970600000001</v>
          </cell>
          <cell r="O35">
            <v>25808.314780000001</v>
          </cell>
          <cell r="P35">
            <v>26264.364109999999</v>
          </cell>
          <cell r="Q35">
            <v>26726.368450000002</v>
          </cell>
          <cell r="R35">
            <v>27193.233270000001</v>
          </cell>
          <cell r="S35">
            <v>27665.401959999999</v>
          </cell>
          <cell r="T35">
            <v>28144.211149999999</v>
          </cell>
          <cell r="U35">
            <v>28631.085190000002</v>
          </cell>
          <cell r="V35">
            <v>29104.506689999998</v>
          </cell>
          <cell r="W35">
            <v>29601.629669999998</v>
          </cell>
          <cell r="X35">
            <v>30112.78314</v>
          </cell>
          <cell r="Y35">
            <v>30636.029030000002</v>
          </cell>
          <cell r="Z35">
            <v>31169.10325</v>
          </cell>
          <cell r="AA35">
            <v>31642.369869999999</v>
          </cell>
          <cell r="AB35">
            <v>32138.588889999999</v>
          </cell>
          <cell r="AC35">
            <v>32647.432529999998</v>
          </cell>
          <cell r="AD35">
            <v>33170.935169999997</v>
          </cell>
          <cell r="AE35">
            <v>33708.179810000001</v>
          </cell>
          <cell r="AF35">
            <v>34256.693160000003</v>
          </cell>
          <cell r="AG35">
            <v>34813.904029999998</v>
          </cell>
          <cell r="AH35">
            <v>35378.293890000001</v>
          </cell>
          <cell r="AI35">
            <v>35949.837890000003</v>
          </cell>
          <cell r="AJ35">
            <v>36529.715550000001</v>
          </cell>
          <cell r="AK35">
            <v>37119.583200000001</v>
          </cell>
        </row>
        <row r="36">
          <cell r="B36">
            <v>1903546.4790000001</v>
          </cell>
          <cell r="C36">
            <v>1909205.548</v>
          </cell>
          <cell r="D36">
            <v>1925720.12</v>
          </cell>
          <cell r="E36">
            <v>1954375.7720000001</v>
          </cell>
          <cell r="F36">
            <v>1988985.58</v>
          </cell>
          <cell r="G36">
            <v>2025135.63</v>
          </cell>
          <cell r="H36">
            <v>2038107.956</v>
          </cell>
          <cell r="I36">
            <v>2051709.706</v>
          </cell>
          <cell r="J36">
            <v>2068855.8570000001</v>
          </cell>
          <cell r="K36">
            <v>2093931.16</v>
          </cell>
          <cell r="L36">
            <v>2124320.361</v>
          </cell>
          <cell r="M36">
            <v>2169773.2859999998</v>
          </cell>
          <cell r="N36">
            <v>2216859.6439999999</v>
          </cell>
          <cell r="O36">
            <v>2263018.4539999999</v>
          </cell>
          <cell r="P36">
            <v>2306334.3539999998</v>
          </cell>
          <cell r="Q36">
            <v>2346246.6880000001</v>
          </cell>
          <cell r="R36">
            <v>2383515.3139999998</v>
          </cell>
          <cell r="S36">
            <v>2419639.7549999999</v>
          </cell>
          <cell r="T36">
            <v>2456137.5410000002</v>
          </cell>
          <cell r="U36">
            <v>2494024.2510000002</v>
          </cell>
          <cell r="V36">
            <v>2535800.9419999998</v>
          </cell>
          <cell r="W36">
            <v>2574014.9070000001</v>
          </cell>
          <cell r="X36">
            <v>2615007.7710000002</v>
          </cell>
          <cell r="Y36">
            <v>2657505.1630000002</v>
          </cell>
          <cell r="Z36">
            <v>2700729.1469999999</v>
          </cell>
          <cell r="AA36">
            <v>2749483.7820000001</v>
          </cell>
          <cell r="AB36">
            <v>2788426.7280000001</v>
          </cell>
          <cell r="AC36">
            <v>2828932.1090000002</v>
          </cell>
          <cell r="AD36">
            <v>2871019.7030000002</v>
          </cell>
          <cell r="AE36">
            <v>2914445.9780000001</v>
          </cell>
          <cell r="AF36">
            <v>2958771.2650000001</v>
          </cell>
          <cell r="AG36">
            <v>3003550.9610000001</v>
          </cell>
          <cell r="AH36">
            <v>3048507.048</v>
          </cell>
          <cell r="AI36">
            <v>3093598.34</v>
          </cell>
          <cell r="AJ36">
            <v>3138980.273</v>
          </cell>
          <cell r="AK36">
            <v>3184896.5449999999</v>
          </cell>
        </row>
        <row r="37">
          <cell r="B37">
            <v>1903546.4790000001</v>
          </cell>
          <cell r="C37">
            <v>1909205.548</v>
          </cell>
          <cell r="D37">
            <v>1925720.12</v>
          </cell>
          <cell r="E37">
            <v>1954375.7720000001</v>
          </cell>
          <cell r="F37">
            <v>1988985.58</v>
          </cell>
          <cell r="G37">
            <v>2025135.63</v>
          </cell>
          <cell r="H37">
            <v>2062200.6070000001</v>
          </cell>
          <cell r="I37">
            <v>2094497.7009999999</v>
          </cell>
          <cell r="J37">
            <v>2123950.4559999998</v>
          </cell>
          <cell r="K37">
            <v>2152825.2650000001</v>
          </cell>
          <cell r="L37">
            <v>2179328.375</v>
          </cell>
          <cell r="M37">
            <v>2216197.0210000002</v>
          </cell>
          <cell r="N37">
            <v>2253155.79</v>
          </cell>
          <cell r="O37">
            <v>2290689.58</v>
          </cell>
          <cell r="P37">
            <v>2328754.7940000002</v>
          </cell>
          <cell r="Q37">
            <v>2367263.452</v>
          </cell>
          <cell r="R37">
            <v>2406188.8739999998</v>
          </cell>
          <cell r="S37">
            <v>2445569.4709999999</v>
          </cell>
          <cell r="T37">
            <v>2485511.39</v>
          </cell>
          <cell r="U37">
            <v>2526122.568</v>
          </cell>
          <cell r="V37">
            <v>2569581.0290000001</v>
          </cell>
          <cell r="W37">
            <v>2608659.2400000002</v>
          </cell>
          <cell r="X37">
            <v>2650085.7209999999</v>
          </cell>
          <cell r="Y37">
            <v>2692944.429</v>
          </cell>
          <cell r="Z37">
            <v>2736639.0920000002</v>
          </cell>
          <cell r="AA37">
            <v>2785917.9720000001</v>
          </cell>
          <cell r="AB37">
            <v>2825323.017</v>
          </cell>
          <cell r="AC37">
            <v>2866133.2209999999</v>
          </cell>
          <cell r="AD37">
            <v>2908326.7069999999</v>
          </cell>
          <cell r="AE37">
            <v>2951697.648</v>
          </cell>
          <cell r="AF37">
            <v>2995898.966</v>
          </cell>
          <cell r="AG37">
            <v>3040591.3859999999</v>
          </cell>
          <cell r="AH37">
            <v>3085574.716</v>
          </cell>
          <cell r="AI37">
            <v>3130835.4019999998</v>
          </cell>
          <cell r="AJ37">
            <v>3176507.0630000001</v>
          </cell>
          <cell r="AK37">
            <v>3222780.6639999999</v>
          </cell>
        </row>
        <row r="38">
          <cell r="B38">
            <v>662453.90330000001</v>
          </cell>
          <cell r="C38">
            <v>668816.41579999996</v>
          </cell>
          <cell r="D38">
            <v>677338.95330000005</v>
          </cell>
          <cell r="E38">
            <v>687820.50670000003</v>
          </cell>
          <cell r="F38">
            <v>699284.94669999997</v>
          </cell>
          <cell r="G38">
            <v>711138.57940000005</v>
          </cell>
          <cell r="H38">
            <v>720400.93709999998</v>
          </cell>
          <cell r="I38">
            <v>730247.97329999995</v>
          </cell>
          <cell r="J38">
            <v>740690.79070000001</v>
          </cell>
          <cell r="K38">
            <v>752164.78769999999</v>
          </cell>
          <cell r="L38">
            <v>764550.19759999996</v>
          </cell>
          <cell r="M38">
            <v>778660.1655</v>
          </cell>
          <cell r="N38">
            <v>792754.63809999998</v>
          </cell>
          <cell r="O38">
            <v>806679.29350000003</v>
          </cell>
          <cell r="P38">
            <v>820325.35149999999</v>
          </cell>
          <cell r="Q38">
            <v>833711.12230000005</v>
          </cell>
          <cell r="R38">
            <v>846972.41269999999</v>
          </cell>
          <cell r="S38">
            <v>860296.54509999999</v>
          </cell>
          <cell r="T38">
            <v>873849.09439999994</v>
          </cell>
          <cell r="U38">
            <v>887727.33959999995</v>
          </cell>
          <cell r="V38">
            <v>901947.45360000001</v>
          </cell>
          <cell r="W38">
            <v>915936.99990000005</v>
          </cell>
          <cell r="X38">
            <v>930490.04489999998</v>
          </cell>
          <cell r="Y38">
            <v>945405.20680000004</v>
          </cell>
          <cell r="Z38">
            <v>960576.68200000003</v>
          </cell>
          <cell r="AA38">
            <v>975762.63069999998</v>
          </cell>
          <cell r="AB38">
            <v>989812.69160000002</v>
          </cell>
          <cell r="AC38">
            <v>1004223.1139999999</v>
          </cell>
          <cell r="AD38">
            <v>1018962.463</v>
          </cell>
          <cell r="AE38">
            <v>1033986.64</v>
          </cell>
          <cell r="AF38">
            <v>1049242.325</v>
          </cell>
          <cell r="AG38">
            <v>1064684.875</v>
          </cell>
          <cell r="AH38">
            <v>1080292.8030000001</v>
          </cell>
          <cell r="AI38">
            <v>1096071.084</v>
          </cell>
          <cell r="AJ38">
            <v>1112043.5889999999</v>
          </cell>
          <cell r="AK38">
            <v>1128240.0859999999</v>
          </cell>
        </row>
        <row r="39">
          <cell r="B39">
            <v>662453.90330000001</v>
          </cell>
          <cell r="C39">
            <v>668816.41579999996</v>
          </cell>
          <cell r="D39">
            <v>677338.95330000005</v>
          </cell>
          <cell r="E39">
            <v>687820.50670000003</v>
          </cell>
          <cell r="F39">
            <v>699284.94669999997</v>
          </cell>
          <cell r="G39">
            <v>711138.57940000005</v>
          </cell>
          <cell r="H39">
            <v>723163.73939999996</v>
          </cell>
          <cell r="I39">
            <v>734677.76729999995</v>
          </cell>
          <cell r="J39">
            <v>746019.96129999997</v>
          </cell>
          <cell r="K39">
            <v>757487.66269999999</v>
          </cell>
          <cell r="L39">
            <v>769142.45929999999</v>
          </cell>
          <cell r="M39">
            <v>782182.05160000001</v>
          </cell>
          <cell r="N39">
            <v>795202.14339999994</v>
          </cell>
          <cell r="O39">
            <v>808338.82259999996</v>
          </cell>
          <cell r="P39">
            <v>821623.17409999995</v>
          </cell>
          <cell r="Q39">
            <v>835069.92370000004</v>
          </cell>
          <cell r="R39">
            <v>848690.02919999999</v>
          </cell>
          <cell r="S39">
            <v>862491.54220000003</v>
          </cell>
          <cell r="T39">
            <v>876486.80599999998</v>
          </cell>
          <cell r="U39">
            <v>890687.91879999998</v>
          </cell>
          <cell r="V39">
            <v>905094.77060000005</v>
          </cell>
          <cell r="W39">
            <v>919168.75809999998</v>
          </cell>
          <cell r="X39">
            <v>933756.48320000002</v>
          </cell>
          <cell r="Y39">
            <v>948696.59959999996</v>
          </cell>
          <cell r="Z39">
            <v>963901.5993</v>
          </cell>
          <cell r="AA39">
            <v>979126.23609999998</v>
          </cell>
          <cell r="AB39">
            <v>993200.77960000001</v>
          </cell>
          <cell r="AC39">
            <v>1007618.352</v>
          </cell>
          <cell r="AD39">
            <v>1022346.067</v>
          </cell>
          <cell r="AE39">
            <v>1037346.42</v>
          </cell>
          <cell r="AF39">
            <v>1052577.1680000001</v>
          </cell>
          <cell r="AG39">
            <v>1068004.517</v>
          </cell>
          <cell r="AH39">
            <v>1083613.683</v>
          </cell>
          <cell r="AI39">
            <v>1099410.5179999999</v>
          </cell>
          <cell r="AJ39">
            <v>1115414.8189999999</v>
          </cell>
          <cell r="AK39">
            <v>1131649.746</v>
          </cell>
        </row>
        <row r="40">
          <cell r="B40">
            <v>5824.5777369999996</v>
          </cell>
          <cell r="C40">
            <v>6514.3243329999996</v>
          </cell>
          <cell r="D40">
            <v>7117.0644590000002</v>
          </cell>
          <cell r="E40">
            <v>7619.7766709999996</v>
          </cell>
          <cell r="F40">
            <v>8044.8858490000002</v>
          </cell>
          <cell r="G40">
            <v>8412.8876120000004</v>
          </cell>
          <cell r="H40">
            <v>8662.7525769999993</v>
          </cell>
          <cell r="I40">
            <v>8851.0760289999998</v>
          </cell>
          <cell r="J40">
            <v>9018.2974570000006</v>
          </cell>
          <cell r="K40">
            <v>9182.9599739999994</v>
          </cell>
          <cell r="L40">
            <v>9404.5886559999999</v>
          </cell>
          <cell r="M40">
            <v>9577.9033639999998</v>
          </cell>
          <cell r="N40">
            <v>9766.535914</v>
          </cell>
          <cell r="O40">
            <v>9964.1604979999993</v>
          </cell>
          <cell r="P40">
            <v>10159.61413</v>
          </cell>
          <cell r="Q40">
            <v>10345.859619999999</v>
          </cell>
          <cell r="R40">
            <v>10521.029549999999</v>
          </cell>
          <cell r="S40">
            <v>10687.389300000001</v>
          </cell>
          <cell r="T40">
            <v>10849.241099999999</v>
          </cell>
          <cell r="U40">
            <v>11010.85556</v>
          </cell>
          <cell r="V40">
            <v>11140.667100000001</v>
          </cell>
          <cell r="W40">
            <v>11318.233480000001</v>
          </cell>
          <cell r="X40">
            <v>11498.18792</v>
          </cell>
          <cell r="Y40">
            <v>11677.161829999999</v>
          </cell>
          <cell r="Z40">
            <v>11855.873820000001</v>
          </cell>
          <cell r="AA40">
            <v>11933.305979999999</v>
          </cell>
          <cell r="AB40">
            <v>12099.602349999999</v>
          </cell>
          <cell r="AC40">
            <v>12274.36428</v>
          </cell>
          <cell r="AD40">
            <v>12450.21522</v>
          </cell>
          <cell r="AE40">
            <v>12628.17085</v>
          </cell>
          <cell r="AF40">
            <v>12808.833210000001</v>
          </cell>
          <cell r="AG40">
            <v>12991.80401</v>
          </cell>
          <cell r="AH40">
            <v>13176.352140000001</v>
          </cell>
          <cell r="AI40">
            <v>13362.00784</v>
          </cell>
          <cell r="AJ40">
            <v>13548.819869999999</v>
          </cell>
          <cell r="AK40">
            <v>13737.2734</v>
          </cell>
        </row>
        <row r="41">
          <cell r="B41">
            <v>5824.5777369999996</v>
          </cell>
          <cell r="C41">
            <v>6514.3243329999996</v>
          </cell>
          <cell r="D41">
            <v>7117.0644590000002</v>
          </cell>
          <cell r="E41">
            <v>7619.7766709999996</v>
          </cell>
          <cell r="F41">
            <v>8044.8858490000002</v>
          </cell>
          <cell r="G41">
            <v>8412.8876120000004</v>
          </cell>
          <cell r="H41">
            <v>8702.7523880000008</v>
          </cell>
          <cell r="I41">
            <v>8963.7310539999999</v>
          </cell>
          <cell r="J41">
            <v>9197.7103709999992</v>
          </cell>
          <cell r="K41">
            <v>9408.2104899999995</v>
          </cell>
          <cell r="L41">
            <v>9649.6141960000004</v>
          </cell>
          <cell r="M41">
            <v>9818.3184930000007</v>
          </cell>
          <cell r="N41">
            <v>9985.7100109999992</v>
          </cell>
          <cell r="O41">
            <v>10155.360269999999</v>
          </cell>
          <cell r="P41">
            <v>10325.187040000001</v>
          </cell>
          <cell r="Q41">
            <v>10493.548849999999</v>
          </cell>
          <cell r="R41">
            <v>10660.0229</v>
          </cell>
          <cell r="S41">
            <v>10825.322099999999</v>
          </cell>
          <cell r="T41">
            <v>10990.59642</v>
          </cell>
          <cell r="U41">
            <v>11156.956749999999</v>
          </cell>
          <cell r="V41">
            <v>11290.683510000001</v>
          </cell>
          <cell r="W41">
            <v>11470.762720000001</v>
          </cell>
          <cell r="X41">
            <v>11652.162829999999</v>
          </cell>
          <cell r="Y41">
            <v>11832.341</v>
          </cell>
          <cell r="Z41">
            <v>12012.688099999999</v>
          </cell>
          <cell r="AA41">
            <v>12092.194219999999</v>
          </cell>
          <cell r="AB41">
            <v>12260.909750000001</v>
          </cell>
          <cell r="AC41">
            <v>12437.990309999999</v>
          </cell>
          <cell r="AD41">
            <v>12615.72133</v>
          </cell>
          <cell r="AE41">
            <v>12795.00316</v>
          </cell>
          <cell r="AF41">
            <v>12976.548430000001</v>
          </cell>
          <cell r="AG41">
            <v>13160.21731</v>
          </cell>
          <cell r="AH41">
            <v>13345.56285</v>
          </cell>
          <cell r="AI41">
            <v>13532.319879999999</v>
          </cell>
          <cell r="AJ41">
            <v>13720.59741</v>
          </cell>
          <cell r="AK41">
            <v>13910.809209999999</v>
          </cell>
        </row>
        <row r="42">
          <cell r="B42">
            <v>45752.726629999997</v>
          </cell>
          <cell r="C42">
            <v>46417.980049999998</v>
          </cell>
          <cell r="D42">
            <v>46975.394849999997</v>
          </cell>
          <cell r="E42">
            <v>47501.188920000001</v>
          </cell>
          <cell r="F42">
            <v>48039.886890000002</v>
          </cell>
          <cell r="G42">
            <v>48613.875979999997</v>
          </cell>
          <cell r="H42">
            <v>49421.182260000001</v>
          </cell>
          <cell r="I42">
            <v>50098.706939999996</v>
          </cell>
          <cell r="J42">
            <v>50739.967349999999</v>
          </cell>
          <cell r="K42">
            <v>51344.94384</v>
          </cell>
          <cell r="L42">
            <v>51970.681329999999</v>
          </cell>
          <cell r="M42">
            <v>52536.476049999997</v>
          </cell>
          <cell r="N42">
            <v>53109.289320000003</v>
          </cell>
          <cell r="O42">
            <v>53704.702599999997</v>
          </cell>
          <cell r="P42">
            <v>54327.88147</v>
          </cell>
          <cell r="Q42">
            <v>54976.283239999997</v>
          </cell>
          <cell r="R42">
            <v>55642.49757</v>
          </cell>
          <cell r="S42">
            <v>56318.539360000002</v>
          </cell>
          <cell r="T42">
            <v>56998.672270000003</v>
          </cell>
          <cell r="U42">
            <v>57680.790760000004</v>
          </cell>
          <cell r="V42">
            <v>58325.92441</v>
          </cell>
          <cell r="W42">
            <v>59012.811520000003</v>
          </cell>
          <cell r="X42">
            <v>59709.670059999997</v>
          </cell>
          <cell r="Y42">
            <v>60417.674030000002</v>
          </cell>
          <cell r="Z42">
            <v>61138.31035</v>
          </cell>
          <cell r="AA42">
            <v>61751.822910000003</v>
          </cell>
          <cell r="AB42">
            <v>62430.626859999997</v>
          </cell>
          <cell r="AC42">
            <v>63114.511259999999</v>
          </cell>
          <cell r="AD42">
            <v>63800.669970000003</v>
          </cell>
          <cell r="AE42">
            <v>64491.489139999998</v>
          </cell>
          <cell r="AF42">
            <v>65190.271630000003</v>
          </cell>
          <cell r="AG42">
            <v>65899.554799999998</v>
          </cell>
          <cell r="AH42">
            <v>66620.418099999995</v>
          </cell>
          <cell r="AI42">
            <v>67352.604370000001</v>
          </cell>
          <cell r="AJ42">
            <v>68095.102209999997</v>
          </cell>
          <cell r="AK42">
            <v>68846.816149999999</v>
          </cell>
        </row>
        <row r="43">
          <cell r="B43">
            <v>45752.726629999997</v>
          </cell>
          <cell r="C43">
            <v>46417.980049999998</v>
          </cell>
          <cell r="D43">
            <v>46975.394849999997</v>
          </cell>
          <cell r="E43">
            <v>47501.188920000001</v>
          </cell>
          <cell r="F43">
            <v>48039.886890000002</v>
          </cell>
          <cell r="G43">
            <v>48613.875979999997</v>
          </cell>
          <cell r="H43">
            <v>49196.677580000003</v>
          </cell>
          <cell r="I43">
            <v>49816.560360000003</v>
          </cell>
          <cell r="J43">
            <v>50461.934029999997</v>
          </cell>
          <cell r="K43">
            <v>51118.787960000001</v>
          </cell>
          <cell r="L43">
            <v>51828.672930000001</v>
          </cell>
          <cell r="M43">
            <v>52488.680439999996</v>
          </cell>
          <cell r="N43">
            <v>53147.768100000001</v>
          </cell>
          <cell r="O43">
            <v>53809.075850000001</v>
          </cell>
          <cell r="P43">
            <v>54473.618600000002</v>
          </cell>
          <cell r="Q43">
            <v>55141.872739999999</v>
          </cell>
          <cell r="R43">
            <v>55813.902750000001</v>
          </cell>
          <cell r="S43">
            <v>56489.446519999998</v>
          </cell>
          <cell r="T43">
            <v>57168.30515</v>
          </cell>
          <cell r="U43">
            <v>57850.729270000003</v>
          </cell>
          <cell r="V43">
            <v>58497.575779999999</v>
          </cell>
          <cell r="W43">
            <v>59185.279799999997</v>
          </cell>
          <cell r="X43">
            <v>59880.542359999999</v>
          </cell>
          <cell r="Y43">
            <v>60583.798450000002</v>
          </cell>
          <cell r="Z43">
            <v>61296.91158</v>
          </cell>
          <cell r="AA43">
            <v>61901.51339</v>
          </cell>
          <cell r="AB43">
            <v>62570.77807</v>
          </cell>
          <cell r="AC43">
            <v>63245.30775</v>
          </cell>
          <cell r="AD43">
            <v>63922.44184</v>
          </cell>
          <cell r="AE43">
            <v>64604.366889999998</v>
          </cell>
          <cell r="AF43">
            <v>65293.942799999997</v>
          </cell>
          <cell r="AG43">
            <v>65993.2402</v>
          </cell>
          <cell r="AH43">
            <v>66703.084820000004</v>
          </cell>
          <cell r="AI43">
            <v>67423.197520000002</v>
          </cell>
          <cell r="AJ43">
            <v>68152.68273</v>
          </cell>
          <cell r="AK43">
            <v>68890.598910000001</v>
          </cell>
        </row>
        <row r="44">
          <cell r="B44">
            <v>3852.7726520000001</v>
          </cell>
          <cell r="C44">
            <v>3947.7008970000002</v>
          </cell>
          <cell r="D44">
            <v>4026.611774</v>
          </cell>
          <cell r="E44">
            <v>4097.9489750000002</v>
          </cell>
          <cell r="F44">
            <v>4166.2790859999996</v>
          </cell>
          <cell r="G44">
            <v>4233.8112229999997</v>
          </cell>
          <cell r="H44">
            <v>4313.6927649999998</v>
          </cell>
          <cell r="I44">
            <v>4381.6187440000003</v>
          </cell>
          <cell r="J44">
            <v>4445.9697429999997</v>
          </cell>
          <cell r="K44">
            <v>4507.4078040000004</v>
          </cell>
          <cell r="L44">
            <v>4571.2106889999995</v>
          </cell>
          <cell r="M44">
            <v>4629.5172309999998</v>
          </cell>
          <cell r="N44">
            <v>4687.8145510000004</v>
          </cell>
          <cell r="O44">
            <v>4746.9320019999996</v>
          </cell>
          <cell r="P44">
            <v>4807.0910860000004</v>
          </cell>
          <cell r="Q44">
            <v>4868.166937</v>
          </cell>
          <cell r="R44">
            <v>4929.8614980000002</v>
          </cell>
          <cell r="S44">
            <v>4991.8801199999998</v>
          </cell>
          <cell r="T44">
            <v>5054.0595249999997</v>
          </cell>
          <cell r="U44">
            <v>5116.4166619999996</v>
          </cell>
          <cell r="V44">
            <v>5175.5178910000004</v>
          </cell>
          <cell r="W44">
            <v>5238.4426149999999</v>
          </cell>
          <cell r="X44">
            <v>5302.1836480000002</v>
          </cell>
          <cell r="Y44">
            <v>5366.7845870000001</v>
          </cell>
          <cell r="Z44">
            <v>5432.3450030000004</v>
          </cell>
          <cell r="AA44">
            <v>5488.2047249999996</v>
          </cell>
          <cell r="AB44">
            <v>5549.9449500000001</v>
          </cell>
          <cell r="AC44">
            <v>5612.1900519999999</v>
          </cell>
          <cell r="AD44">
            <v>5674.7267549999997</v>
          </cell>
          <cell r="AE44">
            <v>5737.721775</v>
          </cell>
          <cell r="AF44">
            <v>5801.3835129999998</v>
          </cell>
          <cell r="AG44">
            <v>5865.8614349999998</v>
          </cell>
          <cell r="AH44">
            <v>5931.2209249999996</v>
          </cell>
          <cell r="AI44">
            <v>5997.456083</v>
          </cell>
          <cell r="AJ44">
            <v>6064.5236249999998</v>
          </cell>
          <cell r="AK44">
            <v>6132.3792839999996</v>
          </cell>
        </row>
        <row r="45">
          <cell r="B45">
            <v>3852.7726520000001</v>
          </cell>
          <cell r="C45">
            <v>3947.7008970000002</v>
          </cell>
          <cell r="D45">
            <v>4026.611774</v>
          </cell>
          <cell r="E45">
            <v>4097.9489750000002</v>
          </cell>
          <cell r="F45">
            <v>4166.2790859999996</v>
          </cell>
          <cell r="G45">
            <v>4233.8112229999997</v>
          </cell>
          <cell r="H45">
            <v>4298.4851900000003</v>
          </cell>
          <cell r="I45">
            <v>4363.3409709999996</v>
          </cell>
          <cell r="J45">
            <v>4428.1004890000004</v>
          </cell>
          <cell r="K45">
            <v>4492.3094609999998</v>
          </cell>
          <cell r="L45">
            <v>4560.3810199999998</v>
          </cell>
          <cell r="M45">
            <v>4623.3201730000001</v>
          </cell>
          <cell r="N45">
            <v>4685.7941000000001</v>
          </cell>
          <cell r="O45">
            <v>4748.1304600000003</v>
          </cell>
          <cell r="P45">
            <v>4810.4446150000003</v>
          </cell>
          <cell r="Q45">
            <v>4872.791228</v>
          </cell>
          <cell r="R45">
            <v>4935.1957839999995</v>
          </cell>
          <cell r="S45">
            <v>4997.6792539999997</v>
          </cell>
          <cell r="T45">
            <v>5060.2768059999999</v>
          </cell>
          <cell r="U45">
            <v>5123.0516879999996</v>
          </cell>
          <cell r="V45">
            <v>5182.5115029999997</v>
          </cell>
          <cell r="W45">
            <v>5245.5942770000001</v>
          </cell>
          <cell r="X45">
            <v>5309.2166509999997</v>
          </cell>
          <cell r="Y45">
            <v>5373.4048970000003</v>
          </cell>
          <cell r="Z45">
            <v>5438.3040689999998</v>
          </cell>
          <cell r="AA45">
            <v>5493.3478759999998</v>
          </cell>
          <cell r="AB45">
            <v>5554.1761109999998</v>
          </cell>
          <cell r="AC45">
            <v>5615.4578439999996</v>
          </cell>
          <cell r="AD45">
            <v>5676.9914250000002</v>
          </cell>
          <cell r="AE45">
            <v>5738.9360509999997</v>
          </cell>
          <cell r="AF45">
            <v>5801.4828459999999</v>
          </cell>
          <cell r="AG45">
            <v>5864.7643280000002</v>
          </cell>
          <cell r="AH45">
            <v>5928.8358509999998</v>
          </cell>
          <cell r="AI45">
            <v>5993.689805</v>
          </cell>
          <cell r="AJ45">
            <v>6059.2855829999999</v>
          </cell>
          <cell r="AK45">
            <v>6125.5810369999999</v>
          </cell>
        </row>
        <row r="46">
          <cell r="B46">
            <v>18441.989659999999</v>
          </cell>
          <cell r="C46">
            <v>19418.4159</v>
          </cell>
          <cell r="D46">
            <v>20167.68679</v>
          </cell>
          <cell r="E46">
            <v>20764.796300000002</v>
          </cell>
          <cell r="F46">
            <v>21274.682779999999</v>
          </cell>
          <cell r="G46">
            <v>21749.377469999999</v>
          </cell>
          <cell r="H46">
            <v>22469.218830000002</v>
          </cell>
          <cell r="I46">
            <v>22990.97105</v>
          </cell>
          <cell r="J46">
            <v>23396.331409999999</v>
          </cell>
          <cell r="K46">
            <v>23687.62744</v>
          </cell>
          <cell r="L46">
            <v>23900.878580000001</v>
          </cell>
          <cell r="M46">
            <v>24059.339380000001</v>
          </cell>
          <cell r="N46">
            <v>24211.284899999999</v>
          </cell>
          <cell r="O46">
            <v>24391.5389</v>
          </cell>
          <cell r="P46">
            <v>24613.6116</v>
          </cell>
          <cell r="Q46">
            <v>24873.651740000001</v>
          </cell>
          <cell r="R46">
            <v>25156.772379999999</v>
          </cell>
          <cell r="S46">
            <v>25445.96472</v>
          </cell>
          <cell r="T46">
            <v>25728.946230000001</v>
          </cell>
          <cell r="U46">
            <v>26000.99163</v>
          </cell>
          <cell r="V46">
            <v>26250.481919999998</v>
          </cell>
          <cell r="W46">
            <v>26502.2019</v>
          </cell>
          <cell r="X46">
            <v>26758.686880000001</v>
          </cell>
          <cell r="Y46">
            <v>27022.227849999999</v>
          </cell>
          <cell r="Z46">
            <v>27294.679410000001</v>
          </cell>
          <cell r="AA46">
            <v>27532.31495</v>
          </cell>
          <cell r="AB46">
            <v>27780.738300000001</v>
          </cell>
          <cell r="AC46">
            <v>28027.901249999999</v>
          </cell>
          <cell r="AD46">
            <v>28269.904869999998</v>
          </cell>
          <cell r="AE46">
            <v>28510.341560000001</v>
          </cell>
          <cell r="AF46">
            <v>28754.77018</v>
          </cell>
          <cell r="AG46">
            <v>29007.464919999999</v>
          </cell>
          <cell r="AH46">
            <v>29270.018820000001</v>
          </cell>
          <cell r="AI46">
            <v>29541.412130000001</v>
          </cell>
          <cell r="AJ46">
            <v>29819.107410000001</v>
          </cell>
          <cell r="AK46">
            <v>30100.426759999998</v>
          </cell>
        </row>
        <row r="47">
          <cell r="B47">
            <v>18441.989659999999</v>
          </cell>
          <cell r="C47">
            <v>19418.4159</v>
          </cell>
          <cell r="D47">
            <v>20167.68679</v>
          </cell>
          <cell r="E47">
            <v>20764.796300000002</v>
          </cell>
          <cell r="F47">
            <v>21274.682779999999</v>
          </cell>
          <cell r="G47">
            <v>21749.377469999999</v>
          </cell>
          <cell r="H47">
            <v>22205.051530000001</v>
          </cell>
          <cell r="I47">
            <v>22658.721829999999</v>
          </cell>
          <cell r="J47">
            <v>23103.083640000001</v>
          </cell>
          <cell r="K47">
            <v>23522.726839999999</v>
          </cell>
          <cell r="L47">
            <v>23921.593379999998</v>
          </cell>
          <cell r="M47">
            <v>24277.704430000002</v>
          </cell>
          <cell r="N47">
            <v>24601.80485</v>
          </cell>
          <cell r="O47">
            <v>24904.458190000001</v>
          </cell>
          <cell r="P47">
            <v>25192.170470000001</v>
          </cell>
          <cell r="Q47">
            <v>25470.046119999999</v>
          </cell>
          <cell r="R47">
            <v>25741.62442</v>
          </cell>
          <cell r="S47">
            <v>26008.309280000001</v>
          </cell>
          <cell r="T47">
            <v>26270.53584</v>
          </cell>
          <cell r="U47">
            <v>26529.023519999999</v>
          </cell>
          <cell r="V47">
            <v>26771.944869999999</v>
          </cell>
          <cell r="W47">
            <v>27020.201410000001</v>
          </cell>
          <cell r="X47">
            <v>27273.079659999999</v>
          </cell>
          <cell r="Y47">
            <v>27531.085650000001</v>
          </cell>
          <cell r="Z47">
            <v>27796.430090000002</v>
          </cell>
          <cell r="AA47">
            <v>28027.289219999999</v>
          </cell>
          <cell r="AB47">
            <v>28270.974160000002</v>
          </cell>
          <cell r="AC47">
            <v>28516.742139999998</v>
          </cell>
          <cell r="AD47">
            <v>28760.664629999999</v>
          </cell>
          <cell r="AE47">
            <v>29005.532009999999</v>
          </cell>
          <cell r="AF47">
            <v>29255.729220000001</v>
          </cell>
          <cell r="AG47">
            <v>29514.455269999999</v>
          </cell>
          <cell r="AH47">
            <v>29782.657800000001</v>
          </cell>
          <cell r="AI47">
            <v>30059.214019999999</v>
          </cell>
          <cell r="AJ47">
            <v>30341.874240000001</v>
          </cell>
          <cell r="AK47">
            <v>30628.415939999999</v>
          </cell>
        </row>
        <row r="48">
          <cell r="B48">
            <v>313.47042959999999</v>
          </cell>
          <cell r="C48">
            <v>330.06737809999998</v>
          </cell>
          <cell r="D48">
            <v>342.8032202</v>
          </cell>
          <cell r="E48">
            <v>352.95267680000001</v>
          </cell>
          <cell r="F48">
            <v>361.61954730000002</v>
          </cell>
          <cell r="G48">
            <v>369.68824000000001</v>
          </cell>
          <cell r="H48">
            <v>381.92384939999999</v>
          </cell>
          <cell r="I48">
            <v>390.79240929999997</v>
          </cell>
          <cell r="J48">
            <v>397.68258159999999</v>
          </cell>
          <cell r="K48">
            <v>402.63392859999999</v>
          </cell>
          <cell r="L48">
            <v>406.2586963</v>
          </cell>
          <cell r="M48">
            <v>408.952157</v>
          </cell>
          <cell r="N48">
            <v>411.53487330000002</v>
          </cell>
          <cell r="O48">
            <v>414.59876709999998</v>
          </cell>
          <cell r="P48">
            <v>418.37348059999999</v>
          </cell>
          <cell r="Q48">
            <v>422.7935511</v>
          </cell>
          <cell r="R48">
            <v>427.60593569999997</v>
          </cell>
          <cell r="S48">
            <v>432.52152510000002</v>
          </cell>
          <cell r="T48">
            <v>437.33154489999998</v>
          </cell>
          <cell r="U48">
            <v>441.9556766</v>
          </cell>
          <cell r="V48">
            <v>446.19642429999999</v>
          </cell>
          <cell r="W48">
            <v>450.47507180000002</v>
          </cell>
          <cell r="X48">
            <v>454.83471279999998</v>
          </cell>
          <cell r="Y48">
            <v>459.31428920000002</v>
          </cell>
          <cell r="Z48">
            <v>463.94532470000001</v>
          </cell>
          <cell r="AA48">
            <v>467.98456979999997</v>
          </cell>
          <cell r="AB48">
            <v>472.20718210000001</v>
          </cell>
          <cell r="AC48">
            <v>476.40837060000001</v>
          </cell>
          <cell r="AD48">
            <v>480.52186280000001</v>
          </cell>
          <cell r="AE48">
            <v>484.60872080000001</v>
          </cell>
          <cell r="AF48">
            <v>488.76343209999999</v>
          </cell>
          <cell r="AG48">
            <v>493.05864810000003</v>
          </cell>
          <cell r="AH48">
            <v>497.52144670000001</v>
          </cell>
          <cell r="AI48">
            <v>502.13449429999997</v>
          </cell>
          <cell r="AJ48">
            <v>506.85466070000001</v>
          </cell>
          <cell r="AK48">
            <v>511.63642759999999</v>
          </cell>
        </row>
        <row r="49">
          <cell r="B49">
            <v>313.47042959999999</v>
          </cell>
          <cell r="C49">
            <v>330.06737809999998</v>
          </cell>
          <cell r="D49">
            <v>342.8032202</v>
          </cell>
          <cell r="E49">
            <v>352.95267680000001</v>
          </cell>
          <cell r="F49">
            <v>361.61954730000002</v>
          </cell>
          <cell r="G49">
            <v>369.68824000000001</v>
          </cell>
          <cell r="H49">
            <v>377.43362680000001</v>
          </cell>
          <cell r="I49">
            <v>385.14495449999998</v>
          </cell>
          <cell r="J49">
            <v>392.69805960000002</v>
          </cell>
          <cell r="K49">
            <v>399.8310065</v>
          </cell>
          <cell r="L49">
            <v>406.61079910000001</v>
          </cell>
          <cell r="M49">
            <v>412.66384909999999</v>
          </cell>
          <cell r="N49">
            <v>418.17279350000001</v>
          </cell>
          <cell r="O49">
            <v>423.3171883</v>
          </cell>
          <cell r="P49">
            <v>428.2076199</v>
          </cell>
          <cell r="Q49">
            <v>432.9308522</v>
          </cell>
          <cell r="R49">
            <v>437.54704429999998</v>
          </cell>
          <cell r="S49">
            <v>442.08005930000002</v>
          </cell>
          <cell r="T49">
            <v>446.53729379999999</v>
          </cell>
          <cell r="U49">
            <v>450.93097619999998</v>
          </cell>
          <cell r="V49">
            <v>455.06006760000002</v>
          </cell>
          <cell r="W49">
            <v>459.27984450000002</v>
          </cell>
          <cell r="X49">
            <v>463.57817979999999</v>
          </cell>
          <cell r="Y49">
            <v>467.9636744</v>
          </cell>
          <cell r="Z49">
            <v>472.47390569999999</v>
          </cell>
          <cell r="AA49">
            <v>476.39796769999998</v>
          </cell>
          <cell r="AB49">
            <v>480.54003820000003</v>
          </cell>
          <cell r="AC49">
            <v>484.71751549999999</v>
          </cell>
          <cell r="AD49">
            <v>488.86362389999999</v>
          </cell>
          <cell r="AE49">
            <v>493.02579320000001</v>
          </cell>
          <cell r="AF49">
            <v>497.2785571</v>
          </cell>
          <cell r="AG49">
            <v>501.67629119999998</v>
          </cell>
          <cell r="AH49">
            <v>506.23510299999998</v>
          </cell>
          <cell r="AI49">
            <v>510.93590810000001</v>
          </cell>
          <cell r="AJ49">
            <v>515.74046659999999</v>
          </cell>
          <cell r="AK49">
            <v>520.6110013</v>
          </cell>
        </row>
        <row r="50">
          <cell r="B50">
            <v>32437.043109999999</v>
          </cell>
          <cell r="C50">
            <v>32693.486840000001</v>
          </cell>
          <cell r="D50">
            <v>32854.476649999997</v>
          </cell>
          <cell r="E50">
            <v>32996.321069999998</v>
          </cell>
          <cell r="F50">
            <v>33172.207130000003</v>
          </cell>
          <cell r="G50">
            <v>33415.985050000003</v>
          </cell>
          <cell r="H50">
            <v>34041.289470000003</v>
          </cell>
          <cell r="I50">
            <v>34412.600659999996</v>
          </cell>
          <cell r="J50">
            <v>34663.856</v>
          </cell>
          <cell r="K50">
            <v>34807.958279999999</v>
          </cell>
          <cell r="L50">
            <v>34892.06162</v>
          </cell>
          <cell r="M50">
            <v>34957.960209999997</v>
          </cell>
          <cell r="N50">
            <v>35058.873590000003</v>
          </cell>
          <cell r="O50">
            <v>35228.123639999998</v>
          </cell>
          <cell r="P50">
            <v>35470.948400000001</v>
          </cell>
          <cell r="Q50">
            <v>35771.412250000001</v>
          </cell>
          <cell r="R50">
            <v>36101.063219999996</v>
          </cell>
          <cell r="S50">
            <v>36435.246829999996</v>
          </cell>
          <cell r="T50">
            <v>36759.366560000002</v>
          </cell>
          <cell r="U50">
            <v>37070.394399999997</v>
          </cell>
          <cell r="V50">
            <v>37359.149369999999</v>
          </cell>
          <cell r="W50">
            <v>37653.561829999999</v>
          </cell>
          <cell r="X50">
            <v>37959.872580000003</v>
          </cell>
          <cell r="Y50">
            <v>38281.26154</v>
          </cell>
          <cell r="Z50">
            <v>38618.424930000001</v>
          </cell>
          <cell r="AA50">
            <v>38920.701330000004</v>
          </cell>
          <cell r="AB50">
            <v>39231.153039999997</v>
          </cell>
          <cell r="AC50">
            <v>39539.15208</v>
          </cell>
          <cell r="AD50">
            <v>39844.28067</v>
          </cell>
          <cell r="AE50">
            <v>40152.295469999997</v>
          </cell>
          <cell r="AF50">
            <v>40470.202599999997</v>
          </cell>
          <cell r="AG50">
            <v>40802.551119999996</v>
          </cell>
          <cell r="AH50">
            <v>41150.094380000002</v>
          </cell>
          <cell r="AI50">
            <v>41510.15653</v>
          </cell>
          <cell r="AJ50">
            <v>41878.808199999999</v>
          </cell>
          <cell r="AK50">
            <v>42252.66461</v>
          </cell>
        </row>
        <row r="51">
          <cell r="B51">
            <v>32437.043109999999</v>
          </cell>
          <cell r="C51">
            <v>32693.486840000001</v>
          </cell>
          <cell r="D51">
            <v>32854.476649999997</v>
          </cell>
          <cell r="E51">
            <v>32996.321069999998</v>
          </cell>
          <cell r="F51">
            <v>33172.207130000003</v>
          </cell>
          <cell r="G51">
            <v>33415.985050000003</v>
          </cell>
          <cell r="H51">
            <v>33720.818509999997</v>
          </cell>
          <cell r="I51">
            <v>34076.721400000002</v>
          </cell>
          <cell r="J51">
            <v>34454.696880000003</v>
          </cell>
          <cell r="K51">
            <v>34825.342109999998</v>
          </cell>
          <cell r="L51">
            <v>35187.106740000003</v>
          </cell>
          <cell r="M51">
            <v>35519.768660000002</v>
          </cell>
          <cell r="N51">
            <v>35832.8531</v>
          </cell>
          <cell r="O51">
            <v>36136.970370000003</v>
          </cell>
          <cell r="P51">
            <v>36438.022380000002</v>
          </cell>
          <cell r="Q51">
            <v>36739.125370000002</v>
          </cell>
          <cell r="R51">
            <v>37041.333630000001</v>
          </cell>
          <cell r="S51">
            <v>37344.138449999999</v>
          </cell>
          <cell r="T51">
            <v>37646.979890000002</v>
          </cell>
          <cell r="U51">
            <v>37950.403200000001</v>
          </cell>
          <cell r="V51">
            <v>38241.70809</v>
          </cell>
          <cell r="W51">
            <v>38541.756020000001</v>
          </cell>
          <cell r="X51">
            <v>38852.03299</v>
          </cell>
          <cell r="Y51">
            <v>39174.231890000003</v>
          </cell>
          <cell r="Z51">
            <v>39510.363579999997</v>
          </cell>
          <cell r="AA51">
            <v>39812.808770000003</v>
          </cell>
          <cell r="AB51">
            <v>40127.458659999997</v>
          </cell>
          <cell r="AC51">
            <v>40444.754690000002</v>
          </cell>
          <cell r="AD51">
            <v>40763.578379999999</v>
          </cell>
          <cell r="AE51">
            <v>41088.564509999997</v>
          </cell>
          <cell r="AF51">
            <v>41425.204919999996</v>
          </cell>
          <cell r="AG51">
            <v>41776.817219999997</v>
          </cell>
          <cell r="AH51">
            <v>42143.597840000002</v>
          </cell>
          <cell r="AI51">
            <v>42523.257400000002</v>
          </cell>
          <cell r="AJ51">
            <v>42912.41188</v>
          </cell>
          <cell r="AK51">
            <v>43308.286260000001</v>
          </cell>
        </row>
        <row r="52">
          <cell r="B52">
            <v>433.40236099999998</v>
          </cell>
          <cell r="C52">
            <v>436.8287929</v>
          </cell>
          <cell r="D52">
            <v>438.97983240000002</v>
          </cell>
          <cell r="E52">
            <v>440.87506389999999</v>
          </cell>
          <cell r="F52">
            <v>443.22513750000002</v>
          </cell>
          <cell r="G52">
            <v>446.48233720000002</v>
          </cell>
          <cell r="H52">
            <v>454.83724210000003</v>
          </cell>
          <cell r="I52">
            <v>459.79845710000001</v>
          </cell>
          <cell r="J52">
            <v>463.15556509999999</v>
          </cell>
          <cell r="K52">
            <v>465.08096460000002</v>
          </cell>
          <cell r="L52">
            <v>466.20469800000001</v>
          </cell>
          <cell r="M52">
            <v>467.08519139999999</v>
          </cell>
          <cell r="N52">
            <v>468.4335294</v>
          </cell>
          <cell r="O52">
            <v>470.69493699999998</v>
          </cell>
          <cell r="P52">
            <v>473.9394011</v>
          </cell>
          <cell r="Q52">
            <v>477.95400069999999</v>
          </cell>
          <cell r="R52">
            <v>482.3585794</v>
          </cell>
          <cell r="S52">
            <v>486.82372029999999</v>
          </cell>
          <cell r="T52">
            <v>491.15439420000001</v>
          </cell>
          <cell r="U52">
            <v>495.31014290000002</v>
          </cell>
          <cell r="V52">
            <v>499.16829610000002</v>
          </cell>
          <cell r="W52">
            <v>503.10204110000001</v>
          </cell>
          <cell r="X52">
            <v>507.19476320000001</v>
          </cell>
          <cell r="Y52">
            <v>511.48895040000002</v>
          </cell>
          <cell r="Z52">
            <v>515.99390510000001</v>
          </cell>
          <cell r="AA52">
            <v>520.03272279999999</v>
          </cell>
          <cell r="AB52">
            <v>524.18077359999995</v>
          </cell>
          <cell r="AC52">
            <v>528.29605349999997</v>
          </cell>
          <cell r="AD52">
            <v>532.37298039999996</v>
          </cell>
          <cell r="AE52">
            <v>536.48847079999996</v>
          </cell>
          <cell r="AF52">
            <v>540.73613609999995</v>
          </cell>
          <cell r="AG52">
            <v>545.17675759999997</v>
          </cell>
          <cell r="AH52">
            <v>549.82040129999996</v>
          </cell>
          <cell r="AI52">
            <v>554.63131420000002</v>
          </cell>
          <cell r="AJ52">
            <v>559.55699440000001</v>
          </cell>
          <cell r="AK52">
            <v>564.55221700000004</v>
          </cell>
        </row>
        <row r="53">
          <cell r="B53">
            <v>433.40236099999998</v>
          </cell>
          <cell r="C53">
            <v>436.8287929</v>
          </cell>
          <cell r="D53">
            <v>438.97983240000002</v>
          </cell>
          <cell r="E53">
            <v>440.87506389999999</v>
          </cell>
          <cell r="F53">
            <v>443.22513750000002</v>
          </cell>
          <cell r="G53">
            <v>446.48233720000002</v>
          </cell>
          <cell r="H53">
            <v>450.55532060000002</v>
          </cell>
          <cell r="I53">
            <v>455.31066010000001</v>
          </cell>
          <cell r="J53">
            <v>460.36091900000002</v>
          </cell>
          <cell r="K53">
            <v>465.3132359</v>
          </cell>
          <cell r="L53">
            <v>470.14689609999999</v>
          </cell>
          <cell r="M53">
            <v>474.59170510000001</v>
          </cell>
          <cell r="N53">
            <v>478.77493279999999</v>
          </cell>
          <cell r="O53">
            <v>482.838347</v>
          </cell>
          <cell r="P53">
            <v>486.8608054</v>
          </cell>
          <cell r="Q53">
            <v>490.88394469999997</v>
          </cell>
          <cell r="R53">
            <v>494.921852</v>
          </cell>
          <cell r="S53">
            <v>498.96773020000001</v>
          </cell>
          <cell r="T53">
            <v>503.01409769999998</v>
          </cell>
          <cell r="U53">
            <v>507.06823960000003</v>
          </cell>
          <cell r="V53">
            <v>510.96046330000001</v>
          </cell>
          <cell r="W53">
            <v>514.96950570000001</v>
          </cell>
          <cell r="X53">
            <v>519.11522179999997</v>
          </cell>
          <cell r="Y53">
            <v>523.42023089999998</v>
          </cell>
          <cell r="Z53">
            <v>527.91140059999998</v>
          </cell>
          <cell r="AA53">
            <v>531.95247359999996</v>
          </cell>
          <cell r="AB53">
            <v>536.15661780000005</v>
          </cell>
          <cell r="AC53">
            <v>540.39611790000004</v>
          </cell>
          <cell r="AD53">
            <v>544.65602969999998</v>
          </cell>
          <cell r="AE53">
            <v>548.99827979999998</v>
          </cell>
          <cell r="AF53">
            <v>553.49624670000003</v>
          </cell>
          <cell r="AG53">
            <v>558.1942583</v>
          </cell>
          <cell r="AH53">
            <v>563.09493869999994</v>
          </cell>
          <cell r="AI53">
            <v>568.16769929999998</v>
          </cell>
          <cell r="AJ53">
            <v>573.36732459999996</v>
          </cell>
          <cell r="AK53">
            <v>578.65673679999998</v>
          </cell>
        </row>
        <row r="54">
          <cell r="B54">
            <v>1655.932894</v>
          </cell>
          <cell r="C54">
            <v>1669.0245190000001</v>
          </cell>
          <cell r="D54">
            <v>1677.2431570000001</v>
          </cell>
          <cell r="E54">
            <v>1684.48441</v>
          </cell>
          <cell r="F54">
            <v>1693.463512</v>
          </cell>
          <cell r="G54">
            <v>1705.908539</v>
          </cell>
          <cell r="H54">
            <v>1737.830751</v>
          </cell>
          <cell r="I54">
            <v>1756.786437</v>
          </cell>
          <cell r="J54">
            <v>1769.613192</v>
          </cell>
          <cell r="K54">
            <v>1776.9697100000001</v>
          </cell>
          <cell r="L54">
            <v>1781.263242</v>
          </cell>
          <cell r="M54">
            <v>1784.6274089999999</v>
          </cell>
          <cell r="N54">
            <v>1789.7791050000001</v>
          </cell>
          <cell r="O54">
            <v>1798.419435</v>
          </cell>
          <cell r="P54">
            <v>1810.8158020000001</v>
          </cell>
          <cell r="Q54">
            <v>1826.1546840000001</v>
          </cell>
          <cell r="R54">
            <v>1842.9835880000001</v>
          </cell>
          <cell r="S54">
            <v>1860.0438859999999</v>
          </cell>
          <cell r="T54">
            <v>1876.5904169999999</v>
          </cell>
          <cell r="U54">
            <v>1892.4685979999999</v>
          </cell>
          <cell r="V54">
            <v>1907.2097329999999</v>
          </cell>
          <cell r="W54">
            <v>1922.239687</v>
          </cell>
          <cell r="X54">
            <v>1937.877058</v>
          </cell>
          <cell r="Y54">
            <v>1954.2841800000001</v>
          </cell>
          <cell r="Z54">
            <v>1971.4965979999999</v>
          </cell>
          <cell r="AA54">
            <v>1986.9280120000001</v>
          </cell>
          <cell r="AB54">
            <v>2002.776781</v>
          </cell>
          <cell r="AC54">
            <v>2018.5003389999999</v>
          </cell>
          <cell r="AD54">
            <v>2034.0773589999999</v>
          </cell>
          <cell r="AE54">
            <v>2049.8017220000002</v>
          </cell>
          <cell r="AF54">
            <v>2066.0310960000002</v>
          </cell>
          <cell r="AG54">
            <v>2082.997711</v>
          </cell>
          <cell r="AH54">
            <v>2100.7400280000002</v>
          </cell>
          <cell r="AI54">
            <v>2119.1214439999999</v>
          </cell>
          <cell r="AJ54">
            <v>2137.9413599999998</v>
          </cell>
          <cell r="AK54">
            <v>2157.026981</v>
          </cell>
        </row>
        <row r="55">
          <cell r="B55">
            <v>1655.932894</v>
          </cell>
          <cell r="C55">
            <v>1669.0245190000001</v>
          </cell>
          <cell r="D55">
            <v>1677.2431570000001</v>
          </cell>
          <cell r="E55">
            <v>1684.48441</v>
          </cell>
          <cell r="F55">
            <v>1693.463512</v>
          </cell>
          <cell r="G55">
            <v>1705.908539</v>
          </cell>
          <cell r="H55">
            <v>1721.470493</v>
          </cell>
          <cell r="I55">
            <v>1739.6395749999999</v>
          </cell>
          <cell r="J55">
            <v>1758.9354780000001</v>
          </cell>
          <cell r="K55">
            <v>1777.857166</v>
          </cell>
          <cell r="L55">
            <v>1796.3254939999999</v>
          </cell>
          <cell r="M55">
            <v>1813.3081090000001</v>
          </cell>
          <cell r="N55">
            <v>1829.291281</v>
          </cell>
          <cell r="O55">
            <v>1844.8166719999999</v>
          </cell>
          <cell r="P55">
            <v>1860.1855800000001</v>
          </cell>
          <cell r="Q55">
            <v>1875.55709</v>
          </cell>
          <cell r="R55">
            <v>1890.985025</v>
          </cell>
          <cell r="S55">
            <v>1906.4434160000001</v>
          </cell>
          <cell r="T55">
            <v>1921.903675</v>
          </cell>
          <cell r="U55">
            <v>1937.3936389999999</v>
          </cell>
          <cell r="V55">
            <v>1952.26495</v>
          </cell>
          <cell r="W55">
            <v>1967.5825990000001</v>
          </cell>
          <cell r="X55">
            <v>1983.4224469999999</v>
          </cell>
          <cell r="Y55">
            <v>1999.8709180000001</v>
          </cell>
          <cell r="Z55">
            <v>2017.030667</v>
          </cell>
          <cell r="AA55">
            <v>2032.4706980000001</v>
          </cell>
          <cell r="AB55">
            <v>2048.5337869999998</v>
          </cell>
          <cell r="AC55">
            <v>2064.7319630000002</v>
          </cell>
          <cell r="AD55">
            <v>2081.0081270000001</v>
          </cell>
          <cell r="AE55">
            <v>2097.5988870000001</v>
          </cell>
          <cell r="AF55">
            <v>2114.7846070000001</v>
          </cell>
          <cell r="AG55">
            <v>2132.7346520000001</v>
          </cell>
          <cell r="AH55">
            <v>2151.4590490000001</v>
          </cell>
          <cell r="AI55">
            <v>2170.8409259999999</v>
          </cell>
          <cell r="AJ55">
            <v>2190.7075239999999</v>
          </cell>
          <cell r="AK55">
            <v>2210.9171769999998</v>
          </cell>
        </row>
        <row r="56">
          <cell r="B56">
            <v>787.50166360000003</v>
          </cell>
          <cell r="C56">
            <v>793.72756609999999</v>
          </cell>
          <cell r="D56">
            <v>797.63605240000004</v>
          </cell>
          <cell r="E56">
            <v>801.0797298</v>
          </cell>
          <cell r="F56">
            <v>805.3498654</v>
          </cell>
          <cell r="G56">
            <v>811.26826919999996</v>
          </cell>
          <cell r="H56">
            <v>826.44931589999999</v>
          </cell>
          <cell r="I56">
            <v>835.46395329999996</v>
          </cell>
          <cell r="J56">
            <v>841.5638927</v>
          </cell>
          <cell r="K56">
            <v>845.06238610000003</v>
          </cell>
          <cell r="L56">
            <v>847.1042344</v>
          </cell>
          <cell r="M56">
            <v>848.70411039999999</v>
          </cell>
          <cell r="N56">
            <v>851.15407040000002</v>
          </cell>
          <cell r="O56">
            <v>855.26309779999997</v>
          </cell>
          <cell r="P56">
            <v>861.15836090000005</v>
          </cell>
          <cell r="Q56">
            <v>868.4529771</v>
          </cell>
          <cell r="R56">
            <v>876.45619380000005</v>
          </cell>
          <cell r="S56">
            <v>884.56945340000004</v>
          </cell>
          <cell r="T56">
            <v>892.43838359999995</v>
          </cell>
          <cell r="U56">
            <v>899.98947080000005</v>
          </cell>
          <cell r="V56">
            <v>906.99982039999998</v>
          </cell>
          <cell r="W56">
            <v>914.14752199999998</v>
          </cell>
          <cell r="X56">
            <v>921.58408850000001</v>
          </cell>
          <cell r="Y56">
            <v>929.38672140000006</v>
          </cell>
          <cell r="Z56">
            <v>937.57232350000004</v>
          </cell>
          <cell r="AA56">
            <v>944.91094469999996</v>
          </cell>
          <cell r="AB56">
            <v>952.4480446</v>
          </cell>
          <cell r="AC56">
            <v>959.9255991</v>
          </cell>
          <cell r="AD56">
            <v>967.33346519999998</v>
          </cell>
          <cell r="AE56">
            <v>974.81140230000005</v>
          </cell>
          <cell r="AF56">
            <v>982.52950399999997</v>
          </cell>
          <cell r="AG56">
            <v>990.59821120000004</v>
          </cell>
          <cell r="AH56">
            <v>999.03581440000005</v>
          </cell>
          <cell r="AI56">
            <v>1007.777349</v>
          </cell>
          <cell r="AJ56">
            <v>1016.7274190000001</v>
          </cell>
          <cell r="AK56">
            <v>1025.8038489999999</v>
          </cell>
        </row>
        <row r="57">
          <cell r="B57">
            <v>787.50166360000003</v>
          </cell>
          <cell r="C57">
            <v>793.72756609999999</v>
          </cell>
          <cell r="D57">
            <v>797.63605240000004</v>
          </cell>
          <cell r="E57">
            <v>801.0797298</v>
          </cell>
          <cell r="F57">
            <v>805.3498654</v>
          </cell>
          <cell r="G57">
            <v>811.26826919999996</v>
          </cell>
          <cell r="H57">
            <v>818.66897019999999</v>
          </cell>
          <cell r="I57">
            <v>827.309527</v>
          </cell>
          <cell r="J57">
            <v>836.48595899999998</v>
          </cell>
          <cell r="K57">
            <v>845.48442820000002</v>
          </cell>
          <cell r="L57">
            <v>854.26729560000001</v>
          </cell>
          <cell r="M57">
            <v>862.3436117</v>
          </cell>
          <cell r="N57">
            <v>869.94462869999995</v>
          </cell>
          <cell r="O57">
            <v>877.32794209999997</v>
          </cell>
          <cell r="P57">
            <v>884.63683779999997</v>
          </cell>
          <cell r="Q57">
            <v>891.94697080000003</v>
          </cell>
          <cell r="R57">
            <v>899.28393770000002</v>
          </cell>
          <cell r="S57">
            <v>906.63538770000002</v>
          </cell>
          <cell r="T57">
            <v>913.98772680000002</v>
          </cell>
          <cell r="U57">
            <v>921.35419220000006</v>
          </cell>
          <cell r="V57">
            <v>928.42644859999996</v>
          </cell>
          <cell r="W57">
            <v>935.71096729999999</v>
          </cell>
          <cell r="X57">
            <v>943.24382500000002</v>
          </cell>
          <cell r="Y57">
            <v>951.06612159999997</v>
          </cell>
          <cell r="Z57">
            <v>959.22667609999996</v>
          </cell>
          <cell r="AA57">
            <v>966.56939509999995</v>
          </cell>
          <cell r="AB57">
            <v>974.20841800000005</v>
          </cell>
          <cell r="AC57">
            <v>981.91168340000002</v>
          </cell>
          <cell r="AD57">
            <v>989.65203710000003</v>
          </cell>
          <cell r="AE57">
            <v>997.5420014</v>
          </cell>
          <cell r="AF57">
            <v>1005.714907</v>
          </cell>
          <cell r="AG57">
            <v>1014.251298</v>
          </cell>
          <cell r="AH57">
            <v>1023.155942</v>
          </cell>
          <cell r="AI57">
            <v>1032.3732600000001</v>
          </cell>
          <cell r="AJ57">
            <v>1041.8210939999999</v>
          </cell>
          <cell r="AK57">
            <v>1051.4320729999999</v>
          </cell>
        </row>
        <row r="58">
          <cell r="B58">
            <v>1543.458036</v>
          </cell>
          <cell r="C58">
            <v>1555.660447</v>
          </cell>
          <cell r="D58">
            <v>1563.320856</v>
          </cell>
          <cell r="E58">
            <v>1570.0702659999999</v>
          </cell>
          <cell r="F58">
            <v>1578.439486</v>
          </cell>
          <cell r="G58">
            <v>1590.0392179999999</v>
          </cell>
          <cell r="H58">
            <v>1619.7931980000001</v>
          </cell>
          <cell r="I58">
            <v>1637.4613690000001</v>
          </cell>
          <cell r="J58">
            <v>1649.4168999999999</v>
          </cell>
          <cell r="K58">
            <v>1656.2737460000001</v>
          </cell>
          <cell r="L58">
            <v>1660.275652</v>
          </cell>
          <cell r="M58">
            <v>1663.4113170000001</v>
          </cell>
          <cell r="N58">
            <v>1668.2130979999999</v>
          </cell>
          <cell r="O58">
            <v>1676.266556</v>
          </cell>
          <cell r="P58">
            <v>1687.820933</v>
          </cell>
          <cell r="Q58">
            <v>1702.117962</v>
          </cell>
          <cell r="R58">
            <v>1717.803807</v>
          </cell>
          <cell r="S58">
            <v>1733.70533</v>
          </cell>
          <cell r="T58">
            <v>1749.1279810000001</v>
          </cell>
          <cell r="U58">
            <v>1763.927678</v>
          </cell>
          <cell r="V58">
            <v>1777.667561</v>
          </cell>
          <cell r="W58">
            <v>1791.676645</v>
          </cell>
          <cell r="X58">
            <v>1806.2518889999999</v>
          </cell>
          <cell r="Y58">
            <v>1821.5446010000001</v>
          </cell>
          <cell r="Z58">
            <v>1837.5879110000001</v>
          </cell>
          <cell r="AA58">
            <v>1851.9711870000001</v>
          </cell>
          <cell r="AB58">
            <v>1866.7434699999999</v>
          </cell>
          <cell r="AC58">
            <v>1881.3990470000001</v>
          </cell>
          <cell r="AD58">
            <v>1895.91804</v>
          </cell>
          <cell r="AE58">
            <v>1910.5743669999999</v>
          </cell>
          <cell r="AF58">
            <v>1925.701403</v>
          </cell>
          <cell r="AG58">
            <v>1941.5156059999999</v>
          </cell>
          <cell r="AH58">
            <v>1958.052823</v>
          </cell>
          <cell r="AI58">
            <v>1975.1857299999999</v>
          </cell>
          <cell r="AJ58">
            <v>1992.727353</v>
          </cell>
          <cell r="AK58">
            <v>2010.5166340000001</v>
          </cell>
        </row>
        <row r="59">
          <cell r="B59">
            <v>1543.458036</v>
          </cell>
          <cell r="C59">
            <v>1555.660447</v>
          </cell>
          <cell r="D59">
            <v>1563.320856</v>
          </cell>
          <cell r="E59">
            <v>1570.0702659999999</v>
          </cell>
          <cell r="F59">
            <v>1578.439486</v>
          </cell>
          <cell r="G59">
            <v>1590.0392179999999</v>
          </cell>
          <cell r="H59">
            <v>1604.544167</v>
          </cell>
          <cell r="I59">
            <v>1621.4791620000001</v>
          </cell>
          <cell r="J59">
            <v>1639.464442</v>
          </cell>
          <cell r="K59">
            <v>1657.100925</v>
          </cell>
          <cell r="L59">
            <v>1674.31484</v>
          </cell>
          <cell r="M59">
            <v>1690.1439559999999</v>
          </cell>
          <cell r="N59">
            <v>1705.0415129999999</v>
          </cell>
          <cell r="O59">
            <v>1719.512383</v>
          </cell>
          <cell r="P59">
            <v>1733.837399</v>
          </cell>
          <cell r="Q59">
            <v>1748.1648399999999</v>
          </cell>
          <cell r="R59">
            <v>1762.5448739999999</v>
          </cell>
          <cell r="S59">
            <v>1776.9532939999999</v>
          </cell>
          <cell r="T59">
            <v>1791.363456</v>
          </cell>
          <cell r="U59">
            <v>1805.801305</v>
          </cell>
          <cell r="V59">
            <v>1819.662521</v>
          </cell>
          <cell r="W59">
            <v>1833.93976</v>
          </cell>
          <cell r="X59">
            <v>1848.703728</v>
          </cell>
          <cell r="Y59">
            <v>1864.0349799999999</v>
          </cell>
          <cell r="Z59">
            <v>1880.0291990000001</v>
          </cell>
          <cell r="AA59">
            <v>1894.4205059999999</v>
          </cell>
          <cell r="AB59">
            <v>1909.392552</v>
          </cell>
          <cell r="AC59">
            <v>1924.4905100000001</v>
          </cell>
          <cell r="AD59">
            <v>1939.661159</v>
          </cell>
          <cell r="AE59">
            <v>1955.1250359999999</v>
          </cell>
          <cell r="AF59">
            <v>1971.1434609999999</v>
          </cell>
          <cell r="AG59">
            <v>1987.8742970000001</v>
          </cell>
          <cell r="AH59">
            <v>2005.3268889999999</v>
          </cell>
          <cell r="AI59">
            <v>2023.3923030000001</v>
          </cell>
          <cell r="AJ59">
            <v>2041.9095150000001</v>
          </cell>
          <cell r="AK59">
            <v>2060.7464810000001</v>
          </cell>
        </row>
        <row r="60">
          <cell r="B60">
            <v>439.06840519999997</v>
          </cell>
          <cell r="C60">
            <v>442.53963229999999</v>
          </cell>
          <cell r="D60">
            <v>444.71879319999999</v>
          </cell>
          <cell r="E60">
            <v>446.63880180000001</v>
          </cell>
          <cell r="F60">
            <v>449.01959879999998</v>
          </cell>
          <cell r="G60">
            <v>452.31938120000001</v>
          </cell>
          <cell r="H60">
            <v>460.78351309999999</v>
          </cell>
          <cell r="I60">
            <v>465.80958809999998</v>
          </cell>
          <cell r="J60">
            <v>469.21058499999998</v>
          </cell>
          <cell r="K60">
            <v>471.16115600000001</v>
          </cell>
          <cell r="L60">
            <v>472.29958040000002</v>
          </cell>
          <cell r="M60">
            <v>473.19158479999999</v>
          </cell>
          <cell r="N60">
            <v>474.55755019999998</v>
          </cell>
          <cell r="O60">
            <v>476.84852210000003</v>
          </cell>
          <cell r="P60">
            <v>480.13540239999998</v>
          </cell>
          <cell r="Q60">
            <v>484.20248650000002</v>
          </cell>
          <cell r="R60">
            <v>488.664648</v>
          </cell>
          <cell r="S60">
            <v>493.18816349999997</v>
          </cell>
          <cell r="T60">
            <v>497.5754541</v>
          </cell>
          <cell r="U60">
            <v>501.78553249999999</v>
          </cell>
          <cell r="V60">
            <v>505.69412499999999</v>
          </cell>
          <cell r="W60">
            <v>509.6792974</v>
          </cell>
          <cell r="X60">
            <v>513.82552529999998</v>
          </cell>
          <cell r="Y60">
            <v>518.17585210000004</v>
          </cell>
          <cell r="Z60">
            <v>522.7397019</v>
          </cell>
          <cell r="AA60">
            <v>526.83132079999996</v>
          </cell>
          <cell r="AB60">
            <v>531.03360069999997</v>
          </cell>
          <cell r="AC60">
            <v>535.20268129999999</v>
          </cell>
          <cell r="AD60">
            <v>539.33290750000003</v>
          </cell>
          <cell r="AE60">
            <v>543.50220139999999</v>
          </cell>
          <cell r="AF60">
            <v>547.80539820000001</v>
          </cell>
          <cell r="AG60">
            <v>552.30407360000004</v>
          </cell>
          <cell r="AH60">
            <v>557.00842560000001</v>
          </cell>
          <cell r="AI60">
            <v>561.88223340000002</v>
          </cell>
          <cell r="AJ60">
            <v>566.87230910000005</v>
          </cell>
          <cell r="AK60">
            <v>571.93283629999996</v>
          </cell>
        </row>
        <row r="61">
          <cell r="B61">
            <v>439.06840519999997</v>
          </cell>
          <cell r="C61">
            <v>442.53963229999999</v>
          </cell>
          <cell r="D61">
            <v>444.71879319999999</v>
          </cell>
          <cell r="E61">
            <v>446.63880180000001</v>
          </cell>
          <cell r="F61">
            <v>449.01959879999998</v>
          </cell>
          <cell r="G61">
            <v>452.31938120000001</v>
          </cell>
          <cell r="H61">
            <v>456.44561240000002</v>
          </cell>
          <cell r="I61">
            <v>461.26312039999999</v>
          </cell>
          <cell r="J61">
            <v>466.3794034</v>
          </cell>
          <cell r="K61">
            <v>471.39646390000001</v>
          </cell>
          <cell r="L61">
            <v>476.2933165</v>
          </cell>
          <cell r="M61">
            <v>480.79623429999998</v>
          </cell>
          <cell r="N61">
            <v>485.03415089999999</v>
          </cell>
          <cell r="O61">
            <v>489.15068780000001</v>
          </cell>
          <cell r="P61">
            <v>493.22573340000002</v>
          </cell>
          <cell r="Q61">
            <v>497.30146880000001</v>
          </cell>
          <cell r="R61">
            <v>501.39216540000001</v>
          </cell>
          <cell r="S61">
            <v>505.49093699999997</v>
          </cell>
          <cell r="T61">
            <v>509.59020420000002</v>
          </cell>
          <cell r="U61">
            <v>513.69734759999994</v>
          </cell>
          <cell r="V61">
            <v>517.64045590000001</v>
          </cell>
          <cell r="W61">
            <v>521.70191020000004</v>
          </cell>
          <cell r="X61">
            <v>525.90182489999995</v>
          </cell>
          <cell r="Y61">
            <v>530.26311510000005</v>
          </cell>
          <cell r="Z61">
            <v>534.81299960000001</v>
          </cell>
          <cell r="AA61">
            <v>538.90690329999995</v>
          </cell>
          <cell r="AB61">
            <v>543.16601000000003</v>
          </cell>
          <cell r="AC61">
            <v>547.46093480000002</v>
          </cell>
          <cell r="AD61">
            <v>551.77653810000004</v>
          </cell>
          <cell r="AE61">
            <v>556.17555609999999</v>
          </cell>
          <cell r="AF61">
            <v>560.73232680000001</v>
          </cell>
          <cell r="AG61">
            <v>565.49175739999998</v>
          </cell>
          <cell r="AH61">
            <v>570.45650639999997</v>
          </cell>
          <cell r="AI61">
            <v>575.59558519999996</v>
          </cell>
          <cell r="AJ61">
            <v>580.86318730000005</v>
          </cell>
          <cell r="AK61">
            <v>586.22175010000001</v>
          </cell>
        </row>
        <row r="62">
          <cell r="B62">
            <v>4447.5040399999998</v>
          </cell>
          <cell r="C62">
            <v>4482.6655229999997</v>
          </cell>
          <cell r="D62">
            <v>4504.7391379999999</v>
          </cell>
          <cell r="E62">
            <v>4524.1876929999999</v>
          </cell>
          <cell r="F62">
            <v>4548.3037629999999</v>
          </cell>
          <cell r="G62">
            <v>4581.7286130000002</v>
          </cell>
          <cell r="H62">
            <v>4667.465279</v>
          </cell>
          <cell r="I62">
            <v>4718.3764549999996</v>
          </cell>
          <cell r="J62">
            <v>4752.826548</v>
          </cell>
          <cell r="K62">
            <v>4772.5846819999997</v>
          </cell>
          <cell r="L62">
            <v>4784.1162489999997</v>
          </cell>
          <cell r="M62">
            <v>4793.1517290000002</v>
          </cell>
          <cell r="N62">
            <v>4806.9881519999999</v>
          </cell>
          <cell r="O62">
            <v>4830.1943460000002</v>
          </cell>
          <cell r="P62">
            <v>4863.4885059999997</v>
          </cell>
          <cell r="Q62">
            <v>4904.6856699999998</v>
          </cell>
          <cell r="R62">
            <v>4949.8847349999996</v>
          </cell>
          <cell r="S62">
            <v>4995.7052789999998</v>
          </cell>
          <cell r="T62">
            <v>5040.1459450000002</v>
          </cell>
          <cell r="U62">
            <v>5082.7915579999999</v>
          </cell>
          <cell r="V62">
            <v>5122.3832940000002</v>
          </cell>
          <cell r="W62">
            <v>5162.7507409999998</v>
          </cell>
          <cell r="X62">
            <v>5204.7495849999996</v>
          </cell>
          <cell r="Y62">
            <v>5248.8158299999996</v>
          </cell>
          <cell r="Z62">
            <v>5295.0449369999997</v>
          </cell>
          <cell r="AA62">
            <v>5336.490624</v>
          </cell>
          <cell r="AB62">
            <v>5379.0572410000004</v>
          </cell>
          <cell r="AC62">
            <v>5421.2875700000004</v>
          </cell>
          <cell r="AD62">
            <v>5463.1243260000001</v>
          </cell>
          <cell r="AE62">
            <v>5505.3568139999998</v>
          </cell>
          <cell r="AF62">
            <v>5548.9456600000003</v>
          </cell>
          <cell r="AG62">
            <v>5594.5145899999998</v>
          </cell>
          <cell r="AH62">
            <v>5642.1669009999996</v>
          </cell>
          <cell r="AI62">
            <v>5691.5357009999998</v>
          </cell>
          <cell r="AJ62">
            <v>5742.0822239999998</v>
          </cell>
          <cell r="AK62">
            <v>5793.3423810000004</v>
          </cell>
        </row>
        <row r="63">
          <cell r="B63">
            <v>4447.5040399999998</v>
          </cell>
          <cell r="C63">
            <v>4482.6655229999997</v>
          </cell>
          <cell r="D63">
            <v>4504.7391379999999</v>
          </cell>
          <cell r="E63">
            <v>4524.1876929999999</v>
          </cell>
          <cell r="F63">
            <v>4548.3037629999999</v>
          </cell>
          <cell r="G63">
            <v>4581.7286130000002</v>
          </cell>
          <cell r="H63">
            <v>4623.5249020000001</v>
          </cell>
          <cell r="I63">
            <v>4672.3234169999996</v>
          </cell>
          <cell r="J63">
            <v>4724.1483470000003</v>
          </cell>
          <cell r="K63">
            <v>4774.9682119999998</v>
          </cell>
          <cell r="L63">
            <v>4824.5704409999998</v>
          </cell>
          <cell r="M63">
            <v>4870.1823430000004</v>
          </cell>
          <cell r="N63">
            <v>4913.1099400000003</v>
          </cell>
          <cell r="O63">
            <v>4954.8080309999996</v>
          </cell>
          <cell r="P63">
            <v>4996.0858399999997</v>
          </cell>
          <cell r="Q63">
            <v>5037.370637</v>
          </cell>
          <cell r="R63">
            <v>5078.8069800000003</v>
          </cell>
          <cell r="S63">
            <v>5120.3251200000004</v>
          </cell>
          <cell r="T63">
            <v>5161.8482800000002</v>
          </cell>
          <cell r="U63">
            <v>5203.4512199999999</v>
          </cell>
          <cell r="V63">
            <v>5243.3925820000004</v>
          </cell>
          <cell r="W63">
            <v>5284.5327189999998</v>
          </cell>
          <cell r="X63">
            <v>5327.0753779999995</v>
          </cell>
          <cell r="Y63">
            <v>5371.2526760000001</v>
          </cell>
          <cell r="Z63">
            <v>5417.3403239999998</v>
          </cell>
          <cell r="AA63">
            <v>5458.8091539999996</v>
          </cell>
          <cell r="AB63">
            <v>5501.9513930000003</v>
          </cell>
          <cell r="AC63">
            <v>5545.4564490000002</v>
          </cell>
          <cell r="AD63">
            <v>5589.1709659999997</v>
          </cell>
          <cell r="AE63">
            <v>5633.7304249999997</v>
          </cell>
          <cell r="AF63">
            <v>5679.8878249999998</v>
          </cell>
          <cell r="AG63">
            <v>5728.0980499999996</v>
          </cell>
          <cell r="AH63">
            <v>5778.3880300000001</v>
          </cell>
          <cell r="AI63">
            <v>5830.4438680000003</v>
          </cell>
          <cell r="AJ63">
            <v>5883.801571</v>
          </cell>
          <cell r="AK63">
            <v>5938.0806519999996</v>
          </cell>
        </row>
        <row r="64">
          <cell r="B64">
            <v>2811.7269019999999</v>
          </cell>
          <cell r="C64">
            <v>2841.0902310000001</v>
          </cell>
          <cell r="D64">
            <v>2864.0863979999999</v>
          </cell>
          <cell r="E64">
            <v>2885.0012029999998</v>
          </cell>
          <cell r="F64">
            <v>2907.617925</v>
          </cell>
          <cell r="G64">
            <v>2934.6105710000002</v>
          </cell>
          <cell r="H64">
            <v>2989.6681699999999</v>
          </cell>
          <cell r="I64">
            <v>3026.094795</v>
          </cell>
          <cell r="J64">
            <v>3053.8216699999998</v>
          </cell>
          <cell r="K64">
            <v>3073.5415520000001</v>
          </cell>
          <cell r="L64">
            <v>3089.7202779999998</v>
          </cell>
          <cell r="M64">
            <v>3103.7003890000001</v>
          </cell>
          <cell r="N64">
            <v>3119.3953759999999</v>
          </cell>
          <cell r="O64">
            <v>3139.6086989999999</v>
          </cell>
          <cell r="P64">
            <v>3165.0003879999999</v>
          </cell>
          <cell r="Q64">
            <v>3194.631108</v>
          </cell>
          <cell r="R64">
            <v>3226.6400509999999</v>
          </cell>
          <cell r="S64">
            <v>3259.1777649999999</v>
          </cell>
          <cell r="T64">
            <v>3291.114043</v>
          </cell>
          <cell r="U64">
            <v>3322.1793250000001</v>
          </cell>
          <cell r="V64">
            <v>3350.948069</v>
          </cell>
          <cell r="W64">
            <v>3380.4422930000001</v>
          </cell>
          <cell r="X64">
            <v>3411.102954</v>
          </cell>
          <cell r="Y64">
            <v>3442.9829279999999</v>
          </cell>
          <cell r="Z64">
            <v>3476.070408</v>
          </cell>
          <cell r="AA64">
            <v>3504.5837190000002</v>
          </cell>
          <cell r="AB64">
            <v>3533.6383900000001</v>
          </cell>
          <cell r="AC64">
            <v>3562.7064650000002</v>
          </cell>
          <cell r="AD64">
            <v>3591.6086129999999</v>
          </cell>
          <cell r="AE64">
            <v>3620.7049769999999</v>
          </cell>
          <cell r="AF64">
            <v>3650.4917909999999</v>
          </cell>
          <cell r="AG64">
            <v>3681.311917</v>
          </cell>
          <cell r="AH64">
            <v>3713.2419220000002</v>
          </cell>
          <cell r="AI64">
            <v>3746.1138000000001</v>
          </cell>
          <cell r="AJ64">
            <v>3779.6516369999999</v>
          </cell>
          <cell r="AK64">
            <v>3813.5996519999999</v>
          </cell>
        </row>
        <row r="65">
          <cell r="B65">
            <v>2811.7269019999999</v>
          </cell>
          <cell r="C65">
            <v>2841.0902310000001</v>
          </cell>
          <cell r="D65">
            <v>2864.0863979999999</v>
          </cell>
          <cell r="E65">
            <v>2885.0012029999998</v>
          </cell>
          <cell r="F65">
            <v>2907.617925</v>
          </cell>
          <cell r="G65">
            <v>2934.6105710000002</v>
          </cell>
          <cell r="H65">
            <v>2965.1238750000002</v>
          </cell>
          <cell r="I65">
            <v>2999.0773680000002</v>
          </cell>
          <cell r="J65">
            <v>3034.7387899999999</v>
          </cell>
          <cell r="K65">
            <v>3070.081588</v>
          </cell>
          <cell r="L65">
            <v>3106.0421500000002</v>
          </cell>
          <cell r="M65">
            <v>3139.662863</v>
          </cell>
          <cell r="N65">
            <v>3171.6344239999999</v>
          </cell>
          <cell r="O65">
            <v>3202.9316039999999</v>
          </cell>
          <cell r="P65">
            <v>3233.9971650000002</v>
          </cell>
          <cell r="Q65">
            <v>3265.0354040000002</v>
          </cell>
          <cell r="R65">
            <v>3296.1006809999999</v>
          </cell>
          <cell r="S65">
            <v>3327.1548309999998</v>
          </cell>
          <cell r="T65">
            <v>3358.1641650000001</v>
          </cell>
          <cell r="U65">
            <v>3389.1727810000002</v>
          </cell>
          <cell r="V65">
            <v>3418.5291499999998</v>
          </cell>
          <cell r="W65">
            <v>3448.75792</v>
          </cell>
          <cell r="X65">
            <v>3479.9452160000001</v>
          </cell>
          <cell r="Y65">
            <v>3512.0491569999999</v>
          </cell>
          <cell r="Z65">
            <v>3545.156469</v>
          </cell>
          <cell r="AA65">
            <v>3573.7446850000001</v>
          </cell>
          <cell r="AB65">
            <v>3603.1004469999998</v>
          </cell>
          <cell r="AC65">
            <v>3632.8037979999999</v>
          </cell>
          <cell r="AD65">
            <v>3662.6437519999999</v>
          </cell>
          <cell r="AE65">
            <v>3692.8955850000002</v>
          </cell>
          <cell r="AF65">
            <v>3723.9401790000002</v>
          </cell>
          <cell r="AG65">
            <v>3756.0244160000002</v>
          </cell>
          <cell r="AH65">
            <v>3789.178774</v>
          </cell>
          <cell r="AI65">
            <v>3823.2525869999999</v>
          </cell>
          <cell r="AJ65">
            <v>3858.0111440000001</v>
          </cell>
          <cell r="AK65">
            <v>3893.25171</v>
          </cell>
        </row>
        <row r="66">
          <cell r="B66">
            <v>54.461292370000002</v>
          </cell>
          <cell r="C66">
            <v>54.891857420000001</v>
          </cell>
          <cell r="D66">
            <v>55.162156809999999</v>
          </cell>
          <cell r="E66">
            <v>55.400311389999999</v>
          </cell>
          <cell r="F66">
            <v>55.695621369999998</v>
          </cell>
          <cell r="G66">
            <v>56.104920720000003</v>
          </cell>
          <cell r="H66">
            <v>57.154797129999999</v>
          </cell>
          <cell r="I66">
            <v>57.77822287</v>
          </cell>
          <cell r="J66">
            <v>58.200076690000003</v>
          </cell>
          <cell r="K66">
            <v>58.442022170000001</v>
          </cell>
          <cell r="L66">
            <v>58.583230380000003</v>
          </cell>
          <cell r="M66">
            <v>58.693873080000003</v>
          </cell>
          <cell r="N66">
            <v>58.863305089999997</v>
          </cell>
          <cell r="O66">
            <v>59.147473310000002</v>
          </cell>
          <cell r="P66">
            <v>59.555172310000003</v>
          </cell>
          <cell r="Q66">
            <v>60.059646450000002</v>
          </cell>
          <cell r="R66">
            <v>60.613125320000002</v>
          </cell>
          <cell r="S66">
            <v>61.174214419999998</v>
          </cell>
          <cell r="T66">
            <v>61.718406420000001</v>
          </cell>
          <cell r="U66">
            <v>62.24061734</v>
          </cell>
          <cell r="V66">
            <v>62.725432439999999</v>
          </cell>
          <cell r="W66">
            <v>63.219746399999998</v>
          </cell>
          <cell r="X66">
            <v>63.734037409999999</v>
          </cell>
          <cell r="Y66">
            <v>64.273644489999995</v>
          </cell>
          <cell r="Z66">
            <v>64.839736590000001</v>
          </cell>
          <cell r="AA66">
            <v>65.347253980000005</v>
          </cell>
          <cell r="AB66">
            <v>65.868497579999996</v>
          </cell>
          <cell r="AC66">
            <v>66.385623199999998</v>
          </cell>
          <cell r="AD66">
            <v>66.89792937</v>
          </cell>
          <cell r="AE66">
            <v>67.415081439999994</v>
          </cell>
          <cell r="AF66">
            <v>67.948842589999998</v>
          </cell>
          <cell r="AG66">
            <v>68.506850589999999</v>
          </cell>
          <cell r="AH66">
            <v>69.090370329999999</v>
          </cell>
          <cell r="AI66">
            <v>69.694909109999998</v>
          </cell>
          <cell r="AJ66">
            <v>70.313869539999999</v>
          </cell>
          <cell r="AK66">
            <v>70.941568660000002</v>
          </cell>
        </row>
        <row r="67">
          <cell r="B67">
            <v>54.461292370000002</v>
          </cell>
          <cell r="C67">
            <v>54.891857420000001</v>
          </cell>
          <cell r="D67">
            <v>55.162156809999999</v>
          </cell>
          <cell r="E67">
            <v>55.400311389999999</v>
          </cell>
          <cell r="F67">
            <v>55.695621369999998</v>
          </cell>
          <cell r="G67">
            <v>56.104920720000003</v>
          </cell>
          <cell r="H67">
            <v>56.616731369999997</v>
          </cell>
          <cell r="I67">
            <v>57.214286800000004</v>
          </cell>
          <cell r="J67">
            <v>57.848901769999998</v>
          </cell>
          <cell r="K67">
            <v>58.471209360000003</v>
          </cell>
          <cell r="L67">
            <v>59.078606559999997</v>
          </cell>
          <cell r="M67">
            <v>59.637140760000001</v>
          </cell>
          <cell r="N67">
            <v>60.162804680000001</v>
          </cell>
          <cell r="O67">
            <v>60.673412859999999</v>
          </cell>
          <cell r="P67">
            <v>61.178874530000002</v>
          </cell>
          <cell r="Q67">
            <v>61.68442177</v>
          </cell>
          <cell r="R67">
            <v>62.191824750000002</v>
          </cell>
          <cell r="S67">
            <v>62.700229350000001</v>
          </cell>
          <cell r="T67">
            <v>63.20869544</v>
          </cell>
          <cell r="U67">
            <v>63.718138459999999</v>
          </cell>
          <cell r="V67">
            <v>64.207234850000006</v>
          </cell>
          <cell r="W67">
            <v>64.711010680000001</v>
          </cell>
          <cell r="X67">
            <v>65.231960900000004</v>
          </cell>
          <cell r="Y67">
            <v>65.772927859999996</v>
          </cell>
          <cell r="Z67">
            <v>66.337287750000002</v>
          </cell>
          <cell r="AA67">
            <v>66.845088540000006</v>
          </cell>
          <cell r="AB67">
            <v>67.373380830000002</v>
          </cell>
          <cell r="AC67">
            <v>67.906115940000007</v>
          </cell>
          <cell r="AD67">
            <v>68.441415980000002</v>
          </cell>
          <cell r="AE67">
            <v>68.987062640000005</v>
          </cell>
          <cell r="AF67">
            <v>69.552276660000004</v>
          </cell>
          <cell r="AG67">
            <v>70.142628270000003</v>
          </cell>
          <cell r="AH67">
            <v>70.758447230000002</v>
          </cell>
          <cell r="AI67">
            <v>71.395889760000003</v>
          </cell>
          <cell r="AJ67">
            <v>72.049274089999997</v>
          </cell>
          <cell r="AK67">
            <v>72.713941039999995</v>
          </cell>
        </row>
      </sheetData>
      <sheetData sheetId="4">
        <row r="2">
          <cell r="B2">
            <v>8841723.6779999994</v>
          </cell>
          <cell r="C2">
            <v>8942337.3829999994</v>
          </cell>
          <cell r="D2">
            <v>9043757.6429999992</v>
          </cell>
          <cell r="E2">
            <v>9148363.6730000004</v>
          </cell>
          <cell r="F2">
            <v>9257580.8259999994</v>
          </cell>
          <cell r="G2">
            <v>9371598.6850000005</v>
          </cell>
          <cell r="H2">
            <v>9481186.2949999999</v>
          </cell>
          <cell r="I2">
            <v>9587065.1410000008</v>
          </cell>
          <cell r="J2">
            <v>9690147.3169999998</v>
          </cell>
          <cell r="K2">
            <v>9792828.7679999992</v>
          </cell>
          <cell r="L2">
            <v>9898058.5800000001</v>
          </cell>
          <cell r="M2">
            <v>10008797.01</v>
          </cell>
          <cell r="N2">
            <v>10126517.779999999</v>
          </cell>
          <cell r="O2">
            <v>10251387.279999999</v>
          </cell>
          <cell r="P2">
            <v>10382629.98</v>
          </cell>
          <cell r="Q2">
            <v>10519067.98</v>
          </cell>
          <cell r="R2">
            <v>10659637.529999999</v>
          </cell>
          <cell r="S2">
            <v>10803701.960000001</v>
          </cell>
          <cell r="T2">
            <v>10951111.41</v>
          </cell>
          <cell r="U2">
            <v>11102073.41</v>
          </cell>
          <cell r="V2">
            <v>11256905.619999999</v>
          </cell>
          <cell r="W2">
            <v>11415702.359999999</v>
          </cell>
          <cell r="X2">
            <v>11578772.25</v>
          </cell>
          <cell r="Y2">
            <v>11746294.74</v>
          </cell>
          <cell r="Z2">
            <v>11918287.050000001</v>
          </cell>
          <cell r="AA2">
            <v>12094437.17</v>
          </cell>
          <cell r="AB2">
            <v>12274156.76</v>
          </cell>
          <cell r="AC2">
            <v>12457475.460000001</v>
          </cell>
          <cell r="AD2">
            <v>12644643.16</v>
          </cell>
          <cell r="AE2">
            <v>12835902.26</v>
          </cell>
          <cell r="AF2">
            <v>13031369.710000001</v>
          </cell>
          <cell r="AG2">
            <v>13231008.810000001</v>
          </cell>
          <cell r="AH2">
            <v>13434672.380000001</v>
          </cell>
          <cell r="AI2">
            <v>13642180.439999999</v>
          </cell>
          <cell r="AJ2">
            <v>13853391.800000001</v>
          </cell>
          <cell r="AK2">
            <v>14068242.119999999</v>
          </cell>
        </row>
        <row r="3">
          <cell r="B3">
            <v>8841723.6779999994</v>
          </cell>
          <cell r="C3">
            <v>8942337.3829999994</v>
          </cell>
          <cell r="D3">
            <v>9043757.6429999992</v>
          </cell>
          <cell r="E3">
            <v>9148363.6730000004</v>
          </cell>
          <cell r="F3">
            <v>9257580.8259999994</v>
          </cell>
          <cell r="G3">
            <v>9371598.6850000005</v>
          </cell>
          <cell r="H3">
            <v>9489673.5830000006</v>
          </cell>
          <cell r="I3">
            <v>9610445.4869999997</v>
          </cell>
          <cell r="J3">
            <v>9732808.182</v>
          </cell>
          <cell r="K3">
            <v>9856296.3530000001</v>
          </cell>
          <cell r="L3">
            <v>9981070.7660000008</v>
          </cell>
          <cell r="M3">
            <v>10108092.98</v>
          </cell>
          <cell r="N3">
            <v>10237900.050000001</v>
          </cell>
          <cell r="O3">
            <v>10370843.43</v>
          </cell>
          <cell r="P3">
            <v>10507145.710000001</v>
          </cell>
          <cell r="Q3">
            <v>10646942.58</v>
          </cell>
          <cell r="R3">
            <v>10790333.779999999</v>
          </cell>
          <cell r="S3">
            <v>10937425.68</v>
          </cell>
          <cell r="T3">
            <v>11088354.01</v>
          </cell>
          <cell r="U3">
            <v>11243280.369999999</v>
          </cell>
          <cell r="V3">
            <v>11402322.960000001</v>
          </cell>
          <cell r="W3">
            <v>11565392.279999999</v>
          </cell>
          <cell r="X3">
            <v>11732708.609999999</v>
          </cell>
          <cell r="Y3">
            <v>11904457.560000001</v>
          </cell>
          <cell r="Z3">
            <v>12080707.85</v>
          </cell>
          <cell r="AA3">
            <v>12261177.689999999</v>
          </cell>
          <cell r="AB3">
            <v>12445245.960000001</v>
          </cell>
          <cell r="AC3">
            <v>12632873.369999999</v>
          </cell>
          <cell r="AD3">
            <v>12824220.890000001</v>
          </cell>
          <cell r="AE3">
            <v>13019450.029999999</v>
          </cell>
          <cell r="AF3">
            <v>13218627.359999999</v>
          </cell>
          <cell r="AG3">
            <v>13421705.07</v>
          </cell>
          <cell r="AH3">
            <v>13628557.810000001</v>
          </cell>
          <cell r="AI3">
            <v>13839044.289999999</v>
          </cell>
          <cell r="AJ3">
            <v>14053061.039999999</v>
          </cell>
          <cell r="AK3">
            <v>14270567.890000001</v>
          </cell>
        </row>
        <row r="4">
          <cell r="B4">
            <v>181363.88570000001</v>
          </cell>
          <cell r="C4">
            <v>183339.0019</v>
          </cell>
          <cell r="D4">
            <v>185207.2813</v>
          </cell>
          <cell r="E4">
            <v>187004.58749999999</v>
          </cell>
          <cell r="F4">
            <v>188769.1735</v>
          </cell>
          <cell r="G4">
            <v>190526.0301</v>
          </cell>
          <cell r="H4">
            <v>192118.95689999999</v>
          </cell>
          <cell r="I4">
            <v>193551.47889999999</v>
          </cell>
          <cell r="J4">
            <v>194777.49239999999</v>
          </cell>
          <cell r="K4">
            <v>195805.3996</v>
          </cell>
          <cell r="L4">
            <v>196690.51939999999</v>
          </cell>
          <cell r="M4">
            <v>197487.56599999999</v>
          </cell>
          <cell r="N4">
            <v>198245.99460000001</v>
          </cell>
          <cell r="O4">
            <v>198999.2127</v>
          </cell>
          <cell r="P4">
            <v>199763.63879999999</v>
          </cell>
          <cell r="Q4">
            <v>200542.87400000001</v>
          </cell>
          <cell r="R4">
            <v>201333.2867</v>
          </cell>
          <cell r="S4">
            <v>202128.45910000001</v>
          </cell>
          <cell r="T4">
            <v>202921.6072</v>
          </cell>
          <cell r="U4">
            <v>203706.3119</v>
          </cell>
          <cell r="V4">
            <v>204469.7836</v>
          </cell>
          <cell r="W4">
            <v>205208.6513</v>
          </cell>
          <cell r="X4">
            <v>205919.6667</v>
          </cell>
          <cell r="Y4">
            <v>206600.53349999999</v>
          </cell>
          <cell r="Z4">
            <v>207250.2286</v>
          </cell>
          <cell r="AA4">
            <v>207851.34400000001</v>
          </cell>
          <cell r="AB4">
            <v>208405.56709999999</v>
          </cell>
          <cell r="AC4">
            <v>208918.3077</v>
          </cell>
          <cell r="AD4">
            <v>209397.59049999999</v>
          </cell>
          <cell r="AE4">
            <v>209851.55799999999</v>
          </cell>
          <cell r="AF4">
            <v>210286.7163</v>
          </cell>
          <cell r="AG4">
            <v>210707.2409</v>
          </cell>
          <cell r="AH4">
            <v>211115.17439999999</v>
          </cell>
          <cell r="AI4">
            <v>211511.10879999999</v>
          </cell>
          <cell r="AJ4">
            <v>211894.92739999999</v>
          </cell>
          <cell r="AK4">
            <v>212266.33300000001</v>
          </cell>
        </row>
        <row r="5">
          <cell r="B5">
            <v>181363.88570000001</v>
          </cell>
          <cell r="C5">
            <v>183339.0019</v>
          </cell>
          <cell r="D5">
            <v>185207.2813</v>
          </cell>
          <cell r="E5">
            <v>187004.58749999999</v>
          </cell>
          <cell r="F5">
            <v>188769.1735</v>
          </cell>
          <cell r="G5">
            <v>190526.0301</v>
          </cell>
          <cell r="H5">
            <v>192277.20819999999</v>
          </cell>
          <cell r="I5">
            <v>194013.03169999999</v>
          </cell>
          <cell r="J5">
            <v>195719.27110000001</v>
          </cell>
          <cell r="K5">
            <v>197382.76439999999</v>
          </cell>
          <cell r="L5">
            <v>199004.34700000001</v>
          </cell>
          <cell r="M5">
            <v>200572.50870000001</v>
          </cell>
          <cell r="N5">
            <v>202077.2065</v>
          </cell>
          <cell r="O5">
            <v>203508.9031</v>
          </cell>
          <cell r="P5">
            <v>204859.83919999999</v>
          </cell>
          <cell r="Q5">
            <v>206125.32509999999</v>
          </cell>
          <cell r="R5">
            <v>207304.5606</v>
          </cell>
          <cell r="S5">
            <v>208400.70920000001</v>
          </cell>
          <cell r="T5">
            <v>209420.2213</v>
          </cell>
          <cell r="U5">
            <v>210371.6391</v>
          </cell>
          <cell r="V5">
            <v>211257.24619999999</v>
          </cell>
          <cell r="W5">
            <v>212088.6525</v>
          </cell>
          <cell r="X5">
            <v>212875.7164</v>
          </cell>
          <cell r="Y5">
            <v>213626.25870000001</v>
          </cell>
          <cell r="Z5">
            <v>214345.56289999999</v>
          </cell>
          <cell r="AA5">
            <v>215017.70439999999</v>
          </cell>
          <cell r="AB5">
            <v>215643.0981</v>
          </cell>
          <cell r="AC5">
            <v>216223.557</v>
          </cell>
          <cell r="AD5">
            <v>216762.40349999999</v>
          </cell>
          <cell r="AE5">
            <v>217263.0478</v>
          </cell>
          <cell r="AF5">
            <v>217728.04639999999</v>
          </cell>
          <cell r="AG5">
            <v>218158.88579999999</v>
          </cell>
          <cell r="AH5">
            <v>218556.32879999999</v>
          </cell>
          <cell r="AI5">
            <v>218920.98540000001</v>
          </cell>
          <cell r="AJ5">
            <v>219253.79180000001</v>
          </cell>
          <cell r="AK5">
            <v>219556.21840000001</v>
          </cell>
        </row>
        <row r="6">
          <cell r="B6">
            <v>14497.515149999999</v>
          </cell>
          <cell r="C6">
            <v>14643.69363</v>
          </cell>
          <cell r="D6">
            <v>14767.318859999999</v>
          </cell>
          <cell r="E6">
            <v>14871.449549999999</v>
          </cell>
          <cell r="F6">
            <v>14959.9678</v>
          </cell>
          <cell r="G6">
            <v>15036.09094</v>
          </cell>
          <cell r="H6">
            <v>15104.206829999999</v>
          </cell>
          <cell r="I6">
            <v>15162.304889999999</v>
          </cell>
          <cell r="J6">
            <v>15209.12105</v>
          </cell>
          <cell r="K6">
            <v>15246.97262</v>
          </cell>
          <cell r="L6">
            <v>15280.713809999999</v>
          </cell>
          <cell r="M6">
            <v>15312.7402</v>
          </cell>
          <cell r="N6">
            <v>15345.279500000001</v>
          </cell>
          <cell r="O6">
            <v>15379.84168</v>
          </cell>
          <cell r="P6">
            <v>15417.070809999999</v>
          </cell>
          <cell r="Q6">
            <v>15457.01842</v>
          </cell>
          <cell r="R6">
            <v>15499.513419999999</v>
          </cell>
          <cell r="S6">
            <v>15544.458329999999</v>
          </cell>
          <cell r="T6">
            <v>15591.9683</v>
          </cell>
          <cell r="U6">
            <v>15642.361849999999</v>
          </cell>
          <cell r="V6">
            <v>15695.15655</v>
          </cell>
          <cell r="W6">
            <v>15751.478289999999</v>
          </cell>
          <cell r="X6">
            <v>15811.99703</v>
          </cell>
          <cell r="Y6">
            <v>15877.009389999999</v>
          </cell>
          <cell r="Z6">
            <v>15946.63364</v>
          </cell>
          <cell r="AA6">
            <v>16018.261210000001</v>
          </cell>
          <cell r="AB6">
            <v>16092.91959</v>
          </cell>
          <cell r="AC6">
            <v>16171.383040000001</v>
          </cell>
          <cell r="AD6">
            <v>16254.0833</v>
          </cell>
          <cell r="AE6">
            <v>16341.296850000001</v>
          </cell>
          <cell r="AF6">
            <v>16433.20363</v>
          </cell>
          <cell r="AG6">
            <v>16529.89285</v>
          </cell>
          <cell r="AH6">
            <v>16631.378270000001</v>
          </cell>
          <cell r="AI6">
            <v>16737.633620000001</v>
          </cell>
          <cell r="AJ6">
            <v>16848.633470000001</v>
          </cell>
          <cell r="AK6">
            <v>16964.381870000001</v>
          </cell>
        </row>
        <row r="7">
          <cell r="B7">
            <v>14497.515149999999</v>
          </cell>
          <cell r="C7">
            <v>14643.69363</v>
          </cell>
          <cell r="D7">
            <v>14767.318859999999</v>
          </cell>
          <cell r="E7">
            <v>14871.449549999999</v>
          </cell>
          <cell r="F7">
            <v>14959.9678</v>
          </cell>
          <cell r="G7">
            <v>15036.09094</v>
          </cell>
          <cell r="H7">
            <v>15101.24481</v>
          </cell>
          <cell r="I7">
            <v>15156.87319</v>
          </cell>
          <cell r="J7">
            <v>15204.351259999999</v>
          </cell>
          <cell r="K7">
            <v>15245.05387</v>
          </cell>
          <cell r="L7">
            <v>15281.729789999999</v>
          </cell>
          <cell r="M7">
            <v>15314.81407</v>
          </cell>
          <cell r="N7">
            <v>15345.27196</v>
          </cell>
          <cell r="O7">
            <v>15374.211079999999</v>
          </cell>
          <cell r="P7">
            <v>15402.585349999999</v>
          </cell>
          <cell r="Q7">
            <v>15431.1404</v>
          </cell>
          <cell r="R7">
            <v>15460.468370000001</v>
          </cell>
          <cell r="S7">
            <v>15491.079390000001</v>
          </cell>
          <cell r="T7">
            <v>15523.44916</v>
          </cell>
          <cell r="U7">
            <v>15558.03486</v>
          </cell>
          <cell r="V7">
            <v>15594.38769</v>
          </cell>
          <cell r="W7">
            <v>15633.58707</v>
          </cell>
          <cell r="X7">
            <v>15676.29645</v>
          </cell>
          <cell r="Y7">
            <v>15722.86686</v>
          </cell>
          <cell r="Z7">
            <v>15773.508169999999</v>
          </cell>
          <cell r="AA7">
            <v>15825.807940000001</v>
          </cell>
          <cell r="AB7">
            <v>15880.822980000001</v>
          </cell>
          <cell r="AC7">
            <v>15939.32971</v>
          </cell>
          <cell r="AD7">
            <v>16001.751630000001</v>
          </cell>
          <cell r="AE7">
            <v>16068.3537</v>
          </cell>
          <cell r="AF7">
            <v>16139.313340000001</v>
          </cell>
          <cell r="AG7">
            <v>16214.73583</v>
          </cell>
          <cell r="AH7">
            <v>16294.67121</v>
          </cell>
          <cell r="AI7">
            <v>16379.143410000001</v>
          </cell>
          <cell r="AJ7">
            <v>16468.180520000002</v>
          </cell>
          <cell r="AK7">
            <v>16561.83412</v>
          </cell>
        </row>
        <row r="8">
          <cell r="B8">
            <v>75636.854919999998</v>
          </cell>
          <cell r="C8">
            <v>76474.041920000003</v>
          </cell>
          <cell r="D8">
            <v>77277.00662</v>
          </cell>
          <cell r="E8">
            <v>78057.897880000004</v>
          </cell>
          <cell r="F8">
            <v>78826.286980000004</v>
          </cell>
          <cell r="G8">
            <v>79582.86507</v>
          </cell>
          <cell r="H8">
            <v>80194.191359999997</v>
          </cell>
          <cell r="I8">
            <v>80668.519220000002</v>
          </cell>
          <cell r="J8">
            <v>81002.315919999994</v>
          </cell>
          <cell r="K8">
            <v>81221.751439999993</v>
          </cell>
          <cell r="L8">
            <v>81372.089070000002</v>
          </cell>
          <cell r="M8">
            <v>81488.107860000004</v>
          </cell>
          <cell r="N8">
            <v>81594.767609999995</v>
          </cell>
          <cell r="O8">
            <v>81704.399709999998</v>
          </cell>
          <cell r="P8">
            <v>81819.536829999997</v>
          </cell>
          <cell r="Q8">
            <v>81937.631670000002</v>
          </cell>
          <cell r="R8">
            <v>82055.292319999993</v>
          </cell>
          <cell r="S8">
            <v>82170.677070000005</v>
          </cell>
          <cell r="T8">
            <v>82283.915139999997</v>
          </cell>
          <cell r="U8">
            <v>82396.256689999995</v>
          </cell>
          <cell r="V8">
            <v>82505.112649999995</v>
          </cell>
          <cell r="W8">
            <v>82612.469270000001</v>
          </cell>
          <cell r="X8">
            <v>82718.969400000002</v>
          </cell>
          <cell r="Y8">
            <v>82824.381800000003</v>
          </cell>
          <cell r="Z8">
            <v>82927.968630000003</v>
          </cell>
          <cell r="AA8">
            <v>83018.815390000003</v>
          </cell>
          <cell r="AB8">
            <v>83096.839510000005</v>
          </cell>
          <cell r="AC8">
            <v>83163.837310000003</v>
          </cell>
          <cell r="AD8">
            <v>83222.902600000001</v>
          </cell>
          <cell r="AE8">
            <v>83277.02132</v>
          </cell>
          <cell r="AF8">
            <v>83328.255359999996</v>
          </cell>
          <cell r="AG8">
            <v>83377.606090000001</v>
          </cell>
          <cell r="AH8">
            <v>83425.347710000002</v>
          </cell>
          <cell r="AI8">
            <v>83471.520770000003</v>
          </cell>
          <cell r="AJ8">
            <v>83516.321689999997</v>
          </cell>
          <cell r="AK8">
            <v>83560.25675</v>
          </cell>
        </row>
        <row r="9">
          <cell r="B9">
            <v>75636.854919999998</v>
          </cell>
          <cell r="C9">
            <v>76474.041920000003</v>
          </cell>
          <cell r="D9">
            <v>77277.00662</v>
          </cell>
          <cell r="E9">
            <v>78057.897880000004</v>
          </cell>
          <cell r="F9">
            <v>78826.286980000004</v>
          </cell>
          <cell r="G9">
            <v>79582.86507</v>
          </cell>
          <cell r="H9">
            <v>80316.70822</v>
          </cell>
          <cell r="I9">
            <v>81014.754199999996</v>
          </cell>
          <cell r="J9">
            <v>81667.08786</v>
          </cell>
          <cell r="K9">
            <v>82269.806479999999</v>
          </cell>
          <cell r="L9">
            <v>82831.005680000002</v>
          </cell>
          <cell r="M9">
            <v>83352.476349999997</v>
          </cell>
          <cell r="N9">
            <v>83836.99149</v>
          </cell>
          <cell r="O9">
            <v>84286.49755</v>
          </cell>
          <cell r="P9">
            <v>84702.345199999996</v>
          </cell>
          <cell r="Q9">
            <v>85085.873930000002</v>
          </cell>
          <cell r="R9">
            <v>85438.943050000002</v>
          </cell>
          <cell r="S9">
            <v>85764.171990000003</v>
          </cell>
          <cell r="T9">
            <v>86064.831520000007</v>
          </cell>
          <cell r="U9">
            <v>86344.481499999994</v>
          </cell>
          <cell r="V9">
            <v>86602.438280000002</v>
          </cell>
          <cell r="W9">
            <v>86843.451029999997</v>
          </cell>
          <cell r="X9">
            <v>87071.213709999996</v>
          </cell>
          <cell r="Y9">
            <v>87288.436300000001</v>
          </cell>
          <cell r="Z9">
            <v>87496.696920000002</v>
          </cell>
          <cell r="AA9">
            <v>87685.66979</v>
          </cell>
          <cell r="AB9">
            <v>87855.670859999998</v>
          </cell>
          <cell r="AC9">
            <v>88008.343559999994</v>
          </cell>
          <cell r="AD9">
            <v>88146.405299999999</v>
          </cell>
          <cell r="AE9">
            <v>88272.486220000006</v>
          </cell>
          <cell r="AF9">
            <v>88388.472659999999</v>
          </cell>
          <cell r="AG9">
            <v>88495.426990000007</v>
          </cell>
          <cell r="AH9">
            <v>88593.886799999993</v>
          </cell>
          <cell r="AI9">
            <v>88684.272979999994</v>
          </cell>
          <cell r="AJ9">
            <v>88767.187669999999</v>
          </cell>
          <cell r="AK9">
            <v>88843.504780000003</v>
          </cell>
        </row>
        <row r="10">
          <cell r="B10">
            <v>124587.5001</v>
          </cell>
          <cell r="C10">
            <v>125998.1796</v>
          </cell>
          <cell r="D10">
            <v>127416.1664</v>
          </cell>
          <cell r="E10">
            <v>128879.3204</v>
          </cell>
          <cell r="F10">
            <v>130406.91039999999</v>
          </cell>
          <cell r="G10">
            <v>132001.23000000001</v>
          </cell>
          <cell r="H10">
            <v>133537.35980000001</v>
          </cell>
          <cell r="I10">
            <v>135005.8278</v>
          </cell>
          <cell r="J10">
            <v>136422.6966</v>
          </cell>
          <cell r="K10">
            <v>137819.88920000001</v>
          </cell>
          <cell r="L10">
            <v>139253.00450000001</v>
          </cell>
          <cell r="M10">
            <v>140746.3377</v>
          </cell>
          <cell r="N10">
            <v>142316.53959999999</v>
          </cell>
          <cell r="O10">
            <v>143967.93309999999</v>
          </cell>
          <cell r="P10">
            <v>145693.92310000001</v>
          </cell>
          <cell r="Q10">
            <v>147482.27960000001</v>
          </cell>
          <cell r="R10">
            <v>149321.01519999999</v>
          </cell>
          <cell r="S10">
            <v>151202.42509999999</v>
          </cell>
          <cell r="T10">
            <v>153124.28709999999</v>
          </cell>
          <cell r="U10">
            <v>155088.6434</v>
          </cell>
          <cell r="V10">
            <v>157087.29990000001</v>
          </cell>
          <cell r="W10">
            <v>159131.51389999999</v>
          </cell>
          <cell r="X10">
            <v>161227.4578</v>
          </cell>
          <cell r="Y10">
            <v>163377.20490000001</v>
          </cell>
          <cell r="Z10">
            <v>165580.1152</v>
          </cell>
          <cell r="AA10">
            <v>167798.97210000001</v>
          </cell>
          <cell r="AB10">
            <v>170038.6127</v>
          </cell>
          <cell r="AC10">
            <v>172304.7916</v>
          </cell>
          <cell r="AD10">
            <v>174603.12349999999</v>
          </cell>
          <cell r="AE10">
            <v>176938.2095</v>
          </cell>
          <cell r="AF10">
            <v>179312.7965</v>
          </cell>
          <cell r="AG10">
            <v>181727.57870000001</v>
          </cell>
          <cell r="AH10">
            <v>184181.7145</v>
          </cell>
          <cell r="AI10">
            <v>186673.74619999999</v>
          </cell>
          <cell r="AJ10">
            <v>189202.4908</v>
          </cell>
          <cell r="AK10">
            <v>191767.56659999999</v>
          </cell>
        </row>
        <row r="11">
          <cell r="B11">
            <v>124587.5001</v>
          </cell>
          <cell r="C11">
            <v>125998.1796</v>
          </cell>
          <cell r="D11">
            <v>127416.1664</v>
          </cell>
          <cell r="E11">
            <v>128879.3204</v>
          </cell>
          <cell r="F11">
            <v>130406.91039999999</v>
          </cell>
          <cell r="G11">
            <v>132001.23000000001</v>
          </cell>
          <cell r="H11">
            <v>133643.92110000001</v>
          </cell>
          <cell r="I11">
            <v>135317.524</v>
          </cell>
          <cell r="J11">
            <v>137009.2211</v>
          </cell>
          <cell r="K11">
            <v>138713.53320000001</v>
          </cell>
          <cell r="L11">
            <v>140449.08530000001</v>
          </cell>
          <cell r="M11">
            <v>142211.76879999999</v>
          </cell>
          <cell r="N11">
            <v>144003.12830000001</v>
          </cell>
          <cell r="O11">
            <v>145825.82070000001</v>
          </cell>
          <cell r="P11">
            <v>147681.54269999999</v>
          </cell>
          <cell r="Q11">
            <v>149570.88440000001</v>
          </cell>
          <cell r="R11">
            <v>151493.9676</v>
          </cell>
          <cell r="S11">
            <v>153451.15659999999</v>
          </cell>
          <cell r="T11">
            <v>155443.46580000001</v>
          </cell>
          <cell r="U11">
            <v>157472.56020000001</v>
          </cell>
          <cell r="V11">
            <v>159528.13589999999</v>
          </cell>
          <cell r="W11">
            <v>161619.99299999999</v>
          </cell>
          <cell r="X11">
            <v>163754.15539999999</v>
          </cell>
          <cell r="Y11">
            <v>165933.88740000001</v>
          </cell>
          <cell r="Z11">
            <v>168160.45569999999</v>
          </cell>
          <cell r="AA11">
            <v>170398.05710000001</v>
          </cell>
          <cell r="AB11">
            <v>172652.62969999999</v>
          </cell>
          <cell r="AC11">
            <v>174930.32199999999</v>
          </cell>
          <cell r="AD11">
            <v>177236.70009999999</v>
          </cell>
          <cell r="AE11">
            <v>179576.2078</v>
          </cell>
          <cell r="AF11">
            <v>181951.61199999999</v>
          </cell>
          <cell r="AG11">
            <v>184363.94010000001</v>
          </cell>
          <cell r="AH11">
            <v>186812.95920000001</v>
          </cell>
          <cell r="AI11">
            <v>189297.93669999999</v>
          </cell>
          <cell r="AJ11">
            <v>191818.33720000001</v>
          </cell>
          <cell r="AK11">
            <v>194374.20759999999</v>
          </cell>
        </row>
        <row r="13">
          <cell r="B13">
            <v>17705.31062</v>
          </cell>
          <cell r="C13">
            <v>17935.029920000001</v>
          </cell>
          <cell r="D13">
            <v>18205.754110000002</v>
          </cell>
          <cell r="E13">
            <v>18513.811979999999</v>
          </cell>
          <cell r="F13">
            <v>18849.395570000001</v>
          </cell>
          <cell r="G13">
            <v>19203.101299999998</v>
          </cell>
          <cell r="H13">
            <v>19556.002499999999</v>
          </cell>
          <cell r="I13">
            <v>19903.08295</v>
          </cell>
          <cell r="J13">
            <v>20243.640080000001</v>
          </cell>
          <cell r="K13">
            <v>20578.386050000001</v>
          </cell>
          <cell r="L13">
            <v>20925.277330000001</v>
          </cell>
          <cell r="M13">
            <v>21269.00043</v>
          </cell>
          <cell r="N13">
            <v>21608.591400000001</v>
          </cell>
          <cell r="O13">
            <v>21947.742320000001</v>
          </cell>
          <cell r="P13">
            <v>22289.696690000001</v>
          </cell>
          <cell r="Q13">
            <v>22636.25777</v>
          </cell>
          <cell r="R13">
            <v>22988.195009999999</v>
          </cell>
          <cell r="S13">
            <v>23345.915720000001</v>
          </cell>
          <cell r="T13">
            <v>23709.852800000001</v>
          </cell>
          <cell r="U13">
            <v>24080.549790000001</v>
          </cell>
          <cell r="V13">
            <v>24447.08092</v>
          </cell>
          <cell r="W13">
            <v>24822.438160000002</v>
          </cell>
          <cell r="X13">
            <v>25210.155019999998</v>
          </cell>
          <cell r="Y13">
            <v>25609.515739999999</v>
          </cell>
          <cell r="Z13">
            <v>26019.072830000001</v>
          </cell>
          <cell r="AA13">
            <v>26403.6185</v>
          </cell>
          <cell r="AB13">
            <v>26785.55055</v>
          </cell>
          <cell r="AC13">
            <v>27174.719509999999</v>
          </cell>
          <cell r="AD13">
            <v>27573.37269</v>
          </cell>
          <cell r="AE13">
            <v>27981.52491</v>
          </cell>
          <cell r="AF13">
            <v>28398.653849999999</v>
          </cell>
          <cell r="AG13">
            <v>28824.04421</v>
          </cell>
          <cell r="AH13">
            <v>29256.900229999999</v>
          </cell>
          <cell r="AI13">
            <v>29696.4928</v>
          </cell>
          <cell r="AJ13">
            <v>30142.30688</v>
          </cell>
          <cell r="AK13">
            <v>30594.1126</v>
          </cell>
        </row>
        <row r="14">
          <cell r="B14">
            <v>21939.976839999999</v>
          </cell>
          <cell r="C14">
            <v>22188.608700000001</v>
          </cell>
          <cell r="D14">
            <v>22437.96228</v>
          </cell>
          <cell r="E14">
            <v>22695.848150000002</v>
          </cell>
          <cell r="F14">
            <v>22967.641339999998</v>
          </cell>
          <cell r="G14">
            <v>23254.980680000001</v>
          </cell>
          <cell r="H14">
            <v>23535.718199999999</v>
          </cell>
          <cell r="I14">
            <v>23809.31969</v>
          </cell>
          <cell r="J14">
            <v>24077.267059999998</v>
          </cell>
          <cell r="K14">
            <v>24345.529770000001</v>
          </cell>
          <cell r="L14">
            <v>24621.400290000001</v>
          </cell>
          <cell r="M14">
            <v>24913.778060000001</v>
          </cell>
          <cell r="N14">
            <v>25226.882720000001</v>
          </cell>
          <cell r="O14">
            <v>25561.131000000001</v>
          </cell>
          <cell r="P14">
            <v>25914.329610000001</v>
          </cell>
          <cell r="Q14">
            <v>26283.126649999998</v>
          </cell>
          <cell r="R14">
            <v>26664.39892</v>
          </cell>
          <cell r="S14">
            <v>27056.141179999999</v>
          </cell>
          <cell r="T14">
            <v>27457.690149999999</v>
          </cell>
          <cell r="U14">
            <v>27869.414349999999</v>
          </cell>
          <cell r="V14">
            <v>28292.410510000002</v>
          </cell>
          <cell r="W14">
            <v>28726.272369999999</v>
          </cell>
          <cell r="X14">
            <v>29171.686969999999</v>
          </cell>
          <cell r="Y14">
            <v>29629.17813</v>
          </cell>
          <cell r="Z14">
            <v>30098.795269999999</v>
          </cell>
          <cell r="AA14">
            <v>30580.627100000002</v>
          </cell>
          <cell r="AB14">
            <v>31071.69887</v>
          </cell>
          <cell r="AC14">
            <v>31571.445189999999</v>
          </cell>
          <cell r="AD14">
            <v>32080.349399999999</v>
          </cell>
          <cell r="AE14">
            <v>32599.02853</v>
          </cell>
          <cell r="AF14">
            <v>33127.799350000001</v>
          </cell>
          <cell r="AG14">
            <v>33666.560420000002</v>
          </cell>
          <cell r="AH14">
            <v>34214.892249999997</v>
          </cell>
          <cell r="AI14">
            <v>34772.264150000003</v>
          </cell>
          <cell r="AJ14">
            <v>35338.234490000003</v>
          </cell>
          <cell r="AK14">
            <v>35912.565150000002</v>
          </cell>
        </row>
        <row r="15">
          <cell r="B15">
            <v>21939.976839999999</v>
          </cell>
          <cell r="C15">
            <v>22188.608700000001</v>
          </cell>
          <cell r="D15">
            <v>22437.96228</v>
          </cell>
          <cell r="E15">
            <v>22695.848150000002</v>
          </cell>
          <cell r="F15">
            <v>22967.641339999998</v>
          </cell>
          <cell r="G15">
            <v>23254.980680000001</v>
          </cell>
          <cell r="H15">
            <v>23556.888869999999</v>
          </cell>
          <cell r="I15">
            <v>23869.731469999999</v>
          </cell>
          <cell r="J15">
            <v>24190.151020000001</v>
          </cell>
          <cell r="K15">
            <v>24516.435979999998</v>
          </cell>
          <cell r="L15">
            <v>24848.088599999999</v>
          </cell>
          <cell r="M15">
            <v>25188.27463</v>
          </cell>
          <cell r="N15">
            <v>25538.365389999999</v>
          </cell>
          <cell r="O15">
            <v>25898.98746</v>
          </cell>
          <cell r="P15">
            <v>26270.417359999999</v>
          </cell>
          <cell r="Q15">
            <v>26652.735680000002</v>
          </cell>
          <cell r="R15">
            <v>27045.94889</v>
          </cell>
          <cell r="S15">
            <v>27450.087530000001</v>
          </cell>
          <cell r="T15">
            <v>27865.268179999999</v>
          </cell>
          <cell r="U15">
            <v>28291.69412</v>
          </cell>
          <cell r="V15">
            <v>28729.835999999999</v>
          </cell>
          <cell r="W15">
            <v>29178.687849999998</v>
          </cell>
          <cell r="X15">
            <v>29638.614560000002</v>
          </cell>
          <cell r="Y15">
            <v>30110.111010000001</v>
          </cell>
          <cell r="Z15">
            <v>30593.365590000001</v>
          </cell>
          <cell r="AA15">
            <v>31088.579440000001</v>
          </cell>
          <cell r="AB15">
            <v>31592.746500000001</v>
          </cell>
          <cell r="AC15">
            <v>32105.184160000001</v>
          </cell>
          <cell r="AD15">
            <v>32626.200659999999</v>
          </cell>
          <cell r="AE15">
            <v>33156.248449999999</v>
          </cell>
          <cell r="AF15">
            <v>33695.549890000002</v>
          </cell>
          <cell r="AG15">
            <v>34244.004860000001</v>
          </cell>
          <cell r="AH15">
            <v>34801.277090000003</v>
          </cell>
          <cell r="AI15">
            <v>35366.960129999999</v>
          </cell>
          <cell r="AJ15">
            <v>35940.730730000003</v>
          </cell>
          <cell r="AK15">
            <v>36522.42914</v>
          </cell>
        </row>
        <row r="16">
          <cell r="B16">
            <v>93590.466960000005</v>
          </cell>
          <cell r="C16">
            <v>94602.975229999996</v>
          </cell>
          <cell r="D16">
            <v>95564.416329999993</v>
          </cell>
          <cell r="E16">
            <v>96511.003339999996</v>
          </cell>
          <cell r="F16">
            <v>97472.594299999997</v>
          </cell>
          <cell r="G16">
            <v>98467.035220000005</v>
          </cell>
          <cell r="H16">
            <v>99418.379239999995</v>
          </cell>
          <cell r="I16">
            <v>100317.4176</v>
          </cell>
          <cell r="J16">
            <v>101168.7077</v>
          </cell>
          <cell r="K16">
            <v>101995.8746</v>
          </cell>
          <cell r="L16">
            <v>102845.3652</v>
          </cell>
          <cell r="M16">
            <v>103740.6284</v>
          </cell>
          <cell r="N16">
            <v>104701.7696</v>
          </cell>
          <cell r="O16">
            <v>105739.3251</v>
          </cell>
          <cell r="P16">
            <v>106852.9883</v>
          </cell>
          <cell r="Q16">
            <v>108035.1534</v>
          </cell>
          <cell r="R16">
            <v>109276.01270000001</v>
          </cell>
          <cell r="S16">
            <v>110567.69620000001</v>
          </cell>
          <cell r="T16">
            <v>111906.2415</v>
          </cell>
          <cell r="U16">
            <v>113291.4218</v>
          </cell>
          <cell r="V16">
            <v>114715.4428</v>
          </cell>
          <cell r="W16">
            <v>116187.6188</v>
          </cell>
          <cell r="X16">
            <v>117713.1361</v>
          </cell>
          <cell r="Y16">
            <v>119293.41009999999</v>
          </cell>
          <cell r="Z16">
            <v>120927.69990000001</v>
          </cell>
          <cell r="AA16">
            <v>122584.8787</v>
          </cell>
          <cell r="AB16">
            <v>124271.902</v>
          </cell>
          <cell r="AC16">
            <v>125994.06329999999</v>
          </cell>
          <cell r="AD16">
            <v>127754.6341</v>
          </cell>
          <cell r="AE16">
            <v>129556.0327</v>
          </cell>
          <cell r="AF16">
            <v>131399.66560000001</v>
          </cell>
          <cell r="AG16">
            <v>133285.6134</v>
          </cell>
          <cell r="AH16">
            <v>135212.76629999999</v>
          </cell>
          <cell r="AI16">
            <v>137179.38260000001</v>
          </cell>
          <cell r="AJ16">
            <v>139183.76860000001</v>
          </cell>
          <cell r="AK16">
            <v>141224.7764</v>
          </cell>
        </row>
        <row r="17">
          <cell r="B17">
            <v>93590.466960000005</v>
          </cell>
          <cell r="C17">
            <v>94602.975229999996</v>
          </cell>
          <cell r="D17">
            <v>95564.416329999993</v>
          </cell>
          <cell r="E17">
            <v>96511.003339999996</v>
          </cell>
          <cell r="F17">
            <v>97472.594299999997</v>
          </cell>
          <cell r="G17">
            <v>98467.035220000005</v>
          </cell>
          <cell r="H17">
            <v>99491.922699999996</v>
          </cell>
          <cell r="I17">
            <v>100542.7699</v>
          </cell>
          <cell r="J17">
            <v>101614.5842</v>
          </cell>
          <cell r="K17">
            <v>102704.6779</v>
          </cell>
          <cell r="L17">
            <v>103827.9225</v>
          </cell>
          <cell r="M17">
            <v>104979.6649</v>
          </cell>
          <cell r="N17">
            <v>106161.60060000001</v>
          </cell>
          <cell r="O17">
            <v>107377.6633</v>
          </cell>
          <cell r="P17">
            <v>108631.04300000001</v>
          </cell>
          <cell r="Q17">
            <v>109923.5469</v>
          </cell>
          <cell r="R17">
            <v>111256.02220000001</v>
          </cell>
          <cell r="S17">
            <v>112629.04549999999</v>
          </cell>
          <cell r="T17">
            <v>114043.41869999999</v>
          </cell>
          <cell r="U17">
            <v>115500.3162</v>
          </cell>
          <cell r="V17">
            <v>116991.1257</v>
          </cell>
          <cell r="W17">
            <v>118524.2001</v>
          </cell>
          <cell r="X17">
            <v>120104.28479999999</v>
          </cell>
          <cell r="Y17">
            <v>121733.22259999999</v>
          </cell>
          <cell r="Z17">
            <v>123411.3222</v>
          </cell>
          <cell r="AA17">
            <v>125108.1145</v>
          </cell>
          <cell r="AB17">
            <v>126831.3223</v>
          </cell>
          <cell r="AC17">
            <v>128586.4849</v>
          </cell>
          <cell r="AD17">
            <v>130376.7025</v>
          </cell>
          <cell r="AE17">
            <v>132204.07920000001</v>
          </cell>
          <cell r="AF17">
            <v>134069.8224</v>
          </cell>
          <cell r="AG17">
            <v>135974.08319999999</v>
          </cell>
          <cell r="AH17">
            <v>137916.10750000001</v>
          </cell>
          <cell r="AI17">
            <v>139894.69349999999</v>
          </cell>
          <cell r="AJ17">
            <v>141908.71849999999</v>
          </cell>
          <cell r="AK17">
            <v>143957.49890000001</v>
          </cell>
        </row>
        <row r="18">
          <cell r="B18">
            <v>23293.779989999999</v>
          </cell>
          <cell r="C18">
            <v>23553.579860000002</v>
          </cell>
          <cell r="D18">
            <v>23810.378369999999</v>
          </cell>
          <cell r="E18">
            <v>24070.981029999999</v>
          </cell>
          <cell r="F18">
            <v>24339.87355</v>
          </cell>
          <cell r="G18">
            <v>24619.05198</v>
          </cell>
          <cell r="H18">
            <v>24884.639370000001</v>
          </cell>
          <cell r="I18">
            <v>25134.752479999999</v>
          </cell>
          <cell r="J18">
            <v>25371.736730000001</v>
          </cell>
          <cell r="K18">
            <v>25602.658810000001</v>
          </cell>
          <cell r="L18">
            <v>25841.526959999999</v>
          </cell>
          <cell r="M18">
            <v>26092.40192</v>
          </cell>
          <cell r="N18">
            <v>26359.776409999999</v>
          </cell>
          <cell r="O18">
            <v>26645.997719999999</v>
          </cell>
          <cell r="P18">
            <v>26950.610619999999</v>
          </cell>
          <cell r="Q18">
            <v>27271.362229999999</v>
          </cell>
          <cell r="R18">
            <v>27605.62458</v>
          </cell>
          <cell r="S18">
            <v>27951.46847</v>
          </cell>
          <cell r="T18">
            <v>28308.093410000001</v>
          </cell>
          <cell r="U18">
            <v>28675.680039999999</v>
          </cell>
          <cell r="V18">
            <v>29051.30775</v>
          </cell>
          <cell r="W18">
            <v>29438.81741</v>
          </cell>
          <cell r="X18">
            <v>29839.818599999999</v>
          </cell>
          <cell r="Y18">
            <v>30254.468779999999</v>
          </cell>
          <cell r="Z18">
            <v>30682.333429999999</v>
          </cell>
          <cell r="AA18">
            <v>31111.975610000001</v>
          </cell>
          <cell r="AB18">
            <v>31547.904470000001</v>
          </cell>
          <cell r="AC18">
            <v>31992.59606</v>
          </cell>
          <cell r="AD18">
            <v>32447.064009999998</v>
          </cell>
          <cell r="AE18">
            <v>32911.825190000003</v>
          </cell>
          <cell r="AF18">
            <v>33387.086490000002</v>
          </cell>
          <cell r="AG18">
            <v>33872.727169999998</v>
          </cell>
          <cell r="AH18">
            <v>34368.355479999998</v>
          </cell>
          <cell r="AI18">
            <v>34873.462480000002</v>
          </cell>
          <cell r="AJ18">
            <v>35387.596239999999</v>
          </cell>
          <cell r="AK18">
            <v>35910.477919999998</v>
          </cell>
        </row>
        <row r="19">
          <cell r="B19">
            <v>23293.779989999999</v>
          </cell>
          <cell r="C19">
            <v>23553.579860000002</v>
          </cell>
          <cell r="D19">
            <v>23810.378369999999</v>
          </cell>
          <cell r="E19">
            <v>24070.981029999999</v>
          </cell>
          <cell r="F19">
            <v>24339.87355</v>
          </cell>
          <cell r="G19">
            <v>24619.05198</v>
          </cell>
          <cell r="H19">
            <v>24905.020789999999</v>
          </cell>
          <cell r="I19">
            <v>25195.962240000001</v>
          </cell>
          <cell r="J19">
            <v>25490.718390000002</v>
          </cell>
          <cell r="K19">
            <v>25788.948629999999</v>
          </cell>
          <cell r="L19">
            <v>26096.412990000001</v>
          </cell>
          <cell r="M19">
            <v>26410.22219</v>
          </cell>
          <cell r="N19">
            <v>26730.72595</v>
          </cell>
          <cell r="O19">
            <v>27059.281340000001</v>
          </cell>
          <cell r="P19">
            <v>27396.955959999999</v>
          </cell>
          <cell r="Q19">
            <v>27744.293539999999</v>
          </cell>
          <cell r="R19">
            <v>28101.48688</v>
          </cell>
          <cell r="S19">
            <v>28468.631420000002</v>
          </cell>
          <cell r="T19">
            <v>28845.887470000001</v>
          </cell>
          <cell r="U19">
            <v>29233.520960000002</v>
          </cell>
          <cell r="V19">
            <v>29628.178049999999</v>
          </cell>
          <cell r="W19">
            <v>30033.335999999999</v>
          </cell>
          <cell r="X19">
            <v>30450.444</v>
          </cell>
          <cell r="Y19">
            <v>30879.7644</v>
          </cell>
          <cell r="Z19">
            <v>31321.140780000002</v>
          </cell>
          <cell r="AA19">
            <v>31763.281589999999</v>
          </cell>
          <cell r="AB19">
            <v>32210.893899999999</v>
          </cell>
          <cell r="AC19">
            <v>32666.50503</v>
          </cell>
          <cell r="AD19">
            <v>33131.06828</v>
          </cell>
          <cell r="AE19">
            <v>33605.00935</v>
          </cell>
          <cell r="AF19">
            <v>34088.482040000003</v>
          </cell>
          <cell r="AG19">
            <v>34581.386989999999</v>
          </cell>
          <cell r="AH19">
            <v>35083.426449999999</v>
          </cell>
          <cell r="AI19">
            <v>35594.227059999997</v>
          </cell>
          <cell r="AJ19">
            <v>36113.472199999997</v>
          </cell>
          <cell r="AK19">
            <v>36640.98388</v>
          </cell>
        </row>
        <row r="20">
          <cell r="B20">
            <v>25789.577270000002</v>
          </cell>
          <cell r="C20">
            <v>26094.341939999998</v>
          </cell>
          <cell r="D20">
            <v>26413.286090000001</v>
          </cell>
          <cell r="E20">
            <v>26750.552039999999</v>
          </cell>
          <cell r="F20">
            <v>27107.9843</v>
          </cell>
          <cell r="G20">
            <v>27485.385200000001</v>
          </cell>
          <cell r="H20">
            <v>27854.8557</v>
          </cell>
          <cell r="I20">
            <v>28214.916840000002</v>
          </cell>
          <cell r="J20">
            <v>28565.407179999998</v>
          </cell>
          <cell r="K20">
            <v>28910.85281</v>
          </cell>
          <cell r="L20">
            <v>29263.37847</v>
          </cell>
          <cell r="M20">
            <v>29625.84402</v>
          </cell>
          <cell r="N20">
            <v>30002.437679999999</v>
          </cell>
          <cell r="O20">
            <v>30395.657500000001</v>
          </cell>
          <cell r="P20">
            <v>30805.402310000001</v>
          </cell>
          <cell r="Q20">
            <v>31229.724050000001</v>
          </cell>
          <cell r="R20">
            <v>31666.100490000001</v>
          </cell>
          <cell r="S20">
            <v>32112.48846</v>
          </cell>
          <cell r="T20">
            <v>32567.834500000001</v>
          </cell>
          <cell r="U20">
            <v>33032.049559999999</v>
          </cell>
          <cell r="V20">
            <v>33502.020940000002</v>
          </cell>
          <cell r="W20">
            <v>33981.614320000001</v>
          </cell>
          <cell r="X20">
            <v>34472.43879</v>
          </cell>
          <cell r="Y20">
            <v>34974.823649999998</v>
          </cell>
          <cell r="Z20">
            <v>35488.567499999997</v>
          </cell>
          <cell r="AA20">
            <v>36002.689420000002</v>
          </cell>
          <cell r="AB20">
            <v>36521.679450000003</v>
          </cell>
          <cell r="AC20">
            <v>37047.955580000002</v>
          </cell>
          <cell r="AD20">
            <v>37582.676460000002</v>
          </cell>
          <cell r="AE20">
            <v>38126.570529999997</v>
          </cell>
          <cell r="AF20">
            <v>38680.078139999998</v>
          </cell>
          <cell r="AG20">
            <v>39243.317210000001</v>
          </cell>
          <cell r="AH20">
            <v>39816.120620000002</v>
          </cell>
          <cell r="AI20">
            <v>40398.171049999997</v>
          </cell>
          <cell r="AJ20">
            <v>40989.166599999997</v>
          </cell>
          <cell r="AK20">
            <v>41588.942450000002</v>
          </cell>
        </row>
        <row r="21">
          <cell r="B21">
            <v>25789.577270000002</v>
          </cell>
          <cell r="C21">
            <v>26094.341939999998</v>
          </cell>
          <cell r="D21">
            <v>26413.286090000001</v>
          </cell>
          <cell r="E21">
            <v>26750.552039999999</v>
          </cell>
          <cell r="F21">
            <v>27107.9843</v>
          </cell>
          <cell r="G21">
            <v>27485.385200000001</v>
          </cell>
          <cell r="H21">
            <v>27877.4889</v>
          </cell>
          <cell r="I21">
            <v>28280.67886</v>
          </cell>
          <cell r="J21">
            <v>28692.00965</v>
          </cell>
          <cell r="K21">
            <v>29109.416990000002</v>
          </cell>
          <cell r="L21">
            <v>29537.19742</v>
          </cell>
          <cell r="M21">
            <v>29970.96905</v>
          </cell>
          <cell r="N21">
            <v>30410.059130000001</v>
          </cell>
          <cell r="O21">
            <v>30855.096890000001</v>
          </cell>
          <cell r="P21">
            <v>31306.724289999998</v>
          </cell>
          <cell r="Q21">
            <v>31765.285080000001</v>
          </cell>
          <cell r="R21">
            <v>32230.911789999998</v>
          </cell>
          <cell r="S21">
            <v>32703.715550000001</v>
          </cell>
          <cell r="T21">
            <v>33183.9136</v>
          </cell>
          <cell r="U21">
            <v>33671.857490000002</v>
          </cell>
          <cell r="V21">
            <v>34164.285629999998</v>
          </cell>
          <cell r="W21">
            <v>34664.895270000001</v>
          </cell>
          <cell r="X21">
            <v>35175.209759999998</v>
          </cell>
          <cell r="Y21">
            <v>35695.65898</v>
          </cell>
          <cell r="Z21">
            <v>36226.282330000002</v>
          </cell>
          <cell r="AA21">
            <v>36756.180520000002</v>
          </cell>
          <cell r="AB21">
            <v>37290.042350000003</v>
          </cell>
          <cell r="AC21">
            <v>37830.340660000002</v>
          </cell>
          <cell r="AD21">
            <v>38378.175609999998</v>
          </cell>
          <cell r="AE21">
            <v>38934.178979999997</v>
          </cell>
          <cell r="AF21">
            <v>39498.722930000004</v>
          </cell>
          <cell r="AG21">
            <v>40071.924579999999</v>
          </cell>
          <cell r="AH21">
            <v>40653.687059999997</v>
          </cell>
          <cell r="AI21">
            <v>41243.809090000002</v>
          </cell>
          <cell r="AJ21">
            <v>41842.112269999998</v>
          </cell>
          <cell r="AK21">
            <v>42448.528749999998</v>
          </cell>
        </row>
        <row r="22">
          <cell r="B22">
            <v>202278.71419999999</v>
          </cell>
          <cell r="C22">
            <v>204488.55910000001</v>
          </cell>
          <cell r="D22">
            <v>206625.67180000001</v>
          </cell>
          <cell r="E22">
            <v>208773.57980000001</v>
          </cell>
          <cell r="F22">
            <v>210992.2353</v>
          </cell>
          <cell r="G22">
            <v>213309.9632</v>
          </cell>
          <cell r="H22">
            <v>215481.3285</v>
          </cell>
          <cell r="I22">
            <v>217491.9927</v>
          </cell>
          <cell r="J22">
            <v>219361.37299999999</v>
          </cell>
          <cell r="K22">
            <v>221162.3285</v>
          </cell>
          <cell r="L22">
            <v>223029.34160000001</v>
          </cell>
          <cell r="M22">
            <v>225020.68359999999</v>
          </cell>
          <cell r="N22">
            <v>227185.60329999999</v>
          </cell>
          <cell r="O22">
            <v>229545.85279999999</v>
          </cell>
          <cell r="P22">
            <v>232092.97169999999</v>
          </cell>
          <cell r="Q22">
            <v>234799.8002</v>
          </cell>
          <cell r="R22">
            <v>237635.59469999999</v>
          </cell>
          <cell r="S22">
            <v>240577.38440000001</v>
          </cell>
          <cell r="T22">
            <v>243614.527</v>
          </cell>
          <cell r="U22">
            <v>246747.13449999999</v>
          </cell>
          <cell r="V22">
            <v>249952.55220000001</v>
          </cell>
          <cell r="W22">
            <v>253259.58979999999</v>
          </cell>
          <cell r="X22">
            <v>256682.19390000001</v>
          </cell>
          <cell r="Y22">
            <v>260222.40530000001</v>
          </cell>
          <cell r="Z22">
            <v>263876.38760000002</v>
          </cell>
          <cell r="AA22">
            <v>267552.5001</v>
          </cell>
          <cell r="AB22">
            <v>271278.54519999999</v>
          </cell>
          <cell r="AC22">
            <v>275073.34159999999</v>
          </cell>
          <cell r="AD22">
            <v>278947.01260000002</v>
          </cell>
          <cell r="AE22">
            <v>282906.00079999998</v>
          </cell>
          <cell r="AF22">
            <v>286953.386</v>
          </cell>
          <cell r="AG22">
            <v>291088.43050000002</v>
          </cell>
          <cell r="AH22">
            <v>295307.27730000002</v>
          </cell>
          <cell r="AI22">
            <v>299604.71380000003</v>
          </cell>
          <cell r="AJ22">
            <v>303976.11109999998</v>
          </cell>
          <cell r="AK22">
            <v>308418.70079999999</v>
          </cell>
        </row>
        <row r="23">
          <cell r="B23">
            <v>202278.71419999999</v>
          </cell>
          <cell r="C23">
            <v>204488.55910000001</v>
          </cell>
          <cell r="D23">
            <v>206625.67180000001</v>
          </cell>
          <cell r="E23">
            <v>208773.57980000001</v>
          </cell>
          <cell r="F23">
            <v>210992.2353</v>
          </cell>
          <cell r="G23">
            <v>213309.9632</v>
          </cell>
          <cell r="H23">
            <v>215701.37880000001</v>
          </cell>
          <cell r="I23">
            <v>218144.37520000001</v>
          </cell>
          <cell r="J23">
            <v>220620.9423</v>
          </cell>
          <cell r="K23">
            <v>223122.79319999999</v>
          </cell>
          <cell r="L23">
            <v>225694.0686</v>
          </cell>
          <cell r="M23">
            <v>228317.68710000001</v>
          </cell>
          <cell r="N23">
            <v>230998.21859999999</v>
          </cell>
          <cell r="O23">
            <v>233747.16</v>
          </cell>
          <cell r="P23">
            <v>236573.33309999999</v>
          </cell>
          <cell r="Q23">
            <v>239481.16680000001</v>
          </cell>
          <cell r="R23">
            <v>242472.2628</v>
          </cell>
          <cell r="S23">
            <v>245547.6084</v>
          </cell>
          <cell r="T23">
            <v>248708.9981</v>
          </cell>
          <cell r="U23">
            <v>251959.3322</v>
          </cell>
          <cell r="V23">
            <v>255272.97459999999</v>
          </cell>
          <cell r="W23">
            <v>258675.84899999999</v>
          </cell>
          <cell r="X23">
            <v>262180.87699999998</v>
          </cell>
          <cell r="Y23">
            <v>265791.58610000001</v>
          </cell>
          <cell r="Z23">
            <v>269507.17660000001</v>
          </cell>
          <cell r="AA23">
            <v>273237.80829999998</v>
          </cell>
          <cell r="AB23">
            <v>277012.92300000001</v>
          </cell>
          <cell r="AC23">
            <v>280851.46169999999</v>
          </cell>
          <cell r="AD23">
            <v>284762.57209999999</v>
          </cell>
          <cell r="AE23">
            <v>288751.47889999999</v>
          </cell>
          <cell r="AF23">
            <v>292820.54259999999</v>
          </cell>
          <cell r="AG23">
            <v>296969.1912</v>
          </cell>
          <cell r="AH23">
            <v>301194.58610000001</v>
          </cell>
          <cell r="AI23">
            <v>305493.03480000002</v>
          </cell>
          <cell r="AJ23">
            <v>309861.46189999999</v>
          </cell>
          <cell r="AK23">
            <v>314298.30089999997</v>
          </cell>
        </row>
        <row r="24">
          <cell r="B24">
            <v>9372.7340750000003</v>
          </cell>
          <cell r="C24">
            <v>9463.0206469999994</v>
          </cell>
          <cell r="D24">
            <v>9536.5856910000002</v>
          </cell>
          <cell r="E24">
            <v>9599.9006640000007</v>
          </cell>
          <cell r="F24">
            <v>9658.4544050000004</v>
          </cell>
          <cell r="G24">
            <v>9715.5723670000007</v>
          </cell>
          <cell r="H24">
            <v>9764.4918479999997</v>
          </cell>
          <cell r="I24">
            <v>9807.7502469999999</v>
          </cell>
          <cell r="J24">
            <v>9847.5549019999999</v>
          </cell>
          <cell r="K24">
            <v>9887.4226519999993</v>
          </cell>
          <cell r="L24">
            <v>9929.8358919999991</v>
          </cell>
          <cell r="M24">
            <v>9980.2229069999994</v>
          </cell>
          <cell r="N24">
            <v>10040.47193</v>
          </cell>
          <cell r="O24">
            <v>10110.6767</v>
          </cell>
          <cell r="P24">
            <v>10189.967640000001</v>
          </cell>
          <cell r="Q24">
            <v>10277.13236</v>
          </cell>
          <cell r="R24">
            <v>10371.121810000001</v>
          </cell>
          <cell r="S24">
            <v>10471.341619999999</v>
          </cell>
          <cell r="T24">
            <v>10577.69389</v>
          </cell>
          <cell r="U24">
            <v>10690.431790000001</v>
          </cell>
          <cell r="V24">
            <v>10810.788130000001</v>
          </cell>
          <cell r="W24">
            <v>10937.60967</v>
          </cell>
          <cell r="X24">
            <v>11071.113149999999</v>
          </cell>
          <cell r="Y24">
            <v>11211.592500000001</v>
          </cell>
          <cell r="Z24">
            <v>11359.134340000001</v>
          </cell>
          <cell r="AA24">
            <v>11515.86628</v>
          </cell>
          <cell r="AB24">
            <v>11678.82209</v>
          </cell>
          <cell r="AC24">
            <v>11847.32439</v>
          </cell>
          <cell r="AD24">
            <v>12021.455959999999</v>
          </cell>
          <cell r="AE24">
            <v>12201.410379999999</v>
          </cell>
          <cell r="AF24">
            <v>12387.26044</v>
          </cell>
          <cell r="AG24">
            <v>12578.91021</v>
          </cell>
          <cell r="AH24">
            <v>12776.14302</v>
          </cell>
          <cell r="AI24">
            <v>12978.707130000001</v>
          </cell>
          <cell r="AJ24">
            <v>13186.392589999999</v>
          </cell>
          <cell r="AK24">
            <v>13399.07098</v>
          </cell>
        </row>
        <row r="25">
          <cell r="B25">
            <v>9372.7340750000003</v>
          </cell>
          <cell r="C25">
            <v>9463.0206469999994</v>
          </cell>
          <cell r="D25">
            <v>9536.5856910000002</v>
          </cell>
          <cell r="E25">
            <v>9599.9006640000007</v>
          </cell>
          <cell r="F25">
            <v>9658.4544050000004</v>
          </cell>
          <cell r="G25">
            <v>9715.5723670000007</v>
          </cell>
          <cell r="H25">
            <v>9773.6991969999999</v>
          </cell>
          <cell r="I25">
            <v>9832.8812030000008</v>
          </cell>
          <cell r="J25">
            <v>9892.9762350000001</v>
          </cell>
          <cell r="K25">
            <v>9954.3652469999997</v>
          </cell>
          <cell r="L25">
            <v>10016.59856</v>
          </cell>
          <cell r="M25">
            <v>10083.200570000001</v>
          </cell>
          <cell r="N25">
            <v>10155.30961</v>
          </cell>
          <cell r="O25">
            <v>10233.40321</v>
          </cell>
          <cell r="P25">
            <v>10317.7508</v>
          </cell>
          <cell r="Q25">
            <v>10408.53314</v>
          </cell>
          <cell r="R25">
            <v>10505.887059999999</v>
          </cell>
          <cell r="S25">
            <v>10609.92598</v>
          </cell>
          <cell r="T25">
            <v>10720.758589999999</v>
          </cell>
          <cell r="U25">
            <v>10838.49286</v>
          </cell>
          <cell r="V25">
            <v>10964.068789999999</v>
          </cell>
          <cell r="W25">
            <v>11096.062980000001</v>
          </cell>
          <cell r="X25">
            <v>11234.54846</v>
          </cell>
          <cell r="Y25">
            <v>11379.79391</v>
          </cell>
          <cell r="Z25">
            <v>11531.92446</v>
          </cell>
          <cell r="AA25">
            <v>11693.10986</v>
          </cell>
          <cell r="AB25">
            <v>11860.34712</v>
          </cell>
          <cell r="AC25">
            <v>12032.904860000001</v>
          </cell>
          <cell r="AD25">
            <v>12210.80033</v>
          </cell>
          <cell r="AE25">
            <v>12394.17381</v>
          </cell>
          <cell r="AF25">
            <v>12583.07689</v>
          </cell>
          <cell r="AG25">
            <v>12777.431039999999</v>
          </cell>
          <cell r="AH25">
            <v>12977.067349999999</v>
          </cell>
          <cell r="AI25">
            <v>13181.794760000001</v>
          </cell>
          <cell r="AJ25">
            <v>13391.45867</v>
          </cell>
          <cell r="AK25">
            <v>13605.968199999999</v>
          </cell>
        </row>
        <row r="26">
          <cell r="B26">
            <v>84747.706489999997</v>
          </cell>
          <cell r="C26">
            <v>86006.648239999995</v>
          </cell>
          <cell r="D26">
            <v>87642.60067</v>
          </cell>
          <cell r="E26">
            <v>89557.527919999993</v>
          </cell>
          <cell r="F26">
            <v>91633.056800000006</v>
          </cell>
          <cell r="G26">
            <v>93784.694759999998</v>
          </cell>
          <cell r="H26">
            <v>95698.872560000003</v>
          </cell>
          <cell r="I26">
            <v>97394.347580000001</v>
          </cell>
          <cell r="J26">
            <v>98928.238530000002</v>
          </cell>
          <cell r="K26">
            <v>100373.2838</v>
          </cell>
          <cell r="L26">
            <v>101968.0382</v>
          </cell>
          <cell r="M26">
            <v>103561.3012</v>
          </cell>
          <cell r="N26">
            <v>105178.11229999999</v>
          </cell>
          <cell r="O26">
            <v>106853.02439999999</v>
          </cell>
          <cell r="P26">
            <v>108594.6563</v>
          </cell>
          <cell r="Q26">
            <v>110392.2023</v>
          </cell>
          <cell r="R26">
            <v>112228.90519999999</v>
          </cell>
          <cell r="S26">
            <v>114092.00509999999</v>
          </cell>
          <cell r="T26">
            <v>115976.7457</v>
          </cell>
          <cell r="U26">
            <v>117885.4975</v>
          </cell>
          <cell r="V26">
            <v>119704.35950000001</v>
          </cell>
          <cell r="W26">
            <v>121588.30100000001</v>
          </cell>
          <cell r="X26">
            <v>123556.66469999999</v>
          </cell>
          <cell r="Y26">
            <v>125596.4458</v>
          </cell>
          <cell r="Z26">
            <v>127693.28389999999</v>
          </cell>
          <cell r="AA26">
            <v>129483.3031</v>
          </cell>
          <cell r="AB26">
            <v>131256.7065</v>
          </cell>
          <cell r="AC26">
            <v>133087.81400000001</v>
          </cell>
          <cell r="AD26">
            <v>134986.52119999999</v>
          </cell>
          <cell r="AE26">
            <v>136949.7654</v>
          </cell>
          <cell r="AF26">
            <v>138972.79120000001</v>
          </cell>
          <cell r="AG26">
            <v>141050.4038</v>
          </cell>
          <cell r="AH26">
            <v>143177.04180000001</v>
          </cell>
          <cell r="AI26">
            <v>145347.42079999999</v>
          </cell>
          <cell r="AJ26">
            <v>147557.43640000001</v>
          </cell>
          <cell r="AK26">
            <v>149804.7341</v>
          </cell>
        </row>
        <row r="27">
          <cell r="B27">
            <v>84747.706489999997</v>
          </cell>
          <cell r="C27">
            <v>86006.648239999995</v>
          </cell>
          <cell r="D27">
            <v>87642.60067</v>
          </cell>
          <cell r="E27">
            <v>89557.527919999993</v>
          </cell>
          <cell r="F27">
            <v>91633.056800000006</v>
          </cell>
          <cell r="G27">
            <v>93784.694759999998</v>
          </cell>
          <cell r="H27">
            <v>95843.326010000004</v>
          </cell>
          <cell r="I27">
            <v>97807.136710000006</v>
          </cell>
          <cell r="J27">
            <v>99695.403340000004</v>
          </cell>
          <cell r="K27">
            <v>101525.0928</v>
          </cell>
          <cell r="L27">
            <v>103481.02770000001</v>
          </cell>
          <cell r="M27">
            <v>105367.0303</v>
          </cell>
          <cell r="N27">
            <v>107187.21799999999</v>
          </cell>
          <cell r="O27">
            <v>108978.55</v>
          </cell>
          <cell r="P27">
            <v>110769.6306</v>
          </cell>
          <cell r="Q27">
            <v>112575.95140000001</v>
          </cell>
          <cell r="R27">
            <v>114404.1905</v>
          </cell>
          <cell r="S27">
            <v>116257.8631</v>
          </cell>
          <cell r="T27">
            <v>118140.2219</v>
          </cell>
          <cell r="U27">
            <v>120054.9167</v>
          </cell>
          <cell r="V27">
            <v>121885.3168</v>
          </cell>
          <cell r="W27">
            <v>123783.60890000001</v>
          </cell>
          <cell r="X27">
            <v>125767.15850000001</v>
          </cell>
          <cell r="Y27">
            <v>127822.58</v>
          </cell>
          <cell r="Z27">
            <v>129936.1743</v>
          </cell>
          <cell r="AA27">
            <v>131744.04790000001</v>
          </cell>
          <cell r="AB27">
            <v>133536.4344</v>
          </cell>
          <cell r="AC27">
            <v>135386.5037</v>
          </cell>
          <cell r="AD27">
            <v>137302.41250000001</v>
          </cell>
          <cell r="AE27">
            <v>139279.40789999999</v>
          </cell>
          <cell r="AF27">
            <v>141311.58480000001</v>
          </cell>
          <cell r="AG27">
            <v>143393.36799999999</v>
          </cell>
          <cell r="AH27">
            <v>145519.51560000001</v>
          </cell>
          <cell r="AI27">
            <v>147685.47719999999</v>
          </cell>
          <cell r="AJ27">
            <v>149887.94519999999</v>
          </cell>
          <cell r="AK27">
            <v>152125.14989999999</v>
          </cell>
        </row>
        <row r="28">
          <cell r="B28">
            <v>10027.48309</v>
          </cell>
          <cell r="C28">
            <v>10134.232379999999</v>
          </cell>
          <cell r="D28">
            <v>10233.641180000001</v>
          </cell>
          <cell r="E28">
            <v>10329.802089999999</v>
          </cell>
          <cell r="F28">
            <v>10425.884179999999</v>
          </cell>
          <cell r="G28">
            <v>10523.322480000001</v>
          </cell>
          <cell r="H28">
            <v>10609.898649999999</v>
          </cell>
          <cell r="I28">
            <v>10688.034680000001</v>
          </cell>
          <cell r="J28">
            <v>10759.79675</v>
          </cell>
          <cell r="K28">
            <v>10829.115089999999</v>
          </cell>
          <cell r="L28">
            <v>10900.811729999999</v>
          </cell>
          <cell r="M28">
            <v>10978.757460000001</v>
          </cell>
          <cell r="N28">
            <v>11064.956819999999</v>
          </cell>
          <cell r="O28">
            <v>11159.65976</v>
          </cell>
          <cell r="P28">
            <v>11261.890100000001</v>
          </cell>
          <cell r="Q28">
            <v>11370.16347</v>
          </cell>
          <cell r="R28">
            <v>11483.1443</v>
          </cell>
          <cell r="S28">
            <v>11600.033530000001</v>
          </cell>
          <cell r="T28">
            <v>11720.632379999999</v>
          </cell>
          <cell r="U28">
            <v>11845.16819</v>
          </cell>
          <cell r="V28">
            <v>11973.73199</v>
          </cell>
          <cell r="W28">
            <v>12106.569310000001</v>
          </cell>
          <cell r="X28">
            <v>12244.00281</v>
          </cell>
          <cell r="Y28">
            <v>12386.16598</v>
          </cell>
          <cell r="Z28">
            <v>12532.983410000001</v>
          </cell>
          <cell r="AA28">
            <v>12683.29567</v>
          </cell>
          <cell r="AB28">
            <v>12836.516019999999</v>
          </cell>
          <cell r="AC28">
            <v>12992.668379999999</v>
          </cell>
          <cell r="AD28">
            <v>13152.03361</v>
          </cell>
          <cell r="AE28">
            <v>13314.87839</v>
          </cell>
          <cell r="AF28">
            <v>13481.313410000001</v>
          </cell>
          <cell r="AG28">
            <v>13651.264590000001</v>
          </cell>
          <cell r="AH28">
            <v>13824.53004</v>
          </cell>
          <cell r="AI28">
            <v>14000.87585</v>
          </cell>
          <cell r="AJ28">
            <v>14180.12155</v>
          </cell>
          <cell r="AK28">
            <v>14362.18332</v>
          </cell>
        </row>
        <row r="29">
          <cell r="B29">
            <v>10027.48309</v>
          </cell>
          <cell r="C29">
            <v>10134.232379999999</v>
          </cell>
          <cell r="D29">
            <v>10233.641180000001</v>
          </cell>
          <cell r="E29">
            <v>10329.802089999999</v>
          </cell>
          <cell r="F29">
            <v>10425.884179999999</v>
          </cell>
          <cell r="G29">
            <v>10523.322480000001</v>
          </cell>
          <cell r="H29">
            <v>10621.93953</v>
          </cell>
          <cell r="I29">
            <v>10720.77715</v>
          </cell>
          <cell r="J29">
            <v>10819.093929999999</v>
          </cell>
          <cell r="K29">
            <v>10916.858620000001</v>
          </cell>
          <cell r="L29">
            <v>11015.114809999999</v>
          </cell>
          <cell r="M29">
            <v>11115.093779999999</v>
          </cell>
          <cell r="N29">
            <v>11217.654039999999</v>
          </cell>
          <cell r="O29">
            <v>11323.35619</v>
          </cell>
          <cell r="P29">
            <v>11432.53147</v>
          </cell>
          <cell r="Q29">
            <v>11545.354090000001</v>
          </cell>
          <cell r="R29">
            <v>11661.923510000001</v>
          </cell>
          <cell r="S29">
            <v>11782.331319999999</v>
          </cell>
          <cell r="T29">
            <v>11906.696610000001</v>
          </cell>
          <cell r="U29">
            <v>12035.164290000001</v>
          </cell>
          <cell r="V29">
            <v>12167.56986</v>
          </cell>
          <cell r="W29">
            <v>12303.951940000001</v>
          </cell>
          <cell r="X29">
            <v>12444.559160000001</v>
          </cell>
          <cell r="Y29">
            <v>12589.5751</v>
          </cell>
          <cell r="Z29">
            <v>12739.031440000001</v>
          </cell>
          <cell r="AA29">
            <v>12891.836380000001</v>
          </cell>
          <cell r="AB29">
            <v>13047.40429</v>
          </cell>
          <cell r="AC29">
            <v>13205.7114</v>
          </cell>
          <cell r="AD29">
            <v>13366.96513</v>
          </cell>
          <cell r="AE29">
            <v>13531.36788</v>
          </cell>
          <cell r="AF29">
            <v>13699.00188</v>
          </cell>
          <cell r="AG29">
            <v>13869.80942</v>
          </cell>
          <cell r="AH29">
            <v>14043.640740000001</v>
          </cell>
          <cell r="AI29">
            <v>14220.329820000001</v>
          </cell>
          <cell r="AJ29">
            <v>14399.758459999999</v>
          </cell>
          <cell r="AK29">
            <v>14581.885109999999</v>
          </cell>
        </row>
        <row r="30">
          <cell r="B30">
            <v>105582.9157</v>
          </cell>
          <cell r="C30">
            <v>106699.822</v>
          </cell>
          <cell r="D30">
            <v>107727.1557</v>
          </cell>
          <cell r="E30">
            <v>108707.7837</v>
          </cell>
          <cell r="F30">
            <v>109677.7325</v>
          </cell>
          <cell r="G30">
            <v>110655.53</v>
          </cell>
          <cell r="H30">
            <v>111529.2942</v>
          </cell>
          <cell r="I30">
            <v>112313.9255</v>
          </cell>
          <cell r="J30">
            <v>113028.83289999999</v>
          </cell>
          <cell r="K30">
            <v>113713.7159</v>
          </cell>
          <cell r="L30">
            <v>114418.2243</v>
          </cell>
          <cell r="M30">
            <v>115184.1442</v>
          </cell>
          <cell r="N30">
            <v>116033.9528</v>
          </cell>
          <cell r="O30">
            <v>116971.647</v>
          </cell>
          <cell r="P30">
            <v>117987.8042</v>
          </cell>
          <cell r="Q30">
            <v>119066.8881</v>
          </cell>
          <cell r="R30">
            <v>120194.25539999999</v>
          </cell>
          <cell r="S30">
            <v>121360.58100000001</v>
          </cell>
          <cell r="T30">
            <v>122562.9338</v>
          </cell>
          <cell r="U30">
            <v>123803.2273</v>
          </cell>
          <cell r="V30">
            <v>125082.7628</v>
          </cell>
          <cell r="W30">
            <v>126404.1712</v>
          </cell>
          <cell r="X30">
            <v>127771.2513</v>
          </cell>
          <cell r="Y30">
            <v>129185.89509999999</v>
          </cell>
          <cell r="Z30">
            <v>130647.7294</v>
          </cell>
          <cell r="AA30">
            <v>132145.90530000001</v>
          </cell>
          <cell r="AB30">
            <v>133674.02249999999</v>
          </cell>
          <cell r="AC30">
            <v>135232.11199999999</v>
          </cell>
          <cell r="AD30">
            <v>136823.01149999999</v>
          </cell>
          <cell r="AE30">
            <v>138449.60440000001</v>
          </cell>
          <cell r="AF30">
            <v>140113.28049999999</v>
          </cell>
          <cell r="AG30">
            <v>141813.51990000001</v>
          </cell>
          <cell r="AH30">
            <v>143548.38560000001</v>
          </cell>
          <cell r="AI30">
            <v>145315.47750000001</v>
          </cell>
          <cell r="AJ30">
            <v>147112.8394</v>
          </cell>
          <cell r="AK30">
            <v>148939.46679999999</v>
          </cell>
        </row>
        <row r="31">
          <cell r="B31">
            <v>105582.9157</v>
          </cell>
          <cell r="C31">
            <v>106699.822</v>
          </cell>
          <cell r="D31">
            <v>107727.1557</v>
          </cell>
          <cell r="E31">
            <v>108707.7837</v>
          </cell>
          <cell r="F31">
            <v>109677.7325</v>
          </cell>
          <cell r="G31">
            <v>110655.53</v>
          </cell>
          <cell r="H31">
            <v>111642.431</v>
          </cell>
          <cell r="I31">
            <v>112630.0987</v>
          </cell>
          <cell r="J31">
            <v>113611.107</v>
          </cell>
          <cell r="K31">
            <v>114584.6333</v>
          </cell>
          <cell r="L31">
            <v>115560.3961</v>
          </cell>
          <cell r="M31">
            <v>116551.4249</v>
          </cell>
          <cell r="N31">
            <v>117566.9889</v>
          </cell>
          <cell r="O31">
            <v>118613.4492</v>
          </cell>
          <cell r="P31">
            <v>119694.79889999999</v>
          </cell>
          <cell r="Q31">
            <v>120813.2815</v>
          </cell>
          <cell r="R31">
            <v>121970.18949999999</v>
          </cell>
          <cell r="S31">
            <v>123166.57249999999</v>
          </cell>
          <cell r="T31">
            <v>124403.6599</v>
          </cell>
          <cell r="U31">
            <v>125682.9088</v>
          </cell>
          <cell r="V31">
            <v>127002.90730000001</v>
          </cell>
          <cell r="W31">
            <v>128363.7392</v>
          </cell>
          <cell r="X31">
            <v>129767.8944</v>
          </cell>
          <cell r="Y31">
            <v>131217.27840000001</v>
          </cell>
          <cell r="Z31">
            <v>132712.2542</v>
          </cell>
          <cell r="AA31">
            <v>134242.44959999999</v>
          </cell>
          <cell r="AB31">
            <v>135801.38200000001</v>
          </cell>
          <cell r="AC31">
            <v>137388.51389999999</v>
          </cell>
          <cell r="AD31">
            <v>139005.84469999999</v>
          </cell>
          <cell r="AE31">
            <v>140655.50080000001</v>
          </cell>
          <cell r="AF31">
            <v>142338.478</v>
          </cell>
          <cell r="AG31">
            <v>144054.33660000001</v>
          </cell>
          <cell r="AH31">
            <v>145801.61749999999</v>
          </cell>
          <cell r="AI31">
            <v>147578.5956</v>
          </cell>
          <cell r="AJ31">
            <v>149383.96429999999</v>
          </cell>
          <cell r="AK31">
            <v>151217.18090000001</v>
          </cell>
        </row>
        <row r="32">
          <cell r="B32">
            <v>21039.307809999998</v>
          </cell>
          <cell r="C32">
            <v>21292.635259999999</v>
          </cell>
          <cell r="D32">
            <v>21560.270130000001</v>
          </cell>
          <cell r="E32">
            <v>21846.05386</v>
          </cell>
          <cell r="F32">
            <v>22152.840120000001</v>
          </cell>
          <cell r="G32">
            <v>22481.665980000002</v>
          </cell>
          <cell r="H32">
            <v>22817.21787</v>
          </cell>
          <cell r="I32">
            <v>23152.09907</v>
          </cell>
          <cell r="J32">
            <v>23482.061099999999</v>
          </cell>
          <cell r="K32">
            <v>23807.620139999999</v>
          </cell>
          <cell r="L32">
            <v>24135.62975</v>
          </cell>
          <cell r="M32">
            <v>24470.22436</v>
          </cell>
          <cell r="N32">
            <v>24816.017240000001</v>
          </cell>
          <cell r="O32">
            <v>25176.01512</v>
          </cell>
          <cell r="P32">
            <v>25550.891909999998</v>
          </cell>
          <cell r="Q32">
            <v>25939.31263</v>
          </cell>
          <cell r="R32">
            <v>26338.851170000002</v>
          </cell>
          <cell r="S32">
            <v>26747.01194</v>
          </cell>
          <cell r="T32">
            <v>27161.968140000001</v>
          </cell>
          <cell r="U32">
            <v>27582.844150000001</v>
          </cell>
          <cell r="V32">
            <v>28007.61333</v>
          </cell>
          <cell r="W32">
            <v>28437.994729999999</v>
          </cell>
          <cell r="X32">
            <v>28875.10859</v>
          </cell>
          <cell r="Y32">
            <v>29319.643899999999</v>
          </cell>
          <cell r="Z32">
            <v>29771.886920000001</v>
          </cell>
          <cell r="AA32">
            <v>30226.104589999999</v>
          </cell>
          <cell r="AB32">
            <v>30683.195830000001</v>
          </cell>
          <cell r="AC32">
            <v>31143.773130000001</v>
          </cell>
          <cell r="AD32">
            <v>31608.56079</v>
          </cell>
          <cell r="AE32">
            <v>32078.38277</v>
          </cell>
          <cell r="AF32">
            <v>32553.96831</v>
          </cell>
          <cell r="AG32">
            <v>33035.783409999996</v>
          </cell>
          <cell r="AH32">
            <v>33523.980389999997</v>
          </cell>
          <cell r="AI32">
            <v>34018.469599999997</v>
          </cell>
          <cell r="AJ32">
            <v>34519.06106</v>
          </cell>
          <cell r="AK32">
            <v>35025.605580000003</v>
          </cell>
        </row>
        <row r="33">
          <cell r="B33">
            <v>21039.307809999998</v>
          </cell>
          <cell r="C33">
            <v>21292.635259999999</v>
          </cell>
          <cell r="D33">
            <v>21560.270130000001</v>
          </cell>
          <cell r="E33">
            <v>21846.05386</v>
          </cell>
          <cell r="F33">
            <v>22152.840120000001</v>
          </cell>
          <cell r="G33">
            <v>22481.665980000002</v>
          </cell>
          <cell r="H33">
            <v>22829.853159999999</v>
          </cell>
          <cell r="I33">
            <v>23193.754290000001</v>
          </cell>
          <cell r="J33">
            <v>23569.220170000001</v>
          </cell>
          <cell r="K33">
            <v>23952.546330000001</v>
          </cell>
          <cell r="L33">
            <v>24343.959050000001</v>
          </cell>
          <cell r="M33">
            <v>24740.534309999999</v>
          </cell>
          <cell r="N33">
            <v>25141.2961</v>
          </cell>
          <cell r="O33">
            <v>25546.137579999999</v>
          </cell>
          <cell r="P33">
            <v>25955.226879999998</v>
          </cell>
          <cell r="Q33">
            <v>26368.738959999999</v>
          </cell>
          <cell r="R33">
            <v>26786.787359999998</v>
          </cell>
          <cell r="S33">
            <v>27209.465250000001</v>
          </cell>
          <cell r="T33">
            <v>27636.916089999999</v>
          </cell>
          <cell r="U33">
            <v>28069.376909999999</v>
          </cell>
          <cell r="V33">
            <v>28505.155500000001</v>
          </cell>
          <cell r="W33">
            <v>28945.939350000001</v>
          </cell>
          <cell r="X33">
            <v>29392.690699999999</v>
          </cell>
          <cell r="Y33">
            <v>29846.02493</v>
          </cell>
          <cell r="Z33">
            <v>30306.298070000001</v>
          </cell>
          <cell r="AA33">
            <v>30767.841120000001</v>
          </cell>
          <cell r="AB33">
            <v>31231.7147</v>
          </cell>
          <cell r="AC33">
            <v>31698.611420000001</v>
          </cell>
          <cell r="AD33">
            <v>32169.24842</v>
          </cell>
          <cell r="AE33">
            <v>32644.388200000001</v>
          </cell>
          <cell r="AF33">
            <v>33124.693789999998</v>
          </cell>
          <cell r="AG33">
            <v>33610.603430000003</v>
          </cell>
          <cell r="AH33">
            <v>34102.300300000003</v>
          </cell>
          <cell r="AI33">
            <v>34599.777280000002</v>
          </cell>
          <cell r="AJ33">
            <v>35102.952160000001</v>
          </cell>
          <cell r="AK33">
            <v>35611.776749999997</v>
          </cell>
        </row>
        <row r="34">
          <cell r="B34">
            <v>28142.151969999999</v>
          </cell>
          <cell r="C34">
            <v>28471.833330000001</v>
          </cell>
          <cell r="D34">
            <v>28815.440709999999</v>
          </cell>
          <cell r="E34">
            <v>29181.572670000001</v>
          </cell>
          <cell r="F34">
            <v>29575.262299999999</v>
          </cell>
          <cell r="G34">
            <v>29996.982400000001</v>
          </cell>
          <cell r="H34">
            <v>30408.906989999999</v>
          </cell>
          <cell r="I34">
            <v>30811.47222</v>
          </cell>
          <cell r="J34">
            <v>31208.863219999999</v>
          </cell>
          <cell r="K34">
            <v>31611.245490000001</v>
          </cell>
          <cell r="L34">
            <v>32033.628970000002</v>
          </cell>
          <cell r="M34">
            <v>32485.01685</v>
          </cell>
          <cell r="N34">
            <v>32970.097040000001</v>
          </cell>
          <cell r="O34">
            <v>33488.512009999999</v>
          </cell>
          <cell r="P34">
            <v>34036.055489999999</v>
          </cell>
          <cell r="Q34">
            <v>34606.879699999998</v>
          </cell>
          <cell r="R34">
            <v>35195.705399999999</v>
          </cell>
          <cell r="S34">
            <v>35799.229449999999</v>
          </cell>
          <cell r="T34">
            <v>36416.438179999997</v>
          </cell>
          <cell r="U34">
            <v>37048.043489999996</v>
          </cell>
          <cell r="V34">
            <v>37693.322979999997</v>
          </cell>
          <cell r="W34">
            <v>38354.591679999998</v>
          </cell>
          <cell r="X34">
            <v>39033.442170000002</v>
          </cell>
          <cell r="Y34">
            <v>39730.526519999999</v>
          </cell>
          <cell r="Z34">
            <v>40445.70392</v>
          </cell>
          <cell r="AA34">
            <v>41171.733200000002</v>
          </cell>
          <cell r="AB34">
            <v>41908.124689999997</v>
          </cell>
          <cell r="AC34">
            <v>42655.516080000001</v>
          </cell>
          <cell r="AD34">
            <v>43415.08625</v>
          </cell>
          <cell r="AE34">
            <v>44187.884789999996</v>
          </cell>
          <cell r="AF34">
            <v>44974.40021</v>
          </cell>
          <cell r="AG34">
            <v>45774.469230000002</v>
          </cell>
          <cell r="AH34">
            <v>46587.48126</v>
          </cell>
          <cell r="AI34">
            <v>47412.727570000003</v>
          </cell>
          <cell r="AJ34">
            <v>48249.719810000002</v>
          </cell>
          <cell r="AK34">
            <v>49098.356160000003</v>
          </cell>
        </row>
        <row r="35">
          <cell r="B35">
            <v>28142.151969999999</v>
          </cell>
          <cell r="C35">
            <v>28471.833330000001</v>
          </cell>
          <cell r="D35">
            <v>28815.440709999999</v>
          </cell>
          <cell r="E35">
            <v>29181.572670000001</v>
          </cell>
          <cell r="F35">
            <v>29575.262299999999</v>
          </cell>
          <cell r="G35">
            <v>29996.982400000001</v>
          </cell>
          <cell r="H35">
            <v>30441.962820000001</v>
          </cell>
          <cell r="I35">
            <v>30904.347269999998</v>
          </cell>
          <cell r="J35">
            <v>31379.398349999999</v>
          </cell>
          <cell r="K35">
            <v>31864.880529999999</v>
          </cell>
          <cell r="L35">
            <v>32364.04837</v>
          </cell>
          <cell r="M35">
            <v>32877.71501</v>
          </cell>
          <cell r="N35">
            <v>33407.293019999997</v>
          </cell>
          <cell r="O35">
            <v>33953.902589999998</v>
          </cell>
          <cell r="P35">
            <v>34518.067759999998</v>
          </cell>
          <cell r="Q35">
            <v>35099.778969999999</v>
          </cell>
          <cell r="R35">
            <v>35698.7431</v>
          </cell>
          <cell r="S35">
            <v>36314.647109999998</v>
          </cell>
          <cell r="T35">
            <v>36947.322460000003</v>
          </cell>
          <cell r="U35">
            <v>37596.772559999998</v>
          </cell>
          <cell r="V35">
            <v>38260.847699999998</v>
          </cell>
          <cell r="W35">
            <v>38940.590230000002</v>
          </cell>
          <cell r="X35">
            <v>39636.837800000001</v>
          </cell>
          <cell r="Y35">
            <v>40350.042479999996</v>
          </cell>
          <cell r="Z35">
            <v>41080.207600000002</v>
          </cell>
          <cell r="AA35">
            <v>41820.209900000002</v>
          </cell>
          <cell r="AB35">
            <v>42569.578679999999</v>
          </cell>
          <cell r="AC35">
            <v>43328.83238</v>
          </cell>
          <cell r="AD35">
            <v>44098.96054</v>
          </cell>
          <cell r="AE35">
            <v>44880.862359999999</v>
          </cell>
          <cell r="AF35">
            <v>45675.001020000003</v>
          </cell>
          <cell r="AG35">
            <v>46481.341200000003</v>
          </cell>
          <cell r="AH35">
            <v>47299.519249999998</v>
          </cell>
          <cell r="AI35">
            <v>48129.117939999996</v>
          </cell>
          <cell r="AJ35">
            <v>48969.905570000003</v>
          </cell>
          <cell r="AK35">
            <v>49821.948279999997</v>
          </cell>
        </row>
        <row r="36">
          <cell r="B36">
            <v>6034579.8600000003</v>
          </cell>
          <cell r="C36">
            <v>6102834.5590000004</v>
          </cell>
          <cell r="D36">
            <v>6171211.9309999999</v>
          </cell>
          <cell r="E36">
            <v>6241558.5659999996</v>
          </cell>
          <cell r="F36">
            <v>6315049.2120000003</v>
          </cell>
          <cell r="G36">
            <v>6391918.4330000002</v>
          </cell>
          <cell r="H36">
            <v>6466099.29</v>
          </cell>
          <cell r="I36">
            <v>6537908.6349999998</v>
          </cell>
          <cell r="J36">
            <v>6607973.2000000002</v>
          </cell>
          <cell r="K36">
            <v>6677956.5439999998</v>
          </cell>
          <cell r="L36">
            <v>6749595.3480000002</v>
          </cell>
          <cell r="M36">
            <v>6825314.8880000003</v>
          </cell>
          <cell r="N36">
            <v>6906171.3710000003</v>
          </cell>
          <cell r="O36">
            <v>6992226.5889999997</v>
          </cell>
          <cell r="P36">
            <v>7082878.5070000002</v>
          </cell>
          <cell r="Q36">
            <v>7177253.6869999999</v>
          </cell>
          <cell r="R36">
            <v>7274573.0690000001</v>
          </cell>
          <cell r="S36">
            <v>7374373.5389999999</v>
          </cell>
          <cell r="T36">
            <v>7476549.8969999999</v>
          </cell>
          <cell r="U36">
            <v>7581261.0630000001</v>
          </cell>
          <cell r="V36">
            <v>7688972.6270000003</v>
          </cell>
          <cell r="W36">
            <v>7799515.8530000001</v>
          </cell>
          <cell r="X36">
            <v>7913093.1239999998</v>
          </cell>
          <cell r="Y36">
            <v>8029866.6330000004</v>
          </cell>
          <cell r="Z36">
            <v>8149879.9299999997</v>
          </cell>
          <cell r="AA36">
            <v>8273559.9550000001</v>
          </cell>
          <cell r="AB36">
            <v>8400047.4470000006</v>
          </cell>
          <cell r="AC36">
            <v>8529228.5859999992</v>
          </cell>
          <cell r="AD36">
            <v>8661255.2390000001</v>
          </cell>
          <cell r="AE36">
            <v>8796301.5950000007</v>
          </cell>
          <cell r="AF36">
            <v>8934456.3849999998</v>
          </cell>
          <cell r="AG36">
            <v>9075696.9499999993</v>
          </cell>
          <cell r="AH36">
            <v>9219919.1899999995</v>
          </cell>
          <cell r="AI36">
            <v>9366993.6809999999</v>
          </cell>
          <cell r="AJ36">
            <v>9516817.8760000002</v>
          </cell>
          <cell r="AK36">
            <v>9669344.2890000008</v>
          </cell>
        </row>
        <row r="37">
          <cell r="B37">
            <v>6034579.8600000003</v>
          </cell>
          <cell r="C37">
            <v>6102834.5590000004</v>
          </cell>
          <cell r="D37">
            <v>6171211.9309999999</v>
          </cell>
          <cell r="E37">
            <v>6241558.5659999996</v>
          </cell>
          <cell r="F37">
            <v>6315049.2120000003</v>
          </cell>
          <cell r="G37">
            <v>6391918.4330000002</v>
          </cell>
          <cell r="H37">
            <v>6471887.9589999998</v>
          </cell>
          <cell r="I37">
            <v>6553976.1359999999</v>
          </cell>
          <cell r="J37">
            <v>6637342.2539999997</v>
          </cell>
          <cell r="K37">
            <v>6721619.625</v>
          </cell>
          <cell r="L37">
            <v>6806588.8380000005</v>
          </cell>
          <cell r="M37">
            <v>6893314.0379999997</v>
          </cell>
          <cell r="N37">
            <v>6982239.9950000001</v>
          </cell>
          <cell r="O37">
            <v>7073605.4069999997</v>
          </cell>
          <cell r="P37">
            <v>7167552.7719999999</v>
          </cell>
          <cell r="Q37">
            <v>7264169.6780000003</v>
          </cell>
          <cell r="R37">
            <v>7363521.7379999999</v>
          </cell>
          <cell r="S37">
            <v>7465677.7429999998</v>
          </cell>
          <cell r="T37">
            <v>7570724.6090000002</v>
          </cell>
          <cell r="U37">
            <v>7678766.1440000003</v>
          </cell>
          <cell r="V37">
            <v>7790098.267</v>
          </cell>
          <cell r="W37">
            <v>7904390.2970000003</v>
          </cell>
          <cell r="X37">
            <v>8021754.9630000005</v>
          </cell>
          <cell r="Y37">
            <v>8142338.2609999999</v>
          </cell>
          <cell r="Z37">
            <v>8266206.3930000002</v>
          </cell>
          <cell r="AA37">
            <v>8393802.4409999996</v>
          </cell>
          <cell r="AB37">
            <v>8524237.9969999995</v>
          </cell>
          <cell r="AC37">
            <v>8657348.1950000003</v>
          </cell>
          <cell r="AD37">
            <v>8793221.3560000006</v>
          </cell>
          <cell r="AE37">
            <v>8931974.0309999995</v>
          </cell>
          <cell r="AF37">
            <v>9073658.6270000003</v>
          </cell>
          <cell r="AG37">
            <v>9218243.5219999999</v>
          </cell>
          <cell r="AH37">
            <v>9365638.6229999997</v>
          </cell>
          <cell r="AI37">
            <v>9515740.1109999996</v>
          </cell>
          <cell r="AJ37">
            <v>9668470.0360000003</v>
          </cell>
          <cell r="AK37">
            <v>9823795.5289999992</v>
          </cell>
        </row>
        <row r="38">
          <cell r="B38">
            <v>1607705.7819999999</v>
          </cell>
          <cell r="C38">
            <v>1626289.351</v>
          </cell>
          <cell r="D38">
            <v>1645336.2250000001</v>
          </cell>
          <cell r="E38">
            <v>1665217.03</v>
          </cell>
          <cell r="F38">
            <v>1686107.2590000001</v>
          </cell>
          <cell r="G38">
            <v>1707958.253</v>
          </cell>
          <cell r="H38">
            <v>1728913.92</v>
          </cell>
          <cell r="I38">
            <v>1749414.5530000001</v>
          </cell>
          <cell r="J38">
            <v>1769713.6370000001</v>
          </cell>
          <cell r="K38">
            <v>1790259.8740000001</v>
          </cell>
          <cell r="L38">
            <v>1811563.828</v>
          </cell>
          <cell r="M38">
            <v>1834059.7339999999</v>
          </cell>
          <cell r="N38">
            <v>1857924.834</v>
          </cell>
          <cell r="O38">
            <v>1883115.986</v>
          </cell>
          <cell r="P38">
            <v>1909447.304</v>
          </cell>
          <cell r="Q38">
            <v>1936692.4750000001</v>
          </cell>
          <cell r="R38">
            <v>1964671.9879999999</v>
          </cell>
          <cell r="S38">
            <v>1993295.747</v>
          </cell>
          <cell r="T38">
            <v>2022559.899</v>
          </cell>
          <cell r="U38">
            <v>2052515.1710000001</v>
          </cell>
          <cell r="V38">
            <v>2083210.2579999999</v>
          </cell>
          <cell r="W38">
            <v>2114673.9070000001</v>
          </cell>
          <cell r="X38">
            <v>2146951.6150000002</v>
          </cell>
          <cell r="Y38">
            <v>2180063.42</v>
          </cell>
          <cell r="Z38">
            <v>2214003.611</v>
          </cell>
          <cell r="AA38">
            <v>2248694.1490000002</v>
          </cell>
          <cell r="AB38">
            <v>2284047.9810000001</v>
          </cell>
          <cell r="AC38">
            <v>2320078.7119999998</v>
          </cell>
          <cell r="AD38">
            <v>2356833.84</v>
          </cell>
          <cell r="AE38">
            <v>2394352.39</v>
          </cell>
          <cell r="AF38">
            <v>2432646.341</v>
          </cell>
          <cell r="AG38">
            <v>2471699.798</v>
          </cell>
          <cell r="AH38">
            <v>2511480.0159999998</v>
          </cell>
          <cell r="AI38">
            <v>2551952.5180000002</v>
          </cell>
          <cell r="AJ38">
            <v>2593093.102</v>
          </cell>
          <cell r="AK38">
            <v>2634892.7349999999</v>
          </cell>
        </row>
        <row r="39">
          <cell r="B39">
            <v>1607705.7819999999</v>
          </cell>
          <cell r="C39">
            <v>1626289.351</v>
          </cell>
          <cell r="D39">
            <v>1645336.2250000001</v>
          </cell>
          <cell r="E39">
            <v>1665217.03</v>
          </cell>
          <cell r="F39">
            <v>1686107.2590000001</v>
          </cell>
          <cell r="G39">
            <v>1707958.253</v>
          </cell>
          <cell r="H39">
            <v>1730567.3589999999</v>
          </cell>
          <cell r="I39">
            <v>1753657.4809999999</v>
          </cell>
          <cell r="J39">
            <v>1777031.39</v>
          </cell>
          <cell r="K39">
            <v>1800624.764</v>
          </cell>
          <cell r="L39">
            <v>1824504.7860000001</v>
          </cell>
          <cell r="M39">
            <v>1848824.514</v>
          </cell>
          <cell r="N39">
            <v>1873673.2120000001</v>
          </cell>
          <cell r="O39">
            <v>1899109.463</v>
          </cell>
          <cell r="P39">
            <v>1925172.1540000001</v>
          </cell>
          <cell r="Q39">
            <v>1951888.584</v>
          </cell>
          <cell r="R39">
            <v>1979282.9</v>
          </cell>
          <cell r="S39">
            <v>2007382.0260000001</v>
          </cell>
          <cell r="T39">
            <v>2036217.7169999999</v>
          </cell>
          <cell r="U39">
            <v>2065824.362</v>
          </cell>
          <cell r="V39">
            <v>2096216.2050000001</v>
          </cell>
          <cell r="W39">
            <v>2127395.2990000001</v>
          </cell>
          <cell r="X39">
            <v>2159399.2969999998</v>
          </cell>
          <cell r="Y39">
            <v>2192255.5610000002</v>
          </cell>
          <cell r="Z39">
            <v>2225970.449</v>
          </cell>
          <cell r="AA39">
            <v>2260472.9550000001</v>
          </cell>
          <cell r="AB39">
            <v>2295668.358</v>
          </cell>
          <cell r="AC39">
            <v>2331556.1340000001</v>
          </cell>
          <cell r="AD39">
            <v>2368167.0279999999</v>
          </cell>
          <cell r="AE39">
            <v>2405526.0690000001</v>
          </cell>
          <cell r="AF39">
            <v>2443637.719</v>
          </cell>
          <cell r="AG39">
            <v>2482485.8709999998</v>
          </cell>
          <cell r="AH39">
            <v>2522042.9759999998</v>
          </cell>
          <cell r="AI39">
            <v>2562281.8130000001</v>
          </cell>
          <cell r="AJ39">
            <v>2603184.3020000001</v>
          </cell>
          <cell r="AK39">
            <v>2644744.52</v>
          </cell>
        </row>
        <row r="40">
          <cell r="B40">
            <v>27853.35082</v>
          </cell>
          <cell r="C40">
            <v>28243.730469999999</v>
          </cell>
          <cell r="D40">
            <v>28722.120989999999</v>
          </cell>
          <cell r="E40">
            <v>29286.717240000002</v>
          </cell>
          <cell r="F40">
            <v>29930.38452</v>
          </cell>
          <cell r="G40">
            <v>30644.798859999999</v>
          </cell>
          <cell r="H40">
            <v>31398.411080000002</v>
          </cell>
          <cell r="I40">
            <v>32182.999319999999</v>
          </cell>
          <cell r="J40">
            <v>32993.769119999997</v>
          </cell>
          <cell r="K40">
            <v>33831.364159999997</v>
          </cell>
          <cell r="L40">
            <v>34705.596940000003</v>
          </cell>
          <cell r="M40">
            <v>35615.591549999997</v>
          </cell>
          <cell r="N40">
            <v>36563.271780000003</v>
          </cell>
          <cell r="O40">
            <v>37549.501109999997</v>
          </cell>
          <cell r="P40">
            <v>38572.600229999996</v>
          </cell>
          <cell r="Q40">
            <v>39629.04636</v>
          </cell>
          <cell r="R40">
            <v>40714.848669999999</v>
          </cell>
          <cell r="S40">
            <v>41826.673390000004</v>
          </cell>
          <cell r="T40">
            <v>42962.357510000002</v>
          </cell>
          <cell r="U40">
            <v>44120.842360000002</v>
          </cell>
          <cell r="V40">
            <v>45296.955909999997</v>
          </cell>
          <cell r="W40">
            <v>46494.951269999998</v>
          </cell>
          <cell r="X40">
            <v>47715.896869999997</v>
          </cell>
          <cell r="Y40">
            <v>48959.095020000001</v>
          </cell>
          <cell r="Z40">
            <v>50223.248820000001</v>
          </cell>
          <cell r="AA40">
            <v>51492.441169999998</v>
          </cell>
          <cell r="AB40">
            <v>52772.948329999999</v>
          </cell>
          <cell r="AC40">
            <v>54067.55371</v>
          </cell>
          <cell r="AD40">
            <v>55376.799220000001</v>
          </cell>
          <cell r="AE40">
            <v>56700.494079999997</v>
          </cell>
          <cell r="AF40">
            <v>58038.085339999998</v>
          </cell>
          <cell r="AG40">
            <v>59388.676270000004</v>
          </cell>
          <cell r="AH40">
            <v>60751.088159999999</v>
          </cell>
          <cell r="AI40">
            <v>62124.024389999999</v>
          </cell>
          <cell r="AJ40">
            <v>63506.26281</v>
          </cell>
          <cell r="AK40">
            <v>64896.789550000001</v>
          </cell>
        </row>
        <row r="41">
          <cell r="B41">
            <v>27853.35082</v>
          </cell>
          <cell r="C41">
            <v>28243.730469999999</v>
          </cell>
          <cell r="D41">
            <v>28722.120989999999</v>
          </cell>
          <cell r="E41">
            <v>29286.717240000002</v>
          </cell>
          <cell r="F41">
            <v>29930.38452</v>
          </cell>
          <cell r="G41">
            <v>30644.798859999999</v>
          </cell>
          <cell r="H41">
            <v>31417.522099999998</v>
          </cell>
          <cell r="I41">
            <v>32239.92914</v>
          </cell>
          <cell r="J41">
            <v>33105.373930000002</v>
          </cell>
          <cell r="K41">
            <v>34008.820480000002</v>
          </cell>
          <cell r="L41">
            <v>34953.035309999999</v>
          </cell>
          <cell r="M41">
            <v>35930.274819999999</v>
          </cell>
          <cell r="N41">
            <v>36937.766660000001</v>
          </cell>
          <cell r="O41">
            <v>37974.679969999997</v>
          </cell>
          <cell r="P41">
            <v>39040.371050000002</v>
          </cell>
          <cell r="Q41">
            <v>40133.92813</v>
          </cell>
          <cell r="R41">
            <v>41254.247389999997</v>
          </cell>
          <cell r="S41">
            <v>42400.250670000001</v>
          </cell>
          <cell r="T41">
            <v>43571.023950000003</v>
          </cell>
          <cell r="U41">
            <v>44765.836689999996</v>
          </cell>
          <cell r="V41">
            <v>45979.215329999999</v>
          </cell>
          <cell r="W41">
            <v>47215.067600000002</v>
          </cell>
          <cell r="X41">
            <v>48474.221400000002</v>
          </cell>
          <cell r="Y41">
            <v>49755.946389999997</v>
          </cell>
          <cell r="Z41">
            <v>51059.057560000001</v>
          </cell>
          <cell r="AA41">
            <v>52367.563000000002</v>
          </cell>
          <cell r="AB41">
            <v>53687.760249999999</v>
          </cell>
          <cell r="AC41">
            <v>55022.290520000002</v>
          </cell>
          <cell r="AD41">
            <v>56371.43075</v>
          </cell>
          <cell r="AE41">
            <v>57734.69771</v>
          </cell>
          <cell r="AF41">
            <v>59111.300190000002</v>
          </cell>
          <cell r="AG41">
            <v>60500.202810000003</v>
          </cell>
          <cell r="AH41">
            <v>61900.188750000001</v>
          </cell>
          <cell r="AI41">
            <v>63309.990389999999</v>
          </cell>
          <cell r="AJ41">
            <v>64728.433219999999</v>
          </cell>
          <cell r="AK41">
            <v>66154.528470000005</v>
          </cell>
        </row>
        <row r="42">
          <cell r="B42">
            <v>9832.3299389999993</v>
          </cell>
          <cell r="C42">
            <v>9948.0216270000001</v>
          </cell>
          <cell r="D42">
            <v>10065.88042</v>
          </cell>
          <cell r="E42">
            <v>10185.158670000001</v>
          </cell>
          <cell r="F42">
            <v>10305.702569999999</v>
          </cell>
          <cell r="G42">
            <v>10427.79751</v>
          </cell>
          <cell r="H42">
            <v>10553.97042</v>
          </cell>
          <cell r="I42">
            <v>10683.53926</v>
          </cell>
          <cell r="J42">
            <v>10815.740970000001</v>
          </cell>
          <cell r="K42">
            <v>10949.858749999999</v>
          </cell>
          <cell r="L42">
            <v>11085.87535</v>
          </cell>
          <cell r="M42">
            <v>11223.0121</v>
          </cell>
          <cell r="N42">
            <v>11361.030070000001</v>
          </cell>
          <cell r="O42">
            <v>11500.03889</v>
          </cell>
          <cell r="P42">
            <v>11640.3073</v>
          </cell>
          <cell r="Q42">
            <v>11782.12012</v>
          </cell>
          <cell r="R42">
            <v>11925.681839999999</v>
          </cell>
          <cell r="S42">
            <v>12071.08222</v>
          </cell>
          <cell r="T42">
            <v>12218.311799999999</v>
          </cell>
          <cell r="U42">
            <v>12367.307699999999</v>
          </cell>
          <cell r="V42">
            <v>12517.524960000001</v>
          </cell>
          <cell r="W42">
            <v>12669.21261</v>
          </cell>
          <cell r="X42">
            <v>12822.48972</v>
          </cell>
          <cell r="Y42">
            <v>12977.43786</v>
          </cell>
          <cell r="Z42">
            <v>13134.142599999999</v>
          </cell>
          <cell r="AA42">
            <v>13291.25964</v>
          </cell>
          <cell r="AB42">
            <v>13449.0743</v>
          </cell>
          <cell r="AC42">
            <v>13607.681769999999</v>
          </cell>
          <cell r="AD42">
            <v>13767.07113</v>
          </cell>
          <cell r="AE42">
            <v>13927.226489999999</v>
          </cell>
          <cell r="AF42">
            <v>14088.168809999999</v>
          </cell>
          <cell r="AG42">
            <v>14249.95946</v>
          </cell>
          <cell r="AH42">
            <v>14412.684440000001</v>
          </cell>
          <cell r="AI42">
            <v>14576.43413</v>
          </cell>
          <cell r="AJ42">
            <v>14741.28853</v>
          </cell>
          <cell r="AK42">
            <v>14907.31178</v>
          </cell>
        </row>
        <row r="43">
          <cell r="B43">
            <v>9832.3299389999993</v>
          </cell>
          <cell r="C43">
            <v>9948.0216270000001</v>
          </cell>
          <cell r="D43">
            <v>10065.88042</v>
          </cell>
          <cell r="E43">
            <v>10185.158670000001</v>
          </cell>
          <cell r="F43">
            <v>10305.702569999999</v>
          </cell>
          <cell r="G43">
            <v>10427.79751</v>
          </cell>
          <cell r="H43">
            <v>10551.53847</v>
          </cell>
          <cell r="I43">
            <v>10677.293820000001</v>
          </cell>
          <cell r="J43">
            <v>10805.3886</v>
          </cell>
          <cell r="K43">
            <v>10935.972330000001</v>
          </cell>
          <cell r="L43">
            <v>11069.639429999999</v>
          </cell>
          <cell r="M43">
            <v>11205.890950000001</v>
          </cell>
          <cell r="N43">
            <v>11344.46225</v>
          </cell>
          <cell r="O43">
            <v>11485.208199999999</v>
          </cell>
          <cell r="P43">
            <v>11628.030989999999</v>
          </cell>
          <cell r="Q43">
            <v>11772.852070000001</v>
          </cell>
          <cell r="R43">
            <v>11919.599620000001</v>
          </cell>
          <cell r="S43">
            <v>12068.20146</v>
          </cell>
          <cell r="T43">
            <v>12218.583710000001</v>
          </cell>
          <cell r="U43">
            <v>12370.67553</v>
          </cell>
          <cell r="V43">
            <v>12523.9395</v>
          </cell>
          <cell r="W43">
            <v>12678.61116</v>
          </cell>
          <cell r="X43">
            <v>12834.7736</v>
          </cell>
          <cell r="Y43">
            <v>12992.45817</v>
          </cell>
          <cell r="Z43">
            <v>13151.70124</v>
          </cell>
          <cell r="AA43">
            <v>13311.125309999999</v>
          </cell>
          <cell r="AB43">
            <v>13470.99755</v>
          </cell>
          <cell r="AC43">
            <v>13631.409439999999</v>
          </cell>
          <cell r="AD43">
            <v>13792.35312</v>
          </cell>
          <cell r="AE43">
            <v>13953.81648</v>
          </cell>
          <cell r="AF43">
            <v>14115.820390000001</v>
          </cell>
          <cell r="AG43">
            <v>14278.42049</v>
          </cell>
          <cell r="AH43">
            <v>14441.693139999999</v>
          </cell>
          <cell r="AI43">
            <v>14605.71826</v>
          </cell>
          <cell r="AJ43">
            <v>14770.566860000001</v>
          </cell>
          <cell r="AK43">
            <v>14936.29667</v>
          </cell>
        </row>
        <row r="44">
          <cell r="B44">
            <v>3233.1320850000002</v>
          </cell>
          <cell r="C44">
            <v>3273.798389</v>
          </cell>
          <cell r="D44">
            <v>3317.864626</v>
          </cell>
          <cell r="E44">
            <v>3364.6956879999998</v>
          </cell>
          <cell r="F44">
            <v>3413.7911960000001</v>
          </cell>
          <cell r="G44">
            <v>3464.8189969999999</v>
          </cell>
          <cell r="H44">
            <v>3517.955066</v>
          </cell>
          <cell r="I44">
            <v>3572.6669400000001</v>
          </cell>
          <cell r="J44">
            <v>3628.4983729999999</v>
          </cell>
          <cell r="K44">
            <v>3685.1374919999998</v>
          </cell>
          <cell r="L44">
            <v>3742.6485090000001</v>
          </cell>
          <cell r="M44">
            <v>3800.6859039999999</v>
          </cell>
          <cell r="N44">
            <v>3859.0950389999998</v>
          </cell>
          <cell r="O44">
            <v>3917.8111509999999</v>
          </cell>
          <cell r="P44">
            <v>3976.798961</v>
          </cell>
          <cell r="Q44">
            <v>4036.0278480000002</v>
          </cell>
          <cell r="R44">
            <v>4095.463835</v>
          </cell>
          <cell r="S44">
            <v>4155.0700550000001</v>
          </cell>
          <cell r="T44">
            <v>4214.8116870000003</v>
          </cell>
          <cell r="U44">
            <v>4274.6625350000004</v>
          </cell>
          <cell r="V44">
            <v>4334.3846270000004</v>
          </cell>
          <cell r="W44">
            <v>4394.1260519999996</v>
          </cell>
          <cell r="X44">
            <v>4453.9580159999996</v>
          </cell>
          <cell r="Y44">
            <v>4513.9230120000002</v>
          </cell>
          <cell r="Z44">
            <v>4574.0589630000004</v>
          </cell>
          <cell r="AA44">
            <v>4633.735001</v>
          </cell>
          <cell r="AB44">
            <v>4693.1203939999996</v>
          </cell>
          <cell r="AC44">
            <v>4752.2979919999998</v>
          </cell>
          <cell r="AD44">
            <v>4811.303954</v>
          </cell>
          <cell r="AE44">
            <v>4870.1673860000001</v>
          </cell>
          <cell r="AF44">
            <v>4928.9240799999998</v>
          </cell>
          <cell r="AG44">
            <v>4987.6176310000001</v>
          </cell>
          <cell r="AH44">
            <v>5046.2962239999997</v>
          </cell>
          <cell r="AI44">
            <v>5105.0089939999998</v>
          </cell>
          <cell r="AJ44">
            <v>5163.803645</v>
          </cell>
          <cell r="AK44">
            <v>5222.7257049999998</v>
          </cell>
        </row>
        <row r="45">
          <cell r="B45">
            <v>3233.1320850000002</v>
          </cell>
          <cell r="C45">
            <v>3273.798389</v>
          </cell>
          <cell r="D45">
            <v>3317.864626</v>
          </cell>
          <cell r="E45">
            <v>3364.6956879999998</v>
          </cell>
          <cell r="F45">
            <v>3413.7911960000001</v>
          </cell>
          <cell r="G45">
            <v>3464.8189969999999</v>
          </cell>
          <cell r="H45">
            <v>3517.3682779999999</v>
          </cell>
          <cell r="I45">
            <v>3571.2054560000001</v>
          </cell>
          <cell r="J45">
            <v>3626.159459</v>
          </cell>
          <cell r="K45">
            <v>3682.0736510000002</v>
          </cell>
          <cell r="L45">
            <v>3739.0899760000002</v>
          </cell>
          <cell r="M45">
            <v>3796.8765229999999</v>
          </cell>
          <cell r="N45">
            <v>3855.2522739999999</v>
          </cell>
          <cell r="O45">
            <v>3914.1082230000002</v>
          </cell>
          <cell r="P45">
            <v>3973.3646039999999</v>
          </cell>
          <cell r="Q45">
            <v>4032.9550789999998</v>
          </cell>
          <cell r="R45">
            <v>4092.8214170000001</v>
          </cell>
          <cell r="S45">
            <v>4152.9123209999998</v>
          </cell>
          <cell r="T45">
            <v>4213.1838029999999</v>
          </cell>
          <cell r="U45">
            <v>4273.6002319999998</v>
          </cell>
          <cell r="V45">
            <v>4333.9105090000003</v>
          </cell>
          <cell r="W45">
            <v>4394.2422029999998</v>
          </cell>
          <cell r="X45">
            <v>4454.6425680000002</v>
          </cell>
          <cell r="Y45">
            <v>4515.1301670000003</v>
          </cell>
          <cell r="Z45">
            <v>4575.7223530000001</v>
          </cell>
          <cell r="AA45">
            <v>4635.7739899999997</v>
          </cell>
          <cell r="AB45">
            <v>4695.4436189999997</v>
          </cell>
          <cell r="AC45">
            <v>4754.807538</v>
          </cell>
          <cell r="AD45">
            <v>4813.897766</v>
          </cell>
          <cell r="AE45">
            <v>4872.7406899999996</v>
          </cell>
          <cell r="AF45">
            <v>4931.3701849999998</v>
          </cell>
          <cell r="AG45">
            <v>4989.8283869999996</v>
          </cell>
          <cell r="AH45">
            <v>5048.1623410000002</v>
          </cell>
          <cell r="AI45">
            <v>5106.4203010000001</v>
          </cell>
          <cell r="AJ45">
            <v>5164.6492079999998</v>
          </cell>
          <cell r="AK45">
            <v>5222.8937089999999</v>
          </cell>
        </row>
        <row r="46">
          <cell r="B46">
            <v>34437.588539999997</v>
          </cell>
          <cell r="C46">
            <v>34914.714209999998</v>
          </cell>
          <cell r="D46">
            <v>35477.2889</v>
          </cell>
          <cell r="E46">
            <v>36108.047740000002</v>
          </cell>
          <cell r="F46">
            <v>36790.777600000001</v>
          </cell>
          <cell r="G46">
            <v>37515.043899999997</v>
          </cell>
          <cell r="H46">
            <v>38298.039810000002</v>
          </cell>
          <cell r="I46">
            <v>39125.764329999998</v>
          </cell>
          <cell r="J46">
            <v>39979.937319999997</v>
          </cell>
          <cell r="K46">
            <v>40842.180899999999</v>
          </cell>
          <cell r="L46">
            <v>41698.173430000003</v>
          </cell>
          <cell r="M46">
            <v>42537.122629999998</v>
          </cell>
          <cell r="N46">
            <v>43354.521439999997</v>
          </cell>
          <cell r="O46">
            <v>44151.476170000002</v>
          </cell>
          <cell r="P46">
            <v>44932.242859999998</v>
          </cell>
          <cell r="Q46">
            <v>45701.656790000001</v>
          </cell>
          <cell r="R46">
            <v>46463.203909999997</v>
          </cell>
          <cell r="S46">
            <v>47218.220099999999</v>
          </cell>
          <cell r="T46">
            <v>47966.150240000003</v>
          </cell>
          <cell r="U46">
            <v>48705.42484</v>
          </cell>
          <cell r="V46">
            <v>49432.893360000002</v>
          </cell>
          <cell r="W46">
            <v>50147.793830000002</v>
          </cell>
          <cell r="X46">
            <v>50850.356699999997</v>
          </cell>
          <cell r="Y46">
            <v>51541.357459999999</v>
          </cell>
          <cell r="Z46">
            <v>52221.941070000001</v>
          </cell>
          <cell r="AA46">
            <v>52888.487370000003</v>
          </cell>
          <cell r="AB46">
            <v>53541.22754</v>
          </cell>
          <cell r="AC46">
            <v>54180.310969999999</v>
          </cell>
          <cell r="AD46">
            <v>54805.443610000002</v>
          </cell>
          <cell r="AE46">
            <v>55416.581100000003</v>
          </cell>
          <cell r="AF46">
            <v>56014.347779999996</v>
          </cell>
          <cell r="AG46">
            <v>56600.020129999997</v>
          </cell>
          <cell r="AH46">
            <v>57175.234210000002</v>
          </cell>
          <cell r="AI46">
            <v>57741.621800000001</v>
          </cell>
          <cell r="AJ46">
            <v>58300.543239999999</v>
          </cell>
          <cell r="AK46">
            <v>58852.993900000001</v>
          </cell>
        </row>
        <row r="47">
          <cell r="B47">
            <v>34437.588539999997</v>
          </cell>
          <cell r="C47">
            <v>34914.714209999998</v>
          </cell>
          <cell r="D47">
            <v>35477.2889</v>
          </cell>
          <cell r="E47">
            <v>36108.047740000002</v>
          </cell>
          <cell r="F47">
            <v>36790.777600000001</v>
          </cell>
          <cell r="G47">
            <v>37515.043899999997</v>
          </cell>
          <cell r="H47">
            <v>38273.913910000003</v>
          </cell>
          <cell r="I47">
            <v>39063.480510000001</v>
          </cell>
          <cell r="J47">
            <v>39880.221660000003</v>
          </cell>
          <cell r="K47">
            <v>40719.290489999999</v>
          </cell>
          <cell r="L47">
            <v>41576.090539999997</v>
          </cell>
          <cell r="M47">
            <v>42443.626940000002</v>
          </cell>
          <cell r="N47">
            <v>43315.430119999997</v>
          </cell>
          <cell r="O47">
            <v>44186.404880000002</v>
          </cell>
          <cell r="P47">
            <v>45052.662320000003</v>
          </cell>
          <cell r="Q47">
            <v>45911.320679999997</v>
          </cell>
          <cell r="R47">
            <v>46760.283049999998</v>
          </cell>
          <cell r="S47">
            <v>47597.936099999999</v>
          </cell>
          <cell r="T47">
            <v>48422.94369</v>
          </cell>
          <cell r="U47">
            <v>49234.2042</v>
          </cell>
          <cell r="V47">
            <v>50029.395759999999</v>
          </cell>
          <cell r="W47">
            <v>50808.306559999997</v>
          </cell>
          <cell r="X47">
            <v>51571.303800000002</v>
          </cell>
          <cell r="Y47">
            <v>52318.999080000001</v>
          </cell>
          <cell r="Z47">
            <v>53052.331590000002</v>
          </cell>
          <cell r="AA47">
            <v>53767.640359999998</v>
          </cell>
          <cell r="AB47">
            <v>54465.375379999998</v>
          </cell>
          <cell r="AC47">
            <v>55146.12412</v>
          </cell>
          <cell r="AD47">
            <v>55810.092850000001</v>
          </cell>
          <cell r="AE47">
            <v>56457.676780000002</v>
          </cell>
          <cell r="AF47">
            <v>57089.805099999998</v>
          </cell>
          <cell r="AG47">
            <v>57707.912170000003</v>
          </cell>
          <cell r="AH47">
            <v>58313.684220000003</v>
          </cell>
          <cell r="AI47">
            <v>58908.761789999997</v>
          </cell>
          <cell r="AJ47">
            <v>59494.53112</v>
          </cell>
          <cell r="AK47">
            <v>60072.06482</v>
          </cell>
        </row>
        <row r="48">
          <cell r="B48">
            <v>589.63165819999995</v>
          </cell>
          <cell r="C48">
            <v>597.80444639999996</v>
          </cell>
          <cell r="D48">
            <v>607.44736230000001</v>
          </cell>
          <cell r="E48">
            <v>618.26713840000002</v>
          </cell>
          <cell r="F48">
            <v>629.98567000000003</v>
          </cell>
          <cell r="G48">
            <v>642.42080229999999</v>
          </cell>
          <cell r="H48">
            <v>655.83036609999999</v>
          </cell>
          <cell r="I48">
            <v>669.98392969999998</v>
          </cell>
          <cell r="J48">
            <v>684.57294920000004</v>
          </cell>
          <cell r="K48">
            <v>699.29095459999996</v>
          </cell>
          <cell r="L48">
            <v>713.90232449999996</v>
          </cell>
          <cell r="M48">
            <v>728.22837449999997</v>
          </cell>
          <cell r="N48">
            <v>742.19465890000004</v>
          </cell>
          <cell r="O48">
            <v>755.8191041</v>
          </cell>
          <cell r="P48">
            <v>769.17117759999996</v>
          </cell>
          <cell r="Q48">
            <v>782.32974979999995</v>
          </cell>
          <cell r="R48">
            <v>795.35155269999996</v>
          </cell>
          <cell r="S48">
            <v>808.25810349999995</v>
          </cell>
          <cell r="T48">
            <v>821.03999190000002</v>
          </cell>
          <cell r="U48">
            <v>833.67129590000002</v>
          </cell>
          <cell r="V48">
            <v>846.0988188</v>
          </cell>
          <cell r="W48">
            <v>858.31084620000001</v>
          </cell>
          <cell r="X48">
            <v>870.3119567</v>
          </cell>
          <cell r="Y48">
            <v>882.11553170000002</v>
          </cell>
          <cell r="Z48">
            <v>893.74095580000005</v>
          </cell>
          <cell r="AA48">
            <v>905.12495100000001</v>
          </cell>
          <cell r="AB48">
            <v>916.27223330000004</v>
          </cell>
          <cell r="AC48">
            <v>927.18629469999996</v>
          </cell>
          <cell r="AD48">
            <v>937.8630842</v>
          </cell>
          <cell r="AE48">
            <v>948.30252129999997</v>
          </cell>
          <cell r="AF48">
            <v>958.51550129999998</v>
          </cell>
          <cell r="AG48">
            <v>968.52366059999997</v>
          </cell>
          <cell r="AH48">
            <v>978.35456469999997</v>
          </cell>
          <cell r="AI48">
            <v>988.03570999999999</v>
          </cell>
          <cell r="AJ48">
            <v>997.59011280000004</v>
          </cell>
          <cell r="AK48">
            <v>1007.03476</v>
          </cell>
        </row>
        <row r="49">
          <cell r="B49">
            <v>589.63165819999995</v>
          </cell>
          <cell r="C49">
            <v>597.80444639999996</v>
          </cell>
          <cell r="D49">
            <v>607.44736230000001</v>
          </cell>
          <cell r="E49">
            <v>618.26713840000002</v>
          </cell>
          <cell r="F49">
            <v>629.98567000000003</v>
          </cell>
          <cell r="G49">
            <v>642.42080229999999</v>
          </cell>
          <cell r="H49">
            <v>655.44816179999998</v>
          </cell>
          <cell r="I49">
            <v>668.99530319999997</v>
          </cell>
          <cell r="J49">
            <v>682.99811269999998</v>
          </cell>
          <cell r="K49">
            <v>697.3722004</v>
          </cell>
          <cell r="L49">
            <v>712.0402345</v>
          </cell>
          <cell r="M49">
            <v>726.88348340000005</v>
          </cell>
          <cell r="N49">
            <v>741.79272570000001</v>
          </cell>
          <cell r="O49">
            <v>756.68206080000004</v>
          </cell>
          <cell r="P49">
            <v>771.48591820000001</v>
          </cell>
          <cell r="Q49">
            <v>786.15574170000002</v>
          </cell>
          <cell r="R49">
            <v>800.656342</v>
          </cell>
          <cell r="S49">
            <v>814.96085310000001</v>
          </cell>
          <cell r="T49">
            <v>829.04721970000003</v>
          </cell>
          <cell r="U49">
            <v>842.89740930000005</v>
          </cell>
          <cell r="V49">
            <v>856.47199880000005</v>
          </cell>
          <cell r="W49">
            <v>869.76842199999999</v>
          </cell>
          <cell r="X49">
            <v>882.79359120000004</v>
          </cell>
          <cell r="Y49">
            <v>895.55825600000003</v>
          </cell>
          <cell r="Z49">
            <v>908.07846210000002</v>
          </cell>
          <cell r="AA49">
            <v>920.2902666</v>
          </cell>
          <cell r="AB49">
            <v>932.20195690000003</v>
          </cell>
          <cell r="AC49">
            <v>943.82426139999995</v>
          </cell>
          <cell r="AD49">
            <v>955.16140840000003</v>
          </cell>
          <cell r="AE49">
            <v>966.22061169999995</v>
          </cell>
          <cell r="AF49">
            <v>977.01785740000003</v>
          </cell>
          <cell r="AG49">
            <v>987.57746399999996</v>
          </cell>
          <cell r="AH49">
            <v>997.92791130000001</v>
          </cell>
          <cell r="AI49">
            <v>1008.0969270000001</v>
          </cell>
          <cell r="AJ49">
            <v>1018.108035</v>
          </cell>
          <cell r="AK49">
            <v>1027.979572</v>
          </cell>
        </row>
        <row r="50">
          <cell r="B50">
            <v>61002.51253</v>
          </cell>
          <cell r="C50">
            <v>61694.988810000003</v>
          </cell>
          <cell r="D50">
            <v>62368.911899999999</v>
          </cell>
          <cell r="E50">
            <v>63017.800669999997</v>
          </cell>
          <cell r="F50">
            <v>63643.584750000002</v>
          </cell>
          <cell r="G50">
            <v>64254.402439999998</v>
          </cell>
          <cell r="H50">
            <v>64893.295599999998</v>
          </cell>
          <cell r="I50">
            <v>65546.512279999995</v>
          </cell>
          <cell r="J50">
            <v>66196.29767</v>
          </cell>
          <cell r="K50">
            <v>66825.715670000005</v>
          </cell>
          <cell r="L50">
            <v>67423.442049999998</v>
          </cell>
          <cell r="M50">
            <v>67984.622199999998</v>
          </cell>
          <cell r="N50">
            <v>68512.187399999995</v>
          </cell>
          <cell r="O50">
            <v>69014.98487</v>
          </cell>
          <cell r="P50">
            <v>69504.078219999996</v>
          </cell>
          <cell r="Q50">
            <v>69989.317129999996</v>
          </cell>
          <cell r="R50">
            <v>70476.994439999995</v>
          </cell>
          <cell r="S50">
            <v>70969.594649999999</v>
          </cell>
          <cell r="T50">
            <v>71466.848629999993</v>
          </cell>
          <cell r="U50">
            <v>71967.322709999993</v>
          </cell>
          <cell r="V50">
            <v>72468.301049999995</v>
          </cell>
          <cell r="W50">
            <v>72969.606379999997</v>
          </cell>
          <cell r="X50">
            <v>73472.517470000006</v>
          </cell>
          <cell r="Y50">
            <v>73979.053209999998</v>
          </cell>
          <cell r="Z50">
            <v>74491.48186</v>
          </cell>
          <cell r="AA50">
            <v>75006.881259999995</v>
          </cell>
          <cell r="AB50">
            <v>75525.154540000003</v>
          </cell>
          <cell r="AC50">
            <v>76046.041429999997</v>
          </cell>
          <cell r="AD50">
            <v>76569.164669999998</v>
          </cell>
          <cell r="AE50">
            <v>77094.702990000005</v>
          </cell>
          <cell r="AF50">
            <v>77623.720430000001</v>
          </cell>
          <cell r="AG50">
            <v>78157.996710000007</v>
          </cell>
          <cell r="AH50">
            <v>78699.568280000007</v>
          </cell>
          <cell r="AI50">
            <v>79250.227350000001</v>
          </cell>
          <cell r="AJ50">
            <v>79811.241399999999</v>
          </cell>
          <cell r="AK50">
            <v>80383.331319999998</v>
          </cell>
        </row>
        <row r="51">
          <cell r="B51">
            <v>61002.51253</v>
          </cell>
          <cell r="C51">
            <v>61694.988810000003</v>
          </cell>
          <cell r="D51">
            <v>62368.911899999999</v>
          </cell>
          <cell r="E51">
            <v>63017.800669999997</v>
          </cell>
          <cell r="F51">
            <v>63643.584750000002</v>
          </cell>
          <cell r="G51">
            <v>64254.402439999998</v>
          </cell>
          <cell r="H51">
            <v>64859.453990000002</v>
          </cell>
          <cell r="I51">
            <v>65467.024250000002</v>
          </cell>
          <cell r="J51">
            <v>66081.895610000007</v>
          </cell>
          <cell r="K51">
            <v>66704.558019999997</v>
          </cell>
          <cell r="L51">
            <v>67333.982629999999</v>
          </cell>
          <cell r="M51">
            <v>67966.572270000004</v>
          </cell>
          <cell r="N51">
            <v>68598.986040000003</v>
          </cell>
          <cell r="O51">
            <v>69229.160690000004</v>
          </cell>
          <cell r="P51">
            <v>69856.100359999997</v>
          </cell>
          <cell r="Q51">
            <v>70479.492610000001</v>
          </cell>
          <cell r="R51">
            <v>71099.359769999995</v>
          </cell>
          <cell r="S51">
            <v>71715.781029999998</v>
          </cell>
          <cell r="T51">
            <v>72328.799840000007</v>
          </cell>
          <cell r="U51">
            <v>72938.512340000001</v>
          </cell>
          <cell r="V51">
            <v>73543.712180000002</v>
          </cell>
          <cell r="W51">
            <v>74144.985889999996</v>
          </cell>
          <cell r="X51">
            <v>74743.649290000001</v>
          </cell>
          <cell r="Y51">
            <v>75341.393620000003</v>
          </cell>
          <cell r="Z51">
            <v>75940.204580000005</v>
          </cell>
          <cell r="AA51">
            <v>76537.180519999994</v>
          </cell>
          <cell r="AB51">
            <v>77132.682360000006</v>
          </cell>
          <cell r="AC51">
            <v>77727.146470000007</v>
          </cell>
          <cell r="AD51">
            <v>78320.887459999998</v>
          </cell>
          <cell r="AE51">
            <v>78914.656180000005</v>
          </cell>
          <cell r="AF51">
            <v>79509.896129999994</v>
          </cell>
          <cell r="AG51">
            <v>80108.581099999996</v>
          </cell>
          <cell r="AH51">
            <v>80712.827770000004</v>
          </cell>
          <cell r="AI51">
            <v>81324.513009999995</v>
          </cell>
          <cell r="AJ51">
            <v>81945.045060000004</v>
          </cell>
          <cell r="AK51">
            <v>82575.363070000007</v>
          </cell>
        </row>
        <row r="52">
          <cell r="B52">
            <v>815.07530970000005</v>
          </cell>
          <cell r="C52">
            <v>824.32772060000002</v>
          </cell>
          <cell r="D52">
            <v>833.33223620000001</v>
          </cell>
          <cell r="E52">
            <v>842.00225969999997</v>
          </cell>
          <cell r="F52">
            <v>850.36357350000003</v>
          </cell>
          <cell r="G52">
            <v>858.52491629999997</v>
          </cell>
          <cell r="H52">
            <v>867.06138510000005</v>
          </cell>
          <cell r="I52">
            <v>875.78923520000001</v>
          </cell>
          <cell r="J52">
            <v>884.47123880000004</v>
          </cell>
          <cell r="K52">
            <v>892.88110670000003</v>
          </cell>
          <cell r="L52">
            <v>900.86753190000002</v>
          </cell>
          <cell r="M52">
            <v>908.36565080000003</v>
          </cell>
          <cell r="N52">
            <v>915.41462879999995</v>
          </cell>
          <cell r="O52">
            <v>922.13267670000005</v>
          </cell>
          <cell r="P52">
            <v>928.66761929999996</v>
          </cell>
          <cell r="Q52">
            <v>935.15106130000004</v>
          </cell>
          <cell r="R52">
            <v>941.66708359999996</v>
          </cell>
          <cell r="S52">
            <v>948.2488826</v>
          </cell>
          <cell r="T52">
            <v>954.89286200000004</v>
          </cell>
          <cell r="U52">
            <v>961.57986640000001</v>
          </cell>
          <cell r="V52">
            <v>968.27360829999998</v>
          </cell>
          <cell r="W52">
            <v>974.97171909999997</v>
          </cell>
          <cell r="X52">
            <v>981.6912853</v>
          </cell>
          <cell r="Y52">
            <v>988.45928149999997</v>
          </cell>
          <cell r="Z52">
            <v>995.30601490000004</v>
          </cell>
          <cell r="AA52">
            <v>1002.192442</v>
          </cell>
          <cell r="AB52">
            <v>1009.117267</v>
          </cell>
          <cell r="AC52">
            <v>1016.077014</v>
          </cell>
          <cell r="AD52">
            <v>1023.066641</v>
          </cell>
          <cell r="AE52">
            <v>1030.0885370000001</v>
          </cell>
          <cell r="AF52">
            <v>1037.156919</v>
          </cell>
          <cell r="AG52">
            <v>1044.295566</v>
          </cell>
          <cell r="AH52">
            <v>1051.531688</v>
          </cell>
          <cell r="AI52">
            <v>1058.8892310000001</v>
          </cell>
          <cell r="AJ52">
            <v>1066.385131</v>
          </cell>
          <cell r="AK52">
            <v>1074.0290190000001</v>
          </cell>
        </row>
        <row r="53">
          <cell r="B53">
            <v>815.07530970000005</v>
          </cell>
          <cell r="C53">
            <v>824.32772060000002</v>
          </cell>
          <cell r="D53">
            <v>833.33223620000001</v>
          </cell>
          <cell r="E53">
            <v>842.00225969999997</v>
          </cell>
          <cell r="F53">
            <v>850.36357350000003</v>
          </cell>
          <cell r="G53">
            <v>858.52491629999997</v>
          </cell>
          <cell r="H53">
            <v>866.60921589999998</v>
          </cell>
          <cell r="I53">
            <v>874.72716860000003</v>
          </cell>
          <cell r="J53">
            <v>882.94267390000005</v>
          </cell>
          <cell r="K53">
            <v>891.2622781</v>
          </cell>
          <cell r="L53">
            <v>899.67223430000001</v>
          </cell>
          <cell r="M53">
            <v>908.12447959999997</v>
          </cell>
          <cell r="N53">
            <v>916.57437500000003</v>
          </cell>
          <cell r="O53">
            <v>924.99435259999996</v>
          </cell>
          <cell r="P53">
            <v>933.37110670000004</v>
          </cell>
          <cell r="Q53">
            <v>941.70046249999996</v>
          </cell>
          <cell r="R53">
            <v>949.98271839999995</v>
          </cell>
          <cell r="S53">
            <v>958.21893239999997</v>
          </cell>
          <cell r="T53">
            <v>966.40968520000001</v>
          </cell>
          <cell r="U53">
            <v>974.55626110000003</v>
          </cell>
          <cell r="V53">
            <v>982.64254189999997</v>
          </cell>
          <cell r="W53">
            <v>990.67636440000001</v>
          </cell>
          <cell r="X53">
            <v>998.67530969999996</v>
          </cell>
          <cell r="Y53">
            <v>1006.661975</v>
          </cell>
          <cell r="Z53">
            <v>1014.6628920000001</v>
          </cell>
          <cell r="AA53">
            <v>1022.63929</v>
          </cell>
          <cell r="AB53">
            <v>1030.5959929999999</v>
          </cell>
          <cell r="AC53">
            <v>1038.53883</v>
          </cell>
          <cell r="AD53">
            <v>1046.4720050000001</v>
          </cell>
          <cell r="AE53">
            <v>1054.4055510000001</v>
          </cell>
          <cell r="AF53">
            <v>1062.3587540000001</v>
          </cell>
          <cell r="AG53">
            <v>1070.357988</v>
          </cell>
          <cell r="AH53">
            <v>1078.4315329999999</v>
          </cell>
          <cell r="AI53">
            <v>1086.6044670000001</v>
          </cell>
          <cell r="AJ53">
            <v>1094.8956069999999</v>
          </cell>
          <cell r="AK53">
            <v>1103.3175000000001</v>
          </cell>
        </row>
        <row r="54">
          <cell r="B54">
            <v>3114.2193440000001</v>
          </cell>
          <cell r="C54">
            <v>3149.5707240000002</v>
          </cell>
          <cell r="D54">
            <v>3183.974952</v>
          </cell>
          <cell r="E54">
            <v>3217.1011600000002</v>
          </cell>
          <cell r="F54">
            <v>3249.0478589999998</v>
          </cell>
          <cell r="G54">
            <v>3280.230513</v>
          </cell>
          <cell r="H54">
            <v>3312.8464399999998</v>
          </cell>
          <cell r="I54">
            <v>3346.1935910000002</v>
          </cell>
          <cell r="J54">
            <v>3379.365573</v>
          </cell>
          <cell r="K54">
            <v>3411.4977859999999</v>
          </cell>
          <cell r="L54">
            <v>3442.012119</v>
          </cell>
          <cell r="M54">
            <v>3470.6607439999998</v>
          </cell>
          <cell r="N54">
            <v>3497.5933030000001</v>
          </cell>
          <cell r="O54">
            <v>3523.2614520000002</v>
          </cell>
          <cell r="P54">
            <v>3548.2299969999999</v>
          </cell>
          <cell r="Q54">
            <v>3573.0017699999999</v>
          </cell>
          <cell r="R54">
            <v>3597.898025</v>
          </cell>
          <cell r="S54">
            <v>3623.0455980000002</v>
          </cell>
          <cell r="T54">
            <v>3648.4307480000002</v>
          </cell>
          <cell r="U54">
            <v>3673.9802869999999</v>
          </cell>
          <cell r="V54">
            <v>3699.5555690000001</v>
          </cell>
          <cell r="W54">
            <v>3725.147543</v>
          </cell>
          <cell r="X54">
            <v>3750.8214929999999</v>
          </cell>
          <cell r="Y54">
            <v>3776.680484</v>
          </cell>
          <cell r="Z54">
            <v>3802.8403119999998</v>
          </cell>
          <cell r="AA54">
            <v>3829.1517979999999</v>
          </cell>
          <cell r="AB54">
            <v>3855.6099979999999</v>
          </cell>
          <cell r="AC54">
            <v>3882.2016239999998</v>
          </cell>
          <cell r="AD54">
            <v>3908.9074179999998</v>
          </cell>
          <cell r="AE54">
            <v>3935.7365030000001</v>
          </cell>
          <cell r="AF54">
            <v>3962.7431999999999</v>
          </cell>
          <cell r="AG54">
            <v>3990.018364</v>
          </cell>
          <cell r="AH54">
            <v>4017.6659570000002</v>
          </cell>
          <cell r="AI54">
            <v>4045.777474</v>
          </cell>
          <cell r="AJ54">
            <v>4074.4176179999999</v>
          </cell>
          <cell r="AK54">
            <v>4103.6231939999998</v>
          </cell>
        </row>
        <row r="55">
          <cell r="B55">
            <v>3114.2193440000001</v>
          </cell>
          <cell r="C55">
            <v>3149.5707240000002</v>
          </cell>
          <cell r="D55">
            <v>3183.974952</v>
          </cell>
          <cell r="E55">
            <v>3217.1011600000002</v>
          </cell>
          <cell r="F55">
            <v>3249.0478589999998</v>
          </cell>
          <cell r="G55">
            <v>3280.230513</v>
          </cell>
          <cell r="H55">
            <v>3311.1188029999998</v>
          </cell>
          <cell r="I55">
            <v>3342.1356730000002</v>
          </cell>
          <cell r="J55">
            <v>3373.5252700000001</v>
          </cell>
          <cell r="K55">
            <v>3405.312606</v>
          </cell>
          <cell r="L55">
            <v>3437.4451560000002</v>
          </cell>
          <cell r="M55">
            <v>3469.7392829999999</v>
          </cell>
          <cell r="N55">
            <v>3502.0244320000002</v>
          </cell>
          <cell r="O55">
            <v>3534.1952719999999</v>
          </cell>
          <cell r="P55">
            <v>3566.2009640000001</v>
          </cell>
          <cell r="Q55">
            <v>3598.0255579999998</v>
          </cell>
          <cell r="R55">
            <v>3629.6701950000001</v>
          </cell>
          <cell r="S55">
            <v>3661.138915</v>
          </cell>
          <cell r="T55">
            <v>3692.4339380000001</v>
          </cell>
          <cell r="U55">
            <v>3723.560172</v>
          </cell>
          <cell r="V55">
            <v>3754.4560310000002</v>
          </cell>
          <cell r="W55">
            <v>3785.1514590000002</v>
          </cell>
          <cell r="X55">
            <v>3815.7136289999999</v>
          </cell>
          <cell r="Y55">
            <v>3846.2288789999998</v>
          </cell>
          <cell r="Z55">
            <v>3876.7985819999999</v>
          </cell>
          <cell r="AA55">
            <v>3907.2746059999999</v>
          </cell>
          <cell r="AB55">
            <v>3937.6753760000001</v>
          </cell>
          <cell r="AC55">
            <v>3968.0231690000001</v>
          </cell>
          <cell r="AD55">
            <v>3998.3340459999999</v>
          </cell>
          <cell r="AE55">
            <v>4028.6463389999999</v>
          </cell>
          <cell r="AF55">
            <v>4059.033739</v>
          </cell>
          <cell r="AG55">
            <v>4089.5970109999998</v>
          </cell>
          <cell r="AH55">
            <v>4120.4442099999997</v>
          </cell>
          <cell r="AI55">
            <v>4151.6711530000002</v>
          </cell>
          <cell r="AJ55">
            <v>4183.3497319999997</v>
          </cell>
          <cell r="AK55">
            <v>4215.5278909999997</v>
          </cell>
        </row>
        <row r="56">
          <cell r="B56">
            <v>1481.0098419999999</v>
          </cell>
          <cell r="C56">
            <v>1497.8216769999999</v>
          </cell>
          <cell r="D56">
            <v>1514.1830809999999</v>
          </cell>
          <cell r="E56">
            <v>1529.9367050000001</v>
          </cell>
          <cell r="F56">
            <v>1545.1293969999999</v>
          </cell>
          <cell r="G56">
            <v>1559.9587369999999</v>
          </cell>
          <cell r="H56">
            <v>1575.4696899999999</v>
          </cell>
          <cell r="I56">
            <v>1591.3283859999999</v>
          </cell>
          <cell r="J56">
            <v>1607.1037779999999</v>
          </cell>
          <cell r="K56">
            <v>1622.3846940000001</v>
          </cell>
          <cell r="L56">
            <v>1636.896205</v>
          </cell>
          <cell r="M56">
            <v>1650.5204530000001</v>
          </cell>
          <cell r="N56">
            <v>1663.328602</v>
          </cell>
          <cell r="O56">
            <v>1675.535443</v>
          </cell>
          <cell r="P56">
            <v>1687.409578</v>
          </cell>
          <cell r="Q56">
            <v>1699.1901350000001</v>
          </cell>
          <cell r="R56">
            <v>1711.029892</v>
          </cell>
          <cell r="S56">
            <v>1722.9891660000001</v>
          </cell>
          <cell r="T56">
            <v>1735.0614230000001</v>
          </cell>
          <cell r="U56">
            <v>1747.2118579999999</v>
          </cell>
          <cell r="V56">
            <v>1759.3745349999999</v>
          </cell>
          <cell r="W56">
            <v>1771.5451499999999</v>
          </cell>
          <cell r="X56">
            <v>1783.7547500000001</v>
          </cell>
          <cell r="Y56">
            <v>1796.052349</v>
          </cell>
          <cell r="Z56">
            <v>1808.493015</v>
          </cell>
          <cell r="AA56">
            <v>1821.0058039999999</v>
          </cell>
          <cell r="AB56">
            <v>1833.5883650000001</v>
          </cell>
          <cell r="AC56">
            <v>1846.234379</v>
          </cell>
          <cell r="AD56">
            <v>1858.9346860000001</v>
          </cell>
          <cell r="AE56">
            <v>1871.6936270000001</v>
          </cell>
          <cell r="AF56">
            <v>1884.5370330000001</v>
          </cell>
          <cell r="AG56">
            <v>1897.508112</v>
          </cell>
          <cell r="AH56">
            <v>1910.656305</v>
          </cell>
          <cell r="AI56">
            <v>1924.025124</v>
          </cell>
          <cell r="AJ56">
            <v>1937.645338</v>
          </cell>
          <cell r="AK56">
            <v>1951.5344520000001</v>
          </cell>
        </row>
        <row r="57">
          <cell r="B57">
            <v>1481.0098419999999</v>
          </cell>
          <cell r="C57">
            <v>1497.8216769999999</v>
          </cell>
          <cell r="D57">
            <v>1514.1830809999999</v>
          </cell>
          <cell r="E57">
            <v>1529.9367050000001</v>
          </cell>
          <cell r="F57">
            <v>1545.1293969999999</v>
          </cell>
          <cell r="G57">
            <v>1559.9587369999999</v>
          </cell>
          <cell r="H57">
            <v>1574.6480879999999</v>
          </cell>
          <cell r="I57">
            <v>1589.398588</v>
          </cell>
          <cell r="J57">
            <v>1604.3263420000001</v>
          </cell>
          <cell r="K57">
            <v>1619.4432469999999</v>
          </cell>
          <cell r="L57">
            <v>1634.7243229999999</v>
          </cell>
          <cell r="M57">
            <v>1650.0822390000001</v>
          </cell>
          <cell r="N57">
            <v>1665.435886</v>
          </cell>
          <cell r="O57">
            <v>1680.735171</v>
          </cell>
          <cell r="P57">
            <v>1695.955919</v>
          </cell>
          <cell r="Q57">
            <v>1711.0905419999999</v>
          </cell>
          <cell r="R57">
            <v>1726.139584</v>
          </cell>
          <cell r="S57">
            <v>1741.104967</v>
          </cell>
          <cell r="T57">
            <v>1755.9877449999999</v>
          </cell>
          <cell r="U57">
            <v>1770.790254</v>
          </cell>
          <cell r="V57">
            <v>1785.483205</v>
          </cell>
          <cell r="W57">
            <v>1800.0808380000001</v>
          </cell>
          <cell r="X57">
            <v>1814.615098</v>
          </cell>
          <cell r="Y57">
            <v>1829.127045</v>
          </cell>
          <cell r="Z57">
            <v>1843.664888</v>
          </cell>
          <cell r="AA57">
            <v>1858.1581799999999</v>
          </cell>
          <cell r="AB57">
            <v>1872.6156840000001</v>
          </cell>
          <cell r="AC57">
            <v>1887.0479949999999</v>
          </cell>
          <cell r="AD57">
            <v>1901.462749</v>
          </cell>
          <cell r="AE57">
            <v>1915.8781770000001</v>
          </cell>
          <cell r="AF57">
            <v>1930.3293229999999</v>
          </cell>
          <cell r="AG57">
            <v>1944.8641070000001</v>
          </cell>
          <cell r="AH57">
            <v>1959.533917</v>
          </cell>
          <cell r="AI57">
            <v>1974.3843199999999</v>
          </cell>
          <cell r="AJ57">
            <v>1989.4495039999999</v>
          </cell>
          <cell r="AK57">
            <v>2004.7522690000001</v>
          </cell>
        </row>
        <row r="58">
          <cell r="B58">
            <v>2902.6942389999999</v>
          </cell>
          <cell r="C58">
            <v>2935.6444700000002</v>
          </cell>
          <cell r="D58">
            <v>2967.7118820000001</v>
          </cell>
          <cell r="E58">
            <v>2998.5880809999999</v>
          </cell>
          <cell r="F58">
            <v>3028.3648840000001</v>
          </cell>
          <cell r="G58">
            <v>3057.4295400000001</v>
          </cell>
          <cell r="H58">
            <v>3087.8301150000002</v>
          </cell>
          <cell r="I58">
            <v>3118.9122499999999</v>
          </cell>
          <cell r="J58">
            <v>3149.8311130000002</v>
          </cell>
          <cell r="K58">
            <v>3179.7808300000002</v>
          </cell>
          <cell r="L58">
            <v>3208.2225579999999</v>
          </cell>
          <cell r="M58">
            <v>3234.9253010000002</v>
          </cell>
          <cell r="N58">
            <v>3260.0285370000001</v>
          </cell>
          <cell r="O58">
            <v>3283.9532450000002</v>
          </cell>
          <cell r="P58">
            <v>3307.225868</v>
          </cell>
          <cell r="Q58">
            <v>3330.3150839999998</v>
          </cell>
          <cell r="R58">
            <v>3353.5203270000002</v>
          </cell>
          <cell r="S58">
            <v>3376.9598169999999</v>
          </cell>
          <cell r="T58">
            <v>3400.6207479999998</v>
          </cell>
          <cell r="U58">
            <v>3424.4349029999998</v>
          </cell>
          <cell r="V58">
            <v>3448.2730510000001</v>
          </cell>
          <cell r="W58">
            <v>3472.1267579999999</v>
          </cell>
          <cell r="X58">
            <v>3496.056873</v>
          </cell>
          <cell r="Y58">
            <v>3520.1594599999999</v>
          </cell>
          <cell r="Z58">
            <v>3544.5424509999998</v>
          </cell>
          <cell r="AA58">
            <v>3569.0667990000002</v>
          </cell>
          <cell r="AB58">
            <v>3593.7278959999999</v>
          </cell>
          <cell r="AC58">
            <v>3618.5133559999999</v>
          </cell>
          <cell r="AD58">
            <v>3643.4052299999998</v>
          </cell>
          <cell r="AE58">
            <v>3668.4120210000001</v>
          </cell>
          <cell r="AF58">
            <v>3693.5843580000001</v>
          </cell>
          <cell r="AG58">
            <v>3719.0069290000001</v>
          </cell>
          <cell r="AH58">
            <v>3744.7766329999999</v>
          </cell>
          <cell r="AI58">
            <v>3770.9787489999999</v>
          </cell>
          <cell r="AJ58">
            <v>3797.6735880000001</v>
          </cell>
          <cell r="AK58">
            <v>3824.8954520000002</v>
          </cell>
        </row>
        <row r="59">
          <cell r="B59">
            <v>2902.6942389999999</v>
          </cell>
          <cell r="C59">
            <v>2935.6444700000002</v>
          </cell>
          <cell r="D59">
            <v>2967.7118820000001</v>
          </cell>
          <cell r="E59">
            <v>2998.5880809999999</v>
          </cell>
          <cell r="F59">
            <v>3028.3648840000001</v>
          </cell>
          <cell r="G59">
            <v>3057.4295400000001</v>
          </cell>
          <cell r="H59">
            <v>3086.2198239999998</v>
          </cell>
          <cell r="I59">
            <v>3115.1299549999999</v>
          </cell>
          <cell r="J59">
            <v>3144.3874970000002</v>
          </cell>
          <cell r="K59">
            <v>3174.015762</v>
          </cell>
          <cell r="L59">
            <v>3203.9657940000002</v>
          </cell>
          <cell r="M59">
            <v>3234.0664280000001</v>
          </cell>
          <cell r="N59">
            <v>3264.1586940000002</v>
          </cell>
          <cell r="O59">
            <v>3294.1444139999999</v>
          </cell>
          <cell r="P59">
            <v>3323.9762049999999</v>
          </cell>
          <cell r="Q59">
            <v>3353.6391979999999</v>
          </cell>
          <cell r="R59">
            <v>3383.1344559999998</v>
          </cell>
          <cell r="S59">
            <v>3412.4657459999999</v>
          </cell>
          <cell r="T59">
            <v>3441.6351380000001</v>
          </cell>
          <cell r="U59">
            <v>3470.6472039999999</v>
          </cell>
          <cell r="V59">
            <v>3499.444544</v>
          </cell>
          <cell r="W59">
            <v>3528.0550669999998</v>
          </cell>
          <cell r="X59">
            <v>3556.5413819999999</v>
          </cell>
          <cell r="Y59">
            <v>3584.9839649999999</v>
          </cell>
          <cell r="Z59">
            <v>3613.4773009999999</v>
          </cell>
          <cell r="AA59">
            <v>3641.8833220000001</v>
          </cell>
          <cell r="AB59">
            <v>3670.2192</v>
          </cell>
          <cell r="AC59">
            <v>3698.5057000000002</v>
          </cell>
          <cell r="AD59">
            <v>3726.757791</v>
          </cell>
          <cell r="AE59">
            <v>3755.0112020000001</v>
          </cell>
          <cell r="AF59">
            <v>3783.3346179999999</v>
          </cell>
          <cell r="AG59">
            <v>3811.8219600000002</v>
          </cell>
          <cell r="AH59">
            <v>3840.5739450000001</v>
          </cell>
          <cell r="AI59">
            <v>3869.679881</v>
          </cell>
          <cell r="AJ59">
            <v>3899.2067769999999</v>
          </cell>
          <cell r="AK59">
            <v>3929.1993189999998</v>
          </cell>
        </row>
        <row r="60">
          <cell r="B60">
            <v>825.73111849999998</v>
          </cell>
          <cell r="C60">
            <v>835.10449000000006</v>
          </cell>
          <cell r="D60">
            <v>844.2267253</v>
          </cell>
          <cell r="E60">
            <v>853.01009539999995</v>
          </cell>
          <cell r="F60">
            <v>861.48072009999998</v>
          </cell>
          <cell r="G60">
            <v>869.74875950000001</v>
          </cell>
          <cell r="H60">
            <v>878.39682900000003</v>
          </cell>
          <cell r="I60">
            <v>887.23878179999997</v>
          </cell>
          <cell r="J60">
            <v>896.03428870000005</v>
          </cell>
          <cell r="K60">
            <v>904.55410219999999</v>
          </cell>
          <cell r="L60">
            <v>912.64493719999996</v>
          </cell>
          <cell r="M60">
            <v>920.24108200000001</v>
          </cell>
          <cell r="N60">
            <v>927.38221420000002</v>
          </cell>
          <cell r="O60">
            <v>934.18808979999994</v>
          </cell>
          <cell r="P60">
            <v>940.80846629999996</v>
          </cell>
          <cell r="Q60">
            <v>947.37666899999999</v>
          </cell>
          <cell r="R60">
            <v>953.97787789999995</v>
          </cell>
          <cell r="S60">
            <v>960.64572339999995</v>
          </cell>
          <cell r="T60">
            <v>967.37656230000005</v>
          </cell>
          <cell r="U60">
            <v>974.15098850000004</v>
          </cell>
          <cell r="V60">
            <v>980.93224039999996</v>
          </cell>
          <cell r="W60">
            <v>987.71791840000003</v>
          </cell>
          <cell r="X60">
            <v>994.52533210000001</v>
          </cell>
          <cell r="Y60">
            <v>1001.381809</v>
          </cell>
          <cell r="Z60">
            <v>1008.318053</v>
          </cell>
          <cell r="AA60">
            <v>1015.294508</v>
          </cell>
          <cell r="AB60">
            <v>1022.3098649999999</v>
          </cell>
          <cell r="AC60">
            <v>1029.3605990000001</v>
          </cell>
          <cell r="AD60">
            <v>1036.441605</v>
          </cell>
          <cell r="AE60">
            <v>1043.5553010000001</v>
          </cell>
          <cell r="AF60">
            <v>1050.716091</v>
          </cell>
          <cell r="AG60">
            <v>1057.9480639999999</v>
          </cell>
          <cell r="AH60">
            <v>1065.278787</v>
          </cell>
          <cell r="AI60">
            <v>1072.732518</v>
          </cell>
          <cell r="AJ60">
            <v>1080.3264140000001</v>
          </cell>
          <cell r="AK60">
            <v>1088.070234</v>
          </cell>
        </row>
        <row r="61">
          <cell r="B61">
            <v>825.73111849999998</v>
          </cell>
          <cell r="C61">
            <v>835.10449000000006</v>
          </cell>
          <cell r="D61">
            <v>844.2267253</v>
          </cell>
          <cell r="E61">
            <v>853.01009539999995</v>
          </cell>
          <cell r="F61">
            <v>861.48072009999998</v>
          </cell>
          <cell r="G61">
            <v>869.74875950000001</v>
          </cell>
          <cell r="H61">
            <v>877.93874830000004</v>
          </cell>
          <cell r="I61">
            <v>886.1628303</v>
          </cell>
          <cell r="J61">
            <v>894.48574020000001</v>
          </cell>
          <cell r="K61">
            <v>902.91411000000005</v>
          </cell>
          <cell r="L61">
            <v>911.43401300000005</v>
          </cell>
          <cell r="M61">
            <v>919.99675779999995</v>
          </cell>
          <cell r="N61">
            <v>928.55712210000002</v>
          </cell>
          <cell r="O61">
            <v>937.08717760000002</v>
          </cell>
          <cell r="P61">
            <v>945.57344439999997</v>
          </cell>
          <cell r="Q61">
            <v>954.01169319999997</v>
          </cell>
          <cell r="R61">
            <v>962.40222640000002</v>
          </cell>
          <cell r="S61">
            <v>970.74611570000002</v>
          </cell>
          <cell r="T61">
            <v>979.04394950000005</v>
          </cell>
          <cell r="U61">
            <v>987.29702889999999</v>
          </cell>
          <cell r="V61">
            <v>995.48902499999997</v>
          </cell>
          <cell r="W61">
            <v>1003.627877</v>
          </cell>
          <cell r="X61">
            <v>1011.731396</v>
          </cell>
          <cell r="Y61">
            <v>1019.8224740000001</v>
          </cell>
          <cell r="Z61">
            <v>1027.9279899999999</v>
          </cell>
          <cell r="AA61">
            <v>1036.0086670000001</v>
          </cell>
          <cell r="AB61">
            <v>1044.069391</v>
          </cell>
          <cell r="AC61">
            <v>1052.116068</v>
          </cell>
          <cell r="AD61">
            <v>1060.1529559999999</v>
          </cell>
          <cell r="AE61">
            <v>1068.1902210000001</v>
          </cell>
          <cell r="AF61">
            <v>1076.2473990000001</v>
          </cell>
          <cell r="AG61">
            <v>1084.35121</v>
          </cell>
          <cell r="AH61">
            <v>1092.5303039999999</v>
          </cell>
          <cell r="AI61">
            <v>1100.8100870000001</v>
          </cell>
          <cell r="AJ61">
            <v>1109.2096200000001</v>
          </cell>
          <cell r="AK61">
            <v>1117.741616</v>
          </cell>
        </row>
        <row r="62">
          <cell r="B62">
            <v>8364.1693240000004</v>
          </cell>
          <cell r="C62">
            <v>8459.1160500000005</v>
          </cell>
          <cell r="D62">
            <v>8551.5189140000002</v>
          </cell>
          <cell r="E62">
            <v>8640.4892739999996</v>
          </cell>
          <cell r="F62">
            <v>8726.2917070000003</v>
          </cell>
          <cell r="G62">
            <v>8810.0420699999995</v>
          </cell>
          <cell r="H62">
            <v>8897.6419150000002</v>
          </cell>
          <cell r="I62">
            <v>8987.2056830000001</v>
          </cell>
          <cell r="J62">
            <v>9076.2989820000003</v>
          </cell>
          <cell r="K62">
            <v>9162.5996680000007</v>
          </cell>
          <cell r="L62">
            <v>9244.5550559999992</v>
          </cell>
          <cell r="M62">
            <v>9321.4995240000007</v>
          </cell>
          <cell r="N62">
            <v>9393.8349820000003</v>
          </cell>
          <cell r="O62">
            <v>9462.7744889999994</v>
          </cell>
          <cell r="P62">
            <v>9529.8349990000006</v>
          </cell>
          <cell r="Q62">
            <v>9596.3670189999993</v>
          </cell>
          <cell r="R62">
            <v>9663.2333729999991</v>
          </cell>
          <cell r="S62">
            <v>9730.7747159999999</v>
          </cell>
          <cell r="T62">
            <v>9798.9541449999997</v>
          </cell>
          <cell r="U62">
            <v>9867.5750879999996</v>
          </cell>
          <cell r="V62">
            <v>9936.2651709999991</v>
          </cell>
          <cell r="W62">
            <v>10005.00009</v>
          </cell>
          <cell r="X62">
            <v>10073.955169999999</v>
          </cell>
          <cell r="Y62">
            <v>10143.40724</v>
          </cell>
          <cell r="Z62">
            <v>10213.667299999999</v>
          </cell>
          <cell r="AA62">
            <v>10284.33468</v>
          </cell>
          <cell r="AB62">
            <v>10355.39611</v>
          </cell>
          <cell r="AC62">
            <v>10426.81589</v>
          </cell>
          <cell r="AD62">
            <v>10498.542299999999</v>
          </cell>
          <cell r="AE62">
            <v>10570.599850000001</v>
          </cell>
          <cell r="AF62">
            <v>10643.13443</v>
          </cell>
          <cell r="AG62">
            <v>10716.39005</v>
          </cell>
          <cell r="AH62">
            <v>10790.64595</v>
          </cell>
          <cell r="AI62">
            <v>10866.147849999999</v>
          </cell>
          <cell r="AJ62">
            <v>10943.06954</v>
          </cell>
          <cell r="AK62">
            <v>11021.50987</v>
          </cell>
        </row>
        <row r="63">
          <cell r="B63">
            <v>8364.1693240000004</v>
          </cell>
          <cell r="C63">
            <v>8459.1160500000005</v>
          </cell>
          <cell r="D63">
            <v>8551.5189140000002</v>
          </cell>
          <cell r="E63">
            <v>8640.4892739999996</v>
          </cell>
          <cell r="F63">
            <v>8726.2917070000003</v>
          </cell>
          <cell r="G63">
            <v>8810.0420699999995</v>
          </cell>
          <cell r="H63">
            <v>8893.0018280000004</v>
          </cell>
          <cell r="I63">
            <v>8976.3069300000006</v>
          </cell>
          <cell r="J63">
            <v>9060.6130990000001</v>
          </cell>
          <cell r="K63">
            <v>9145.9875150000007</v>
          </cell>
          <cell r="L63">
            <v>9232.2891080000009</v>
          </cell>
          <cell r="M63">
            <v>9319.0246640000005</v>
          </cell>
          <cell r="N63">
            <v>9405.7361070000006</v>
          </cell>
          <cell r="O63">
            <v>9492.140539</v>
          </cell>
          <cell r="P63">
            <v>9578.1014169999999</v>
          </cell>
          <cell r="Q63">
            <v>9663.5759020000005</v>
          </cell>
          <cell r="R63">
            <v>9748.5670549999995</v>
          </cell>
          <cell r="S63">
            <v>9833.0857340000002</v>
          </cell>
          <cell r="T63">
            <v>9917.1378980000009</v>
          </cell>
          <cell r="U63">
            <v>10000.736730000001</v>
          </cell>
          <cell r="V63">
            <v>10083.71681</v>
          </cell>
          <cell r="W63">
            <v>10166.158589999999</v>
          </cell>
          <cell r="X63">
            <v>10248.24245</v>
          </cell>
          <cell r="Y63">
            <v>10330.2003</v>
          </cell>
          <cell r="Z63">
            <v>10412.304400000001</v>
          </cell>
          <cell r="AA63">
            <v>10494.15689</v>
          </cell>
          <cell r="AB63">
            <v>10575.807269999999</v>
          </cell>
          <cell r="AC63">
            <v>10657.31537</v>
          </cell>
          <cell r="AD63">
            <v>10738.72431</v>
          </cell>
          <cell r="AE63">
            <v>10820.137059999999</v>
          </cell>
          <cell r="AF63">
            <v>10901.75153</v>
          </cell>
          <cell r="AG63">
            <v>10983.83835</v>
          </cell>
          <cell r="AH63">
            <v>11066.687749999999</v>
          </cell>
          <cell r="AI63">
            <v>11150.557059999999</v>
          </cell>
          <cell r="AJ63">
            <v>11235.639380000001</v>
          </cell>
          <cell r="AK63">
            <v>11322.063469999999</v>
          </cell>
        </row>
        <row r="64">
          <cell r="B64">
            <v>5288.2884080000003</v>
          </cell>
          <cell r="C64">
            <v>5349.0419190000002</v>
          </cell>
          <cell r="D64">
            <v>5409.3726999999999</v>
          </cell>
          <cell r="E64">
            <v>5468.7842110000001</v>
          </cell>
          <cell r="F64">
            <v>5527.3014139999996</v>
          </cell>
          <cell r="G64">
            <v>5585.3980199999996</v>
          </cell>
          <cell r="H64">
            <v>5646.1842219999999</v>
          </cell>
          <cell r="I64">
            <v>5708.6178890000001</v>
          </cell>
          <cell r="J64">
            <v>5771.3754390000004</v>
          </cell>
          <cell r="K64">
            <v>5833.1688359999998</v>
          </cell>
          <cell r="L64">
            <v>5893.2201240000004</v>
          </cell>
          <cell r="M64">
            <v>5951.0735180000001</v>
          </cell>
          <cell r="N64">
            <v>6006.799188</v>
          </cell>
          <cell r="O64">
            <v>6060.931028</v>
          </cell>
          <cell r="P64">
            <v>6114.2084850000001</v>
          </cell>
          <cell r="Q64">
            <v>6167.3216510000002</v>
          </cell>
          <cell r="R64">
            <v>6220.7357760000004</v>
          </cell>
          <cell r="S64">
            <v>6274.6424610000004</v>
          </cell>
          <cell r="T64">
            <v>6329.0256140000001</v>
          </cell>
          <cell r="U64">
            <v>6383.776621</v>
          </cell>
          <cell r="V64">
            <v>6438.6113180000002</v>
          </cell>
          <cell r="W64">
            <v>6493.5114590000003</v>
          </cell>
          <cell r="X64">
            <v>6548.5908280000003</v>
          </cell>
          <cell r="Y64">
            <v>6604.0064679999996</v>
          </cell>
          <cell r="Z64">
            <v>6659.9238260000002</v>
          </cell>
          <cell r="AA64">
            <v>6715.9053279999998</v>
          </cell>
          <cell r="AB64">
            <v>6771.8618710000001</v>
          </cell>
          <cell r="AC64">
            <v>6827.7662540000001</v>
          </cell>
          <cell r="AD64">
            <v>6883.5904410000003</v>
          </cell>
          <cell r="AE64">
            <v>6939.34393</v>
          </cell>
          <cell r="AF64">
            <v>6995.0996990000003</v>
          </cell>
          <cell r="AG64">
            <v>7050.9849409999997</v>
          </cell>
          <cell r="AH64">
            <v>7107.1491960000003</v>
          </cell>
          <cell r="AI64">
            <v>7163.7284079999999</v>
          </cell>
          <cell r="AJ64">
            <v>7220.8226800000002</v>
          </cell>
          <cell r="AK64">
            <v>7278.4920650000004</v>
          </cell>
        </row>
        <row r="65">
          <cell r="B65">
            <v>5288.2884080000003</v>
          </cell>
          <cell r="C65">
            <v>5349.0419190000002</v>
          </cell>
          <cell r="D65">
            <v>5409.3726999999999</v>
          </cell>
          <cell r="E65">
            <v>5468.7842110000001</v>
          </cell>
          <cell r="F65">
            <v>5527.3014139999996</v>
          </cell>
          <cell r="G65">
            <v>5585.3980199999996</v>
          </cell>
          <cell r="H65">
            <v>5643.5891300000003</v>
          </cell>
          <cell r="I65">
            <v>5702.3829949999999</v>
          </cell>
          <cell r="J65">
            <v>5762.0934370000004</v>
          </cell>
          <cell r="K65">
            <v>5822.7523789999996</v>
          </cell>
          <cell r="L65">
            <v>5884.4008080000003</v>
          </cell>
          <cell r="M65">
            <v>5946.7708350000003</v>
          </cell>
          <cell r="N65">
            <v>6009.5727589999997</v>
          </cell>
          <cell r="O65">
            <v>6072.6198469999999</v>
          </cell>
          <cell r="P65">
            <v>6135.808438</v>
          </cell>
          <cell r="Q65">
            <v>6199.0843500000001</v>
          </cell>
          <cell r="R65">
            <v>6262.4157709999999</v>
          </cell>
          <cell r="S65">
            <v>6325.7747790000003</v>
          </cell>
          <cell r="T65">
            <v>6389.1320900000001</v>
          </cell>
          <cell r="U65">
            <v>6452.4637590000002</v>
          </cell>
          <cell r="V65">
            <v>6515.5748430000003</v>
          </cell>
          <cell r="W65">
            <v>6578.485858</v>
          </cell>
          <cell r="X65">
            <v>6641.2966059999999</v>
          </cell>
          <cell r="Y65">
            <v>6704.125059</v>
          </cell>
          <cell r="Z65">
            <v>6767.1019480000004</v>
          </cell>
          <cell r="AA65">
            <v>6829.7808189999996</v>
          </cell>
          <cell r="AB65">
            <v>6892.0945670000001</v>
          </cell>
          <cell r="AC65">
            <v>6954.0589790000004</v>
          </cell>
          <cell r="AD65">
            <v>7015.6919589999998</v>
          </cell>
          <cell r="AE65">
            <v>7077.040943</v>
          </cell>
          <cell r="AF65">
            <v>7138.2024719999999</v>
          </cell>
          <cell r="AG65">
            <v>7199.3131000000003</v>
          </cell>
          <cell r="AH65">
            <v>7260.5228120000002</v>
          </cell>
          <cell r="AI65">
            <v>7321.9673130000001</v>
          </cell>
          <cell r="AJ65">
            <v>7383.7507349999996</v>
          </cell>
          <cell r="AK65">
            <v>7445.9440880000002</v>
          </cell>
        </row>
        <row r="66">
          <cell r="B66">
            <v>102.4222726</v>
          </cell>
          <cell r="C66">
            <v>103.5849295</v>
          </cell>
          <cell r="D66">
            <v>104.71643589999999</v>
          </cell>
          <cell r="E66">
            <v>105.80591010000001</v>
          </cell>
          <cell r="F66">
            <v>106.8565919</v>
          </cell>
          <cell r="G66">
            <v>107.8821453</v>
          </cell>
          <cell r="H66">
            <v>108.954837</v>
          </cell>
          <cell r="I66">
            <v>110.0515777</v>
          </cell>
          <cell r="J66">
            <v>111.14255730000001</v>
          </cell>
          <cell r="K66">
            <v>112.1993403</v>
          </cell>
          <cell r="L66">
            <v>113.2029136</v>
          </cell>
          <cell r="M66">
            <v>114.1451264</v>
          </cell>
          <cell r="N66">
            <v>115.0309002</v>
          </cell>
          <cell r="O66">
            <v>115.87508939999999</v>
          </cell>
          <cell r="P66">
            <v>116.6962695</v>
          </cell>
          <cell r="Q66">
            <v>117.5109781</v>
          </cell>
          <cell r="R66">
            <v>118.32978079999999</v>
          </cell>
          <cell r="S66">
            <v>119.1568489</v>
          </cell>
          <cell r="T66">
            <v>119.9917306</v>
          </cell>
          <cell r="U66">
            <v>120.8320188</v>
          </cell>
          <cell r="V66">
            <v>121.6731537</v>
          </cell>
          <cell r="W66">
            <v>122.5148375</v>
          </cell>
          <cell r="X66">
            <v>123.3592175</v>
          </cell>
          <cell r="Y66">
            <v>124.20968310000001</v>
          </cell>
          <cell r="Z66">
            <v>125.0700429</v>
          </cell>
          <cell r="AA66">
            <v>125.9353905</v>
          </cell>
          <cell r="AB66">
            <v>126.8055633</v>
          </cell>
          <cell r="AC66">
            <v>127.6801243</v>
          </cell>
          <cell r="AD66">
            <v>128.55844010000001</v>
          </cell>
          <cell r="AE66">
            <v>129.44081080000001</v>
          </cell>
          <cell r="AF66">
            <v>130.32902290000001</v>
          </cell>
          <cell r="AG66">
            <v>131.22606450000001</v>
          </cell>
          <cell r="AH66">
            <v>132.13535469999999</v>
          </cell>
          <cell r="AI66">
            <v>133.0599028</v>
          </cell>
          <cell r="AJ66">
            <v>134.00183670000001</v>
          </cell>
          <cell r="AK66">
            <v>134.96236680000001</v>
          </cell>
        </row>
        <row r="67">
          <cell r="B67">
            <v>102.4222726</v>
          </cell>
          <cell r="C67">
            <v>103.5849295</v>
          </cell>
          <cell r="D67">
            <v>104.71643589999999</v>
          </cell>
          <cell r="E67">
            <v>105.80591010000001</v>
          </cell>
          <cell r="F67">
            <v>106.8565919</v>
          </cell>
          <cell r="G67">
            <v>107.8821453</v>
          </cell>
          <cell r="H67">
            <v>108.89801749999999</v>
          </cell>
          <cell r="I67">
            <v>109.91811850000001</v>
          </cell>
          <cell r="J67">
            <v>110.950478</v>
          </cell>
          <cell r="K67">
            <v>111.9959185</v>
          </cell>
          <cell r="L67">
            <v>113.0527127</v>
          </cell>
          <cell r="M67">
            <v>114.1148209</v>
          </cell>
          <cell r="N67">
            <v>115.1766338</v>
          </cell>
          <cell r="O67">
            <v>116.2346872</v>
          </cell>
          <cell r="P67">
            <v>117.2873092</v>
          </cell>
          <cell r="Q67">
            <v>118.3339751</v>
          </cell>
          <cell r="R67">
            <v>119.3747225</v>
          </cell>
          <cell r="S67">
            <v>120.4096842</v>
          </cell>
          <cell r="T67">
            <v>121.4389333</v>
          </cell>
          <cell r="U67">
            <v>122.4626311</v>
          </cell>
          <cell r="V67">
            <v>123.4787523</v>
          </cell>
          <cell r="W67">
            <v>124.4882815</v>
          </cell>
          <cell r="X67">
            <v>125.4934281</v>
          </cell>
          <cell r="Y67">
            <v>126.49703150000001</v>
          </cell>
          <cell r="Z67">
            <v>127.50242590000001</v>
          </cell>
          <cell r="AA67">
            <v>128.50473919999999</v>
          </cell>
          <cell r="AB67">
            <v>129.5045776</v>
          </cell>
          <cell r="AC67">
            <v>130.50267360000001</v>
          </cell>
          <cell r="AD67">
            <v>131.49955550000001</v>
          </cell>
          <cell r="AE67">
            <v>132.49648400000001</v>
          </cell>
          <cell r="AF67">
            <v>133.49588259999999</v>
          </cell>
          <cell r="AG67">
            <v>134.50106539999999</v>
          </cell>
          <cell r="AH67">
            <v>135.5155862</v>
          </cell>
          <cell r="AI67">
            <v>136.54259619999999</v>
          </cell>
          <cell r="AJ67">
            <v>137.58445990000001</v>
          </cell>
          <cell r="AK67">
            <v>138.64275409999999</v>
          </cell>
        </row>
      </sheetData>
      <sheetData sheetId="6">
        <row r="3">
          <cell r="F3">
            <v>32317.940999999999</v>
          </cell>
          <cell r="G3">
            <v>31964.620370000001</v>
          </cell>
          <cell r="H3">
            <v>31820.24439</v>
          </cell>
          <cell r="I3">
            <v>31811.53658</v>
          </cell>
          <cell r="J3">
            <v>31882.528190000001</v>
          </cell>
          <cell r="K3">
            <v>31999.039280000001</v>
          </cell>
          <cell r="L3">
            <v>32121.422429999999</v>
          </cell>
          <cell r="M3">
            <v>32273.05645</v>
          </cell>
          <cell r="N3">
            <v>32502.321909999999</v>
          </cell>
          <cell r="O3">
            <v>32784.497750000002</v>
          </cell>
          <cell r="P3">
            <v>33111.829550000002</v>
          </cell>
          <cell r="Q3">
            <v>33455.431799999998</v>
          </cell>
          <cell r="R3">
            <v>33795.683969999998</v>
          </cell>
          <cell r="S3">
            <v>34121.253530000002</v>
          </cell>
          <cell r="T3">
            <v>34428.010600000001</v>
          </cell>
          <cell r="U3">
            <v>34718.631580000001</v>
          </cell>
          <cell r="V3">
            <v>34999.811730000001</v>
          </cell>
          <cell r="W3">
            <v>35279.027860000002</v>
          </cell>
          <cell r="X3">
            <v>35561.93578</v>
          </cell>
          <cell r="Y3">
            <v>35851.13435</v>
          </cell>
          <cell r="Z3">
            <v>36141.170319999997</v>
          </cell>
          <cell r="AA3">
            <v>36436.471060000003</v>
          </cell>
          <cell r="AB3">
            <v>36735.304530000001</v>
          </cell>
          <cell r="AC3">
            <v>37035.145219999999</v>
          </cell>
          <cell r="AD3">
            <v>37334.807569999997</v>
          </cell>
          <cell r="AE3">
            <v>37618.292159999997</v>
          </cell>
          <cell r="AF3">
            <v>37899.264309999999</v>
          </cell>
          <cell r="AG3">
            <v>38181.088459999999</v>
          </cell>
          <cell r="AH3">
            <v>38463.256719999998</v>
          </cell>
          <cell r="AI3">
            <v>38744.68793</v>
          </cell>
          <cell r="AJ3">
            <v>39024.077570000001</v>
          </cell>
          <cell r="AK3">
            <v>39300.629650000003</v>
          </cell>
          <cell r="AL3">
            <v>39574.404869999998</v>
          </cell>
          <cell r="AM3">
            <v>39846.238140000001</v>
          </cell>
          <cell r="AN3">
            <v>40117.363819999999</v>
          </cell>
          <cell r="AO3">
            <v>40388.964699999997</v>
          </cell>
        </row>
        <row r="4">
          <cell r="F4">
            <v>32271.24</v>
          </cell>
          <cell r="G4">
            <v>31899.81165</v>
          </cell>
          <cell r="H4">
            <v>31736.28599</v>
          </cell>
          <cell r="I4">
            <v>31707.705740000001</v>
          </cell>
          <cell r="J4">
            <v>31758.22797</v>
          </cell>
          <cell r="K4">
            <v>31853.672910000001</v>
          </cell>
          <cell r="L4">
            <v>31954.920030000001</v>
          </cell>
          <cell r="M4">
            <v>32086.10181</v>
          </cell>
          <cell r="N4">
            <v>32295.42799</v>
          </cell>
          <cell r="O4">
            <v>32558.591049999999</v>
          </cell>
          <cell r="P4">
            <v>32867.774680000002</v>
          </cell>
          <cell r="Q4">
            <v>33193.977379999997</v>
          </cell>
          <cell r="R4">
            <v>33517.314350000001</v>
          </cell>
          <cell r="S4">
            <v>33826.181210000002</v>
          </cell>
          <cell r="T4">
            <v>34116.271180000003</v>
          </cell>
          <cell r="U4">
            <v>34390.190399999999</v>
          </cell>
          <cell r="V4">
            <v>34654.646220000002</v>
          </cell>
          <cell r="W4">
            <v>34917.169710000002</v>
          </cell>
          <cell r="X4">
            <v>35183.477290000003</v>
          </cell>
          <cell r="Y4">
            <v>35456.211889999999</v>
          </cell>
          <cell r="Z4">
            <v>35729.99699</v>
          </cell>
          <cell r="AA4">
            <v>36009.200299999997</v>
          </cell>
          <cell r="AB4">
            <v>36292.055789999999</v>
          </cell>
          <cell r="AC4">
            <v>36576.012470000001</v>
          </cell>
          <cell r="AD4">
            <v>36859.860869999997</v>
          </cell>
          <cell r="AE4">
            <v>37127.76885</v>
          </cell>
          <cell r="AF4">
            <v>37393.283839999996</v>
          </cell>
          <cell r="AG4">
            <v>37659.720430000001</v>
          </cell>
          <cell r="AH4">
            <v>37926.534509999998</v>
          </cell>
          <cell r="AI4">
            <v>38192.591260000001</v>
          </cell>
          <cell r="AJ4">
            <v>38456.52693</v>
          </cell>
          <cell r="AK4">
            <v>38717.488510000003</v>
          </cell>
          <cell r="AL4">
            <v>38975.486960000002</v>
          </cell>
          <cell r="AM4">
            <v>39231.315410000003</v>
          </cell>
          <cell r="AN4">
            <v>39486.171609999998</v>
          </cell>
          <cell r="AO4">
            <v>39741.202510000003</v>
          </cell>
        </row>
        <row r="12">
          <cell r="F12">
            <v>44.765000000000001</v>
          </cell>
          <cell r="G12">
            <v>62.813945330000003</v>
          </cell>
          <cell r="H12">
            <v>81.893474699999999</v>
          </cell>
          <cell r="I12">
            <v>101.68989879999999</v>
          </cell>
          <cell r="J12">
            <v>122.08153040000001</v>
          </cell>
          <cell r="K12">
            <v>143.07070630000001</v>
          </cell>
          <cell r="L12">
            <v>164.1334458</v>
          </cell>
          <cell r="M12">
            <v>184.51381369999999</v>
          </cell>
          <cell r="N12">
            <v>204.3782855</v>
          </cell>
          <cell r="O12">
            <v>223.3150411</v>
          </cell>
          <cell r="P12">
            <v>241.38635210000001</v>
          </cell>
          <cell r="Q12">
            <v>258.7104046</v>
          </cell>
          <cell r="R12">
            <v>275.55292550000001</v>
          </cell>
          <cell r="S12">
            <v>292.18658040000003</v>
          </cell>
          <cell r="T12">
            <v>308.78851989999998</v>
          </cell>
          <cell r="U12">
            <v>325.42866099999998</v>
          </cell>
          <cell r="V12">
            <v>342.09421980000002</v>
          </cell>
          <cell r="W12">
            <v>358.73019040000003</v>
          </cell>
          <cell r="X12">
            <v>375.27536509999999</v>
          </cell>
          <cell r="Y12">
            <v>391.6853524</v>
          </cell>
          <cell r="Z12">
            <v>407.88373860000002</v>
          </cell>
          <cell r="AA12">
            <v>423.92971610000001</v>
          </cell>
          <cell r="AB12">
            <v>439.85732489999998</v>
          </cell>
          <cell r="AC12">
            <v>455.6921711</v>
          </cell>
          <cell r="AD12">
            <v>471.45818659999998</v>
          </cell>
          <cell r="AE12">
            <v>486.98932450000001</v>
          </cell>
          <cell r="AF12">
            <v>502.40232109999999</v>
          </cell>
          <cell r="AG12">
            <v>517.74665640000001</v>
          </cell>
          <cell r="AH12">
            <v>533.05855020000001</v>
          </cell>
          <cell r="AI12">
            <v>548.39168270000005</v>
          </cell>
          <cell r="AJ12">
            <v>563.80534390000003</v>
          </cell>
          <cell r="AK12">
            <v>579.35657649999996</v>
          </cell>
          <cell r="AL12">
            <v>595.09508649999998</v>
          </cell>
          <cell r="AM12">
            <v>611.06251959999997</v>
          </cell>
          <cell r="AN12">
            <v>627.29535550000003</v>
          </cell>
          <cell r="AO12">
            <v>643.82931459999998</v>
          </cell>
        </row>
        <row r="20">
          <cell r="F20">
            <v>1.9359999999999999</v>
          </cell>
          <cell r="G20">
            <v>1.994779514</v>
          </cell>
          <cell r="H20">
            <v>2.064923088</v>
          </cell>
          <cell r="I20">
            <v>2.1409504849999998</v>
          </cell>
          <cell r="J20">
            <v>2.2186847959999998</v>
          </cell>
          <cell r="K20">
            <v>2.2956650189999999</v>
          </cell>
          <cell r="L20">
            <v>2.3689454269999999</v>
          </cell>
          <cell r="M20">
            <v>2.4408225859999999</v>
          </cell>
          <cell r="N20">
            <v>2.5156300539999998</v>
          </cell>
          <cell r="O20">
            <v>2.5916534819999999</v>
          </cell>
          <cell r="P20">
            <v>2.6685121920000001</v>
          </cell>
          <cell r="Q20">
            <v>2.7440184090000002</v>
          </cell>
          <cell r="R20">
            <v>2.8166973899999999</v>
          </cell>
          <cell r="S20">
            <v>2.8857322060000001</v>
          </cell>
          <cell r="T20">
            <v>2.9508941950000001</v>
          </cell>
          <cell r="U20">
            <v>3.012521596</v>
          </cell>
          <cell r="V20">
            <v>3.0712930900000002</v>
          </cell>
          <cell r="W20">
            <v>3.1279579929999999</v>
          </cell>
          <cell r="X20">
            <v>3.1831155770000001</v>
          </cell>
          <cell r="Y20">
            <v>3.2371068219999999</v>
          </cell>
          <cell r="Z20">
            <v>3.2895949579999999</v>
          </cell>
          <cell r="AA20">
            <v>3.3410477329999999</v>
          </cell>
          <cell r="AB20">
            <v>3.3914169140000001</v>
          </cell>
          <cell r="AC20">
            <v>3.4405797919999999</v>
          </cell>
          <cell r="AD20">
            <v>3.488517351</v>
          </cell>
          <cell r="AE20">
            <v>3.5339753919999999</v>
          </cell>
          <cell r="AF20">
            <v>3.578142803</v>
          </cell>
          <cell r="AG20">
            <v>3.6213630640000001</v>
          </cell>
          <cell r="AH20">
            <v>3.6636556859999998</v>
          </cell>
          <cell r="AI20">
            <v>3.7049857780000002</v>
          </cell>
          <cell r="AJ20">
            <v>3.7452939770000002</v>
          </cell>
          <cell r="AK20">
            <v>3.784558621</v>
          </cell>
          <cell r="AL20">
            <v>3.8228264090000001</v>
          </cell>
          <cell r="AM20">
            <v>3.8602069050000001</v>
          </cell>
          <cell r="AN20">
            <v>3.8968419999999999</v>
          </cell>
          <cell r="AO20">
            <v>3.9328682829999999</v>
          </cell>
        </row>
        <row r="28">
          <cell r="F28">
            <v>32317.940999999999</v>
          </cell>
          <cell r="G28">
            <v>31964.620370000001</v>
          </cell>
          <cell r="H28">
            <v>31820.24439</v>
          </cell>
          <cell r="I28">
            <v>31811.53658</v>
          </cell>
          <cell r="J28">
            <v>31882.528190000001</v>
          </cell>
          <cell r="K28">
            <v>31999.039280000001</v>
          </cell>
          <cell r="L28">
            <v>32139.213589999999</v>
          </cell>
          <cell r="M28">
            <v>32298.49984</v>
          </cell>
          <cell r="N28">
            <v>32479.04034</v>
          </cell>
          <cell r="O28">
            <v>32684.71027</v>
          </cell>
          <cell r="P28">
            <v>32924.098030000001</v>
          </cell>
          <cell r="Q28">
            <v>33187.512840000003</v>
          </cell>
          <cell r="R28">
            <v>33469.887349999997</v>
          </cell>
          <cell r="S28">
            <v>33766.560640000003</v>
          </cell>
          <cell r="T28">
            <v>34072.580929999996</v>
          </cell>
          <cell r="U28">
            <v>34384.148609999997</v>
          </cell>
          <cell r="V28">
            <v>34698.739500000003</v>
          </cell>
          <cell r="W28">
            <v>35014.801610000002</v>
          </cell>
          <cell r="X28">
            <v>35331.33077</v>
          </cell>
          <cell r="Y28">
            <v>35647.533340000002</v>
          </cell>
          <cell r="Z28">
            <v>35957.502399999998</v>
          </cell>
          <cell r="AA28">
            <v>36266.846460000001</v>
          </cell>
          <cell r="AB28">
            <v>36575.62573</v>
          </cell>
          <cell r="AC28">
            <v>36882.760040000001</v>
          </cell>
          <cell r="AD28">
            <v>37187.821040000003</v>
          </cell>
          <cell r="AE28">
            <v>37475.17568</v>
          </cell>
          <cell r="AF28">
            <v>37758.272929999999</v>
          </cell>
          <cell r="AG28">
            <v>38040.563739999998</v>
          </cell>
          <cell r="AH28">
            <v>38322.031580000003</v>
          </cell>
          <cell r="AI28">
            <v>38602.199139999997</v>
          </cell>
          <cell r="AJ28">
            <v>38880.362359999999</v>
          </cell>
          <cell r="AK28">
            <v>39156.170440000002</v>
          </cell>
          <cell r="AL28">
            <v>39429.88895</v>
          </cell>
          <cell r="AM28">
            <v>39702.322189999999</v>
          </cell>
          <cell r="AN28">
            <v>39974.516459999999</v>
          </cell>
          <cell r="AO28">
            <v>40247.419029999997</v>
          </cell>
        </row>
        <row r="29">
          <cell r="F29">
            <v>32271.24</v>
          </cell>
          <cell r="G29">
            <v>31899.81165</v>
          </cell>
          <cell r="H29">
            <v>31736.28599</v>
          </cell>
          <cell r="I29">
            <v>31707.705740000001</v>
          </cell>
          <cell r="J29">
            <v>31758.22797</v>
          </cell>
          <cell r="K29">
            <v>31853.672910000001</v>
          </cell>
          <cell r="L29">
            <v>31972.222559999998</v>
          </cell>
          <cell r="M29">
            <v>32109.359189999999</v>
          </cell>
          <cell r="N29">
            <v>32267.30041</v>
          </cell>
          <cell r="O29">
            <v>32450.01455</v>
          </cell>
          <cell r="P29">
            <v>32666.089319999999</v>
          </cell>
          <cell r="Q29">
            <v>32905.96428</v>
          </cell>
          <cell r="R29">
            <v>33164.613490000003</v>
          </cell>
          <cell r="S29">
            <v>33437.373169999999</v>
          </cell>
          <cell r="T29">
            <v>33719.2762</v>
          </cell>
          <cell r="U29">
            <v>34006.491929999997</v>
          </cell>
          <cell r="V29">
            <v>34296.452709999998</v>
          </cell>
          <cell r="W29">
            <v>34587.551789999998</v>
          </cell>
          <cell r="X29">
            <v>34878.718540000002</v>
          </cell>
          <cell r="Y29">
            <v>35169.080719999998</v>
          </cell>
          <cell r="Z29">
            <v>35452.721409999998</v>
          </cell>
          <cell r="AA29">
            <v>35735.069219999998</v>
          </cell>
          <cell r="AB29">
            <v>36016.055699999997</v>
          </cell>
          <cell r="AC29">
            <v>36294.483650000002</v>
          </cell>
          <cell r="AD29">
            <v>36569.799550000003</v>
          </cell>
          <cell r="AE29">
            <v>36826.527479999997</v>
          </cell>
          <cell r="AF29">
            <v>37077.808230000002</v>
          </cell>
          <cell r="AG29">
            <v>37326.902069999996</v>
          </cell>
          <cell r="AH29">
            <v>37573.63222</v>
          </cell>
          <cell r="AI29">
            <v>37817.344190000003</v>
          </cell>
          <cell r="AJ29">
            <v>38057.147729999997</v>
          </cell>
          <cell r="AK29">
            <v>38292.496449999999</v>
          </cell>
          <cell r="AL29">
            <v>38523.44932</v>
          </cell>
          <cell r="AM29">
            <v>38750.591</v>
          </cell>
          <cell r="AN29">
            <v>38974.733379999998</v>
          </cell>
          <cell r="AO29">
            <v>39196.573689999997</v>
          </cell>
        </row>
        <row r="37">
          <cell r="F37">
            <v>44.765000000000001</v>
          </cell>
          <cell r="G37">
            <v>62.813945330000003</v>
          </cell>
          <cell r="H37">
            <v>81.893474699999999</v>
          </cell>
          <cell r="I37">
            <v>101.68989879999999</v>
          </cell>
          <cell r="J37">
            <v>122.08153040000001</v>
          </cell>
          <cell r="K37">
            <v>143.07070630000001</v>
          </cell>
          <cell r="L37">
            <v>164.62062130000001</v>
          </cell>
          <cell r="M37">
            <v>186.6978264</v>
          </cell>
          <cell r="N37">
            <v>209.2265735</v>
          </cell>
          <cell r="O37">
            <v>232.11311359999999</v>
          </cell>
          <cell r="P37">
            <v>255.3572159</v>
          </cell>
          <cell r="Q37">
            <v>278.82906400000002</v>
          </cell>
          <cell r="R37">
            <v>302.48748219999999</v>
          </cell>
          <cell r="S37">
            <v>326.33548810000002</v>
          </cell>
          <cell r="T37">
            <v>350.38871139999998</v>
          </cell>
          <cell r="U37">
            <v>374.67833250000001</v>
          </cell>
          <cell r="V37">
            <v>399.24789570000002</v>
          </cell>
          <cell r="W37">
            <v>424.15217660000002</v>
          </cell>
          <cell r="X37">
            <v>449.45760030000002</v>
          </cell>
          <cell r="Y37">
            <v>475.24272760000002</v>
          </cell>
          <cell r="Z37">
            <v>501.51794940000002</v>
          </cell>
          <cell r="AA37">
            <v>528.46263399999998</v>
          </cell>
          <cell r="AB37">
            <v>556.20534080000004</v>
          </cell>
          <cell r="AC37">
            <v>584.86314259999995</v>
          </cell>
          <cell r="AD37">
            <v>614.56115079999995</v>
          </cell>
          <cell r="AE37">
            <v>645.14346639999997</v>
          </cell>
          <cell r="AF37">
            <v>676.91713849999996</v>
          </cell>
          <cell r="AG37">
            <v>710.07249590000004</v>
          </cell>
          <cell r="AH37">
            <v>744.76973699999996</v>
          </cell>
          <cell r="AI37">
            <v>781.18605849999994</v>
          </cell>
          <cell r="AJ37">
            <v>819.50764349999997</v>
          </cell>
          <cell r="AK37">
            <v>859.93010330000004</v>
          </cell>
          <cell r="AL37">
            <v>902.65998420000005</v>
          </cell>
          <cell r="AM37">
            <v>947.91682969999999</v>
          </cell>
          <cell r="AN37">
            <v>995.93494190000001</v>
          </cell>
          <cell r="AO37">
            <v>1046.9642550000001</v>
          </cell>
        </row>
        <row r="45">
          <cell r="F45">
            <v>1.9359999999999999</v>
          </cell>
          <cell r="G45">
            <v>1.994779514</v>
          </cell>
          <cell r="H45">
            <v>2.064923088</v>
          </cell>
          <cell r="I45">
            <v>2.1409504849999998</v>
          </cell>
          <cell r="J45">
            <v>2.2186847959999998</v>
          </cell>
          <cell r="K45">
            <v>2.2956650189999999</v>
          </cell>
          <cell r="L45">
            <v>2.3703990300000002</v>
          </cell>
          <cell r="M45">
            <v>2.442798732</v>
          </cell>
          <cell r="N45">
            <v>2.5133178420000002</v>
          </cell>
          <cell r="O45">
            <v>2.5825432959999999</v>
          </cell>
          <cell r="P45">
            <v>2.6514393709999999</v>
          </cell>
          <cell r="Q45">
            <v>2.7194415780000001</v>
          </cell>
          <cell r="R45">
            <v>2.7863391489999998</v>
          </cell>
          <cell r="S45">
            <v>2.8519320600000002</v>
          </cell>
          <cell r="T45">
            <v>2.9159768079999999</v>
          </cell>
          <cell r="U45">
            <v>2.9783081170000001</v>
          </cell>
          <cell r="V45">
            <v>3.038852098</v>
          </cell>
          <cell r="W45">
            <v>3.0976034220000002</v>
          </cell>
          <cell r="X45">
            <v>3.1545916269999998</v>
          </cell>
          <cell r="Y45">
            <v>3.2098540720000002</v>
          </cell>
          <cell r="Z45">
            <v>3.262996271</v>
          </cell>
          <cell r="AA45">
            <v>3.314562859</v>
          </cell>
          <cell r="AB45">
            <v>3.3646381079999998</v>
          </cell>
          <cell r="AC45">
            <v>3.4132057470000001</v>
          </cell>
          <cell r="AD45">
            <v>3.4602967750000002</v>
          </cell>
          <cell r="AE45">
            <v>3.5046829860000002</v>
          </cell>
          <cell r="AF45">
            <v>3.5475158769999999</v>
          </cell>
          <cell r="AG45">
            <v>3.5891308159999999</v>
          </cell>
          <cell r="AH45">
            <v>3.6295747770000002</v>
          </cell>
          <cell r="AI45">
            <v>3.6688505060000001</v>
          </cell>
          <cell r="AJ45">
            <v>3.7069364980000001</v>
          </cell>
          <cell r="AK45">
            <v>3.7438356530000001</v>
          </cell>
          <cell r="AL45">
            <v>3.7795979790000001</v>
          </cell>
          <cell r="AM45">
            <v>3.8143149059999999</v>
          </cell>
          <cell r="AN45">
            <v>3.8480950620000001</v>
          </cell>
          <cell r="AO45">
            <v>3.881035963</v>
          </cell>
        </row>
        <row r="104">
          <cell r="F104">
            <v>3.476542051</v>
          </cell>
          <cell r="G104">
            <v>7.0992244930000004</v>
          </cell>
          <cell r="H104">
            <v>13.930695070000001</v>
          </cell>
          <cell r="I104">
            <v>21.193309129999999</v>
          </cell>
          <cell r="J104">
            <v>28.457763740000001</v>
          </cell>
          <cell r="K104">
            <v>35.782543189999998</v>
          </cell>
          <cell r="L104">
            <v>42.67736893</v>
          </cell>
          <cell r="M104">
            <v>50.686369800000001</v>
          </cell>
          <cell r="N104">
            <v>59.205479099999998</v>
          </cell>
          <cell r="O104">
            <v>67.895615399999997</v>
          </cell>
          <cell r="P104">
            <v>76.721415750000006</v>
          </cell>
          <cell r="Q104">
            <v>85.53249477</v>
          </cell>
          <cell r="R104">
            <v>94.305586079999998</v>
          </cell>
          <cell r="S104">
            <v>102.9347903</v>
          </cell>
          <cell r="T104">
            <v>111.5924796</v>
          </cell>
          <cell r="U104">
            <v>120.2347578</v>
          </cell>
          <cell r="V104">
            <v>128.84407949999999</v>
          </cell>
          <cell r="W104">
            <v>137.41476990000001</v>
          </cell>
          <cell r="X104">
            <v>145.94600370000001</v>
          </cell>
          <cell r="Y104">
            <v>154.43810350000001</v>
          </cell>
          <cell r="Z104">
            <v>162.8650931</v>
          </cell>
          <cell r="AA104">
            <v>171.27748990000001</v>
          </cell>
          <cell r="AB104">
            <v>179.64751759999999</v>
          </cell>
          <cell r="AC104">
            <v>187.9734675</v>
          </cell>
          <cell r="AD104">
            <v>196.25435949999999</v>
          </cell>
          <cell r="AE104">
            <v>204.41973540000001</v>
          </cell>
          <cell r="AF104">
            <v>212.57829749999999</v>
          </cell>
          <cell r="AG104">
            <v>220.69267769999999</v>
          </cell>
          <cell r="AH104">
            <v>228.76288310000001</v>
          </cell>
          <cell r="AI104">
            <v>236.78884619999999</v>
          </cell>
          <cell r="AJ104">
            <v>244.7703587</v>
          </cell>
          <cell r="AK104">
            <v>252.70727790000001</v>
          </cell>
          <cell r="AL104">
            <v>260.59972979999998</v>
          </cell>
          <cell r="AM104">
            <v>268.4481452</v>
          </cell>
          <cell r="AN104">
            <v>276.2531449</v>
          </cell>
          <cell r="AO104">
            <v>284.01540080000001</v>
          </cell>
        </row>
        <row r="105">
          <cell r="F105">
            <v>68.80476281</v>
          </cell>
          <cell r="G105">
            <v>76.701300149999994</v>
          </cell>
          <cell r="H105">
            <v>82.885768369999994</v>
          </cell>
          <cell r="I105">
            <v>88.188079909999999</v>
          </cell>
          <cell r="J105">
            <v>93.055322869999998</v>
          </cell>
          <cell r="K105">
            <v>97.61531076</v>
          </cell>
          <cell r="L105">
            <v>101.6575686</v>
          </cell>
          <cell r="M105">
            <v>104.9639243</v>
          </cell>
          <cell r="N105">
            <v>107.94093669999999</v>
          </cell>
          <cell r="O105">
            <v>110.7958306</v>
          </cell>
          <cell r="P105">
            <v>114.6159117</v>
          </cell>
          <cell r="Q105">
            <v>117.3645623</v>
          </cell>
          <cell r="R105">
            <v>120.10141539999999</v>
          </cell>
          <cell r="S105">
            <v>122.87691479999999</v>
          </cell>
          <cell r="T105">
            <v>125.60242220000001</v>
          </cell>
          <cell r="U105">
            <v>128.3039934</v>
          </cell>
          <cell r="V105">
            <v>130.99595020000001</v>
          </cell>
          <cell r="W105">
            <v>133.68622389999999</v>
          </cell>
          <cell r="X105">
            <v>136.3791081</v>
          </cell>
          <cell r="Y105">
            <v>139.07665900000001</v>
          </cell>
          <cell r="Z105">
            <v>141.09263759999999</v>
          </cell>
          <cell r="AA105">
            <v>143.7988004</v>
          </cell>
          <cell r="AB105">
            <v>146.50986219999999</v>
          </cell>
          <cell r="AC105">
            <v>149.22538309999999</v>
          </cell>
          <cell r="AD105">
            <v>151.94518429999999</v>
          </cell>
          <cell r="AE105">
            <v>152.7942185</v>
          </cell>
          <cell r="AF105">
            <v>154.63674560000001</v>
          </cell>
          <cell r="AG105">
            <v>156.47943939999999</v>
          </cell>
          <cell r="AH105">
            <v>158.32220280000001</v>
          </cell>
          <cell r="AI105">
            <v>160.164895</v>
          </cell>
          <cell r="AJ105">
            <v>162.0073845</v>
          </cell>
          <cell r="AK105">
            <v>163.84963200000001</v>
          </cell>
          <cell r="AL105">
            <v>165.69172219999999</v>
          </cell>
          <cell r="AM105">
            <v>167.53383310000001</v>
          </cell>
          <cell r="AN105">
            <v>169.37616729999999</v>
          </cell>
          <cell r="AO105">
            <v>171.2189022</v>
          </cell>
        </row>
        <row r="106">
          <cell r="F106">
            <v>408.28039699999999</v>
          </cell>
          <cell r="G106">
            <v>423.5108955</v>
          </cell>
          <cell r="H106">
            <v>436.57268920000001</v>
          </cell>
          <cell r="I106">
            <v>448.16201369999999</v>
          </cell>
          <cell r="J106">
            <v>459.08412120000003</v>
          </cell>
          <cell r="K106">
            <v>469.60596520000001</v>
          </cell>
          <cell r="L106">
            <v>478.43445550000001</v>
          </cell>
          <cell r="M106">
            <v>486.52787130000002</v>
          </cell>
          <cell r="N106">
            <v>494.3131664</v>
          </cell>
          <cell r="O106">
            <v>501.99550950000003</v>
          </cell>
          <cell r="P106">
            <v>512.53337060000001</v>
          </cell>
          <cell r="Q106">
            <v>520.13606460000005</v>
          </cell>
          <cell r="R106">
            <v>527.72598070000004</v>
          </cell>
          <cell r="S106">
            <v>535.34912999999995</v>
          </cell>
          <cell r="T106">
            <v>542.92127140000002</v>
          </cell>
          <cell r="U106">
            <v>550.47052010000004</v>
          </cell>
          <cell r="V106">
            <v>558.01457870000002</v>
          </cell>
          <cell r="W106">
            <v>565.56444329999999</v>
          </cell>
          <cell r="X106">
            <v>573.1264817</v>
          </cell>
          <cell r="Y106">
            <v>580.7035674</v>
          </cell>
          <cell r="Z106">
            <v>586.36742179999999</v>
          </cell>
          <cell r="AA106">
            <v>593.96860000000004</v>
          </cell>
          <cell r="AB106">
            <v>601.58297319999997</v>
          </cell>
          <cell r="AC106">
            <v>609.20929820000003</v>
          </cell>
          <cell r="AD106">
            <v>616.84708950000004</v>
          </cell>
          <cell r="AE106">
            <v>619.23162739999998</v>
          </cell>
          <cell r="AF106">
            <v>624.4043494</v>
          </cell>
          <cell r="AG106">
            <v>629.57659200000001</v>
          </cell>
          <cell r="AH106">
            <v>634.74807629999998</v>
          </cell>
          <cell r="AI106">
            <v>639.91841060000002</v>
          </cell>
          <cell r="AJ106">
            <v>645.08724540000003</v>
          </cell>
          <cell r="AK106">
            <v>650.25449330000004</v>
          </cell>
          <cell r="AL106">
            <v>655.42040850000001</v>
          </cell>
          <cell r="AM106">
            <v>660.5854971</v>
          </cell>
          <cell r="AN106">
            <v>665.75032610000005</v>
          </cell>
          <cell r="AO106">
            <v>670.91538509999998</v>
          </cell>
        </row>
        <row r="107">
          <cell r="F107">
            <v>954.38155940000001</v>
          </cell>
          <cell r="G107">
            <v>946.68620120000003</v>
          </cell>
          <cell r="H107">
            <v>940.18309839999995</v>
          </cell>
          <cell r="I107">
            <v>934.55450470000005</v>
          </cell>
          <cell r="J107">
            <v>929.46705050000003</v>
          </cell>
          <cell r="K107">
            <v>924.72215440000002</v>
          </cell>
          <cell r="L107">
            <v>920.09282580000001</v>
          </cell>
          <cell r="M107">
            <v>915.69425709999996</v>
          </cell>
          <cell r="N107">
            <v>911.45738180000001</v>
          </cell>
          <cell r="O107">
            <v>907.32430220000003</v>
          </cell>
          <cell r="P107">
            <v>903.25427779999995</v>
          </cell>
          <cell r="Q107">
            <v>899.21790729999998</v>
          </cell>
          <cell r="R107">
            <v>895.19419379999999</v>
          </cell>
          <cell r="S107">
            <v>891.17280689999996</v>
          </cell>
          <cell r="T107">
            <v>887.1544116</v>
          </cell>
          <cell r="U107">
            <v>883.14329250000003</v>
          </cell>
          <cell r="V107">
            <v>879.1453027</v>
          </cell>
          <cell r="W107">
            <v>875.16544480000005</v>
          </cell>
          <cell r="X107">
            <v>871.20684730000005</v>
          </cell>
          <cell r="Y107">
            <v>867.27039979999995</v>
          </cell>
          <cell r="Z107">
            <v>863.35554920000004</v>
          </cell>
          <cell r="AA107">
            <v>859.45983290000004</v>
          </cell>
          <cell r="AB107">
            <v>855.58162159999995</v>
          </cell>
          <cell r="AC107">
            <v>851.71936630000005</v>
          </cell>
          <cell r="AD107">
            <v>847.87238639999998</v>
          </cell>
          <cell r="AE107">
            <v>844.04164720000006</v>
          </cell>
          <cell r="AF107">
            <v>840.22627580000005</v>
          </cell>
          <cell r="AG107">
            <v>836.42682490000004</v>
          </cell>
          <cell r="AH107">
            <v>832.64278039999999</v>
          </cell>
          <cell r="AI107">
            <v>828.8735054</v>
          </cell>
          <cell r="AJ107">
            <v>825.11845200000005</v>
          </cell>
          <cell r="AK107">
            <v>821.37740140000005</v>
          </cell>
          <cell r="AL107">
            <v>817.65052519999995</v>
          </cell>
          <cell r="AM107">
            <v>813.93826490000004</v>
          </cell>
          <cell r="AN107">
            <v>810.24110329999996</v>
          </cell>
          <cell r="AO107">
            <v>806.5594155</v>
          </cell>
        </row>
        <row r="108">
          <cell r="F108">
            <v>878.79999729999997</v>
          </cell>
          <cell r="G108">
            <v>870.04263679999997</v>
          </cell>
          <cell r="H108">
            <v>863.22911360000001</v>
          </cell>
          <cell r="I108">
            <v>857.45735960000002</v>
          </cell>
          <cell r="J108">
            <v>852.22932200000002</v>
          </cell>
          <cell r="K108">
            <v>847.28726080000001</v>
          </cell>
          <cell r="L108">
            <v>842.5018139</v>
          </cell>
          <cell r="M108">
            <v>837.82647399999996</v>
          </cell>
          <cell r="N108">
            <v>833.22223269999995</v>
          </cell>
          <cell r="O108">
            <v>828.66608740000004</v>
          </cell>
          <cell r="P108">
            <v>824.14124460000005</v>
          </cell>
          <cell r="Q108">
            <v>819.63584800000001</v>
          </cell>
          <cell r="R108">
            <v>815.1463205</v>
          </cell>
          <cell r="S108">
            <v>810.67344379999997</v>
          </cell>
          <cell r="T108">
            <v>806.22008700000004</v>
          </cell>
          <cell r="U108">
            <v>801.78959359999999</v>
          </cell>
          <cell r="V108">
            <v>797.38477590000002</v>
          </cell>
          <cell r="W108">
            <v>793.00716920000002</v>
          </cell>
          <cell r="X108">
            <v>788.65683009999998</v>
          </cell>
          <cell r="Y108">
            <v>784.33262030000003</v>
          </cell>
          <cell r="Z108">
            <v>780.03274239999996</v>
          </cell>
          <cell r="AA108">
            <v>775.75597049999999</v>
          </cell>
          <cell r="AB108">
            <v>771.50151470000003</v>
          </cell>
          <cell r="AC108">
            <v>767.26908539999999</v>
          </cell>
          <cell r="AD108">
            <v>763.05878410000003</v>
          </cell>
          <cell r="AE108">
            <v>758.8703706</v>
          </cell>
          <cell r="AF108">
            <v>754.70430150000004</v>
          </cell>
          <cell r="AG108">
            <v>750.56058710000002</v>
          </cell>
          <cell r="AH108">
            <v>746.43878659999996</v>
          </cell>
          <cell r="AI108">
            <v>742.33837489999996</v>
          </cell>
          <cell r="AJ108">
            <v>738.25902870000004</v>
          </cell>
          <cell r="AK108">
            <v>734.20072040000002</v>
          </cell>
          <cell r="AL108">
            <v>730.1636317</v>
          </cell>
          <cell r="AM108">
            <v>726.1480037</v>
          </cell>
          <cell r="AN108">
            <v>722.15398519999997</v>
          </cell>
          <cell r="AO108">
            <v>718.18157280000003</v>
          </cell>
        </row>
        <row r="109">
          <cell r="F109">
            <v>139.85209269999999</v>
          </cell>
          <cell r="G109">
            <v>137.9614138</v>
          </cell>
          <cell r="H109">
            <v>136.1236074</v>
          </cell>
          <cell r="I109">
            <v>134.3328626</v>
          </cell>
          <cell r="J109">
            <v>132.59747340000001</v>
          </cell>
          <cell r="K109">
            <v>130.92073790000001</v>
          </cell>
          <cell r="L109">
            <v>129.25513889999999</v>
          </cell>
          <cell r="M109">
            <v>127.6282453</v>
          </cell>
          <cell r="N109">
            <v>125.92724080000001</v>
          </cell>
          <cell r="O109">
            <v>124.158968</v>
          </cell>
          <cell r="P109">
            <v>122.3603734</v>
          </cell>
          <cell r="Q109">
            <v>120.5769906</v>
          </cell>
          <cell r="R109">
            <v>118.8511014</v>
          </cell>
          <cell r="S109">
            <v>117.2010178</v>
          </cell>
          <cell r="T109">
            <v>115.6242641</v>
          </cell>
          <cell r="U109">
            <v>114.10428659999999</v>
          </cell>
          <cell r="V109">
            <v>112.6195067</v>
          </cell>
          <cell r="W109">
            <v>111.151421</v>
          </cell>
          <cell r="X109">
            <v>109.6878487</v>
          </cell>
          <cell r="Y109">
            <v>108.2241628</v>
          </cell>
          <cell r="Z109">
            <v>106.7606972</v>
          </cell>
          <cell r="AA109">
            <v>105.3042986</v>
          </cell>
          <cell r="AB109">
            <v>103.86083379999999</v>
          </cell>
          <cell r="AC109">
            <v>102.43547049999999</v>
          </cell>
          <cell r="AD109">
            <v>101.030523</v>
          </cell>
          <cell r="AE109">
            <v>99.642209910000005</v>
          </cell>
          <cell r="AF109">
            <v>98.271511239999995</v>
          </cell>
          <cell r="AG109">
            <v>96.917344279999995</v>
          </cell>
          <cell r="AH109">
            <v>95.581081780000005</v>
          </cell>
          <cell r="AI109">
            <v>94.264519649999997</v>
          </cell>
          <cell r="AJ109">
            <v>92.969264339999995</v>
          </cell>
          <cell r="AK109">
            <v>91.695916710000006</v>
          </cell>
          <cell r="AL109">
            <v>90.443790509999999</v>
          </cell>
          <cell r="AM109">
            <v>89.211249440000003</v>
          </cell>
          <cell r="AN109">
            <v>87.996432769999998</v>
          </cell>
          <cell r="AO109">
            <v>86.797772370000004</v>
          </cell>
        </row>
        <row r="110">
          <cell r="F110">
            <v>3.874567114</v>
          </cell>
          <cell r="G110">
            <v>3.7247016309999998</v>
          </cell>
          <cell r="H110">
            <v>3.5831348620000001</v>
          </cell>
          <cell r="I110">
            <v>3.4488551159999998</v>
          </cell>
          <cell r="J110">
            <v>3.3221597639999998</v>
          </cell>
          <cell r="K110">
            <v>3.2030279180000001</v>
          </cell>
          <cell r="L110">
            <v>3.087618032</v>
          </cell>
          <cell r="M110">
            <v>2.978706893</v>
          </cell>
          <cell r="N110">
            <v>2.8678398490000001</v>
          </cell>
          <cell r="O110">
            <v>2.7558627520000001</v>
          </cell>
          <cell r="P110">
            <v>2.6452879419999999</v>
          </cell>
          <cell r="Q110">
            <v>2.5387897430000002</v>
          </cell>
          <cell r="R110">
            <v>2.4386545979999998</v>
          </cell>
          <cell r="S110">
            <v>2.3456651800000001</v>
          </cell>
          <cell r="T110">
            <v>2.2593722729999999</v>
          </cell>
          <cell r="U110">
            <v>2.1785297890000002</v>
          </cell>
          <cell r="V110">
            <v>2.1016745769999998</v>
          </cell>
          <cell r="W110">
            <v>2.0276229350000001</v>
          </cell>
          <cell r="X110">
            <v>1.955637624</v>
          </cell>
          <cell r="Y110">
            <v>1.885446371</v>
          </cell>
          <cell r="Z110">
            <v>1.817049548</v>
          </cell>
          <cell r="AA110">
            <v>1.7507673580000001</v>
          </cell>
          <cell r="AB110">
            <v>1.6868281709999999</v>
          </cell>
          <cell r="AC110">
            <v>1.6253999109999999</v>
          </cell>
          <cell r="AD110">
            <v>1.5664976719999999</v>
          </cell>
          <cell r="AE110">
            <v>1.5098533300000001</v>
          </cell>
          <cell r="AF110">
            <v>1.4554360019999999</v>
          </cell>
          <cell r="AG110">
            <v>1.403114816</v>
          </cell>
          <cell r="AH110">
            <v>1.3528679619999999</v>
          </cell>
          <cell r="AI110">
            <v>1.304687484</v>
          </cell>
          <cell r="AJ110">
            <v>1.2585549680000001</v>
          </cell>
          <cell r="AK110">
            <v>1.2144119170000001</v>
          </cell>
          <cell r="AL110">
            <v>1.1721533200000001</v>
          </cell>
          <cell r="AM110">
            <v>1.131644919</v>
          </cell>
          <cell r="AN110">
            <v>1.0927525709999999</v>
          </cell>
          <cell r="AO110">
            <v>1.0553609779999999</v>
          </cell>
        </row>
        <row r="112">
          <cell r="F112">
            <v>3.476542051</v>
          </cell>
          <cell r="G112">
            <v>7.0992244930000004</v>
          </cell>
          <cell r="H112">
            <v>13.930695070000001</v>
          </cell>
          <cell r="I112">
            <v>21.193309129999999</v>
          </cell>
          <cell r="J112">
            <v>28.457763740000001</v>
          </cell>
          <cell r="K112">
            <v>35.782543189999998</v>
          </cell>
          <cell r="L112">
            <v>43.149881970000003</v>
          </cell>
          <cell r="M112">
            <v>50.552811400000003</v>
          </cell>
          <cell r="N112">
            <v>57.920923979999998</v>
          </cell>
          <cell r="O112">
            <v>65.15817758</v>
          </cell>
          <cell r="P112">
            <v>72.230702429999994</v>
          </cell>
          <cell r="Q112">
            <v>78.886914790000006</v>
          </cell>
          <cell r="R112">
            <v>85.123244369999995</v>
          </cell>
          <cell r="S112">
            <v>90.954486250000002</v>
          </cell>
          <cell r="T112">
            <v>96.528613500000006</v>
          </cell>
          <cell r="U112">
            <v>102.2024878</v>
          </cell>
          <cell r="V112">
            <v>108.1638548</v>
          </cell>
          <cell r="W112">
            <v>114.3231734</v>
          </cell>
          <cell r="X112">
            <v>120.5549645</v>
          </cell>
          <cell r="Y112">
            <v>126.7838721</v>
          </cell>
          <cell r="Z112">
            <v>132.82834819999999</v>
          </cell>
          <cell r="AA112">
            <v>139.02317450000001</v>
          </cell>
          <cell r="AB112">
            <v>145.2749895</v>
          </cell>
          <cell r="AC112">
            <v>151.64360389999999</v>
          </cell>
          <cell r="AD112">
            <v>158.13298979999999</v>
          </cell>
          <cell r="AE112">
            <v>164.42636640000001</v>
          </cell>
          <cell r="AF112">
            <v>170.89736970000001</v>
          </cell>
          <cell r="AG112">
            <v>177.40324089999999</v>
          </cell>
          <cell r="AH112">
            <v>183.9592744</v>
          </cell>
          <cell r="AI112">
            <v>190.57806020000001</v>
          </cell>
          <cell r="AJ112">
            <v>197.2673929</v>
          </cell>
          <cell r="AK112">
            <v>204.02256120000001</v>
          </cell>
          <cell r="AL112">
            <v>210.8249361</v>
          </cell>
          <cell r="AM112">
            <v>217.64746349999999</v>
          </cell>
          <cell r="AN112">
            <v>224.46158149999999</v>
          </cell>
          <cell r="AO112">
            <v>231.24283130000001</v>
          </cell>
        </row>
        <row r="113">
          <cell r="F113">
            <v>68.80476281</v>
          </cell>
          <cell r="G113">
            <v>76.701300149999994</v>
          </cell>
          <cell r="H113">
            <v>82.885768369999994</v>
          </cell>
          <cell r="I113">
            <v>88.188079909999999</v>
          </cell>
          <cell r="J113">
            <v>93.055322869999998</v>
          </cell>
          <cell r="K113">
            <v>97.61531076</v>
          </cell>
          <cell r="L113">
            <v>101.3453765</v>
          </cell>
          <cell r="M113">
            <v>104.94736930000001</v>
          </cell>
          <cell r="N113">
            <v>108.5000378</v>
          </cell>
          <cell r="O113">
            <v>112.0821802</v>
          </cell>
          <cell r="P113">
            <v>116.7909272</v>
          </cell>
          <cell r="Q113">
            <v>120.6807829</v>
          </cell>
          <cell r="R113">
            <v>124.87595279999999</v>
          </cell>
          <cell r="S113">
            <v>129.53245720000001</v>
          </cell>
          <cell r="T113">
            <v>134.78060389999999</v>
          </cell>
          <cell r="U113">
            <v>140.13108460000001</v>
          </cell>
          <cell r="V113">
            <v>145.1165828</v>
          </cell>
          <cell r="W113">
            <v>149.72423449999999</v>
          </cell>
          <cell r="X113">
            <v>154.07999749999999</v>
          </cell>
          <cell r="Y113">
            <v>158.2922006</v>
          </cell>
          <cell r="Z113">
            <v>161.83559769999999</v>
          </cell>
          <cell r="AA113">
            <v>165.916357</v>
          </cell>
          <cell r="AB113">
            <v>169.89485060000001</v>
          </cell>
          <cell r="AC113">
            <v>173.74344210000001</v>
          </cell>
          <cell r="AD113">
            <v>177.4680927</v>
          </cell>
          <cell r="AE113">
            <v>179.34707299999999</v>
          </cell>
          <cell r="AF113">
            <v>182.1025463</v>
          </cell>
          <cell r="AG113">
            <v>184.8008873</v>
          </cell>
          <cell r="AH113">
            <v>187.43733030000001</v>
          </cell>
          <cell r="AI113">
            <v>190.00733919999999</v>
          </cell>
          <cell r="AJ113">
            <v>192.50846390000001</v>
          </cell>
          <cell r="AK113">
            <v>194.9448304</v>
          </cell>
          <cell r="AL113">
            <v>197.3279934</v>
          </cell>
          <cell r="AM113">
            <v>199.67395389999999</v>
          </cell>
          <cell r="AN113">
            <v>201.99938040000001</v>
          </cell>
          <cell r="AO113">
            <v>204.3185445</v>
          </cell>
        </row>
        <row r="114">
          <cell r="F114">
            <v>408.28039699999999</v>
          </cell>
          <cell r="G114">
            <v>423.5108955</v>
          </cell>
          <cell r="H114">
            <v>436.57268920000001</v>
          </cell>
          <cell r="I114">
            <v>448.16201369999999</v>
          </cell>
          <cell r="J114">
            <v>459.08412120000003</v>
          </cell>
          <cell r="K114">
            <v>469.60596520000001</v>
          </cell>
          <cell r="L114">
            <v>478.13532140000001</v>
          </cell>
          <cell r="M114">
            <v>486.52252579999998</v>
          </cell>
          <cell r="N114">
            <v>494.86012770000002</v>
          </cell>
          <cell r="O114">
            <v>503.23303329999999</v>
          </cell>
          <cell r="P114">
            <v>514.61661590000006</v>
          </cell>
          <cell r="Q114">
            <v>523.31390480000005</v>
          </cell>
          <cell r="R114">
            <v>532.31561839999995</v>
          </cell>
          <cell r="S114">
            <v>541.77215769999998</v>
          </cell>
          <cell r="T114">
            <v>551.81055119999996</v>
          </cell>
          <cell r="U114">
            <v>561.95631739999999</v>
          </cell>
          <cell r="V114">
            <v>571.75564559999998</v>
          </cell>
          <cell r="W114">
            <v>581.19579580000004</v>
          </cell>
          <cell r="X114">
            <v>590.39890100000002</v>
          </cell>
          <cell r="Y114">
            <v>599.47001799999998</v>
          </cell>
          <cell r="Z114">
            <v>606.63701419999995</v>
          </cell>
          <cell r="AA114">
            <v>615.59076889999994</v>
          </cell>
          <cell r="AB114">
            <v>624.45217500000001</v>
          </cell>
          <cell r="AC114">
            <v>633.19423210000002</v>
          </cell>
          <cell r="AD114">
            <v>641.82283810000001</v>
          </cell>
          <cell r="AE114">
            <v>645.22183610000002</v>
          </cell>
          <cell r="AF114">
            <v>651.29539620000003</v>
          </cell>
          <cell r="AG114">
            <v>657.31279310000002</v>
          </cell>
          <cell r="AH114">
            <v>663.2691446</v>
          </cell>
          <cell r="AI114">
            <v>669.15969070000006</v>
          </cell>
          <cell r="AJ114">
            <v>674.98184330000004</v>
          </cell>
          <cell r="AK114">
            <v>680.73965959999998</v>
          </cell>
          <cell r="AL114">
            <v>686.44464719999996</v>
          </cell>
          <cell r="AM114">
            <v>692.11276150000003</v>
          </cell>
          <cell r="AN114">
            <v>697.76060589999997</v>
          </cell>
          <cell r="AO114">
            <v>703.40235070000006</v>
          </cell>
        </row>
        <row r="115">
          <cell r="F115">
            <v>954.38155940000001</v>
          </cell>
          <cell r="G115">
            <v>946.68620120000003</v>
          </cell>
          <cell r="H115">
            <v>940.18309839999995</v>
          </cell>
          <cell r="I115">
            <v>934.55450470000005</v>
          </cell>
          <cell r="J115">
            <v>929.46705050000003</v>
          </cell>
          <cell r="K115">
            <v>924.72215440000002</v>
          </cell>
          <cell r="L115">
            <v>920.19097390000002</v>
          </cell>
          <cell r="M115">
            <v>915.79353909999998</v>
          </cell>
          <cell r="N115">
            <v>911.48015959999998</v>
          </cell>
          <cell r="O115">
            <v>907.21597569999994</v>
          </cell>
          <cell r="P115">
            <v>902.9707995</v>
          </cell>
          <cell r="Q115">
            <v>898.67826839999998</v>
          </cell>
          <cell r="R115">
            <v>894.20320260000005</v>
          </cell>
          <cell r="S115">
            <v>889.21874070000001</v>
          </cell>
          <cell r="T115">
            <v>883.31244530000004</v>
          </cell>
          <cell r="U115">
            <v>877.08548619999999</v>
          </cell>
          <cell r="V115">
            <v>871.26810520000004</v>
          </cell>
          <cell r="W115">
            <v>865.97455730000001</v>
          </cell>
          <cell r="X115">
            <v>861.08249750000004</v>
          </cell>
          <cell r="Y115">
            <v>856.45433720000005</v>
          </cell>
          <cell r="Z115">
            <v>851.92815880000001</v>
          </cell>
          <cell r="AA115">
            <v>847.54625750000002</v>
          </cell>
          <cell r="AB115">
            <v>843.28683409999996</v>
          </cell>
          <cell r="AC115">
            <v>839.14371059999996</v>
          </cell>
          <cell r="AD115">
            <v>835.10101329999998</v>
          </cell>
          <cell r="AE115">
            <v>831.10476019999999</v>
          </cell>
          <cell r="AF115">
            <v>827.1684851</v>
          </cell>
          <cell r="AG115">
            <v>823.28033149999999</v>
          </cell>
          <cell r="AH115">
            <v>819.43386239999995</v>
          </cell>
          <cell r="AI115">
            <v>815.62486520000004</v>
          </cell>
          <cell r="AJ115">
            <v>811.84994319999998</v>
          </cell>
          <cell r="AK115">
            <v>808.10568450000005</v>
          </cell>
          <cell r="AL115">
            <v>804.38859209999998</v>
          </cell>
          <cell r="AM115">
            <v>800.69538469999998</v>
          </cell>
          <cell r="AN115">
            <v>797.02320010000005</v>
          </cell>
          <cell r="AO115">
            <v>793.36963690000005</v>
          </cell>
        </row>
        <row r="116">
          <cell r="F116">
            <v>878.79999729999997</v>
          </cell>
          <cell r="G116">
            <v>870.04263679999997</v>
          </cell>
          <cell r="H116">
            <v>863.22911360000001</v>
          </cell>
          <cell r="I116">
            <v>857.45735960000002</v>
          </cell>
          <cell r="J116">
            <v>852.22932200000002</v>
          </cell>
          <cell r="K116">
            <v>847.28726080000001</v>
          </cell>
          <cell r="L116">
            <v>842.50161939999998</v>
          </cell>
          <cell r="M116">
            <v>837.80916130000003</v>
          </cell>
          <cell r="N116">
            <v>833.17972610000004</v>
          </cell>
          <cell r="O116">
            <v>828.59858789999998</v>
          </cell>
          <cell r="P116">
            <v>824.05744159999995</v>
          </cell>
          <cell r="Q116">
            <v>819.54999869999995</v>
          </cell>
          <cell r="R116">
            <v>815.07153010000002</v>
          </cell>
          <cell r="S116">
            <v>810.61894859999995</v>
          </cell>
          <cell r="T116">
            <v>806.19050500000003</v>
          </cell>
          <cell r="U116">
            <v>801.78534430000002</v>
          </cell>
          <cell r="V116">
            <v>797.403099</v>
          </cell>
          <cell r="W116">
            <v>793.04357640000001</v>
          </cell>
          <cell r="X116">
            <v>788.70657389999997</v>
          </cell>
          <cell r="Y116">
            <v>784.39182679999999</v>
          </cell>
          <cell r="Z116">
            <v>780.09888939999996</v>
          </cell>
          <cell r="AA116">
            <v>775.82772790000001</v>
          </cell>
          <cell r="AB116">
            <v>771.57823280000002</v>
          </cell>
          <cell r="AC116">
            <v>767.35030359999996</v>
          </cell>
          <cell r="AD116">
            <v>763.14400460000002</v>
          </cell>
          <cell r="AE116">
            <v>758.95905679999998</v>
          </cell>
          <cell r="AF116">
            <v>754.79592430000002</v>
          </cell>
          <cell r="AG116">
            <v>750.65482340000005</v>
          </cell>
          <cell r="AH116">
            <v>746.53548509999996</v>
          </cell>
          <cell r="AI116">
            <v>742.43750799999998</v>
          </cell>
          <cell r="AJ116">
            <v>738.36062660000005</v>
          </cell>
          <cell r="AK116">
            <v>734.30481199999997</v>
          </cell>
          <cell r="AL116">
            <v>730.27021439999999</v>
          </cell>
          <cell r="AM116">
            <v>726.25703309999994</v>
          </cell>
          <cell r="AN116">
            <v>722.26539639999999</v>
          </cell>
          <cell r="AO116">
            <v>718.29530130000001</v>
          </cell>
        </row>
        <row r="117">
          <cell r="F117">
            <v>139.85209269999999</v>
          </cell>
          <cell r="G117">
            <v>137.9614138</v>
          </cell>
          <cell r="H117">
            <v>136.1236074</v>
          </cell>
          <cell r="I117">
            <v>134.3328626</v>
          </cell>
          <cell r="J117">
            <v>132.59747340000001</v>
          </cell>
          <cell r="K117">
            <v>130.92073790000001</v>
          </cell>
          <cell r="L117">
            <v>129.29314350000001</v>
          </cell>
          <cell r="M117">
            <v>127.69745500000001</v>
          </cell>
          <cell r="N117">
            <v>126.1142949</v>
          </cell>
          <cell r="O117">
            <v>124.5269208</v>
          </cell>
          <cell r="P117">
            <v>122.9279896</v>
          </cell>
          <cell r="Q117">
            <v>121.3136679</v>
          </cell>
          <cell r="R117">
            <v>119.6907647</v>
          </cell>
          <cell r="S117">
            <v>118.067594</v>
          </cell>
          <cell r="T117">
            <v>116.4526709</v>
          </cell>
          <cell r="U117">
            <v>114.8524283</v>
          </cell>
          <cell r="V117">
            <v>113.2703973</v>
          </cell>
          <cell r="W117">
            <v>111.7078276</v>
          </cell>
          <cell r="X117">
            <v>110.16488560000001</v>
          </cell>
          <cell r="Y117">
            <v>108.6416282</v>
          </cell>
          <cell r="Z117">
            <v>107.137017</v>
          </cell>
          <cell r="AA117">
            <v>105.6532742</v>
          </cell>
          <cell r="AB117">
            <v>104.19098529999999</v>
          </cell>
          <cell r="AC117">
            <v>102.7514192</v>
          </cell>
          <cell r="AD117">
            <v>101.334766</v>
          </cell>
          <cell r="AE117">
            <v>99.936709550000003</v>
          </cell>
          <cell r="AF117">
            <v>98.558253730000004</v>
          </cell>
          <cell r="AG117">
            <v>97.198278630000004</v>
          </cell>
          <cell r="AH117">
            <v>95.85790858</v>
          </cell>
          <cell r="AI117">
            <v>94.5385201</v>
          </cell>
          <cell r="AJ117">
            <v>93.241092940000001</v>
          </cell>
          <cell r="AK117">
            <v>91.96570328</v>
          </cell>
          <cell r="AL117">
            <v>90.711407280000003</v>
          </cell>
          <cell r="AM117">
            <v>89.476547049999994</v>
          </cell>
          <cell r="AN117">
            <v>88.259305449999999</v>
          </cell>
          <cell r="AO117">
            <v>87.058242489999998</v>
          </cell>
        </row>
        <row r="118">
          <cell r="F118">
            <v>3.874567114</v>
          </cell>
          <cell r="G118">
            <v>3.7247016309999998</v>
          </cell>
          <cell r="H118">
            <v>3.5831348620000001</v>
          </cell>
          <cell r="I118">
            <v>3.4488551159999998</v>
          </cell>
          <cell r="J118">
            <v>3.3221597639999998</v>
          </cell>
          <cell r="K118">
            <v>3.2030279180000001</v>
          </cell>
          <cell r="L118">
            <v>3.0904729620000002</v>
          </cell>
          <cell r="M118">
            <v>2.9829869520000001</v>
          </cell>
          <cell r="N118">
            <v>2.879007353</v>
          </cell>
          <cell r="O118">
            <v>2.777300436</v>
          </cell>
          <cell r="P118">
            <v>2.6774055790000002</v>
          </cell>
          <cell r="Q118">
            <v>2.579119768</v>
          </cell>
          <cell r="R118">
            <v>2.4829393340000001</v>
          </cell>
          <cell r="S118">
            <v>2.3893841789999999</v>
          </cell>
          <cell r="T118">
            <v>2.298918494</v>
          </cell>
          <cell r="U118">
            <v>2.2118252310000002</v>
          </cell>
          <cell r="V118">
            <v>2.1281838820000001</v>
          </cell>
          <cell r="W118">
            <v>2.047930053</v>
          </cell>
          <cell r="X118">
            <v>1.9709372789999999</v>
          </cell>
          <cell r="Y118">
            <v>1.897076148</v>
          </cell>
          <cell r="Z118">
            <v>1.826165483</v>
          </cell>
          <cell r="AA118">
            <v>1.7581997789999999</v>
          </cell>
          <cell r="AB118">
            <v>1.693083925</v>
          </cell>
          <cell r="AC118">
            <v>1.6307595100000001</v>
          </cell>
          <cell r="AD118">
            <v>1.5711199890000001</v>
          </cell>
          <cell r="AE118">
            <v>1.5138602919999999</v>
          </cell>
          <cell r="AF118">
            <v>1.4589416900000001</v>
          </cell>
          <cell r="AG118">
            <v>1.406225429</v>
          </cell>
          <cell r="AH118">
            <v>1.355673466</v>
          </cell>
          <cell r="AI118">
            <v>1.3072558729999999</v>
          </cell>
          <cell r="AJ118">
            <v>1.260925818</v>
          </cell>
          <cell r="AK118">
            <v>1.2166025300000001</v>
          </cell>
          <cell r="AL118">
            <v>1.1741705609999999</v>
          </cell>
          <cell r="AM118">
            <v>1.133494711</v>
          </cell>
          <cell r="AN118">
            <v>1.094442342</v>
          </cell>
          <cell r="AO118">
            <v>1.0569024060000001</v>
          </cell>
        </row>
        <row r="205">
          <cell r="E205" t="str">
            <v>YG_toe_2</v>
          </cell>
          <cell r="F205">
            <v>142.11554810000001</v>
          </cell>
          <cell r="G205">
            <v>144.95668660000001</v>
          </cell>
          <cell r="H205">
            <v>147.1024171</v>
          </cell>
          <cell r="I205">
            <v>148.9867888</v>
          </cell>
          <cell r="J205">
            <v>150.84384990000001</v>
          </cell>
          <cell r="K205">
            <v>152.81956629999999</v>
          </cell>
          <cell r="L205">
            <v>156.115015</v>
          </cell>
          <cell r="M205">
            <v>158.47250360000001</v>
          </cell>
          <cell r="N205">
            <v>160.42475020000001</v>
          </cell>
          <cell r="O205">
            <v>161.99650389999999</v>
          </cell>
          <cell r="P205">
            <v>163.39539669999999</v>
          </cell>
          <cell r="Q205">
            <v>164.6126821</v>
          </cell>
          <cell r="R205">
            <v>165.8911114</v>
          </cell>
          <cell r="S205">
            <v>167.3507324</v>
          </cell>
          <cell r="T205">
            <v>169.02514389999999</v>
          </cell>
          <cell r="U205">
            <v>170.87957539999999</v>
          </cell>
          <cell r="V205">
            <v>172.83803349999999</v>
          </cell>
          <cell r="W205">
            <v>174.82604789999999</v>
          </cell>
          <cell r="X205">
            <v>176.7950448</v>
          </cell>
          <cell r="Y205">
            <v>178.73078649999999</v>
          </cell>
          <cell r="Z205">
            <v>180.5476476</v>
          </cell>
          <cell r="AA205">
            <v>182.43471719999999</v>
          </cell>
          <cell r="AB205">
            <v>184.36185979999999</v>
          </cell>
          <cell r="AC205">
            <v>186.34132310000001</v>
          </cell>
          <cell r="AD205">
            <v>188.37870140000001</v>
          </cell>
          <cell r="AE205">
            <v>190.16224750000001</v>
          </cell>
          <cell r="AF205">
            <v>192.06134370000001</v>
          </cell>
          <cell r="AG205">
            <v>193.9583767</v>
          </cell>
          <cell r="AH205">
            <v>195.84903180000001</v>
          </cell>
          <cell r="AI205">
            <v>197.75201770000001</v>
          </cell>
          <cell r="AJ205">
            <v>199.6906141</v>
          </cell>
          <cell r="AK205">
            <v>201.68102569999999</v>
          </cell>
          <cell r="AL205">
            <v>203.72769389999999</v>
          </cell>
          <cell r="AM205">
            <v>205.82434029999999</v>
          </cell>
          <cell r="AN205">
            <v>207.9596253</v>
          </cell>
          <cell r="AO205">
            <v>210.12285840000001</v>
          </cell>
        </row>
        <row r="206">
          <cell r="E206" t="str">
            <v>YG_toe_ccoa_2</v>
          </cell>
          <cell r="F206">
            <v>2.258438698</v>
          </cell>
          <cell r="G206">
            <v>1.6403650430000001</v>
          </cell>
          <cell r="H206">
            <v>1.127676369</v>
          </cell>
          <cell r="I206">
            <v>0.71262856939999997</v>
          </cell>
          <cell r="J206">
            <v>0.37780183000000001</v>
          </cell>
          <cell r="K206">
            <v>0.107022664</v>
          </cell>
          <cell r="L206">
            <v>-9.6262503700000002E-2</v>
          </cell>
          <cell r="M206">
            <v>-0.25818777040000002</v>
          </cell>
          <cell r="N206">
            <v>-0.39048634180000003</v>
          </cell>
          <cell r="O206">
            <v>-0.50120233839999995</v>
          </cell>
          <cell r="P206">
            <v>-0.60368286930000004</v>
          </cell>
          <cell r="Q206">
            <v>-0.68542120039999999</v>
          </cell>
          <cell r="R206">
            <v>-0.75726089230000004</v>
          </cell>
          <cell r="S206">
            <v>-0.82127457000000004</v>
          </cell>
          <cell r="T206">
            <v>-0.87758957189999998</v>
          </cell>
          <cell r="U206">
            <v>-0.92652526690000003</v>
          </cell>
          <cell r="V206">
            <v>-0.96897934350000003</v>
          </cell>
          <cell r="W206">
            <v>-1.0062915290000001</v>
          </cell>
          <cell r="X206">
            <v>-1.0399403199999999</v>
          </cell>
          <cell r="Y206">
            <v>-1.071232516</v>
          </cell>
          <cell r="Z206">
            <v>-1.0959308640000001</v>
          </cell>
          <cell r="AA206">
            <v>-1.1260453180000001</v>
          </cell>
          <cell r="AB206">
            <v>-1.155968544</v>
          </cell>
          <cell r="AC206">
            <v>-1.184750658</v>
          </cell>
          <cell r="AD206">
            <v>-1.2125629149999999</v>
          </cell>
          <cell r="AE206">
            <v>-1.2245224400000001</v>
          </cell>
          <cell r="AF206">
            <v>-1.2480788199999999</v>
          </cell>
          <cell r="AG206">
            <v>-1.2739357899999999</v>
          </cell>
          <cell r="AH206">
            <v>-1.2999522130000001</v>
          </cell>
          <cell r="AI206">
            <v>-1.3260503729999999</v>
          </cell>
          <cell r="AJ206">
            <v>-1.352321409</v>
          </cell>
          <cell r="AK206">
            <v>-1.3787316140000001</v>
          </cell>
          <cell r="AL206">
            <v>-1.405195017</v>
          </cell>
          <cell r="AM206">
            <v>-1.4316682940000001</v>
          </cell>
          <cell r="AN206">
            <v>-1.458191158</v>
          </cell>
          <cell r="AO206">
            <v>-1.4848716900000001</v>
          </cell>
        </row>
        <row r="209">
          <cell r="E209" t="str">
            <v>YG_toe_ccoi_2</v>
          </cell>
          <cell r="F209">
            <v>1.2014640089999999</v>
          </cell>
          <cell r="G209">
            <v>0.96355642880000003</v>
          </cell>
          <cell r="H209">
            <v>0.77322868119999999</v>
          </cell>
          <cell r="I209">
            <v>0.62097772529999995</v>
          </cell>
          <cell r="J209">
            <v>0.49920051580000002</v>
          </cell>
          <cell r="K209">
            <v>0.40181043350000001</v>
          </cell>
          <cell r="L209">
            <v>0.3239906581</v>
          </cell>
          <cell r="M209">
            <v>0.26174917339999998</v>
          </cell>
          <cell r="N209">
            <v>0.21197333439999999</v>
          </cell>
          <cell r="O209">
            <v>0.1721668979</v>
          </cell>
          <cell r="P209">
            <v>0.14034410980000001</v>
          </cell>
          <cell r="Q209">
            <v>0.11490059480000001</v>
          </cell>
          <cell r="R209">
            <v>9.45699183E-2</v>
          </cell>
          <cell r="S209">
            <v>7.8335646300000006E-2</v>
          </cell>
          <cell r="T209">
            <v>6.5381290300000006E-2</v>
          </cell>
          <cell r="U209">
            <v>5.5051683099999998E-2</v>
          </cell>
          <cell r="V209">
            <v>4.6821170699999998E-2</v>
          </cell>
          <cell r="W209">
            <v>4.0268388199999998E-2</v>
          </cell>
          <cell r="X209">
            <v>3.5056180200000002E-2</v>
          </cell>
          <cell r="Y209">
            <v>3.09155318E-2</v>
          </cell>
          <cell r="Z209">
            <v>2.7625219600000001E-2</v>
          </cell>
          <cell r="AA209">
            <v>2.5026225499999999E-2</v>
          </cell>
          <cell r="AB209">
            <v>2.2979113200000002E-2</v>
          </cell>
          <cell r="AC209">
            <v>2.13736985E-2</v>
          </cell>
          <cell r="AD209">
            <v>2.0122534000000001E-2</v>
          </cell>
          <cell r="AE209">
            <v>1.91339606E-2</v>
          </cell>
          <cell r="AF209">
            <v>1.8377814700000002E-2</v>
          </cell>
          <cell r="AG209">
            <v>1.7803669800000001E-2</v>
          </cell>
          <cell r="AH209">
            <v>1.73732963E-2</v>
          </cell>
          <cell r="AI209">
            <v>1.7058420599999999E-2</v>
          </cell>
          <cell r="AJ209">
            <v>1.6837086899999999E-2</v>
          </cell>
          <cell r="AK209">
            <v>1.6691736400000001E-2</v>
          </cell>
          <cell r="AL209">
            <v>1.6608008399999999E-2</v>
          </cell>
          <cell r="AM209">
            <v>1.6574028399999999E-2</v>
          </cell>
          <cell r="AN209">
            <v>1.6580005799999999E-2</v>
          </cell>
          <cell r="AO209">
            <v>1.6617990400000001E-2</v>
          </cell>
        </row>
        <row r="212">
          <cell r="E212" t="str">
            <v>YG_toe_cfut_2</v>
          </cell>
          <cell r="F212">
            <v>54.406557329999998</v>
          </cell>
          <cell r="G212">
            <v>55.990435140000002</v>
          </cell>
          <cell r="H212">
            <v>57.324036960000001</v>
          </cell>
          <cell r="I212">
            <v>58.511681580000001</v>
          </cell>
          <cell r="J212">
            <v>59.626734200000001</v>
          </cell>
          <cell r="K212">
            <v>60.713749370000002</v>
          </cell>
          <cell r="L212">
            <v>62.039150720000002</v>
          </cell>
          <cell r="M212">
            <v>63.140472320000001</v>
          </cell>
          <cell r="N212">
            <v>64.15662777</v>
          </cell>
          <cell r="O212">
            <v>65.098937980000002</v>
          </cell>
          <cell r="P212">
            <v>66.054023689999994</v>
          </cell>
          <cell r="Q212">
            <v>66.909743309999996</v>
          </cell>
          <cell r="R212">
            <v>67.763118750000004</v>
          </cell>
          <cell r="S212">
            <v>68.635751170000006</v>
          </cell>
          <cell r="T212">
            <v>69.535474649999998</v>
          </cell>
          <cell r="U212">
            <v>70.460423259999999</v>
          </cell>
          <cell r="V212">
            <v>71.402934819999999</v>
          </cell>
          <cell r="W212">
            <v>72.354155489999997</v>
          </cell>
          <cell r="X212">
            <v>73.307755610000001</v>
          </cell>
          <cell r="Y212">
            <v>74.26176538</v>
          </cell>
          <cell r="Z212">
            <v>75.162048769999998</v>
          </cell>
          <cell r="AA212">
            <v>76.12012532</v>
          </cell>
          <cell r="AB212">
            <v>77.089923940000006</v>
          </cell>
          <cell r="AC212">
            <v>78.073279790000001</v>
          </cell>
          <cell r="AD212">
            <v>79.07257577</v>
          </cell>
          <cell r="AE212">
            <v>79.920946639999997</v>
          </cell>
          <cell r="AF212">
            <v>80.863112970000003</v>
          </cell>
          <cell r="AG212">
            <v>81.812816609999999</v>
          </cell>
          <cell r="AH212">
            <v>82.766210130000005</v>
          </cell>
          <cell r="AI212">
            <v>83.726448270000006</v>
          </cell>
          <cell r="AJ212">
            <v>84.697756100000007</v>
          </cell>
          <cell r="AK212">
            <v>85.683307420000006</v>
          </cell>
          <cell r="AL212">
            <v>86.684489709999994</v>
          </cell>
          <cell r="AM212">
            <v>87.701037869999993</v>
          </cell>
          <cell r="AN212">
            <v>88.731731389999993</v>
          </cell>
          <cell r="AO212">
            <v>89.775235730000006</v>
          </cell>
        </row>
        <row r="215">
          <cell r="E215" t="str">
            <v>YG_toe_cfuh_2</v>
          </cell>
          <cell r="F215">
            <v>5.0152024290000004</v>
          </cell>
          <cell r="G215">
            <v>4.9199092780000004</v>
          </cell>
          <cell r="H215">
            <v>4.830018345</v>
          </cell>
          <cell r="I215">
            <v>4.750959011</v>
          </cell>
          <cell r="J215">
            <v>4.6869888939999997</v>
          </cell>
          <cell r="K215">
            <v>4.6409225259999998</v>
          </cell>
          <cell r="L215">
            <v>4.6622607660000002</v>
          </cell>
          <cell r="M215">
            <v>4.6642827970000003</v>
          </cell>
          <cell r="N215">
            <v>4.6616572549999997</v>
          </cell>
          <cell r="O215">
            <v>4.6532236820000001</v>
          </cell>
          <cell r="P215">
            <v>4.6435066750000003</v>
          </cell>
          <cell r="Q215">
            <v>4.6278424759999996</v>
          </cell>
          <cell r="R215">
            <v>4.6146858130000004</v>
          </cell>
          <cell r="S215">
            <v>4.6080914599999998</v>
          </cell>
          <cell r="T215">
            <v>4.6097244359999996</v>
          </cell>
          <cell r="U215">
            <v>4.6190552030000003</v>
          </cell>
          <cell r="V215">
            <v>4.6337356109999996</v>
          </cell>
          <cell r="W215">
            <v>4.6512245559999998</v>
          </cell>
          <cell r="X215">
            <v>4.6694699350000004</v>
          </cell>
          <cell r="Y215">
            <v>4.6873222710000002</v>
          </cell>
          <cell r="Z215">
            <v>4.7013991309999996</v>
          </cell>
          <cell r="AA215">
            <v>4.7180222279999997</v>
          </cell>
          <cell r="AB215">
            <v>4.735016742</v>
          </cell>
          <cell r="AC215">
            <v>4.7527184179999997</v>
          </cell>
          <cell r="AD215">
            <v>4.771516139</v>
          </cell>
          <cell r="AE215">
            <v>4.7819815979999998</v>
          </cell>
          <cell r="AF215">
            <v>4.7981436530000003</v>
          </cell>
          <cell r="AG215">
            <v>4.8143929759999997</v>
          </cell>
          <cell r="AH215">
            <v>4.8301380140000001</v>
          </cell>
          <cell r="AI215">
            <v>4.8457115909999997</v>
          </cell>
          <cell r="AJ215">
            <v>4.8616940360000003</v>
          </cell>
          <cell r="AK215">
            <v>4.8785926689999997</v>
          </cell>
          <cell r="AL215">
            <v>4.896601038</v>
          </cell>
          <cell r="AM215">
            <v>4.9156163230000001</v>
          </cell>
          <cell r="AN215">
            <v>4.935369509</v>
          </cell>
          <cell r="AO215">
            <v>4.9555593910000004</v>
          </cell>
        </row>
        <row r="217">
          <cell r="E217" t="str">
            <v>YG_toe_cgas_2</v>
          </cell>
          <cell r="F217">
            <v>2.4446408150000001</v>
          </cell>
          <cell r="G217">
            <v>4.3483940480000003</v>
          </cell>
          <cell r="H217">
            <v>5.7526324439999996</v>
          </cell>
          <cell r="I217">
            <v>6.8742791829999996</v>
          </cell>
          <cell r="J217">
            <v>7.7948839689999998</v>
          </cell>
          <cell r="K217">
            <v>8.5676773419999996</v>
          </cell>
          <cell r="L217">
            <v>9.3810646559999995</v>
          </cell>
          <cell r="M217">
            <v>9.9672143179999999</v>
          </cell>
          <cell r="N217">
            <v>10.43495034</v>
          </cell>
          <cell r="O217">
            <v>10.7912493</v>
          </cell>
          <cell r="P217">
            <v>11.05670052</v>
          </cell>
          <cell r="Q217">
            <v>11.26957384</v>
          </cell>
          <cell r="R217">
            <v>11.449639980000001</v>
          </cell>
          <cell r="S217">
            <v>11.617545209999999</v>
          </cell>
          <cell r="T217">
            <v>11.78416517</v>
          </cell>
          <cell r="U217">
            <v>11.951479600000001</v>
          </cell>
          <cell r="V217">
            <v>12.115464279999999</v>
          </cell>
          <cell r="W217">
            <v>12.27092796</v>
          </cell>
          <cell r="X217">
            <v>12.41480977</v>
          </cell>
          <cell r="Y217">
            <v>12.547222489999999</v>
          </cell>
          <cell r="Z217">
            <v>12.66915897</v>
          </cell>
          <cell r="AA217">
            <v>12.78220205</v>
          </cell>
          <cell r="AB217">
            <v>12.894219359999999</v>
          </cell>
          <cell r="AC217">
            <v>13.007895599999999</v>
          </cell>
          <cell r="AD217">
            <v>13.124211669999999</v>
          </cell>
          <cell r="AE217">
            <v>13.23652717</v>
          </cell>
          <cell r="AF217">
            <v>13.33945621</v>
          </cell>
          <cell r="AG217">
            <v>13.43678158</v>
          </cell>
          <cell r="AH217">
            <v>13.530645659999999</v>
          </cell>
          <cell r="AI217">
            <v>13.623773870000001</v>
          </cell>
          <cell r="AJ217">
            <v>13.71884195</v>
          </cell>
          <cell r="AK217">
            <v>13.81766605</v>
          </cell>
          <cell r="AL217">
            <v>13.920777340000001</v>
          </cell>
          <cell r="AM217">
            <v>14.02753352</v>
          </cell>
          <cell r="AN217">
            <v>14.13668137</v>
          </cell>
          <cell r="AO217">
            <v>14.247003469999999</v>
          </cell>
        </row>
        <row r="223">
          <cell r="E223" t="str">
            <v>YG_toe_cele_2</v>
          </cell>
          <cell r="F223">
            <v>49.422621919999997</v>
          </cell>
          <cell r="G223">
            <v>49.876907989999999</v>
          </cell>
          <cell r="H223">
            <v>50.195983159999997</v>
          </cell>
          <cell r="I223">
            <v>50.48931735</v>
          </cell>
          <cell r="J223">
            <v>50.841016779999997</v>
          </cell>
          <cell r="K223">
            <v>51.307993660000001</v>
          </cell>
          <cell r="L223">
            <v>52.437435929999999</v>
          </cell>
          <cell r="M223">
            <v>53.132168929999999</v>
          </cell>
          <cell r="N223">
            <v>53.614875329999997</v>
          </cell>
          <cell r="O223">
            <v>53.906811050000002</v>
          </cell>
          <cell r="P223">
            <v>54.089113759999996</v>
          </cell>
          <cell r="Q223">
            <v>54.239592459999997</v>
          </cell>
          <cell r="R223">
            <v>54.450584730000003</v>
          </cell>
          <cell r="S223">
            <v>54.780117859999997</v>
          </cell>
          <cell r="T223">
            <v>55.237581480000003</v>
          </cell>
          <cell r="U223">
            <v>55.79536015</v>
          </cell>
          <cell r="V223">
            <v>56.405237890000002</v>
          </cell>
          <cell r="W223">
            <v>57.023950419999998</v>
          </cell>
          <cell r="X223">
            <v>57.625135970000002</v>
          </cell>
          <cell r="Y223">
            <v>58.202669389999997</v>
          </cell>
          <cell r="Z223">
            <v>58.741796299999997</v>
          </cell>
          <cell r="AA223">
            <v>59.288601649999997</v>
          </cell>
          <cell r="AB223">
            <v>59.854657420000002</v>
          </cell>
          <cell r="AC223">
            <v>60.446223959999998</v>
          </cell>
          <cell r="AD223">
            <v>61.064855340000001</v>
          </cell>
          <cell r="AE223">
            <v>61.627041259999999</v>
          </cell>
          <cell r="AF223">
            <v>62.203025799999999</v>
          </cell>
          <cell r="AG223">
            <v>62.774009309999997</v>
          </cell>
          <cell r="AH223">
            <v>63.339129229999998</v>
          </cell>
          <cell r="AI223">
            <v>63.908615740000002</v>
          </cell>
          <cell r="AJ223">
            <v>64.494833420000006</v>
          </cell>
          <cell r="AK223">
            <v>65.105823670000007</v>
          </cell>
          <cell r="AL223">
            <v>65.742967350000001</v>
          </cell>
          <cell r="AM223">
            <v>66.401758650000005</v>
          </cell>
          <cell r="AN223">
            <v>67.075350799999995</v>
          </cell>
          <cell r="AO223">
            <v>67.757746209999993</v>
          </cell>
        </row>
        <row r="233">
          <cell r="E233" t="str">
            <v>YG_toe_chea_2</v>
          </cell>
          <cell r="F233">
            <v>3.5774869819999999</v>
          </cell>
          <cell r="G233">
            <v>3.609670151</v>
          </cell>
          <cell r="H233">
            <v>3.6357885250000002</v>
          </cell>
          <cell r="I233">
            <v>3.6616245589999998</v>
          </cell>
          <cell r="J233">
            <v>3.6913392420000002</v>
          </cell>
          <cell r="K233">
            <v>3.7280975139999999</v>
          </cell>
          <cell r="L233">
            <v>3.8072131069999999</v>
          </cell>
          <cell r="M233">
            <v>3.864235517</v>
          </cell>
          <cell r="N233">
            <v>3.9104685250000002</v>
          </cell>
          <cell r="O233">
            <v>3.9456950289999999</v>
          </cell>
          <cell r="P233">
            <v>3.9741684610000001</v>
          </cell>
          <cell r="Q233">
            <v>4.0002293489999996</v>
          </cell>
          <cell r="R233">
            <v>4.0273460419999996</v>
          </cell>
          <cell r="S233">
            <v>4.0597132739999999</v>
          </cell>
          <cell r="T233">
            <v>4.0989143669999999</v>
          </cell>
          <cell r="U233">
            <v>4.1442281239999996</v>
          </cell>
          <cell r="V233">
            <v>4.193550675</v>
          </cell>
          <cell r="W233">
            <v>4.2443448139999997</v>
          </cell>
          <cell r="X233">
            <v>4.2948310569999997</v>
          </cell>
          <cell r="Y233">
            <v>4.3443475329999997</v>
          </cell>
          <cell r="Z233">
            <v>4.3914927610000003</v>
          </cell>
          <cell r="AA233">
            <v>4.4382772749999999</v>
          </cell>
          <cell r="AB233">
            <v>4.4865861990000004</v>
          </cell>
          <cell r="AC233">
            <v>4.5366185640000003</v>
          </cell>
          <cell r="AD233">
            <v>4.5883686279999996</v>
          </cell>
          <cell r="AE233">
            <v>4.6361447980000001</v>
          </cell>
          <cell r="AF233">
            <v>4.6822329370000002</v>
          </cell>
          <cell r="AG233">
            <v>4.728046977</v>
          </cell>
          <cell r="AH233">
            <v>4.773542408</v>
          </cell>
          <cell r="AI233">
            <v>4.8191789419999997</v>
          </cell>
          <cell r="AJ233">
            <v>4.8656263720000004</v>
          </cell>
          <cell r="AK233">
            <v>4.9133988190000002</v>
          </cell>
          <cell r="AL233">
            <v>4.9626694540000003</v>
          </cell>
          <cell r="AM233">
            <v>5.013278691</v>
          </cell>
          <cell r="AN233">
            <v>5.0648747949999997</v>
          </cell>
          <cell r="AO233">
            <v>5.1170896739999998</v>
          </cell>
        </row>
        <row r="235">
          <cell r="E235" t="str">
            <v>YG_toe_cbio_2</v>
          </cell>
          <cell r="F235">
            <v>11.16214102</v>
          </cell>
          <cell r="G235">
            <v>11.20912118</v>
          </cell>
          <cell r="H235">
            <v>11.228091470000001</v>
          </cell>
          <cell r="I235">
            <v>11.241853770000001</v>
          </cell>
          <cell r="J235">
            <v>11.26221934</v>
          </cell>
          <cell r="K235">
            <v>11.29511301</v>
          </cell>
          <cell r="L235">
            <v>11.375641099999999</v>
          </cell>
          <cell r="M235">
            <v>11.410680060000001</v>
          </cell>
          <cell r="N235">
            <v>11.43299247</v>
          </cell>
          <cell r="O235">
            <v>11.44675934</v>
          </cell>
          <cell r="P235">
            <v>11.46228346</v>
          </cell>
          <cell r="Q235">
            <v>11.47460658</v>
          </cell>
          <cell r="R235">
            <v>11.49230719</v>
          </cell>
          <cell r="S235">
            <v>11.52037415</v>
          </cell>
          <cell r="T235">
            <v>11.55946239</v>
          </cell>
          <cell r="U235">
            <v>11.607359300000001</v>
          </cell>
          <cell r="V235">
            <v>11.659939100000001</v>
          </cell>
          <cell r="W235">
            <v>11.71356855</v>
          </cell>
          <cell r="X235">
            <v>11.76618951</v>
          </cell>
          <cell r="Y235">
            <v>11.817406099999999</v>
          </cell>
          <cell r="Z235">
            <v>11.86236652</v>
          </cell>
          <cell r="AA235">
            <v>11.91077802</v>
          </cell>
          <cell r="AB235">
            <v>11.962199050000001</v>
          </cell>
          <cell r="AC235">
            <v>12.01637843</v>
          </cell>
          <cell r="AD235">
            <v>12.073197029999999</v>
          </cell>
          <cell r="AE235">
            <v>12.115234320000001</v>
          </cell>
          <cell r="AF235">
            <v>12.16100325</v>
          </cell>
          <cell r="AG235">
            <v>12.207883410000001</v>
          </cell>
          <cell r="AH235">
            <v>12.255025529999999</v>
          </cell>
          <cell r="AI235">
            <v>12.303035169999999</v>
          </cell>
          <cell r="AJ235">
            <v>12.35282671</v>
          </cell>
          <cell r="AK235">
            <v>12.404999030000001</v>
          </cell>
          <cell r="AL235">
            <v>12.45963978</v>
          </cell>
          <cell r="AM235">
            <v>12.516402019999999</v>
          </cell>
          <cell r="AN235">
            <v>12.57475741</v>
          </cell>
          <cell r="AO235">
            <v>12.63423907</v>
          </cell>
        </row>
        <row r="238">
          <cell r="E238" t="str">
            <v>YG_toe_cote_2</v>
          </cell>
          <cell r="F238">
            <v>12.626994890000001</v>
          </cell>
          <cell r="G238">
            <v>12.39832734</v>
          </cell>
          <cell r="H238">
            <v>12.23496119</v>
          </cell>
          <cell r="I238">
            <v>12.12346707</v>
          </cell>
          <cell r="J238">
            <v>12.06366513</v>
          </cell>
          <cell r="K238">
            <v>12.05717978</v>
          </cell>
          <cell r="L238">
            <v>12.18452061</v>
          </cell>
          <cell r="M238">
            <v>12.28988828</v>
          </cell>
          <cell r="N238">
            <v>12.391691509999999</v>
          </cell>
          <cell r="O238">
            <v>12.482862969999999</v>
          </cell>
          <cell r="P238">
            <v>12.578938859999999</v>
          </cell>
          <cell r="Q238">
            <v>12.66161473</v>
          </cell>
          <cell r="R238">
            <v>12.756119869999999</v>
          </cell>
          <cell r="S238">
            <v>12.87207819</v>
          </cell>
          <cell r="T238">
            <v>13.01202969</v>
          </cell>
          <cell r="U238">
            <v>13.17314339</v>
          </cell>
          <cell r="V238">
            <v>13.34932925</v>
          </cell>
          <cell r="W238">
            <v>13.533899229999999</v>
          </cell>
          <cell r="X238">
            <v>13.721737060000001</v>
          </cell>
          <cell r="Y238">
            <v>13.910370350000001</v>
          </cell>
          <cell r="Z238">
            <v>14.08769079</v>
          </cell>
          <cell r="AA238">
            <v>14.27772974</v>
          </cell>
          <cell r="AB238">
            <v>14.47224651</v>
          </cell>
          <cell r="AC238">
            <v>14.6715853</v>
          </cell>
          <cell r="AD238">
            <v>14.87641721</v>
          </cell>
          <cell r="AE238">
            <v>15.049760239999999</v>
          </cell>
          <cell r="AF238">
            <v>15.24406989</v>
          </cell>
          <cell r="AG238">
            <v>15.440577960000001</v>
          </cell>
          <cell r="AH238">
            <v>15.63691977</v>
          </cell>
          <cell r="AI238">
            <v>15.83424606</v>
          </cell>
          <cell r="AJ238">
            <v>16.03451986</v>
          </cell>
          <cell r="AK238">
            <v>16.239277950000002</v>
          </cell>
          <cell r="AL238">
            <v>16.449136200000002</v>
          </cell>
          <cell r="AM238">
            <v>16.663807519999999</v>
          </cell>
          <cell r="AN238">
            <v>16.88247118</v>
          </cell>
          <cell r="AO238">
            <v>17.104238540000001</v>
          </cell>
        </row>
        <row r="241">
          <cell r="E241" t="str">
            <v>YG_toe_0</v>
          </cell>
          <cell r="F241">
            <v>142.11554810000001</v>
          </cell>
          <cell r="G241">
            <v>144.95668660000001</v>
          </cell>
          <cell r="H241">
            <v>147.1024171</v>
          </cell>
          <cell r="I241">
            <v>148.9867888</v>
          </cell>
          <cell r="J241">
            <v>150.84384990000001</v>
          </cell>
          <cell r="K241">
            <v>152.81956629999999</v>
          </cell>
          <cell r="L241">
            <v>154.8814332</v>
          </cell>
          <cell r="M241">
            <v>157.0704887</v>
          </cell>
          <cell r="N241">
            <v>159.31165730000001</v>
          </cell>
          <cell r="O241">
            <v>161.5174542</v>
          </cell>
          <cell r="P241">
            <v>163.75034410000001</v>
          </cell>
          <cell r="Q241">
            <v>165.80775689999999</v>
          </cell>
          <cell r="R241">
            <v>167.7869336</v>
          </cell>
          <cell r="S241">
            <v>169.72259729999999</v>
          </cell>
          <cell r="T241">
            <v>171.6364111</v>
          </cell>
          <cell r="U241">
            <v>173.54212369999999</v>
          </cell>
          <cell r="V241">
            <v>175.44635779999999</v>
          </cell>
          <cell r="W241">
            <v>177.34977760000001</v>
          </cell>
          <cell r="X241">
            <v>179.25211909999999</v>
          </cell>
          <cell r="Y241">
            <v>181.1561232</v>
          </cell>
          <cell r="Z241">
            <v>182.97022519999999</v>
          </cell>
          <cell r="AA241">
            <v>184.86313290000001</v>
          </cell>
          <cell r="AB241">
            <v>186.79040839999999</v>
          </cell>
          <cell r="AC241">
            <v>188.75815080000001</v>
          </cell>
          <cell r="AD241">
            <v>190.7749239</v>
          </cell>
          <cell r="AE241">
            <v>192.5383913</v>
          </cell>
          <cell r="AF241">
            <v>194.42539650000001</v>
          </cell>
          <cell r="AG241">
            <v>196.32300960000001</v>
          </cell>
          <cell r="AH241">
            <v>198.2259191</v>
          </cell>
          <cell r="AI241">
            <v>200.14949469999999</v>
          </cell>
          <cell r="AJ241">
            <v>202.1123364</v>
          </cell>
          <cell r="AK241">
            <v>204.1266272</v>
          </cell>
          <cell r="AL241">
            <v>206.19479469999999</v>
          </cell>
          <cell r="AM241">
            <v>208.31104239999999</v>
          </cell>
          <cell r="AN241">
            <v>210.46559540000001</v>
          </cell>
          <cell r="AO241">
            <v>212.64970299999999</v>
          </cell>
        </row>
        <row r="242">
          <cell r="E242" t="str">
            <v>YG_toe_ccoa_0</v>
          </cell>
          <cell r="F242">
            <v>2.258438698</v>
          </cell>
          <cell r="G242">
            <v>1.6403650430000001</v>
          </cell>
          <cell r="H242">
            <v>1.127676369</v>
          </cell>
          <cell r="I242">
            <v>0.71262856939999997</v>
          </cell>
          <cell r="J242">
            <v>0.37780183000000001</v>
          </cell>
          <cell r="K242">
            <v>0.107022664</v>
          </cell>
          <cell r="L242">
            <v>-0.107650492</v>
          </cell>
          <cell r="M242">
            <v>-0.28213580230000002</v>
          </cell>
          <cell r="N242">
            <v>-0.4246085879</v>
          </cell>
          <cell r="O242">
            <v>-0.5413849194</v>
          </cell>
          <cell r="P242">
            <v>-0.64531066940000004</v>
          </cell>
          <cell r="Q242">
            <v>-0.72467561570000005</v>
          </cell>
          <cell r="R242">
            <v>-0.79172606069999996</v>
          </cell>
          <cell r="S242">
            <v>-0.85024591410000006</v>
          </cell>
          <cell r="T242">
            <v>-0.90181276580000003</v>
          </cell>
          <cell r="U242">
            <v>-0.94753061689999996</v>
          </cell>
          <cell r="V242">
            <v>-0.98841032660000006</v>
          </cell>
          <cell r="W242">
            <v>-1.025448307</v>
          </cell>
          <cell r="X242">
            <v>-1.0595561179999999</v>
          </cell>
          <cell r="Y242">
            <v>-1.091501877</v>
          </cell>
          <cell r="Z242">
            <v>-1.1166592740000001</v>
          </cell>
          <cell r="AA242">
            <v>-1.1470463769999999</v>
          </cell>
          <cell r="AB242">
            <v>-1.1770880349999999</v>
          </cell>
          <cell r="AC242">
            <v>-1.205976771</v>
          </cell>
          <cell r="AD242">
            <v>-1.2340032160000001</v>
          </cell>
          <cell r="AE242">
            <v>-1.246208945</v>
          </cell>
          <cell r="AF242">
            <v>-1.2701830940000001</v>
          </cell>
          <cell r="AG242">
            <v>-1.2964985339999999</v>
          </cell>
          <cell r="AH242">
            <v>-1.3229422790000001</v>
          </cell>
          <cell r="AI242">
            <v>-1.3494073040000001</v>
          </cell>
          <cell r="AJ242">
            <v>-1.375995028</v>
          </cell>
          <cell r="AK242">
            <v>-1.402708877</v>
          </cell>
          <cell r="AL242">
            <v>-1.4295057799999999</v>
          </cell>
          <cell r="AM242">
            <v>-1.456373028</v>
          </cell>
          <cell r="AN242">
            <v>-1.4833596929999999</v>
          </cell>
          <cell r="AO242">
            <v>-1.5105622350000001</v>
          </cell>
        </row>
        <row r="245">
          <cell r="E245" t="str">
            <v>YG_toe_ccoi_0</v>
          </cell>
          <cell r="F245">
            <v>1.2014640089999999</v>
          </cell>
          <cell r="G245">
            <v>0.96355642880000003</v>
          </cell>
          <cell r="H245">
            <v>0.77322868119999999</v>
          </cell>
          <cell r="I245">
            <v>0.62097772529999995</v>
          </cell>
          <cell r="J245">
            <v>0.49920051580000002</v>
          </cell>
          <cell r="K245">
            <v>0.40181043350000001</v>
          </cell>
          <cell r="L245">
            <v>0.32392831319999998</v>
          </cell>
          <cell r="M245">
            <v>0.26165821810000001</v>
          </cell>
          <cell r="N245">
            <v>0.21187784430000001</v>
          </cell>
          <cell r="O245">
            <v>0.1720866221</v>
          </cell>
          <cell r="P245">
            <v>0.1402925454</v>
          </cell>
          <cell r="Q245">
            <v>0.11488113630000001</v>
          </cell>
          <cell r="R245">
            <v>9.4579265600000004E-2</v>
          </cell>
          <cell r="S245">
            <v>7.8366686300000002E-2</v>
          </cell>
          <cell r="T245">
            <v>6.5425998200000002E-2</v>
          </cell>
          <cell r="U245">
            <v>5.5103028700000001E-2</v>
          </cell>
          <cell r="V245">
            <v>4.6874297600000003E-2</v>
          </cell>
          <cell r="W245">
            <v>4.0320897199999997E-2</v>
          </cell>
          <cell r="X245">
            <v>3.5107683100000002E-2</v>
          </cell>
          <cell r="Y245">
            <v>3.09666592E-2</v>
          </cell>
          <cell r="Z245">
            <v>2.76766388E-2</v>
          </cell>
          <cell r="AA245">
            <v>2.5077876999999998E-2</v>
          </cell>
          <cell r="AB245">
            <v>2.3030312300000001E-2</v>
          </cell>
          <cell r="AC245">
            <v>2.1423431999999999E-2</v>
          </cell>
          <cell r="AD245">
            <v>2.01698604E-2</v>
          </cell>
          <cell r="AE245">
            <v>1.9178324900000002E-2</v>
          </cell>
          <cell r="AF245">
            <v>1.8419062699999999E-2</v>
          </cell>
          <cell r="AG245">
            <v>1.78419106E-2</v>
          </cell>
          <cell r="AH245">
            <v>1.7408686900000001E-2</v>
          </cell>
          <cell r="AI245">
            <v>1.7091024199999999E-2</v>
          </cell>
          <cell r="AJ245">
            <v>1.68667955E-2</v>
          </cell>
          <cell r="AK245">
            <v>1.67182765E-2</v>
          </cell>
          <cell r="AL245">
            <v>1.6631020900000001E-2</v>
          </cell>
          <cell r="AM245">
            <v>1.65931538E-2</v>
          </cell>
          <cell r="AN245">
            <v>1.6594935000000002E-2</v>
          </cell>
          <cell r="AO245">
            <v>1.6628477900000001E-2</v>
          </cell>
        </row>
        <row r="248">
          <cell r="E248" t="str">
            <v>YG_toe_cfut_0</v>
          </cell>
          <cell r="F248">
            <v>54.406557329999998</v>
          </cell>
          <cell r="G248">
            <v>55.990435140000002</v>
          </cell>
          <cell r="H248">
            <v>57.324036960000001</v>
          </cell>
          <cell r="I248">
            <v>58.511681580000001</v>
          </cell>
          <cell r="J248">
            <v>59.626734200000001</v>
          </cell>
          <cell r="K248">
            <v>60.713749370000002</v>
          </cell>
          <cell r="L248">
            <v>61.74877438</v>
          </cell>
          <cell r="M248">
            <v>62.783960149999999</v>
          </cell>
          <cell r="N248">
            <v>63.814447710000003</v>
          </cell>
          <cell r="O248">
            <v>64.830282409999995</v>
          </cell>
          <cell r="P248">
            <v>65.897257229999994</v>
          </cell>
          <cell r="Q248">
            <v>66.874534339999997</v>
          </cell>
          <cell r="R248">
            <v>67.836536519999996</v>
          </cell>
          <cell r="S248">
            <v>68.790390369999997</v>
          </cell>
          <cell r="T248">
            <v>69.739958900000005</v>
          </cell>
          <cell r="U248">
            <v>70.687749530000005</v>
          </cell>
          <cell r="V248">
            <v>71.635229609999996</v>
          </cell>
          <cell r="W248">
            <v>72.583296180000005</v>
          </cell>
          <cell r="X248">
            <v>73.532798200000002</v>
          </cell>
          <cell r="Y248">
            <v>74.484977060000006</v>
          </cell>
          <cell r="Z248">
            <v>75.385626979999998</v>
          </cell>
          <cell r="AA248">
            <v>76.34356975</v>
          </cell>
          <cell r="AB248">
            <v>77.310733429999999</v>
          </cell>
          <cell r="AC248">
            <v>78.287921370000007</v>
          </cell>
          <cell r="AD248">
            <v>79.277845990000003</v>
          </cell>
          <cell r="AE248">
            <v>80.115126950000004</v>
          </cell>
          <cell r="AF248">
            <v>81.045502600000006</v>
          </cell>
          <cell r="AG248">
            <v>81.983605069999996</v>
          </cell>
          <cell r="AH248">
            <v>82.925735979999999</v>
          </cell>
          <cell r="AI248">
            <v>83.874757819999999</v>
          </cell>
          <cell r="AJ248">
            <v>84.834381750000006</v>
          </cell>
          <cell r="AK248">
            <v>85.807299689999994</v>
          </cell>
          <cell r="AL248">
            <v>86.794628399999993</v>
          </cell>
          <cell r="AM248">
            <v>87.7960937</v>
          </cell>
          <cell r="AN248">
            <v>88.810640590000006</v>
          </cell>
          <cell r="AO248">
            <v>89.837145050000004</v>
          </cell>
        </row>
        <row r="251">
          <cell r="E251" t="str">
            <v>YG_toe_cfuh_0</v>
          </cell>
          <cell r="F251">
            <v>5.0152024290000004</v>
          </cell>
          <cell r="G251">
            <v>4.9199092780000004</v>
          </cell>
          <cell r="H251">
            <v>4.830018345</v>
          </cell>
          <cell r="I251">
            <v>4.750959011</v>
          </cell>
          <cell r="J251">
            <v>4.6869888939999997</v>
          </cell>
          <cell r="K251">
            <v>4.6409225259999998</v>
          </cell>
          <cell r="L251">
            <v>4.6101927680000001</v>
          </cell>
          <cell r="M251">
            <v>4.5958743210000002</v>
          </cell>
          <cell r="N251">
            <v>4.593451086</v>
          </cell>
          <cell r="O251">
            <v>4.5980813390000002</v>
          </cell>
          <cell r="P251">
            <v>4.6100783200000004</v>
          </cell>
          <cell r="Q251">
            <v>4.6194953249999999</v>
          </cell>
          <cell r="R251">
            <v>4.6296843499999998</v>
          </cell>
          <cell r="S251">
            <v>4.6406613070000002</v>
          </cell>
          <cell r="T251">
            <v>4.652260676</v>
          </cell>
          <cell r="U251">
            <v>4.6645699550000002</v>
          </cell>
          <cell r="V251">
            <v>4.6777748450000001</v>
          </cell>
          <cell r="W251">
            <v>4.6918862069999996</v>
          </cell>
          <cell r="X251">
            <v>4.7067794950000001</v>
          </cell>
          <cell r="Y251">
            <v>4.7223308060000004</v>
          </cell>
          <cell r="Z251">
            <v>4.7353816899999996</v>
          </cell>
          <cell r="AA251">
            <v>4.7518325160000003</v>
          </cell>
          <cell r="AB251">
            <v>4.7690492549999997</v>
          </cell>
          <cell r="AC251">
            <v>4.7869918819999997</v>
          </cell>
          <cell r="AD251">
            <v>4.8059004600000002</v>
          </cell>
          <cell r="AE251">
            <v>4.8164585630000003</v>
          </cell>
          <cell r="AF251">
            <v>4.8327580040000004</v>
          </cell>
          <cell r="AG251">
            <v>4.8493034460000004</v>
          </cell>
          <cell r="AH251">
            <v>4.8655094639999996</v>
          </cell>
          <cell r="AI251">
            <v>4.881685761</v>
          </cell>
          <cell r="AJ251">
            <v>4.8983026570000003</v>
          </cell>
          <cell r="AK251">
            <v>4.9157263000000002</v>
          </cell>
          <cell r="AL251">
            <v>4.9341063719999996</v>
          </cell>
          <cell r="AM251">
            <v>4.9533777639999998</v>
          </cell>
          <cell r="AN251">
            <v>4.9733427780000001</v>
          </cell>
          <cell r="AO251">
            <v>4.9937826919999999</v>
          </cell>
        </row>
        <row r="253">
          <cell r="E253" t="str">
            <v>YG_toe_cgas_0</v>
          </cell>
          <cell r="F253">
            <v>2.4446408150000001</v>
          </cell>
          <cell r="G253">
            <v>4.3483940480000003</v>
          </cell>
          <cell r="H253">
            <v>5.7526324439999996</v>
          </cell>
          <cell r="I253">
            <v>6.8742791829999996</v>
          </cell>
          <cell r="J253">
            <v>7.7948839689999998</v>
          </cell>
          <cell r="K253">
            <v>8.5676773419999996</v>
          </cell>
          <cell r="L253">
            <v>9.2271725379999996</v>
          </cell>
          <cell r="M253">
            <v>9.7938350100000005</v>
          </cell>
          <cell r="N253">
            <v>10.28028245</v>
          </cell>
          <cell r="O253">
            <v>10.694292219999999</v>
          </cell>
          <cell r="P253">
            <v>11.043615470000001</v>
          </cell>
          <cell r="Q253">
            <v>11.34540548</v>
          </cell>
          <cell r="R253">
            <v>11.60240258</v>
          </cell>
          <cell r="S253">
            <v>11.824030929999999</v>
          </cell>
          <cell r="T253">
            <v>12.01802897</v>
          </cell>
          <cell r="U253">
            <v>12.19130112</v>
          </cell>
          <cell r="V253">
            <v>12.34925363</v>
          </cell>
          <cell r="W253">
            <v>12.49513477</v>
          </cell>
          <cell r="X253">
            <v>12.63104139</v>
          </cell>
          <cell r="Y253">
            <v>12.758826320000001</v>
          </cell>
          <cell r="Z253">
            <v>12.878959849999999</v>
          </cell>
          <cell r="AA253">
            <v>12.99103828</v>
          </cell>
          <cell r="AB253">
            <v>13.10167378</v>
          </cell>
          <cell r="AC253">
            <v>13.212937119999999</v>
          </cell>
          <cell r="AD253">
            <v>13.32619352</v>
          </cell>
          <cell r="AE253">
            <v>13.435909860000001</v>
          </cell>
          <cell r="AF253">
            <v>13.53737653</v>
          </cell>
          <cell r="AG253">
            <v>13.635014050000001</v>
          </cell>
          <cell r="AH253">
            <v>13.730846270000001</v>
          </cell>
          <cell r="AI253">
            <v>13.827164290000001</v>
          </cell>
          <cell r="AJ253">
            <v>13.92606236</v>
          </cell>
          <cell r="AK253">
            <v>14.0288536</v>
          </cell>
          <cell r="AL253">
            <v>14.135788809999999</v>
          </cell>
          <cell r="AM253">
            <v>14.24621425</v>
          </cell>
          <cell r="AN253">
            <v>14.359039810000001</v>
          </cell>
          <cell r="AO253">
            <v>14.47328014</v>
          </cell>
        </row>
        <row r="259">
          <cell r="E259" t="str">
            <v>YG_toe_cele_0</v>
          </cell>
          <cell r="F259">
            <v>49.422621919999997</v>
          </cell>
          <cell r="G259">
            <v>49.876907989999999</v>
          </cell>
          <cell r="H259">
            <v>50.195983159999997</v>
          </cell>
          <cell r="I259">
            <v>50.48931735</v>
          </cell>
          <cell r="J259">
            <v>50.841016779999997</v>
          </cell>
          <cell r="K259">
            <v>51.307993660000001</v>
          </cell>
          <cell r="L259">
            <v>51.88016588</v>
          </cell>
          <cell r="M259">
            <v>52.541652470000002</v>
          </cell>
          <cell r="N259">
            <v>53.24231837</v>
          </cell>
          <cell r="O259">
            <v>53.930089789999997</v>
          </cell>
          <cell r="P259">
            <v>54.598392740000001</v>
          </cell>
          <cell r="Q259">
            <v>55.214920759999998</v>
          </cell>
          <cell r="R259">
            <v>55.795608389999998</v>
          </cell>
          <cell r="S259">
            <v>56.359120679999997</v>
          </cell>
          <cell r="T259">
            <v>56.916743420000003</v>
          </cell>
          <cell r="U259">
            <v>57.474262690000003</v>
          </cell>
          <cell r="V259">
            <v>58.033242710000003</v>
          </cell>
          <cell r="W259">
            <v>58.59252884</v>
          </cell>
          <cell r="X259">
            <v>59.151034559999999</v>
          </cell>
          <cell r="Y259">
            <v>59.709715379999999</v>
          </cell>
          <cell r="Z259">
            <v>60.248188390000003</v>
          </cell>
          <cell r="AA259">
            <v>60.800225449999999</v>
          </cell>
          <cell r="AB259">
            <v>61.369006349999999</v>
          </cell>
          <cell r="AC259">
            <v>61.957798590000003</v>
          </cell>
          <cell r="AD259">
            <v>62.570280910000001</v>
          </cell>
          <cell r="AE259">
            <v>63.128073759999999</v>
          </cell>
          <cell r="AF259">
            <v>63.706180949999997</v>
          </cell>
          <cell r="AG259">
            <v>64.28788385</v>
          </cell>
          <cell r="AH259">
            <v>64.871298379999999</v>
          </cell>
          <cell r="AI259">
            <v>65.464583730000001</v>
          </cell>
          <cell r="AJ259">
            <v>66.077396210000003</v>
          </cell>
          <cell r="AK259">
            <v>66.715576679999998</v>
          </cell>
          <cell r="AL259">
            <v>67.379480220000005</v>
          </cell>
          <cell r="AM259">
            <v>68.065080969999997</v>
          </cell>
          <cell r="AN259">
            <v>68.766459749999996</v>
          </cell>
          <cell r="AO259">
            <v>69.478684279999996</v>
          </cell>
        </row>
        <row r="269">
          <cell r="E269" t="str">
            <v>YG_toe_chea_0</v>
          </cell>
          <cell r="F269">
            <v>3.5774869819999999</v>
          </cell>
          <cell r="G269">
            <v>3.609670151</v>
          </cell>
          <cell r="H269">
            <v>3.6357885250000002</v>
          </cell>
          <cell r="I269">
            <v>3.6616245589999998</v>
          </cell>
          <cell r="J269">
            <v>3.6913392420000002</v>
          </cell>
          <cell r="K269">
            <v>3.7280975139999999</v>
          </cell>
          <cell r="L269">
            <v>3.771492979</v>
          </cell>
          <cell r="M269">
            <v>3.8206362139999999</v>
          </cell>
          <cell r="N269">
            <v>3.8733916420000001</v>
          </cell>
          <cell r="O269">
            <v>3.9269248189999999</v>
          </cell>
          <cell r="P269">
            <v>3.980998</v>
          </cell>
          <cell r="Q269">
            <v>4.0341070920000002</v>
          </cell>
          <cell r="R269">
            <v>4.0849831090000004</v>
          </cell>
          <cell r="S269">
            <v>4.1347629650000002</v>
          </cell>
          <cell r="T269">
            <v>4.1841514880000004</v>
          </cell>
          <cell r="U269">
            <v>4.2335021660000001</v>
          </cell>
          <cell r="V269">
            <v>4.2828915299999997</v>
          </cell>
          <cell r="W269">
            <v>4.3322389990000003</v>
          </cell>
          <cell r="X269">
            <v>4.3814627249999996</v>
          </cell>
          <cell r="Y269">
            <v>4.4305895609999997</v>
          </cell>
          <cell r="Z269">
            <v>4.4781274900000003</v>
          </cell>
          <cell r="AA269">
            <v>4.5254930990000002</v>
          </cell>
          <cell r="AB269">
            <v>4.5741158640000004</v>
          </cell>
          <cell r="AC269">
            <v>4.6240245949999998</v>
          </cell>
          <cell r="AD269">
            <v>4.6753098609999997</v>
          </cell>
          <cell r="AE269">
            <v>4.7226409399999998</v>
          </cell>
          <cell r="AF269">
            <v>4.7684825530000001</v>
          </cell>
          <cell r="AG269">
            <v>4.8144585429999998</v>
          </cell>
          <cell r="AH269">
            <v>4.8605270840000001</v>
          </cell>
          <cell r="AI269">
            <v>4.9070356410000002</v>
          </cell>
          <cell r="AJ269">
            <v>4.9544910849999999</v>
          </cell>
          <cell r="AK269">
            <v>5.0032612360000002</v>
          </cell>
          <cell r="AL269">
            <v>5.0534361099999998</v>
          </cell>
          <cell r="AM269">
            <v>5.1048472560000002</v>
          </cell>
          <cell r="AN269">
            <v>5.1571895899999998</v>
          </cell>
          <cell r="AO269">
            <v>5.2101689279999999</v>
          </cell>
        </row>
        <row r="271">
          <cell r="E271" t="str">
            <v>YG_toe_cbio_0</v>
          </cell>
          <cell r="F271">
            <v>11.16214102</v>
          </cell>
          <cell r="G271">
            <v>11.20912118</v>
          </cell>
          <cell r="H271">
            <v>11.228091470000001</v>
          </cell>
          <cell r="I271">
            <v>11.241853770000001</v>
          </cell>
          <cell r="J271">
            <v>11.26221934</v>
          </cell>
          <cell r="K271">
            <v>11.29511301</v>
          </cell>
          <cell r="L271">
            <v>11.336266220000001</v>
          </cell>
          <cell r="M271">
            <v>11.38647853</v>
          </cell>
          <cell r="N271">
            <v>11.44182451</v>
          </cell>
          <cell r="O271">
            <v>11.497834320000001</v>
          </cell>
          <cell r="P271">
            <v>11.559149010000001</v>
          </cell>
          <cell r="Q271">
            <v>11.61438089</v>
          </cell>
          <cell r="R271">
            <v>11.6665955</v>
          </cell>
          <cell r="S271">
            <v>11.71777857</v>
          </cell>
          <cell r="T271">
            <v>11.768580399999999</v>
          </cell>
          <cell r="U271">
            <v>11.81931185</v>
          </cell>
          <cell r="V271">
            <v>11.87019046</v>
          </cell>
          <cell r="W271">
            <v>11.92126405</v>
          </cell>
          <cell r="X271">
            <v>11.97260056</v>
          </cell>
          <cell r="Y271">
            <v>12.02437967</v>
          </cell>
          <cell r="Z271">
            <v>12.07130995</v>
          </cell>
          <cell r="AA271">
            <v>12.12210234</v>
          </cell>
          <cell r="AB271">
            <v>12.175631470000001</v>
          </cell>
          <cell r="AC271">
            <v>12.23140164</v>
          </cell>
          <cell r="AD271">
            <v>12.28945643</v>
          </cell>
          <cell r="AE271">
            <v>12.33273501</v>
          </cell>
          <cell r="AF271">
            <v>12.38021623</v>
          </cell>
          <cell r="AG271">
            <v>12.429376059999999</v>
          </cell>
          <cell r="AH271">
            <v>12.47925532</v>
          </cell>
          <cell r="AI271">
            <v>12.530266709999999</v>
          </cell>
          <cell r="AJ271">
            <v>12.583109520000001</v>
          </cell>
          <cell r="AK271">
            <v>12.63822661</v>
          </cell>
          <cell r="AL271">
            <v>12.695654579999999</v>
          </cell>
          <cell r="AM271">
            <v>12.75510676</v>
          </cell>
          <cell r="AN271">
            <v>12.816162540000001</v>
          </cell>
          <cell r="AO271">
            <v>12.87846993</v>
          </cell>
        </row>
        <row r="274">
          <cell r="E274" t="str">
            <v>YG_toe_cote_0</v>
          </cell>
          <cell r="F274">
            <v>12.626994890000001</v>
          </cell>
          <cell r="G274">
            <v>12.39832734</v>
          </cell>
          <cell r="H274">
            <v>12.23496119</v>
          </cell>
          <cell r="I274">
            <v>12.12346707</v>
          </cell>
          <cell r="J274">
            <v>12.06366513</v>
          </cell>
          <cell r="K274">
            <v>12.05717978</v>
          </cell>
          <cell r="L274">
            <v>12.09109065</v>
          </cell>
          <cell r="M274">
            <v>12.16852957</v>
          </cell>
          <cell r="N274">
            <v>12.278672289999999</v>
          </cell>
          <cell r="O274">
            <v>12.409247629999999</v>
          </cell>
          <cell r="P274">
            <v>12.565871469999999</v>
          </cell>
          <cell r="Q274">
            <v>12.714707499999999</v>
          </cell>
          <cell r="R274">
            <v>12.86826997</v>
          </cell>
          <cell r="S274">
            <v>13.02773174</v>
          </cell>
          <cell r="T274">
            <v>13.193073999999999</v>
          </cell>
          <cell r="U274">
            <v>13.363853929999999</v>
          </cell>
          <cell r="V274">
            <v>13.53931102</v>
          </cell>
          <cell r="W274">
            <v>13.71855596</v>
          </cell>
          <cell r="X274">
            <v>13.900850610000001</v>
          </cell>
          <cell r="Y274">
            <v>14.08583966</v>
          </cell>
          <cell r="Z274">
            <v>14.26161346</v>
          </cell>
          <cell r="AA274">
            <v>14.45083996</v>
          </cell>
          <cell r="AB274">
            <v>14.64425593</v>
          </cell>
          <cell r="AC274">
            <v>14.8416289</v>
          </cell>
          <cell r="AD274">
            <v>15.04377013</v>
          </cell>
          <cell r="AE274">
            <v>15.21447682</v>
          </cell>
          <cell r="AF274">
            <v>15.406643689999999</v>
          </cell>
          <cell r="AG274">
            <v>15.602025210000001</v>
          </cell>
          <cell r="AH274">
            <v>15.79828015</v>
          </cell>
          <cell r="AI274">
            <v>15.99631701</v>
          </cell>
          <cell r="AJ274">
            <v>16.19772103</v>
          </cell>
          <cell r="AK274">
            <v>16.403673659999999</v>
          </cell>
          <cell r="AL274">
            <v>16.614574919999999</v>
          </cell>
          <cell r="AM274">
            <v>16.83010157</v>
          </cell>
          <cell r="AN274">
            <v>17.0495251</v>
          </cell>
          <cell r="AO274">
            <v>17.272105750000001</v>
          </cell>
        </row>
        <row r="281">
          <cell r="F281">
            <v>150.74043230000001</v>
          </cell>
          <cell r="G281">
            <v>151.55673999999999</v>
          </cell>
          <cell r="H281">
            <v>151.98778630000001</v>
          </cell>
          <cell r="I281">
            <v>152.34718029999999</v>
          </cell>
          <cell r="J281">
            <v>152.8682671</v>
          </cell>
          <cell r="K281">
            <v>153.7174857</v>
          </cell>
          <cell r="L281">
            <v>156.49412240000001</v>
          </cell>
          <cell r="M281">
            <v>158.26656629999999</v>
          </cell>
          <cell r="N281">
            <v>159.6580831</v>
          </cell>
          <cell r="O281">
            <v>160.6548756</v>
          </cell>
          <cell r="P281">
            <v>161.4518831</v>
          </cell>
          <cell r="Q281">
            <v>162.04667739999999</v>
          </cell>
          <cell r="R281">
            <v>162.7321049</v>
          </cell>
          <cell r="S281">
            <v>163.6670642</v>
          </cell>
          <cell r="T281">
            <v>164.8927927</v>
          </cell>
          <cell r="U281">
            <v>166.3652395</v>
          </cell>
          <cell r="V281">
            <v>167.98859719999999</v>
          </cell>
          <cell r="W281">
            <v>169.66518830000001</v>
          </cell>
          <cell r="X281">
            <v>171.32686240000001</v>
          </cell>
          <cell r="Y281">
            <v>172.94784569999999</v>
          </cell>
          <cell r="Z281">
            <v>174.43619330000001</v>
          </cell>
          <cell r="AA281">
            <v>175.99445940000001</v>
          </cell>
          <cell r="AB281">
            <v>177.59189900000001</v>
          </cell>
          <cell r="AC281">
            <v>179.23548880000001</v>
          </cell>
          <cell r="AD281">
            <v>180.93538509999999</v>
          </cell>
          <cell r="AE281">
            <v>182.36410900000001</v>
          </cell>
          <cell r="AF281">
            <v>183.94430120000001</v>
          </cell>
          <cell r="AG281">
            <v>185.52860050000001</v>
          </cell>
          <cell r="AH281">
            <v>187.08618580000001</v>
          </cell>
          <cell r="AI281">
            <v>188.63799420000001</v>
          </cell>
          <cell r="AJ281">
            <v>190.2151638</v>
          </cell>
          <cell r="AK281">
            <v>191.84050210000001</v>
          </cell>
          <cell r="AL281">
            <v>193.52164819999999</v>
          </cell>
          <cell r="AM281">
            <v>195.25220229999999</v>
          </cell>
          <cell r="AN281">
            <v>197.01842780000001</v>
          </cell>
          <cell r="AO281">
            <v>198.8065422</v>
          </cell>
        </row>
        <row r="282">
          <cell r="E282" t="str">
            <v>CF_toe_ccoa_2</v>
          </cell>
          <cell r="F282">
            <v>7.575381621</v>
          </cell>
          <cell r="G282">
            <v>7.9252931350000004</v>
          </cell>
          <cell r="H282">
            <v>8.2713389250000002</v>
          </cell>
          <cell r="I282">
            <v>8.56931771</v>
          </cell>
          <cell r="J282">
            <v>8.8289530870000004</v>
          </cell>
          <cell r="K282">
            <v>9.0663385430000005</v>
          </cell>
          <cell r="L282">
            <v>9.2771199299999996</v>
          </cell>
          <cell r="M282">
            <v>9.4357001749999991</v>
          </cell>
          <cell r="N282">
            <v>9.5751734870000007</v>
          </cell>
          <cell r="O282">
            <v>9.7056919520000005</v>
          </cell>
          <cell r="P282">
            <v>9.8710630960000003</v>
          </cell>
          <cell r="Q282">
            <v>10.00269203</v>
          </cell>
          <cell r="R282">
            <v>10.14436276</v>
          </cell>
          <cell r="S282">
            <v>10.30110035</v>
          </cell>
          <cell r="T282">
            <v>10.46776105</v>
          </cell>
          <cell r="U282">
            <v>10.63840564</v>
          </cell>
          <cell r="V282">
            <v>10.80875275</v>
          </cell>
          <cell r="W282">
            <v>10.97687157</v>
          </cell>
          <cell r="X282">
            <v>11.14295079</v>
          </cell>
          <cell r="Y282">
            <v>11.308505930000001</v>
          </cell>
          <cell r="Z282">
            <v>11.449725389999999</v>
          </cell>
          <cell r="AA282">
            <v>11.622787929999999</v>
          </cell>
          <cell r="AB282">
            <v>11.80160046</v>
          </cell>
          <cell r="AC282">
            <v>11.981497969999999</v>
          </cell>
          <cell r="AD282">
            <v>12.162881459999999</v>
          </cell>
          <cell r="AE282">
            <v>12.27023571</v>
          </cell>
          <cell r="AF282">
            <v>12.433986920000001</v>
          </cell>
          <cell r="AG282">
            <v>12.609419620000001</v>
          </cell>
          <cell r="AH282">
            <v>12.78601447</v>
          </cell>
          <cell r="AI282">
            <v>12.963847210000001</v>
          </cell>
          <cell r="AJ282">
            <v>13.144199820000001</v>
          </cell>
          <cell r="AK282">
            <v>13.32765377</v>
          </cell>
          <cell r="AL282">
            <v>13.5140998</v>
          </cell>
          <cell r="AM282">
            <v>13.70312341</v>
          </cell>
          <cell r="AN282">
            <v>13.89435993</v>
          </cell>
          <cell r="AO282">
            <v>14.08768426</v>
          </cell>
        </row>
        <row r="285">
          <cell r="E285" t="str">
            <v>CF_toe_ccoi_2</v>
          </cell>
          <cell r="F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</row>
        <row r="288">
          <cell r="E288" t="str">
            <v>CF_toe_cfut_2</v>
          </cell>
          <cell r="F288">
            <v>51.746791770000002</v>
          </cell>
          <cell r="G288">
            <v>51.721486599999999</v>
          </cell>
          <cell r="H288">
            <v>51.593889359999999</v>
          </cell>
          <cell r="I288">
            <v>51.525562700000002</v>
          </cell>
          <cell r="J288">
            <v>51.571415889999997</v>
          </cell>
          <cell r="K288">
            <v>51.747636589999999</v>
          </cell>
          <cell r="L288">
            <v>52.433771550000003</v>
          </cell>
          <cell r="M288">
            <v>52.898547809999997</v>
          </cell>
          <cell r="N288">
            <v>53.336599309999997</v>
          </cell>
          <cell r="O288">
            <v>53.74439821</v>
          </cell>
          <cell r="P288">
            <v>54.156976059999998</v>
          </cell>
          <cell r="Q288">
            <v>54.536982700000003</v>
          </cell>
          <cell r="R288">
            <v>54.939459820000003</v>
          </cell>
          <cell r="S288">
            <v>55.382560820000002</v>
          </cell>
          <cell r="T288">
            <v>55.868865479999997</v>
          </cell>
          <cell r="U288">
            <v>56.390922410000002</v>
          </cell>
          <cell r="V288">
            <v>56.935886099999998</v>
          </cell>
          <cell r="W288">
            <v>57.490567849999998</v>
          </cell>
          <cell r="X288">
            <v>58.045612920000003</v>
          </cell>
          <cell r="Y288">
            <v>58.597446529999999</v>
          </cell>
          <cell r="Z288">
            <v>59.120328669999999</v>
          </cell>
          <cell r="AA288">
            <v>59.667187640000002</v>
          </cell>
          <cell r="AB288">
            <v>60.221549080000003</v>
          </cell>
          <cell r="AC288">
            <v>60.784754100000001</v>
          </cell>
          <cell r="AD288">
            <v>61.359186479999998</v>
          </cell>
          <cell r="AE288">
            <v>61.859053969999998</v>
          </cell>
          <cell r="AF288">
            <v>62.404313719999998</v>
          </cell>
          <cell r="AG288">
            <v>62.949035979999998</v>
          </cell>
          <cell r="AH288">
            <v>63.487669420000003</v>
          </cell>
          <cell r="AI288">
            <v>64.024353939999997</v>
          </cell>
          <cell r="AJ288">
            <v>64.564465630000001</v>
          </cell>
          <cell r="AK288">
            <v>65.111894539999994</v>
          </cell>
          <cell r="AL288">
            <v>65.668217690000006</v>
          </cell>
          <cell r="AM288">
            <v>66.232949110000007</v>
          </cell>
          <cell r="AN288">
            <v>66.804432919999996</v>
          </cell>
          <cell r="AO288">
            <v>67.380898650000006</v>
          </cell>
        </row>
        <row r="291">
          <cell r="E291" t="str">
            <v>CF_toe_cfuh_2</v>
          </cell>
          <cell r="F291">
            <v>9.6669729550000003</v>
          </cell>
          <cell r="G291">
            <v>9.6870813140000003</v>
          </cell>
          <cell r="H291">
            <v>9.6715711429999995</v>
          </cell>
          <cell r="I291">
            <v>9.6420792629999994</v>
          </cell>
          <cell r="J291">
            <v>9.6145887119999998</v>
          </cell>
          <cell r="K291">
            <v>9.600226653</v>
          </cell>
          <cell r="L291">
            <v>9.6940276910000005</v>
          </cell>
          <cell r="M291">
            <v>9.7427182680000008</v>
          </cell>
          <cell r="N291">
            <v>9.7734065559999994</v>
          </cell>
          <cell r="O291">
            <v>9.7854560159999995</v>
          </cell>
          <cell r="P291">
            <v>9.7893244139999993</v>
          </cell>
          <cell r="Q291">
            <v>9.7757262869999995</v>
          </cell>
          <cell r="R291">
            <v>9.7615540789999997</v>
          </cell>
          <cell r="S291">
            <v>9.7555781859999993</v>
          </cell>
          <cell r="T291">
            <v>9.7619198990000005</v>
          </cell>
          <cell r="U291">
            <v>9.7803885739999998</v>
          </cell>
          <cell r="V291">
            <v>9.8070343930000003</v>
          </cell>
          <cell r="W291">
            <v>9.8375589110000004</v>
          </cell>
          <cell r="X291">
            <v>9.8684928549999995</v>
          </cell>
          <cell r="Y291">
            <v>9.8979350640000003</v>
          </cell>
          <cell r="Z291">
            <v>9.9192853789999997</v>
          </cell>
          <cell r="AA291">
            <v>9.945164128</v>
          </cell>
          <cell r="AB291">
            <v>9.9713779870000003</v>
          </cell>
          <cell r="AC291">
            <v>9.9984979079999992</v>
          </cell>
          <cell r="AD291">
            <v>10.02726929</v>
          </cell>
          <cell r="AE291">
            <v>10.03905818</v>
          </cell>
          <cell r="AF291">
            <v>10.06148155</v>
          </cell>
          <cell r="AG291">
            <v>10.084122170000001</v>
          </cell>
          <cell r="AH291">
            <v>10.105809539999999</v>
          </cell>
          <cell r="AI291">
            <v>10.127080490000001</v>
          </cell>
          <cell r="AJ291">
            <v>10.14896998</v>
          </cell>
          <cell r="AK291">
            <v>10.172423869999999</v>
          </cell>
          <cell r="AL291">
            <v>10.19780501</v>
          </cell>
          <cell r="AM291">
            <v>10.22493729</v>
          </cell>
          <cell r="AN291">
            <v>10.25335321</v>
          </cell>
          <cell r="AO291">
            <v>10.282525679999999</v>
          </cell>
        </row>
        <row r="293">
          <cell r="E293" t="str">
            <v>CF_toe_cgas_2</v>
          </cell>
          <cell r="F293">
            <v>28.024339489999999</v>
          </cell>
          <cell r="G293">
            <v>28.209844220000001</v>
          </cell>
          <cell r="H293">
            <v>28.31895471</v>
          </cell>
          <cell r="I293">
            <v>28.398028199999999</v>
          </cell>
          <cell r="J293">
            <v>28.495827219999999</v>
          </cell>
          <cell r="K293">
            <v>28.653233669999999</v>
          </cell>
          <cell r="L293">
            <v>29.19186771</v>
          </cell>
          <cell r="M293">
            <v>29.54858685</v>
          </cell>
          <cell r="N293">
            <v>29.82006385</v>
          </cell>
          <cell r="O293">
            <v>29.99698175</v>
          </cell>
          <cell r="P293">
            <v>30.1228911</v>
          </cell>
          <cell r="Q293">
            <v>30.199783660000001</v>
          </cell>
          <cell r="R293">
            <v>30.292736829999999</v>
          </cell>
          <cell r="S293">
            <v>30.440464519999999</v>
          </cell>
          <cell r="T293">
            <v>30.654564740000001</v>
          </cell>
          <cell r="U293">
            <v>30.926529210000002</v>
          </cell>
          <cell r="V293">
            <v>31.23558135</v>
          </cell>
          <cell r="W293">
            <v>31.55913743</v>
          </cell>
          <cell r="X293">
            <v>31.8808945</v>
          </cell>
          <cell r="Y293">
            <v>32.194054829999999</v>
          </cell>
          <cell r="Z293">
            <v>32.477626299999997</v>
          </cell>
          <cell r="AA293">
            <v>32.774906309999999</v>
          </cell>
          <cell r="AB293">
            <v>33.08040458</v>
          </cell>
          <cell r="AC293">
            <v>33.395216689999998</v>
          </cell>
          <cell r="AD293">
            <v>33.72159328</v>
          </cell>
          <cell r="AE293">
            <v>33.988759809999998</v>
          </cell>
          <cell r="AF293">
            <v>34.286808550000003</v>
          </cell>
          <cell r="AG293">
            <v>34.586487169999998</v>
          </cell>
          <cell r="AH293">
            <v>34.8797365</v>
          </cell>
          <cell r="AI293">
            <v>35.170845030000002</v>
          </cell>
          <cell r="AJ293">
            <v>35.466796590000001</v>
          </cell>
          <cell r="AK293">
            <v>35.772874760000001</v>
          </cell>
          <cell r="AL293">
            <v>36.090994799999997</v>
          </cell>
          <cell r="AM293">
            <v>36.419880169999999</v>
          </cell>
          <cell r="AN293">
            <v>36.756406089999999</v>
          </cell>
          <cell r="AO293">
            <v>37.097293110000003</v>
          </cell>
        </row>
        <row r="299">
          <cell r="E299" t="str">
            <v>CF_toe_cele_2</v>
          </cell>
          <cell r="F299">
            <v>36.372254470000001</v>
          </cell>
          <cell r="G299">
            <v>36.562063559999999</v>
          </cell>
          <cell r="H299">
            <v>36.634840869999998</v>
          </cell>
          <cell r="I299">
            <v>36.685157590000003</v>
          </cell>
          <cell r="J299">
            <v>36.785797189999997</v>
          </cell>
          <cell r="K299">
            <v>36.991993000000001</v>
          </cell>
          <cell r="L299">
            <v>37.865565349999997</v>
          </cell>
          <cell r="M299">
            <v>38.380144029999997</v>
          </cell>
          <cell r="N299">
            <v>38.721960330000002</v>
          </cell>
          <cell r="O299">
            <v>38.88936485</v>
          </cell>
          <cell r="P299">
            <v>38.925873639999999</v>
          </cell>
          <cell r="Q299">
            <v>38.924055340000002</v>
          </cell>
          <cell r="R299">
            <v>38.957022700000003</v>
          </cell>
          <cell r="S299">
            <v>39.08478315</v>
          </cell>
          <cell r="T299">
            <v>39.325248530000003</v>
          </cell>
          <cell r="U299">
            <v>39.66114426</v>
          </cell>
          <cell r="V299">
            <v>40.052790250000001</v>
          </cell>
          <cell r="W299">
            <v>40.460836970000003</v>
          </cell>
          <cell r="X299">
            <v>40.858350919999999</v>
          </cell>
          <cell r="Y299">
            <v>41.235775869999998</v>
          </cell>
          <cell r="Z299">
            <v>41.587482209999997</v>
          </cell>
          <cell r="AA299">
            <v>41.932281119999999</v>
          </cell>
          <cell r="AB299">
            <v>42.289467039999998</v>
          </cell>
          <cell r="AC299">
            <v>42.66560569</v>
          </cell>
          <cell r="AD299">
            <v>43.06342326</v>
          </cell>
          <cell r="AE299">
            <v>43.440127050000001</v>
          </cell>
          <cell r="AF299">
            <v>43.813832519999998</v>
          </cell>
          <cell r="AG299">
            <v>44.180081319999999</v>
          </cell>
          <cell r="AH299">
            <v>44.536837429999999</v>
          </cell>
          <cell r="AI299">
            <v>44.892681279999998</v>
          </cell>
          <cell r="AJ299">
            <v>45.259064619999997</v>
          </cell>
          <cell r="AK299">
            <v>45.644244370000003</v>
          </cell>
          <cell r="AL299">
            <v>46.050656420000003</v>
          </cell>
          <cell r="AM299">
            <v>46.475123719999999</v>
          </cell>
          <cell r="AN299">
            <v>46.911779350000003</v>
          </cell>
          <cell r="AO299">
            <v>47.354967369999997</v>
          </cell>
        </row>
        <row r="309">
          <cell r="E309" t="str">
            <v>CF_toe_chea_2</v>
          </cell>
          <cell r="F309">
            <v>2.7624646830000001</v>
          </cell>
          <cell r="G309">
            <v>2.7843034169999998</v>
          </cell>
          <cell r="H309">
            <v>2.8016115410000002</v>
          </cell>
          <cell r="I309">
            <v>2.8191399810000002</v>
          </cell>
          <cell r="J309">
            <v>2.8401739130000001</v>
          </cell>
          <cell r="K309">
            <v>2.8673336470000002</v>
          </cell>
          <cell r="L309">
            <v>2.9311178280000001</v>
          </cell>
          <cell r="M309">
            <v>2.9755916560000002</v>
          </cell>
          <cell r="N309">
            <v>3.0106118689999999</v>
          </cell>
          <cell r="O309">
            <v>3.0358976470000001</v>
          </cell>
          <cell r="P309">
            <v>3.0547422050000002</v>
          </cell>
          <cell r="Q309">
            <v>3.0719970879999998</v>
          </cell>
          <cell r="R309">
            <v>3.090219576</v>
          </cell>
          <cell r="S309">
            <v>3.1130513340000001</v>
          </cell>
          <cell r="T309">
            <v>3.1418782439999999</v>
          </cell>
          <cell r="U309">
            <v>3.176054336</v>
          </cell>
          <cell r="V309">
            <v>3.2137168539999998</v>
          </cell>
          <cell r="W309">
            <v>3.2526136160000001</v>
          </cell>
          <cell r="X309">
            <v>3.2911700100000001</v>
          </cell>
          <cell r="Y309">
            <v>3.32880354</v>
          </cell>
          <cell r="Z309">
            <v>3.3646517710000001</v>
          </cell>
          <cell r="AA309">
            <v>3.3997459889999999</v>
          </cell>
          <cell r="AB309">
            <v>3.4360973019999999</v>
          </cell>
          <cell r="AC309">
            <v>3.4739079589999999</v>
          </cell>
          <cell r="AD309">
            <v>3.5131583860000002</v>
          </cell>
          <cell r="AE309">
            <v>3.549905522</v>
          </cell>
          <cell r="AF309">
            <v>3.5844864919999999</v>
          </cell>
          <cell r="AG309">
            <v>3.6186877919999998</v>
          </cell>
          <cell r="AH309">
            <v>3.6525551919999999</v>
          </cell>
          <cell r="AI309">
            <v>3.6864982839999998</v>
          </cell>
          <cell r="AJ309">
            <v>3.721099465</v>
          </cell>
          <cell r="AK309">
            <v>3.7568031639999999</v>
          </cell>
          <cell r="AL309">
            <v>3.7937548859999999</v>
          </cell>
          <cell r="AM309">
            <v>3.831808482</v>
          </cell>
          <cell r="AN309">
            <v>3.8706498069999999</v>
          </cell>
          <cell r="AO309">
            <v>3.909951408</v>
          </cell>
        </row>
        <row r="311">
          <cell r="E311" t="str">
            <v>CF_toe_cbio_2</v>
          </cell>
          <cell r="F311">
            <v>8.0993422390000003</v>
          </cell>
          <cell r="G311">
            <v>8.1152645509999992</v>
          </cell>
          <cell r="H311">
            <v>8.107284538</v>
          </cell>
          <cell r="I311">
            <v>8.095267733</v>
          </cell>
          <cell r="J311">
            <v>8.0874274410000009</v>
          </cell>
          <cell r="K311">
            <v>8.0870769889999998</v>
          </cell>
          <cell r="L311">
            <v>8.1100004250000008</v>
          </cell>
          <cell r="M311">
            <v>8.1027372080000006</v>
          </cell>
          <cell r="N311">
            <v>8.09287022</v>
          </cell>
          <cell r="O311">
            <v>8.0827491780000003</v>
          </cell>
          <cell r="P311">
            <v>8.0775652020000006</v>
          </cell>
          <cell r="Q311">
            <v>8.0714431480000002</v>
          </cell>
          <cell r="R311">
            <v>8.0684691799999992</v>
          </cell>
          <cell r="S311">
            <v>8.0707498389999994</v>
          </cell>
          <cell r="T311">
            <v>8.0781948680000006</v>
          </cell>
          <cell r="U311">
            <v>8.0895791999999993</v>
          </cell>
          <cell r="V311">
            <v>8.102781062</v>
          </cell>
          <cell r="W311">
            <v>8.1161954739999995</v>
          </cell>
          <cell r="X311">
            <v>8.1290778390000007</v>
          </cell>
          <cell r="Y311">
            <v>8.1414268120000006</v>
          </cell>
          <cell r="Z311">
            <v>8.1500939530000007</v>
          </cell>
          <cell r="AA311">
            <v>8.1612931609999997</v>
          </cell>
          <cell r="AB311">
            <v>8.1743328300000009</v>
          </cell>
          <cell r="AC311">
            <v>8.1887883850000005</v>
          </cell>
          <cell r="AD311">
            <v>8.2045163930000005</v>
          </cell>
          <cell r="AE311">
            <v>8.2105180749999995</v>
          </cell>
          <cell r="AF311">
            <v>8.2193227859999993</v>
          </cell>
          <cell r="AG311">
            <v>8.2291321059999998</v>
          </cell>
          <cell r="AH311">
            <v>8.2392406909999991</v>
          </cell>
          <cell r="AI311">
            <v>8.2499115459999999</v>
          </cell>
          <cell r="AJ311">
            <v>8.2615426529999993</v>
          </cell>
          <cell r="AK311">
            <v>8.2743523490000008</v>
          </cell>
          <cell r="AL311">
            <v>8.2883223019999992</v>
          </cell>
          <cell r="AM311">
            <v>8.3032654160000003</v>
          </cell>
          <cell r="AN311">
            <v>8.3189411260000004</v>
          </cell>
          <cell r="AO311">
            <v>8.3351592120000007</v>
          </cell>
        </row>
        <row r="314">
          <cell r="E314" t="str">
            <v>CF_toe_cote_2</v>
          </cell>
          <cell r="F314">
            <v>6.4928850469999997</v>
          </cell>
          <cell r="G314">
            <v>6.5514032139999996</v>
          </cell>
          <cell r="H314">
            <v>6.5882951639999998</v>
          </cell>
          <cell r="I314">
            <v>6.6126271430000001</v>
          </cell>
          <cell r="J314">
            <v>6.6440836829999999</v>
          </cell>
          <cell r="K314">
            <v>6.7036466020000001</v>
          </cell>
          <cell r="L314">
            <v>6.9906519429999996</v>
          </cell>
          <cell r="M314">
            <v>7.182540285</v>
          </cell>
          <cell r="N314">
            <v>7.3273975250000003</v>
          </cell>
          <cell r="O314">
            <v>7.414335984</v>
          </cell>
          <cell r="P314">
            <v>7.4534474309999998</v>
          </cell>
          <cell r="Q314">
            <v>7.4639971149999997</v>
          </cell>
          <cell r="R314">
            <v>7.4782799659999997</v>
          </cell>
          <cell r="S314">
            <v>7.5187760429999999</v>
          </cell>
          <cell r="T314">
            <v>7.5943598720000001</v>
          </cell>
          <cell r="U314">
            <v>7.702215861</v>
          </cell>
          <cell r="V314">
            <v>7.8320544859999996</v>
          </cell>
          <cell r="W314">
            <v>7.9714064689999997</v>
          </cell>
          <cell r="X314">
            <v>8.1103125079999998</v>
          </cell>
          <cell r="Y314">
            <v>8.2438971579999993</v>
          </cell>
          <cell r="Z314">
            <v>8.3669996290000004</v>
          </cell>
          <cell r="AA314">
            <v>8.49109318</v>
          </cell>
          <cell r="AB314">
            <v>8.6170696759999998</v>
          </cell>
          <cell r="AC314">
            <v>8.7472200489999992</v>
          </cell>
          <cell r="AD314">
            <v>8.8833565070000002</v>
          </cell>
          <cell r="AE314">
            <v>9.006450654</v>
          </cell>
          <cell r="AF314">
            <v>9.1400686820000008</v>
          </cell>
          <cell r="AG314">
            <v>9.2716343719999994</v>
          </cell>
          <cell r="AH314">
            <v>9.3983225909999994</v>
          </cell>
          <cell r="AI314">
            <v>9.5227764780000008</v>
          </cell>
          <cell r="AJ314">
            <v>9.6490250070000005</v>
          </cell>
          <cell r="AK314">
            <v>9.7802553010000004</v>
          </cell>
          <cell r="AL314">
            <v>9.9177972610000005</v>
          </cell>
          <cell r="AM314">
            <v>10.06111473</v>
          </cell>
          <cell r="AN314">
            <v>10.20850536</v>
          </cell>
          <cell r="AO314">
            <v>10.35806251</v>
          </cell>
        </row>
        <row r="317">
          <cell r="E317" t="str">
            <v>CF_toe_0</v>
          </cell>
          <cell r="F317">
            <v>150.74043230000001</v>
          </cell>
          <cell r="G317">
            <v>151.55673999999999</v>
          </cell>
          <cell r="H317">
            <v>151.98778630000001</v>
          </cell>
          <cell r="I317">
            <v>152.34718029999999</v>
          </cell>
          <cell r="J317">
            <v>152.8682671</v>
          </cell>
          <cell r="K317">
            <v>153.7174857</v>
          </cell>
          <cell r="L317">
            <v>154.84903539999999</v>
          </cell>
          <cell r="M317">
            <v>156.30822649999999</v>
          </cell>
          <cell r="N317">
            <v>157.9772035</v>
          </cell>
          <cell r="O317">
            <v>159.71299329999999</v>
          </cell>
          <cell r="P317">
            <v>161.53436869999999</v>
          </cell>
          <cell r="Q317">
            <v>163.1958157</v>
          </cell>
          <cell r="R317">
            <v>164.79813490000001</v>
          </cell>
          <cell r="S317">
            <v>166.38073019999999</v>
          </cell>
          <cell r="T317">
            <v>167.95783399999999</v>
          </cell>
          <cell r="U317">
            <v>169.5365582</v>
          </cell>
          <cell r="V317">
            <v>171.11855410000001</v>
          </cell>
          <cell r="W317">
            <v>172.70033459999999</v>
          </cell>
          <cell r="X317">
            <v>174.27810220000001</v>
          </cell>
          <cell r="Y317">
            <v>175.85222830000001</v>
          </cell>
          <cell r="Z317">
            <v>177.32733820000001</v>
          </cell>
          <cell r="AA317">
            <v>178.88274960000001</v>
          </cell>
          <cell r="AB317">
            <v>180.47024049999999</v>
          </cell>
          <cell r="AC317">
            <v>182.08833680000001</v>
          </cell>
          <cell r="AD317">
            <v>183.75022709999999</v>
          </cell>
          <cell r="AE317">
            <v>185.1397283</v>
          </cell>
          <cell r="AF317">
            <v>186.6890147</v>
          </cell>
          <cell r="AG317">
            <v>188.25713569999999</v>
          </cell>
          <cell r="AH317">
            <v>189.8126954</v>
          </cell>
          <cell r="AI317">
            <v>191.37272429999999</v>
          </cell>
          <cell r="AJ317">
            <v>192.96253189999999</v>
          </cell>
          <cell r="AK317">
            <v>194.5996715</v>
          </cell>
          <cell r="AL317">
            <v>196.28895660000001</v>
          </cell>
          <cell r="AM317">
            <v>198.02413759999999</v>
          </cell>
          <cell r="AN317">
            <v>199.7932284</v>
          </cell>
          <cell r="AO317">
            <v>201.5847981</v>
          </cell>
        </row>
        <row r="318">
          <cell r="E318" t="str">
            <v>CF_toe_ccoa_0</v>
          </cell>
          <cell r="F318">
            <v>7.575381621</v>
          </cell>
          <cell r="G318">
            <v>7.9252931350000004</v>
          </cell>
          <cell r="H318">
            <v>8.2713389250000002</v>
          </cell>
          <cell r="I318">
            <v>8.56931771</v>
          </cell>
          <cell r="J318">
            <v>8.8289530870000004</v>
          </cell>
          <cell r="K318">
            <v>9.0663385430000005</v>
          </cell>
          <cell r="L318">
            <v>9.2668411499999994</v>
          </cell>
          <cell r="M318">
            <v>9.4618181319999994</v>
          </cell>
          <cell r="N318">
            <v>9.6515811920000001</v>
          </cell>
          <cell r="O318">
            <v>9.8332913340000001</v>
          </cell>
          <cell r="P318">
            <v>10.04211445</v>
          </cell>
          <cell r="Q318">
            <v>10.20380581</v>
          </cell>
          <cell r="R318">
            <v>10.36088747</v>
          </cell>
          <cell r="S318">
            <v>10.520766070000001</v>
          </cell>
          <cell r="T318">
            <v>10.68287074</v>
          </cell>
          <cell r="U318">
            <v>10.84590498</v>
          </cell>
          <cell r="V318">
            <v>11.00915477</v>
          </cell>
          <cell r="W318">
            <v>11.17265716</v>
          </cell>
          <cell r="X318">
            <v>11.33687364</v>
          </cell>
          <cell r="Y318">
            <v>11.5024371</v>
          </cell>
          <cell r="Z318">
            <v>11.644149649999999</v>
          </cell>
          <cell r="AA318">
            <v>11.81754787</v>
          </cell>
          <cell r="AB318">
            <v>11.99605416</v>
          </cell>
          <cell r="AC318">
            <v>12.175199940000001</v>
          </cell>
          <cell r="AD318">
            <v>12.35587404</v>
          </cell>
          <cell r="AE318">
            <v>12.46256312</v>
          </cell>
          <cell r="AF318">
            <v>12.62654977</v>
          </cell>
          <cell r="AG318">
            <v>12.80281531</v>
          </cell>
          <cell r="AH318">
            <v>12.980568809999999</v>
          </cell>
          <cell r="AI318">
            <v>13.15965617</v>
          </cell>
          <cell r="AJ318">
            <v>13.34121562</v>
          </cell>
          <cell r="AK318">
            <v>13.52579808</v>
          </cell>
          <cell r="AL318">
            <v>13.71335695</v>
          </cell>
          <cell r="AM318">
            <v>13.903582439999999</v>
          </cell>
          <cell r="AN318">
            <v>14.096196000000001</v>
          </cell>
          <cell r="AO318">
            <v>14.291103870000001</v>
          </cell>
        </row>
        <row r="321">
          <cell r="E321" t="str">
            <v>CF_toe_ccoi_0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</row>
        <row r="324">
          <cell r="E324" t="str">
            <v>CF_toe_cfut_0</v>
          </cell>
          <cell r="F324">
            <v>51.746791770000002</v>
          </cell>
          <cell r="G324">
            <v>51.721486599999999</v>
          </cell>
          <cell r="H324">
            <v>51.593889359999999</v>
          </cell>
          <cell r="I324">
            <v>51.525562700000002</v>
          </cell>
          <cell r="J324">
            <v>51.571415889999997</v>
          </cell>
          <cell r="K324">
            <v>51.747636589999999</v>
          </cell>
          <cell r="L324">
            <v>52.021276890000003</v>
          </cell>
          <cell r="M324">
            <v>52.398483800000001</v>
          </cell>
          <cell r="N324">
            <v>52.84949683</v>
          </cell>
          <cell r="O324">
            <v>53.343243379999997</v>
          </cell>
          <cell r="P324">
            <v>53.889483499999997</v>
          </cell>
          <cell r="Q324">
            <v>54.415818479999999</v>
          </cell>
          <cell r="R324">
            <v>54.950398989999997</v>
          </cell>
          <cell r="S324">
            <v>55.494231820000003</v>
          </cell>
          <cell r="T324">
            <v>56.045339660000003</v>
          </cell>
          <cell r="U324">
            <v>56.601324050000002</v>
          </cell>
          <cell r="V324">
            <v>57.1596239</v>
          </cell>
          <cell r="W324">
            <v>57.71798235</v>
          </cell>
          <cell r="X324">
            <v>58.274888269999998</v>
          </cell>
          <cell r="Y324">
            <v>58.829933240000003</v>
          </cell>
          <cell r="Z324">
            <v>59.356838639999999</v>
          </cell>
          <cell r="AA324">
            <v>59.904935870000003</v>
          </cell>
          <cell r="AB324">
            <v>60.455406369999999</v>
          </cell>
          <cell r="AC324">
            <v>61.008580909999999</v>
          </cell>
          <cell r="AD324">
            <v>61.567585190000003</v>
          </cell>
          <cell r="AE324">
            <v>62.048822110000003</v>
          </cell>
          <cell r="AF324">
            <v>62.57365282</v>
          </cell>
          <cell r="AG324">
            <v>63.09736109</v>
          </cell>
          <cell r="AH324">
            <v>63.614669630000002</v>
          </cell>
          <cell r="AI324">
            <v>64.12942133</v>
          </cell>
          <cell r="AJ324">
            <v>64.646416079999995</v>
          </cell>
          <cell r="AK324">
            <v>65.16899454</v>
          </cell>
          <cell r="AL324">
            <v>65.69841563</v>
          </cell>
          <cell r="AM324">
            <v>66.234155229999999</v>
          </cell>
          <cell r="AN324">
            <v>66.774711049999993</v>
          </cell>
          <cell r="AO324">
            <v>67.318496550000006</v>
          </cell>
        </row>
        <row r="327">
          <cell r="E327" t="str">
            <v>CF_toe_cfuh_0</v>
          </cell>
          <cell r="F327">
            <v>9.6669729550000003</v>
          </cell>
          <cell r="G327">
            <v>9.6870813140000003</v>
          </cell>
          <cell r="H327">
            <v>9.6715711429999995</v>
          </cell>
          <cell r="I327">
            <v>9.6420792629999994</v>
          </cell>
          <cell r="J327">
            <v>9.6145887119999998</v>
          </cell>
          <cell r="K327">
            <v>9.600226653</v>
          </cell>
          <cell r="L327">
            <v>9.5983323550000001</v>
          </cell>
          <cell r="M327">
            <v>9.6145899650000004</v>
          </cell>
          <cell r="N327">
            <v>9.6430831149999996</v>
          </cell>
          <cell r="O327">
            <v>9.6767986629999996</v>
          </cell>
          <cell r="P327">
            <v>9.7186999430000007</v>
          </cell>
          <cell r="Q327">
            <v>9.7502973429999997</v>
          </cell>
          <cell r="R327">
            <v>9.7790998130000002</v>
          </cell>
          <cell r="S327">
            <v>9.8059837259999991</v>
          </cell>
          <cell r="T327">
            <v>9.8311737810000004</v>
          </cell>
          <cell r="U327">
            <v>9.8553913850000008</v>
          </cell>
          <cell r="V327">
            <v>9.8795607669999992</v>
          </cell>
          <cell r="W327">
            <v>9.9041470310000008</v>
          </cell>
          <cell r="X327">
            <v>9.9292194340000002</v>
          </cell>
          <cell r="Y327">
            <v>9.9547444830000007</v>
          </cell>
          <cell r="Z327">
            <v>9.9745287460000007</v>
          </cell>
          <cell r="AA327">
            <v>10.000424840000001</v>
          </cell>
          <cell r="AB327">
            <v>10.02740541</v>
          </cell>
          <cell r="AC327">
            <v>10.05534596</v>
          </cell>
          <cell r="AD327">
            <v>10.08470333</v>
          </cell>
          <cell r="AE327">
            <v>10.09704627</v>
          </cell>
          <cell r="AF327">
            <v>10.12008309</v>
          </cell>
          <cell r="AG327">
            <v>10.14360027</v>
          </cell>
          <cell r="AH327">
            <v>10.16644104</v>
          </cell>
          <cell r="AI327">
            <v>10.189128820000001</v>
          </cell>
          <cell r="AJ327">
            <v>10.212494339999999</v>
          </cell>
          <cell r="AK327">
            <v>10.23719494</v>
          </cell>
          <cell r="AL327">
            <v>10.263512240000001</v>
          </cell>
          <cell r="AM327">
            <v>10.291350830000001</v>
          </cell>
          <cell r="AN327">
            <v>10.320379689999999</v>
          </cell>
          <cell r="AO327">
            <v>10.35022599</v>
          </cell>
        </row>
        <row r="329">
          <cell r="E329" t="str">
            <v>CF_toe_cgas_0</v>
          </cell>
          <cell r="F329">
            <v>28.024339489999999</v>
          </cell>
          <cell r="G329">
            <v>28.209844220000001</v>
          </cell>
          <cell r="H329">
            <v>28.31895471</v>
          </cell>
          <cell r="I329">
            <v>28.398028199999999</v>
          </cell>
          <cell r="J329">
            <v>28.495827219999999</v>
          </cell>
          <cell r="K329">
            <v>28.653233669999999</v>
          </cell>
          <cell r="L329">
            <v>28.865040100000002</v>
          </cell>
          <cell r="M329">
            <v>29.14449728</v>
          </cell>
          <cell r="N329">
            <v>29.468859470000002</v>
          </cell>
          <cell r="O329">
            <v>29.807321659999999</v>
          </cell>
          <cell r="P329">
            <v>30.163538460000002</v>
          </cell>
          <cell r="Q329">
            <v>30.483968170000001</v>
          </cell>
          <cell r="R329">
            <v>30.787782629999999</v>
          </cell>
          <cell r="S329">
            <v>31.08437035</v>
          </cell>
          <cell r="T329">
            <v>31.37722393</v>
          </cell>
          <cell r="U329">
            <v>31.66929244</v>
          </cell>
          <cell r="V329">
            <v>31.962643289999999</v>
          </cell>
          <cell r="W329">
            <v>32.257274090000003</v>
          </cell>
          <cell r="X329">
            <v>32.552312200000003</v>
          </cell>
          <cell r="Y329">
            <v>32.847477169999998</v>
          </cell>
          <cell r="Z329">
            <v>33.121463089999999</v>
          </cell>
          <cell r="AA329">
            <v>33.412952160000003</v>
          </cell>
          <cell r="AB329">
            <v>33.712574879999998</v>
          </cell>
          <cell r="AC329">
            <v>34.019267669999998</v>
          </cell>
          <cell r="AD329">
            <v>34.335746909999997</v>
          </cell>
          <cell r="AE329">
            <v>34.593454530000002</v>
          </cell>
          <cell r="AF329">
            <v>34.884605630000003</v>
          </cell>
          <cell r="AG329">
            <v>35.181492290000001</v>
          </cell>
          <cell r="AH329">
            <v>35.475998779999998</v>
          </cell>
          <cell r="AI329">
            <v>35.771402010000003</v>
          </cell>
          <cell r="AJ329">
            <v>36.073243759999997</v>
          </cell>
          <cell r="AK329">
            <v>36.385500880000002</v>
          </cell>
          <cell r="AL329">
            <v>36.709308</v>
          </cell>
          <cell r="AM329">
            <v>37.043243279999999</v>
          </cell>
          <cell r="AN329">
            <v>37.384525580000002</v>
          </cell>
          <cell r="AO329">
            <v>37.730418280000002</v>
          </cell>
        </row>
        <row r="335">
          <cell r="E335" t="str">
            <v>CF_toe_cele_0</v>
          </cell>
          <cell r="F335">
            <v>36.372254470000001</v>
          </cell>
          <cell r="G335">
            <v>36.562063559999999</v>
          </cell>
          <cell r="H335">
            <v>36.634840869999998</v>
          </cell>
          <cell r="I335">
            <v>36.685157590000003</v>
          </cell>
          <cell r="J335">
            <v>36.785797189999997</v>
          </cell>
          <cell r="K335">
            <v>36.991993000000001</v>
          </cell>
          <cell r="L335">
            <v>37.310266230000003</v>
          </cell>
          <cell r="M335">
            <v>37.724954410000002</v>
          </cell>
          <cell r="N335">
            <v>38.192803359999999</v>
          </cell>
          <cell r="O335">
            <v>38.664385000000003</v>
          </cell>
          <cell r="P335">
            <v>39.112940029999997</v>
          </cell>
          <cell r="Q335">
            <v>39.532724350000002</v>
          </cell>
          <cell r="R335">
            <v>39.921353430000003</v>
          </cell>
          <cell r="S335">
            <v>40.293508799999998</v>
          </cell>
          <cell r="T335">
            <v>40.658779240000001</v>
          </cell>
          <cell r="U335">
            <v>41.022470249999998</v>
          </cell>
          <cell r="V335">
            <v>41.386124690000003</v>
          </cell>
          <cell r="W335">
            <v>41.748578479999999</v>
          </cell>
          <cell r="X335">
            <v>42.108446280000003</v>
          </cell>
          <cell r="Y335">
            <v>42.466051970000002</v>
          </cell>
          <cell r="Z335">
            <v>42.81364774</v>
          </cell>
          <cell r="AA335">
            <v>43.160171990000002</v>
          </cell>
          <cell r="AB335">
            <v>43.517682620000002</v>
          </cell>
          <cell r="AC335">
            <v>43.889517560000002</v>
          </cell>
          <cell r="AD335">
            <v>44.279682200000003</v>
          </cell>
          <cell r="AE335">
            <v>44.650007219999999</v>
          </cell>
          <cell r="AF335">
            <v>45.022543130000003</v>
          </cell>
          <cell r="AG335">
            <v>45.39523569</v>
          </cell>
          <cell r="AH335">
            <v>45.765498460000003</v>
          </cell>
          <cell r="AI335">
            <v>46.140260439999999</v>
          </cell>
          <cell r="AJ335">
            <v>46.528540020000001</v>
          </cell>
          <cell r="AK335">
            <v>46.936447780000002</v>
          </cell>
          <cell r="AL335">
            <v>47.365256209999998</v>
          </cell>
          <cell r="AM335">
            <v>47.812010200000003</v>
          </cell>
          <cell r="AN335">
            <v>48.271584470000001</v>
          </cell>
          <cell r="AO335">
            <v>48.739317960000001</v>
          </cell>
        </row>
        <row r="345">
          <cell r="E345" t="str">
            <v>CF_toe_chea_0</v>
          </cell>
          <cell r="F345">
            <v>2.7624646830000001</v>
          </cell>
          <cell r="G345">
            <v>2.7843034169999998</v>
          </cell>
          <cell r="H345">
            <v>2.8016115410000002</v>
          </cell>
          <cell r="I345">
            <v>2.8191399810000002</v>
          </cell>
          <cell r="J345">
            <v>2.8401739130000001</v>
          </cell>
          <cell r="K345">
            <v>2.8673336470000002</v>
          </cell>
          <cell r="L345">
            <v>2.9005056360000001</v>
          </cell>
          <cell r="M345">
            <v>2.9385807509999999</v>
          </cell>
          <cell r="N345">
            <v>2.9796789119999998</v>
          </cell>
          <cell r="O345">
            <v>3.0213413220000001</v>
          </cell>
          <cell r="P345">
            <v>3.0629032669999998</v>
          </cell>
          <cell r="Q345">
            <v>3.104070025</v>
          </cell>
          <cell r="R345">
            <v>3.1432375079999999</v>
          </cell>
          <cell r="S345">
            <v>3.1813739870000002</v>
          </cell>
          <cell r="T345">
            <v>3.2191113950000001</v>
          </cell>
          <cell r="U345">
            <v>3.2567696100000001</v>
          </cell>
          <cell r="V345">
            <v>3.294417991</v>
          </cell>
          <cell r="W345">
            <v>3.3319846160000002</v>
          </cell>
          <cell r="X345">
            <v>3.3693961570000002</v>
          </cell>
          <cell r="Y345">
            <v>3.4066749930000002</v>
          </cell>
          <cell r="Z345">
            <v>3.4428738879999998</v>
          </cell>
          <cell r="AA345">
            <v>3.4784998329999999</v>
          </cell>
          <cell r="AB345">
            <v>3.5151617650000002</v>
          </cell>
          <cell r="AC345">
            <v>3.5529147110000001</v>
          </cell>
          <cell r="AD345">
            <v>3.5918252979999998</v>
          </cell>
          <cell r="AE345">
            <v>3.6282691709999999</v>
          </cell>
          <cell r="AF345">
            <v>3.6627390480000002</v>
          </cell>
          <cell r="AG345">
            <v>3.697206027</v>
          </cell>
          <cell r="AH345">
            <v>3.7317158269999999</v>
          </cell>
          <cell r="AI345">
            <v>3.7665761099999999</v>
          </cell>
          <cell r="AJ345">
            <v>3.802223541</v>
          </cell>
          <cell r="AK345">
            <v>3.8389727659999999</v>
          </cell>
          <cell r="AL345">
            <v>3.876895669</v>
          </cell>
          <cell r="AM345">
            <v>3.915838463</v>
          </cell>
          <cell r="AN345">
            <v>3.9555289820000001</v>
          </cell>
          <cell r="AO345">
            <v>3.9957064020000002</v>
          </cell>
        </row>
        <row r="347">
          <cell r="E347" t="str">
            <v>CF_toe_cbio_0</v>
          </cell>
          <cell r="F347">
            <v>8.0993422390000003</v>
          </cell>
          <cell r="G347">
            <v>8.1152645509999992</v>
          </cell>
          <cell r="H347">
            <v>8.107284538</v>
          </cell>
          <cell r="I347">
            <v>8.095267733</v>
          </cell>
          <cell r="J347">
            <v>8.0874274410000009</v>
          </cell>
          <cell r="K347">
            <v>8.0870769889999998</v>
          </cell>
          <cell r="L347">
            <v>8.0909718670000004</v>
          </cell>
          <cell r="M347">
            <v>8.1000040080000009</v>
          </cell>
          <cell r="N347">
            <v>8.1121155720000004</v>
          </cell>
          <cell r="O347">
            <v>8.1250515679999999</v>
          </cell>
          <cell r="P347">
            <v>8.1424081089999998</v>
          </cell>
          <cell r="Q347">
            <v>8.1565304469999997</v>
          </cell>
          <cell r="R347">
            <v>8.1694608689999999</v>
          </cell>
          <cell r="S347">
            <v>8.1822269359999993</v>
          </cell>
          <cell r="T347">
            <v>8.1949286620000006</v>
          </cell>
          <cell r="U347">
            <v>8.2076017619999995</v>
          </cell>
          <cell r="V347">
            <v>8.2203660700000007</v>
          </cell>
          <cell r="W347">
            <v>8.2332801240000002</v>
          </cell>
          <cell r="X347">
            <v>8.246430814</v>
          </cell>
          <cell r="Y347">
            <v>8.2599421310000007</v>
          </cell>
          <cell r="Z347">
            <v>8.2704030819999996</v>
          </cell>
          <cell r="AA347">
            <v>8.2835136649999992</v>
          </cell>
          <cell r="AB347">
            <v>8.2982917349999994</v>
          </cell>
          <cell r="AC347">
            <v>8.3142067520000005</v>
          </cell>
          <cell r="AD347">
            <v>8.3312037720000003</v>
          </cell>
          <cell r="AE347">
            <v>8.3384288430000009</v>
          </cell>
          <cell r="AF347">
            <v>8.3486693780000003</v>
          </cell>
          <cell r="AG347">
            <v>8.360113449</v>
          </cell>
          <cell r="AH347">
            <v>8.3719766599999996</v>
          </cell>
          <cell r="AI347">
            <v>8.3844173140000002</v>
          </cell>
          <cell r="AJ347">
            <v>8.3977382279999997</v>
          </cell>
          <cell r="AK347">
            <v>8.4121049150000005</v>
          </cell>
          <cell r="AL347">
            <v>8.4275013399999992</v>
          </cell>
          <cell r="AM347">
            <v>8.4437873280000009</v>
          </cell>
          <cell r="AN347">
            <v>8.4607896539999992</v>
          </cell>
          <cell r="AO347">
            <v>8.4783800159999991</v>
          </cell>
        </row>
        <row r="350">
          <cell r="E350" t="str">
            <v>CF_toe_cote_0</v>
          </cell>
          <cell r="F350">
            <v>6.4928850469999997</v>
          </cell>
          <cell r="G350">
            <v>6.5514032139999996</v>
          </cell>
          <cell r="H350">
            <v>6.5882951639999998</v>
          </cell>
          <cell r="I350">
            <v>6.6126271430000001</v>
          </cell>
          <cell r="J350">
            <v>6.6440836829999999</v>
          </cell>
          <cell r="K350">
            <v>6.7036466020000001</v>
          </cell>
          <cell r="L350">
            <v>6.7958011559999996</v>
          </cell>
          <cell r="M350">
            <v>6.9252981550000001</v>
          </cell>
          <cell r="N350">
            <v>7.079585078</v>
          </cell>
          <cell r="O350">
            <v>7.2415603600000003</v>
          </cell>
          <cell r="P350">
            <v>7.4022809719999998</v>
          </cell>
          <cell r="Q350">
            <v>7.5486010859999997</v>
          </cell>
          <cell r="R350">
            <v>7.6859141639999997</v>
          </cell>
          <cell r="S350">
            <v>7.8182685489999999</v>
          </cell>
          <cell r="T350">
            <v>7.948406554</v>
          </cell>
          <cell r="U350">
            <v>8.0778037640000004</v>
          </cell>
          <cell r="V350">
            <v>8.2066626530000004</v>
          </cell>
          <cell r="W350">
            <v>8.3344307759999996</v>
          </cell>
          <cell r="X350">
            <v>8.4605354120000005</v>
          </cell>
          <cell r="Y350">
            <v>8.5849672310000003</v>
          </cell>
          <cell r="Z350">
            <v>8.7034334009999998</v>
          </cell>
          <cell r="AA350">
            <v>8.8247034049999993</v>
          </cell>
          <cell r="AB350">
            <v>8.9476635479999995</v>
          </cell>
          <cell r="AC350">
            <v>9.0733032490000003</v>
          </cell>
          <cell r="AD350">
            <v>9.2036063099999996</v>
          </cell>
          <cell r="AE350">
            <v>9.3211370030000005</v>
          </cell>
          <cell r="AF350">
            <v>9.4501718350000008</v>
          </cell>
          <cell r="AG350">
            <v>9.5793115709999999</v>
          </cell>
          <cell r="AH350">
            <v>9.7058262269999993</v>
          </cell>
          <cell r="AI350">
            <v>9.8318620889999995</v>
          </cell>
          <cell r="AJ350">
            <v>9.9606603210000006</v>
          </cell>
          <cell r="AK350">
            <v>10.0946576</v>
          </cell>
          <cell r="AL350">
            <v>10.2347106</v>
          </cell>
          <cell r="AM350">
            <v>10.380169840000001</v>
          </cell>
          <cell r="AN350">
            <v>10.52951298</v>
          </cell>
          <cell r="AO350">
            <v>10.681149019999999</v>
          </cell>
        </row>
        <row r="353">
          <cell r="F353">
            <v>73.965462770000002</v>
          </cell>
          <cell r="G353">
            <v>73.842180020000001</v>
          </cell>
          <cell r="H353">
            <v>73.490459200000004</v>
          </cell>
          <cell r="I353">
            <v>73.177508209999999</v>
          </cell>
          <cell r="J353">
            <v>72.968287029999999</v>
          </cell>
          <cell r="K353">
            <v>72.855573890000002</v>
          </cell>
          <cell r="L353">
            <v>72.821308139999999</v>
          </cell>
          <cell r="M353">
            <v>72.793937959999994</v>
          </cell>
          <cell r="N353">
            <v>72.844391569999999</v>
          </cell>
          <cell r="O353">
            <v>72.966365550000006</v>
          </cell>
          <cell r="P353">
            <v>73.16795132</v>
          </cell>
          <cell r="Q353">
            <v>73.387464539999996</v>
          </cell>
          <cell r="R353">
            <v>73.609132290000005</v>
          </cell>
          <cell r="S353">
            <v>73.821218950000002</v>
          </cell>
          <cell r="T353">
            <v>74.016816640000002</v>
          </cell>
          <cell r="U353">
            <v>74.195477249999996</v>
          </cell>
          <cell r="V353">
            <v>74.357614190000007</v>
          </cell>
          <cell r="W353">
            <v>74.510472210000003</v>
          </cell>
          <cell r="X353">
            <v>74.663460819999997</v>
          </cell>
          <cell r="Y353">
            <v>74.823816820000005</v>
          </cell>
          <cell r="Z353">
            <v>74.976433479999997</v>
          </cell>
          <cell r="AA353">
            <v>75.146036859999995</v>
          </cell>
          <cell r="AB353">
            <v>75.327335980000001</v>
          </cell>
          <cell r="AC353">
            <v>75.515145759999996</v>
          </cell>
          <cell r="AD353">
            <v>75.706235969999994</v>
          </cell>
          <cell r="AE353">
            <v>75.848342740000007</v>
          </cell>
          <cell r="AF353">
            <v>75.989549679999996</v>
          </cell>
          <cell r="AG353">
            <v>76.133143649999994</v>
          </cell>
          <cell r="AH353">
            <v>76.279919359999994</v>
          </cell>
          <cell r="AI353">
            <v>76.42883114</v>
          </cell>
          <cell r="AJ353">
            <v>76.578431539999997</v>
          </cell>
          <cell r="AK353">
            <v>76.727544750000007</v>
          </cell>
          <cell r="AL353">
            <v>76.875574659999998</v>
          </cell>
          <cell r="AM353">
            <v>77.022485639999999</v>
          </cell>
          <cell r="AN353">
            <v>77.169151290000002</v>
          </cell>
          <cell r="AO353">
            <v>77.316849129999994</v>
          </cell>
        </row>
        <row r="354">
          <cell r="F354">
            <v>39.923462319999999</v>
          </cell>
          <cell r="G354">
            <v>40.212701590000002</v>
          </cell>
          <cell r="H354">
            <v>40.056676439999997</v>
          </cell>
          <cell r="I354">
            <v>39.798952799999995</v>
          </cell>
          <cell r="J354">
            <v>39.5627596</v>
          </cell>
          <cell r="K354">
            <v>39.376581969999997</v>
          </cell>
          <cell r="L354">
            <v>39.26416261</v>
          </cell>
          <cell r="M354">
            <v>39.130635170000005</v>
          </cell>
          <cell r="N354">
            <v>38.9962084</v>
          </cell>
          <cell r="O354">
            <v>38.879363750000003</v>
          </cell>
          <cell r="P354">
            <v>38.795616189999997</v>
          </cell>
          <cell r="Q354">
            <v>38.712556090000007</v>
          </cell>
          <cell r="R354">
            <v>38.63448889</v>
          </cell>
          <cell r="S354">
            <v>38.561432050000001</v>
          </cell>
          <cell r="T354">
            <v>38.490914109999999</v>
          </cell>
          <cell r="U354">
            <v>38.419919139999998</v>
          </cell>
          <cell r="V354">
            <v>38.34209276</v>
          </cell>
          <cell r="W354">
            <v>38.257020799999999</v>
          </cell>
          <cell r="X354">
            <v>38.168250200000003</v>
          </cell>
          <cell r="Y354">
            <v>38.080251560000001</v>
          </cell>
          <cell r="Z354">
            <v>37.983338979999999</v>
          </cell>
          <cell r="AA354">
            <v>37.897688219999999</v>
          </cell>
          <cell r="AB354">
            <v>37.819729090000003</v>
          </cell>
          <cell r="AC354">
            <v>37.74683349</v>
          </cell>
          <cell r="AD354">
            <v>37.676984859999997</v>
          </cell>
          <cell r="AE354">
            <v>37.574071329999995</v>
          </cell>
          <cell r="AF354">
            <v>37.472380530000002</v>
          </cell>
          <cell r="AG354">
            <v>37.37178471</v>
          </cell>
          <cell r="AH354">
            <v>37.273587369999994</v>
          </cell>
          <cell r="AI354">
            <v>37.177850030000002</v>
          </cell>
          <cell r="AJ354">
            <v>37.084476130000006</v>
          </cell>
          <cell r="AK354">
            <v>36.993139520000007</v>
          </cell>
          <cell r="AL354">
            <v>36.903233229999998</v>
          </cell>
          <cell r="AM354">
            <v>36.813927630000002</v>
          </cell>
          <cell r="AN354">
            <v>36.72489479</v>
          </cell>
          <cell r="AO354">
            <v>36.636258789999999</v>
          </cell>
        </row>
        <row r="362">
          <cell r="F362">
            <v>34.042000460000004</v>
          </cell>
          <cell r="G362">
            <v>33.629478429999999</v>
          </cell>
          <cell r="H362">
            <v>33.433782770000001</v>
          </cell>
          <cell r="I362">
            <v>33.378555409999997</v>
          </cell>
          <cell r="J362">
            <v>33.405527429999999</v>
          </cell>
          <cell r="K362">
            <v>33.478991919999999</v>
          </cell>
          <cell r="L362">
            <v>33.55714554</v>
          </cell>
          <cell r="M362">
            <v>33.663302789999996</v>
          </cell>
          <cell r="N362">
            <v>33.848183169999999</v>
          </cell>
          <cell r="O362">
            <v>34.087001799999996</v>
          </cell>
          <cell r="P362">
            <v>34.372335130000003</v>
          </cell>
          <cell r="Q362">
            <v>34.674908450000004</v>
          </cell>
          <cell r="R362">
            <v>34.974643399999998</v>
          </cell>
          <cell r="S362">
            <v>35.259786900000002</v>
          </cell>
          <cell r="T362">
            <v>35.525902520000002</v>
          </cell>
          <cell r="U362">
            <v>35.775558100000005</v>
          </cell>
          <cell r="V362">
            <v>36.015521419999999</v>
          </cell>
          <cell r="W362">
            <v>36.253451409999997</v>
          </cell>
          <cell r="X362">
            <v>36.495210610000001</v>
          </cell>
          <cell r="Y362">
            <v>36.743565259999997</v>
          </cell>
          <cell r="Z362">
            <v>36.993094490000004</v>
          </cell>
          <cell r="AA362">
            <v>37.248348640000003</v>
          </cell>
          <cell r="AB362">
            <v>37.507606899999999</v>
          </cell>
          <cell r="AC362">
            <v>37.768312270000003</v>
          </cell>
          <cell r="AD362">
            <v>38.029251119999998</v>
          </cell>
          <cell r="AE362">
            <v>38.274271409999997</v>
          </cell>
          <cell r="AF362">
            <v>38.51716914</v>
          </cell>
          <cell r="AG362">
            <v>38.761358940000001</v>
          </cell>
          <cell r="AH362">
            <v>39.00633199</v>
          </cell>
          <cell r="AI362">
            <v>39.250981109999998</v>
          </cell>
          <cell r="AJ362">
            <v>39.493955409999998</v>
          </cell>
          <cell r="AK362">
            <v>39.73440523</v>
          </cell>
          <cell r="AL362">
            <v>39.972341440000001</v>
          </cell>
          <cell r="AM362">
            <v>40.208558009999997</v>
          </cell>
          <cell r="AN362">
            <v>40.444256500000002</v>
          </cell>
          <cell r="AO362">
            <v>40.680590340000002</v>
          </cell>
        </row>
        <row r="366">
          <cell r="F366">
            <v>8.5558757310000004</v>
          </cell>
          <cell r="G366">
            <v>8.5667167000000006</v>
          </cell>
          <cell r="H366">
            <v>8.5933936919999994</v>
          </cell>
          <cell r="I366">
            <v>8.6510401839999993</v>
          </cell>
          <cell r="J366">
            <v>8.7343720119999997</v>
          </cell>
          <cell r="K366">
            <v>8.8361282479999996</v>
          </cell>
          <cell r="L366">
            <v>8.9263605459999997</v>
          </cell>
          <cell r="M366">
            <v>8.9998023170000003</v>
          </cell>
          <cell r="N366">
            <v>9.0730474910000005</v>
          </cell>
          <cell r="O366">
            <v>9.1551388140000007</v>
          </cell>
          <cell r="P366">
            <v>9.2553946099999997</v>
          </cell>
          <cell r="Q366">
            <v>9.3733908820000007</v>
          </cell>
          <cell r="R366">
            <v>9.5033433790000004</v>
          </cell>
          <cell r="S366">
            <v>9.640835117</v>
          </cell>
          <cell r="T366">
            <v>9.7815904249999992</v>
          </cell>
          <cell r="U366">
            <v>9.9224209569999999</v>
          </cell>
          <cell r="V366">
            <v>10.06197352</v>
          </cell>
          <cell r="W366">
            <v>10.200672150000001</v>
          </cell>
          <cell r="X366">
            <v>10.340018389999999</v>
          </cell>
          <cell r="Y366">
            <v>10.481692150000001</v>
          </cell>
          <cell r="Z366">
            <v>10.623310249999999</v>
          </cell>
          <cell r="AA366">
            <v>10.768253550000001</v>
          </cell>
          <cell r="AB366">
            <v>10.91859191</v>
          </cell>
          <cell r="AC366">
            <v>11.07344556</v>
          </cell>
          <cell r="AD366">
            <v>11.23163353</v>
          </cell>
          <cell r="AE366">
            <v>11.38034483</v>
          </cell>
          <cell r="AF366">
            <v>11.526923549999999</v>
          </cell>
          <cell r="AG366">
            <v>11.675413989999999</v>
          </cell>
          <cell r="AH366">
            <v>11.8270281</v>
          </cell>
          <cell r="AI366">
            <v>11.982148459999999</v>
          </cell>
          <cell r="AJ366">
            <v>12.140634289999999</v>
          </cell>
          <cell r="AK366">
            <v>12.3020172</v>
          </cell>
          <cell r="AL366">
            <v>12.46577471</v>
          </cell>
          <cell r="AM366">
            <v>12.63156206</v>
          </cell>
          <cell r="AN366">
            <v>12.799313509999999</v>
          </cell>
          <cell r="AO366">
            <v>12.96920338</v>
          </cell>
        </row>
        <row r="378">
          <cell r="F378">
            <v>4.914908831</v>
          </cell>
          <cell r="G378">
            <v>4.8981575069999996</v>
          </cell>
          <cell r="H378">
            <v>4.8598695840000001</v>
          </cell>
          <cell r="I378">
            <v>4.8187948839999999</v>
          </cell>
          <cell r="J378">
            <v>4.7940092930000002</v>
          </cell>
          <cell r="K378">
            <v>4.7984386859999999</v>
          </cell>
          <cell r="L378">
            <v>5.1955066150000002</v>
          </cell>
          <cell r="M378">
            <v>5.3015394909999998</v>
          </cell>
          <cell r="N378">
            <v>5.3174944269999997</v>
          </cell>
          <cell r="O378">
            <v>5.2786235179999998</v>
          </cell>
          <cell r="P378">
            <v>5.2082397719999998</v>
          </cell>
          <cell r="Q378">
            <v>5.131553545</v>
          </cell>
          <cell r="R378">
            <v>5.069764706</v>
          </cell>
          <cell r="S378">
            <v>5.0358633619999997</v>
          </cell>
          <cell r="T378">
            <v>5.0330880569999996</v>
          </cell>
          <cell r="U378">
            <v>5.05623661</v>
          </cell>
          <cell r="V378">
            <v>5.0949799950000001</v>
          </cell>
          <cell r="W378">
            <v>5.1379315310000004</v>
          </cell>
          <cell r="X378">
            <v>5.1761697509999998</v>
          </cell>
          <cell r="Y378">
            <v>5.2051295120000001</v>
          </cell>
          <cell r="Z378">
            <v>5.2226893839999997</v>
          </cell>
          <cell r="AA378">
            <v>5.2328724519999996</v>
          </cell>
          <cell r="AB378">
            <v>5.2392706499999999</v>
          </cell>
          <cell r="AC378">
            <v>5.2455775950000003</v>
          </cell>
          <cell r="AD378">
            <v>5.254132104</v>
          </cell>
          <cell r="AE378">
            <v>5.2599081490000001</v>
          </cell>
          <cell r="AF378">
            <v>5.2651941339999997</v>
          </cell>
          <cell r="AG378">
            <v>5.2686204879999998</v>
          </cell>
          <cell r="AH378">
            <v>5.2707353059999997</v>
          </cell>
          <cell r="AI378">
            <v>5.2730702750000003</v>
          </cell>
          <cell r="AJ378">
            <v>5.277361333</v>
          </cell>
          <cell r="AK378">
            <v>5.2847418079999997</v>
          </cell>
          <cell r="AL378">
            <v>5.2953293290000003</v>
          </cell>
          <cell r="AM378">
            <v>5.3082965790000003</v>
          </cell>
          <cell r="AN378">
            <v>5.3222960930000003</v>
          </cell>
          <cell r="AO378">
            <v>5.3359992380000003</v>
          </cell>
        </row>
        <row r="390">
          <cell r="F390">
            <v>33.672356450000002</v>
          </cell>
          <cell r="G390">
            <v>34.403734</v>
          </cell>
          <cell r="H390">
            <v>35.16915341</v>
          </cell>
          <cell r="I390">
            <v>35.844312700000003</v>
          </cell>
          <cell r="J390">
            <v>36.4650246</v>
          </cell>
          <cell r="K390">
            <v>37.083550459999998</v>
          </cell>
          <cell r="L390">
            <v>37.651616240000003</v>
          </cell>
          <cell r="M390">
            <v>38.013869460000002</v>
          </cell>
          <cell r="N390">
            <v>38.304859290000003</v>
          </cell>
          <cell r="O390">
            <v>38.579881469999997</v>
          </cell>
          <cell r="P390">
            <v>39.049874160000002</v>
          </cell>
          <cell r="Q390">
            <v>39.387693259999999</v>
          </cell>
          <cell r="R390">
            <v>39.814125910000001</v>
          </cell>
          <cell r="S390">
            <v>40.337674040000003</v>
          </cell>
          <cell r="T390">
            <v>40.925326779999999</v>
          </cell>
          <cell r="U390">
            <v>41.542672019999998</v>
          </cell>
          <cell r="V390">
            <v>42.164200690000001</v>
          </cell>
          <cell r="W390">
            <v>42.776641069999997</v>
          </cell>
          <cell r="X390">
            <v>43.378182420000002</v>
          </cell>
          <cell r="Y390">
            <v>43.974675689999998</v>
          </cell>
          <cell r="Z390">
            <v>44.455434109999999</v>
          </cell>
          <cell r="AA390">
            <v>45.088233789999997</v>
          </cell>
          <cell r="AB390">
            <v>45.739197279999999</v>
          </cell>
          <cell r="AC390">
            <v>46.39195763</v>
          </cell>
          <cell r="AD390">
            <v>47.049654570000001</v>
          </cell>
          <cell r="AE390">
            <v>47.3605467</v>
          </cell>
          <cell r="AF390">
            <v>47.954348950000004</v>
          </cell>
          <cell r="AG390">
            <v>48.589423279999998</v>
          </cell>
          <cell r="AH390">
            <v>49.224790519999999</v>
          </cell>
          <cell r="AI390">
            <v>49.863786730000001</v>
          </cell>
          <cell r="AJ390">
            <v>50.512875520000001</v>
          </cell>
          <cell r="AK390">
            <v>51.174524490000003</v>
          </cell>
          <cell r="AL390">
            <v>51.847791979999997</v>
          </cell>
          <cell r="AM390">
            <v>52.530322529999999</v>
          </cell>
          <cell r="AN390">
            <v>53.220086590000001</v>
          </cell>
          <cell r="AO390">
            <v>53.916304799999999</v>
          </cell>
        </row>
        <row r="402">
          <cell r="F402">
            <v>29.631828479999999</v>
          </cell>
          <cell r="G402">
            <v>29.84595178</v>
          </cell>
          <cell r="H402">
            <v>29.874910369999998</v>
          </cell>
          <cell r="I402">
            <v>29.855524339999999</v>
          </cell>
          <cell r="J402">
            <v>29.906574200000001</v>
          </cell>
          <cell r="K402">
            <v>30.143794410000002</v>
          </cell>
          <cell r="L402">
            <v>31.899330890000002</v>
          </cell>
          <cell r="M402">
            <v>33.15741706</v>
          </cell>
          <cell r="N402">
            <v>34.118290369999997</v>
          </cell>
          <cell r="O402">
            <v>34.67486624</v>
          </cell>
          <cell r="P402">
            <v>34.770423289999997</v>
          </cell>
          <cell r="Q402">
            <v>34.76657514</v>
          </cell>
          <cell r="R402">
            <v>34.73573863</v>
          </cell>
          <cell r="S402">
            <v>34.831472769999998</v>
          </cell>
          <cell r="T402">
            <v>35.13597077</v>
          </cell>
          <cell r="U402">
            <v>35.648432659999997</v>
          </cell>
          <cell r="V402">
            <v>36.309828850000002</v>
          </cell>
          <cell r="W402">
            <v>37.039471329999998</v>
          </cell>
          <cell r="X402">
            <v>37.769030970000003</v>
          </cell>
          <cell r="Y402">
            <v>38.462531560000002</v>
          </cell>
          <cell r="Z402">
            <v>39.158326080000002</v>
          </cell>
          <cell r="AA402">
            <v>39.759062790000002</v>
          </cell>
          <cell r="AB402">
            <v>40.367503130000003</v>
          </cell>
          <cell r="AC402">
            <v>41.00936222</v>
          </cell>
          <cell r="AD402">
            <v>41.693728870000001</v>
          </cell>
          <cell r="AE402">
            <v>42.514966559999998</v>
          </cell>
          <cell r="AF402">
            <v>43.208284900000002</v>
          </cell>
          <cell r="AG402">
            <v>43.86199912</v>
          </cell>
          <cell r="AH402">
            <v>44.483712539999999</v>
          </cell>
          <cell r="AI402">
            <v>45.09015763</v>
          </cell>
          <cell r="AJ402">
            <v>45.705861069999997</v>
          </cell>
          <cell r="AK402">
            <v>46.35167388</v>
          </cell>
          <cell r="AL402">
            <v>47.037177489999998</v>
          </cell>
          <cell r="AM402">
            <v>47.759535530000001</v>
          </cell>
          <cell r="AN402">
            <v>48.507580310000002</v>
          </cell>
          <cell r="AO402">
            <v>49.26818566</v>
          </cell>
        </row>
        <row r="414">
          <cell r="F414">
            <v>73.965462770000002</v>
          </cell>
          <cell r="G414">
            <v>73.842180020000001</v>
          </cell>
          <cell r="H414">
            <v>73.490459200000004</v>
          </cell>
          <cell r="I414">
            <v>73.177508209999999</v>
          </cell>
          <cell r="J414">
            <v>72.968287029999999</v>
          </cell>
          <cell r="K414">
            <v>72.855573890000002</v>
          </cell>
          <cell r="L414">
            <v>72.799636480000004</v>
          </cell>
          <cell r="M414">
            <v>72.78482151</v>
          </cell>
          <cell r="N414">
            <v>72.802000120000002</v>
          </cell>
          <cell r="O414">
            <v>72.850342130000001</v>
          </cell>
          <cell r="P414">
            <v>72.958415200000005</v>
          </cell>
          <cell r="Q414">
            <v>73.090435780000007</v>
          </cell>
          <cell r="R414">
            <v>73.245755160000002</v>
          </cell>
          <cell r="S414">
            <v>73.418847330000006</v>
          </cell>
          <cell r="T414">
            <v>73.6005045</v>
          </cell>
          <cell r="U414">
            <v>73.786387340000005</v>
          </cell>
          <cell r="V414">
            <v>73.976500340000001</v>
          </cell>
          <cell r="W414">
            <v>74.170801679999997</v>
          </cell>
          <cell r="X414">
            <v>74.368490789999996</v>
          </cell>
          <cell r="Y414">
            <v>74.568359819999998</v>
          </cell>
          <cell r="Z414">
            <v>74.751074619999997</v>
          </cell>
          <cell r="AA414">
            <v>74.941112320000002</v>
          </cell>
          <cell r="AB414">
            <v>75.134776810000005</v>
          </cell>
          <cell r="AC414">
            <v>75.329407799999998</v>
          </cell>
          <cell r="AD414">
            <v>75.523452989999996</v>
          </cell>
          <cell r="AE414">
            <v>75.666081309999996</v>
          </cell>
          <cell r="AF414">
            <v>75.805707200000001</v>
          </cell>
          <cell r="AG414">
            <v>75.945248620000001</v>
          </cell>
          <cell r="AH414">
            <v>76.085341349999993</v>
          </cell>
          <cell r="AI414">
            <v>76.225605580000007</v>
          </cell>
          <cell r="AJ414">
            <v>76.365103869999999</v>
          </cell>
          <cell r="AK414">
            <v>76.502965799999998</v>
          </cell>
          <cell r="AL414">
            <v>76.638844770000006</v>
          </cell>
          <cell r="AM414">
            <v>76.773040510000001</v>
          </cell>
          <cell r="AN414">
            <v>76.906221869999996</v>
          </cell>
          <cell r="AO414">
            <v>77.039284159999994</v>
          </cell>
        </row>
        <row r="415">
          <cell r="F415">
            <v>39.923462319999999</v>
          </cell>
          <cell r="G415">
            <v>40.212701590000002</v>
          </cell>
          <cell r="H415">
            <v>40.056676439999997</v>
          </cell>
          <cell r="I415">
            <v>39.798952799999995</v>
          </cell>
          <cell r="J415">
            <v>39.5627596</v>
          </cell>
          <cell r="K415">
            <v>39.376581969999997</v>
          </cell>
          <cell r="L415">
            <v>39.223618569999999</v>
          </cell>
          <cell r="M415">
            <v>39.093201460000003</v>
          </cell>
          <cell r="N415">
            <v>38.974133200000004</v>
          </cell>
          <cell r="O415">
            <v>38.861571479999995</v>
          </cell>
          <cell r="P415">
            <v>38.775135329999998</v>
          </cell>
          <cell r="Q415">
            <v>38.688766919999999</v>
          </cell>
          <cell r="R415">
            <v>38.606856890000003</v>
          </cell>
          <cell r="S415">
            <v>38.528527579999995</v>
          </cell>
          <cell r="T415">
            <v>38.44954955</v>
          </cell>
          <cell r="U415">
            <v>38.369407630000005</v>
          </cell>
          <cell r="V415">
            <v>38.290640270000004</v>
          </cell>
          <cell r="W415">
            <v>38.214753479999999</v>
          </cell>
          <cell r="X415">
            <v>38.14194088</v>
          </cell>
          <cell r="Y415">
            <v>38.071782329999998</v>
          </cell>
          <cell r="Z415">
            <v>37.990910540000002</v>
          </cell>
          <cell r="AA415">
            <v>37.918141869999999</v>
          </cell>
          <cell r="AB415">
            <v>37.849739060000005</v>
          </cell>
          <cell r="AC415">
            <v>37.784176049999999</v>
          </cell>
          <cell r="AD415">
            <v>37.720392009999998</v>
          </cell>
          <cell r="AE415">
            <v>37.623332939999997</v>
          </cell>
          <cell r="AF415">
            <v>37.527943380000004</v>
          </cell>
          <cell r="AG415">
            <v>37.433724720000001</v>
          </cell>
          <cell r="AH415">
            <v>37.341402200000005</v>
          </cell>
          <cell r="AI415">
            <v>37.251170180000003</v>
          </cell>
          <cell r="AJ415">
            <v>37.162913150000001</v>
          </cell>
          <cell r="AK415">
            <v>37.076243170000005</v>
          </cell>
          <cell r="AL415">
            <v>36.990687880000003</v>
          </cell>
          <cell r="AM415">
            <v>36.905887990000004</v>
          </cell>
          <cell r="AN415">
            <v>36.821617240000002</v>
          </cell>
          <cell r="AO415">
            <v>36.737982930000001</v>
          </cell>
        </row>
        <row r="423">
          <cell r="F423">
            <v>34.042000460000004</v>
          </cell>
          <cell r="G423">
            <v>33.629478429999999</v>
          </cell>
          <cell r="H423">
            <v>33.433782770000001</v>
          </cell>
          <cell r="I423">
            <v>33.378555409999997</v>
          </cell>
          <cell r="J423">
            <v>33.405527429999999</v>
          </cell>
          <cell r="K423">
            <v>33.478991919999999</v>
          </cell>
          <cell r="L423">
            <v>33.576017909999997</v>
          </cell>
          <cell r="M423">
            <v>33.691620049999997</v>
          </cell>
          <cell r="N423">
            <v>33.827866920000005</v>
          </cell>
          <cell r="O423">
            <v>33.988770639999998</v>
          </cell>
          <cell r="P423">
            <v>34.18327987</v>
          </cell>
          <cell r="Q423">
            <v>34.401668860000001</v>
          </cell>
          <cell r="R423">
            <v>34.638898270000006</v>
          </cell>
          <cell r="S423">
            <v>34.890319750000003</v>
          </cell>
          <cell r="T423">
            <v>35.150954939999998</v>
          </cell>
          <cell r="U423">
            <v>35.41697972</v>
          </cell>
          <cell r="V423">
            <v>35.685860069999997</v>
          </cell>
          <cell r="W423">
            <v>35.956048200000005</v>
          </cell>
          <cell r="X423">
            <v>36.226549909999996</v>
          </cell>
          <cell r="Y423">
            <v>36.496577479999999</v>
          </cell>
          <cell r="Z423">
            <v>36.760164079999996</v>
          </cell>
          <cell r="AA423">
            <v>37.022970450000003</v>
          </cell>
          <cell r="AB423">
            <v>37.285037750000001</v>
          </cell>
          <cell r="AC423">
            <v>37.545231749999999</v>
          </cell>
          <cell r="AD423">
            <v>37.803060979999998</v>
          </cell>
          <cell r="AE423">
            <v>38.042748380000006</v>
          </cell>
          <cell r="AF423">
            <v>38.277763810000003</v>
          </cell>
          <cell r="AG423">
            <v>38.511523889999999</v>
          </cell>
          <cell r="AH423">
            <v>38.743939149999996</v>
          </cell>
          <cell r="AI423">
            <v>38.974435399999997</v>
          </cell>
          <cell r="AJ423">
            <v>39.202190719999997</v>
          </cell>
          <cell r="AK423">
            <v>39.42672262</v>
          </cell>
          <cell r="AL423">
            <v>39.648156890000003</v>
          </cell>
          <cell r="AM423">
            <v>39.867152520000005</v>
          </cell>
          <cell r="AN423">
            <v>40.08460462</v>
          </cell>
          <cell r="AO423">
            <v>40.30130123</v>
          </cell>
        </row>
        <row r="427">
          <cell r="F427">
            <v>8.5558757310000004</v>
          </cell>
          <cell r="G427">
            <v>8.5667167000000006</v>
          </cell>
          <cell r="H427">
            <v>8.5933936919999994</v>
          </cell>
          <cell r="I427">
            <v>8.6510401839999993</v>
          </cell>
          <cell r="J427">
            <v>8.7343720119999997</v>
          </cell>
          <cell r="K427">
            <v>8.8361282479999996</v>
          </cell>
          <cell r="L427">
            <v>8.9468983929999997</v>
          </cell>
          <cell r="M427">
            <v>9.0609082500000007</v>
          </cell>
          <cell r="N427">
            <v>9.1760756790000002</v>
          </cell>
          <cell r="O427">
            <v>9.2924842739999995</v>
          </cell>
          <cell r="P427">
            <v>9.4152455610000008</v>
          </cell>
          <cell r="Q427">
            <v>9.5437617990000003</v>
          </cell>
          <cell r="R427">
            <v>9.6749700349999994</v>
          </cell>
          <cell r="S427">
            <v>9.808560666</v>
          </cell>
          <cell r="T427">
            <v>9.9442654469999994</v>
          </cell>
          <cell r="U427">
            <v>10.08173856</v>
          </cell>
          <cell r="V427">
            <v>10.22073314</v>
          </cell>
          <cell r="W427">
            <v>10.36120298</v>
          </cell>
          <cell r="X427">
            <v>10.503335030000001</v>
          </cell>
          <cell r="Y427">
            <v>10.64745883</v>
          </cell>
          <cell r="Z427">
            <v>10.79024961</v>
          </cell>
          <cell r="AA427">
            <v>10.93509004</v>
          </cell>
          <cell r="AB427">
            <v>11.084402710000001</v>
          </cell>
          <cell r="AC427">
            <v>11.23792283</v>
          </cell>
          <cell r="AD427">
            <v>11.395006049999999</v>
          </cell>
          <cell r="AE427">
            <v>11.542866139999999</v>
          </cell>
          <cell r="AF427">
            <v>11.689121119999999</v>
          </cell>
          <cell r="AG427">
            <v>11.83761103</v>
          </cell>
          <cell r="AH427">
            <v>11.989381529999999</v>
          </cell>
          <cell r="AI427">
            <v>12.144716750000001</v>
          </cell>
          <cell r="AJ427">
            <v>12.303467210000001</v>
          </cell>
          <cell r="AK427">
            <v>12.46522485</v>
          </cell>
          <cell r="AL427">
            <v>12.62954957</v>
          </cell>
          <cell r="AM427">
            <v>12.79615297</v>
          </cell>
          <cell r="AN427">
            <v>12.96497136</v>
          </cell>
          <cell r="AO427">
            <v>13.136125509999999</v>
          </cell>
        </row>
        <row r="439">
          <cell r="F439">
            <v>4.914908831</v>
          </cell>
          <cell r="G439">
            <v>4.8981575069999996</v>
          </cell>
          <cell r="H439">
            <v>4.8598695840000001</v>
          </cell>
          <cell r="I439">
            <v>4.8187948839999999</v>
          </cell>
          <cell r="J439">
            <v>4.7940092930000002</v>
          </cell>
          <cell r="K439">
            <v>4.7984386859999999</v>
          </cell>
          <cell r="L439">
            <v>4.8339994900000001</v>
          </cell>
          <cell r="M439">
            <v>4.8957956429999996</v>
          </cell>
          <cell r="N439">
            <v>4.9713832460000003</v>
          </cell>
          <cell r="O439">
            <v>5.0461652709999996</v>
          </cell>
          <cell r="P439">
            <v>5.1103371219999998</v>
          </cell>
          <cell r="Q439">
            <v>5.1587475390000002</v>
          </cell>
          <cell r="R439">
            <v>5.192049012</v>
          </cell>
          <cell r="S439">
            <v>5.2134763360000003</v>
          </cell>
          <cell r="T439">
            <v>5.2269972210000004</v>
          </cell>
          <cell r="U439">
            <v>5.2359422420000001</v>
          </cell>
          <cell r="V439">
            <v>5.2425549379999996</v>
          </cell>
          <cell r="W439">
            <v>5.2481232350000004</v>
          </cell>
          <cell r="X439">
            <v>5.253385164</v>
          </cell>
          <cell r="Y439">
            <v>5.258907153</v>
          </cell>
          <cell r="Z439">
            <v>5.263447298</v>
          </cell>
          <cell r="AA439">
            <v>5.2689934850000002</v>
          </cell>
          <cell r="AB439">
            <v>5.2759795360000004</v>
          </cell>
          <cell r="AC439">
            <v>5.2853051249999998</v>
          </cell>
          <cell r="AD439">
            <v>5.2974632430000002</v>
          </cell>
          <cell r="AE439">
            <v>5.3064641139999997</v>
          </cell>
          <cell r="AF439">
            <v>5.3145783040000003</v>
          </cell>
          <cell r="AG439">
            <v>5.3200563440000002</v>
          </cell>
          <cell r="AH439">
            <v>5.3232114859999999</v>
          </cell>
          <cell r="AI439">
            <v>5.3253701949999996</v>
          </cell>
          <cell r="AJ439">
            <v>5.3281496449999999</v>
          </cell>
          <cell r="AK439">
            <v>5.332734994</v>
          </cell>
          <cell r="AL439">
            <v>5.3395099249999998</v>
          </cell>
          <cell r="AM439">
            <v>5.3480996200000002</v>
          </cell>
          <cell r="AN439">
            <v>5.3577015289999999</v>
          </cell>
          <cell r="AO439">
            <v>5.3674984439999998</v>
          </cell>
        </row>
        <row r="451">
          <cell r="F451">
            <v>33.672356450000002</v>
          </cell>
          <cell r="G451">
            <v>34.403734</v>
          </cell>
          <cell r="H451">
            <v>35.16915341</v>
          </cell>
          <cell r="I451">
            <v>35.844312700000003</v>
          </cell>
          <cell r="J451">
            <v>36.4650246</v>
          </cell>
          <cell r="K451">
            <v>37.083550459999998</v>
          </cell>
          <cell r="L451">
            <v>37.60710512</v>
          </cell>
          <cell r="M451">
            <v>38.170956339999996</v>
          </cell>
          <cell r="N451">
            <v>38.752892260000003</v>
          </cell>
          <cell r="O451">
            <v>39.3261702</v>
          </cell>
          <cell r="P451">
            <v>40.045934610000003</v>
          </cell>
          <cell r="Q451">
            <v>40.553022390000002</v>
          </cell>
          <cell r="R451">
            <v>41.061777190000001</v>
          </cell>
          <cell r="S451">
            <v>41.595800680000004</v>
          </cell>
          <cell r="T451">
            <v>42.148576130000002</v>
          </cell>
          <cell r="U451">
            <v>42.712111559999997</v>
          </cell>
          <cell r="V451">
            <v>43.281490900000001</v>
          </cell>
          <cell r="W451">
            <v>43.855535150000001</v>
          </cell>
          <cell r="X451">
            <v>44.435221900000002</v>
          </cell>
          <cell r="Y451">
            <v>45.022527680000003</v>
          </cell>
          <cell r="Z451">
            <v>45.499664080000002</v>
          </cell>
          <cell r="AA451">
            <v>46.130599539999999</v>
          </cell>
          <cell r="AB451">
            <v>46.77838345</v>
          </cell>
          <cell r="AC451">
            <v>47.427015390000001</v>
          </cell>
          <cell r="AD451">
            <v>48.081529060000001</v>
          </cell>
          <cell r="AE451">
            <v>48.389784259999999</v>
          </cell>
          <cell r="AF451">
            <v>48.985306880000003</v>
          </cell>
          <cell r="AG451">
            <v>49.624867610000003</v>
          </cell>
          <cell r="AH451">
            <v>50.266137819999997</v>
          </cell>
          <cell r="AI451">
            <v>50.911294390000002</v>
          </cell>
          <cell r="AJ451">
            <v>51.566078840000003</v>
          </cell>
          <cell r="AK451">
            <v>52.232802239999998</v>
          </cell>
          <cell r="AL451">
            <v>52.910825959999997</v>
          </cell>
          <cell r="AM451">
            <v>53.59829964</v>
          </cell>
          <cell r="AN451">
            <v>54.293621010000003</v>
          </cell>
          <cell r="AO451">
            <v>54.996179290000001</v>
          </cell>
        </row>
        <row r="463">
          <cell r="F463">
            <v>29.631828479999999</v>
          </cell>
          <cell r="G463">
            <v>29.84595178</v>
          </cell>
          <cell r="H463">
            <v>29.874910369999998</v>
          </cell>
          <cell r="I463">
            <v>29.855524339999999</v>
          </cell>
          <cell r="J463">
            <v>29.906574200000001</v>
          </cell>
          <cell r="K463">
            <v>30.143794410000002</v>
          </cell>
          <cell r="L463">
            <v>30.661395890000001</v>
          </cell>
          <cell r="M463">
            <v>31.395744759999999</v>
          </cell>
          <cell r="N463">
            <v>32.27485222</v>
          </cell>
          <cell r="O463">
            <v>33.19783142</v>
          </cell>
          <cell r="P463">
            <v>34.004436230000003</v>
          </cell>
          <cell r="Q463">
            <v>34.849848199999997</v>
          </cell>
          <cell r="R463">
            <v>35.623583490000001</v>
          </cell>
          <cell r="S463">
            <v>36.344045229999999</v>
          </cell>
          <cell r="T463">
            <v>37.037490679999998</v>
          </cell>
          <cell r="U463">
            <v>37.720378529999998</v>
          </cell>
          <cell r="V463">
            <v>38.39727482</v>
          </cell>
          <cell r="W463">
            <v>39.064671580000002</v>
          </cell>
          <cell r="X463">
            <v>39.717669309999998</v>
          </cell>
          <cell r="Y463">
            <v>40.354974839999997</v>
          </cell>
          <cell r="Z463">
            <v>41.022902629999997</v>
          </cell>
          <cell r="AA463">
            <v>41.606954260000002</v>
          </cell>
          <cell r="AB463">
            <v>42.196697989999997</v>
          </cell>
          <cell r="AC463">
            <v>42.808685619999999</v>
          </cell>
          <cell r="AD463">
            <v>43.452775709999997</v>
          </cell>
          <cell r="AE463">
            <v>44.234532430000002</v>
          </cell>
          <cell r="AF463">
            <v>44.89430119</v>
          </cell>
          <cell r="AG463">
            <v>45.529352099999997</v>
          </cell>
          <cell r="AH463">
            <v>46.14862325</v>
          </cell>
          <cell r="AI463">
            <v>46.765737369999997</v>
          </cell>
          <cell r="AJ463">
            <v>47.39973234</v>
          </cell>
          <cell r="AK463">
            <v>48.06594364</v>
          </cell>
          <cell r="AL463">
            <v>48.770226399999999</v>
          </cell>
          <cell r="AM463">
            <v>49.508544860000001</v>
          </cell>
          <cell r="AN463">
            <v>50.270712639999999</v>
          </cell>
          <cell r="AO463">
            <v>51.04571069</v>
          </cell>
        </row>
        <row r="1365">
          <cell r="E1365" t="str">
            <v>100*(GDP_2/GDP_0-1)</v>
          </cell>
          <cell r="F1365">
            <v>0</v>
          </cell>
          <cell r="G1365">
            <v>0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-1.1849551980458783</v>
          </cell>
          <cell r="M1365">
            <v>-1.9187579346455097</v>
          </cell>
          <cell r="N1365">
            <v>-2.373159536043612</v>
          </cell>
          <cell r="O1365">
            <v>-2.483047654266024</v>
          </cell>
          <cell r="P1365">
            <v>-2.2965698221518172</v>
          </cell>
          <cell r="Q1365">
            <v>-1.9449731346725452</v>
          </cell>
          <cell r="R1365">
            <v>-1.5507098140532305</v>
          </cell>
          <cell r="S1365">
            <v>-1.2251128584772175</v>
          </cell>
          <cell r="T1365">
            <v>-1.0283629047670662</v>
          </cell>
          <cell r="U1365">
            <v>-0.96547794572903189</v>
          </cell>
          <cell r="V1365">
            <v>-1.0008130427488937</v>
          </cell>
          <cell r="W1365">
            <v>-1.0824859521044172</v>
          </cell>
          <cell r="X1365">
            <v>-1.1650549576948444</v>
          </cell>
          <cell r="Y1365">
            <v>-1.2222783859513253</v>
          </cell>
          <cell r="Z1365">
            <v>-1.2483276360008011</v>
          </cell>
          <cell r="AA1365">
            <v>-1.2511672892521086</v>
          </cell>
          <cell r="AB1365">
            <v>-1.2441517350475384</v>
          </cell>
          <cell r="AC1365">
            <v>-1.2376173117131462</v>
          </cell>
          <cell r="AD1365">
            <v>-1.235613844475747</v>
          </cell>
          <cell r="AE1365">
            <v>-1.2378975762579181</v>
          </cell>
          <cell r="AF1365">
            <v>-1.2354093691682833</v>
          </cell>
          <cell r="AG1365">
            <v>-1.2275317663725138</v>
          </cell>
          <cell r="AH1365">
            <v>-1.2132076358144728</v>
          </cell>
          <cell r="AI1365">
            <v>-1.1940074650522936</v>
          </cell>
          <cell r="AJ1365">
            <v>-1.1729858459879172</v>
          </cell>
          <cell r="AK1365">
            <v>-1.15327612743229</v>
          </cell>
          <cell r="AL1365">
            <v>-1.1369586308023871</v>
          </cell>
          <cell r="AM1365">
            <v>-1.1245719897675754</v>
          </cell>
          <cell r="AN1365">
            <v>-1.1153030541444009</v>
          </cell>
          <cell r="AO1365">
            <v>-1.1076229259576298</v>
          </cell>
        </row>
        <row r="1366">
          <cell r="C1366" t="str">
            <v>VA du secteur marchand</v>
          </cell>
          <cell r="E1366" t="str">
            <v>100*((VA_2-VA_spub_2)/(VA_0-VA_spub_0)-1)</v>
          </cell>
          <cell r="F1366">
            <v>0</v>
          </cell>
          <cell r="G1366">
            <v>0</v>
          </cell>
          <cell r="H1366">
            <v>0</v>
          </cell>
          <cell r="I1366">
            <v>0</v>
          </cell>
          <cell r="J1366">
            <v>0</v>
          </cell>
          <cell r="K1366">
            <v>0</v>
          </cell>
          <cell r="L1366">
            <v>-1.3979385265201927</v>
          </cell>
          <cell r="M1366">
            <v>-2.303401518978343</v>
          </cell>
          <cell r="N1366">
            <v>-2.8972995723217099</v>
          </cell>
          <cell r="O1366">
            <v>-3.0893049439357667</v>
          </cell>
          <cell r="P1366">
            <v>-2.9221003026079106</v>
          </cell>
          <cell r="Q1366">
            <v>-2.5415285664556975</v>
          </cell>
          <cell r="R1366">
            <v>-2.0879225079814434</v>
          </cell>
          <cell r="S1366">
            <v>-1.6958738776570059</v>
          </cell>
          <cell r="T1366">
            <v>-1.4430500276965574</v>
          </cell>
          <cell r="U1366">
            <v>-1.3427019431412002</v>
          </cell>
          <cell r="V1366">
            <v>-1.3589858249026587</v>
          </cell>
          <cell r="W1366">
            <v>-1.4345888907214666</v>
          </cell>
          <cell r="X1366">
            <v>-1.517206826760209</v>
          </cell>
          <cell r="Y1366">
            <v>-1.5752792231596202</v>
          </cell>
          <cell r="Z1366">
            <v>-1.6005949551921805</v>
          </cell>
          <cell r="AA1366">
            <v>-1.600597606164389</v>
          </cell>
          <cell r="AB1366">
            <v>-1.5904091892120165</v>
          </cell>
          <cell r="AC1366">
            <v>-1.5816361823640768</v>
          </cell>
          <cell r="AD1366">
            <v>-1.5789277836471105</v>
          </cell>
          <cell r="AE1366">
            <v>-1.5824496554551426</v>
          </cell>
          <cell r="AF1366">
            <v>-1.580218878596007</v>
          </cell>
          <cell r="AG1366">
            <v>-1.5720938229950465</v>
          </cell>
          <cell r="AH1366">
            <v>-1.5562742078323533</v>
          </cell>
          <cell r="AI1366">
            <v>-1.5343024102432268</v>
          </cell>
          <cell r="AJ1366">
            <v>-1.5096502004602774</v>
          </cell>
          <cell r="AK1366">
            <v>-1.4860441720180306</v>
          </cell>
          <cell r="AL1366">
            <v>-1.4660795949278271</v>
          </cell>
          <cell r="AM1366">
            <v>-1.4505765359670186</v>
          </cell>
          <cell r="AN1366">
            <v>-1.438734088851612</v>
          </cell>
          <cell r="AO1366">
            <v>-1.4288443813958884</v>
          </cell>
        </row>
        <row r="1367">
          <cell r="E1367" t="str">
            <v>100*((CH_2-CH_0)/GDP_0)</v>
          </cell>
          <cell r="F1367">
            <v>0</v>
          </cell>
          <cell r="G1367">
            <v>0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-0.88094295591521488</v>
          </cell>
          <cell r="M1367">
            <v>-1.2082094697719892</v>
          </cell>
          <cell r="N1367">
            <v>-1.2695504379892579</v>
          </cell>
          <cell r="O1367">
            <v>-1.0900690537343156</v>
          </cell>
          <cell r="P1367">
            <v>-0.75580148440371386</v>
          </cell>
          <cell r="Q1367">
            <v>-0.39305745274157233</v>
          </cell>
          <cell r="R1367">
            <v>-9.2152011860056587E-2</v>
          </cell>
          <cell r="S1367">
            <v>8.5777428006126727E-2</v>
          </cell>
          <cell r="T1367">
            <v>0.12842137395367578</v>
          </cell>
          <cell r="U1367">
            <v>6.3065921449753232E-2</v>
          </cell>
          <cell r="V1367">
            <v>-6.192695289936892E-2</v>
          </cell>
          <cell r="W1367">
            <v>-0.19771576746935812</v>
          </cell>
          <cell r="X1367">
            <v>-0.31009391192684183</v>
          </cell>
          <cell r="Y1367">
            <v>-0.38491273211001631</v>
          </cell>
          <cell r="Z1367">
            <v>-0.42458021339618113</v>
          </cell>
          <cell r="AA1367">
            <v>-0.44087849282340968</v>
          </cell>
          <cell r="AB1367">
            <v>-0.44606175186063929</v>
          </cell>
          <cell r="AC1367">
            <v>-0.44851823252843559</v>
          </cell>
          <cell r="AD1367">
            <v>-0.45095263904280047</v>
          </cell>
          <cell r="AE1367">
            <v>-0.45266355355724458</v>
          </cell>
          <cell r="AF1367">
            <v>-0.44864328863912922</v>
          </cell>
          <cell r="AG1367">
            <v>-0.43916652946583057</v>
          </cell>
          <cell r="AH1367">
            <v>-0.42510249814339851</v>
          </cell>
          <cell r="AI1367">
            <v>-0.40882314351004784</v>
          </cell>
          <cell r="AJ1367">
            <v>-0.39312965915146575</v>
          </cell>
          <cell r="AK1367">
            <v>-0.38021483423006835</v>
          </cell>
          <cell r="AL1367">
            <v>-0.37104868999111779</v>
          </cell>
          <cell r="AM1367">
            <v>-0.36532716739927062</v>
          </cell>
          <cell r="AN1367">
            <v>-0.36188258398148476</v>
          </cell>
          <cell r="AO1367">
            <v>-0.3592983929989621</v>
          </cell>
        </row>
        <row r="1368">
          <cell r="C1368" t="str">
            <v>Consommation des ménages automobile</v>
          </cell>
          <cell r="E1368" t="str">
            <v>100*((CH_cveh_2-CH_cveh_0)/GDP_0)</v>
          </cell>
          <cell r="F1368">
            <v>0</v>
          </cell>
          <cell r="G1368">
            <v>0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-1.3145538015097718E-2</v>
          </cell>
          <cell r="M1368">
            <v>-1.2183890457783161E-2</v>
          </cell>
          <cell r="N1368">
            <v>2.7036533101034738E-2</v>
          </cell>
          <cell r="O1368">
            <v>6.4942704831409404E-2</v>
          </cell>
          <cell r="P1368">
            <v>9.1555559551182705E-2</v>
          </cell>
          <cell r="Q1368">
            <v>0.10073107494794958</v>
          </cell>
          <cell r="R1368">
            <v>9.2508030104185485E-2</v>
          </cell>
          <cell r="S1368">
            <v>7.2097656241742844E-2</v>
          </cell>
          <cell r="T1368">
            <v>4.6574543769345146E-2</v>
          </cell>
          <cell r="U1368">
            <v>2.253587307441161E-2</v>
          </cell>
          <cell r="V1368">
            <v>4.4877931703870928E-3</v>
          </cell>
          <cell r="W1368">
            <v>-5.7633735930232395E-3</v>
          </cell>
          <cell r="X1368">
            <v>-8.8464789943624514E-3</v>
          </cell>
          <cell r="Y1368">
            <v>-6.9274099907220997E-3</v>
          </cell>
          <cell r="Z1368">
            <v>-2.6084957900249098E-3</v>
          </cell>
          <cell r="AA1368">
            <v>2.072713656670536E-3</v>
          </cell>
          <cell r="AB1368">
            <v>5.9248913673062495E-3</v>
          </cell>
          <cell r="AC1368">
            <v>8.654651102089005E-3</v>
          </cell>
          <cell r="AD1368">
            <v>1.0536119562384719E-2</v>
          </cell>
          <cell r="AE1368">
            <v>1.1956490744046819E-2</v>
          </cell>
          <cell r="AF1368">
            <v>1.3323980806573857E-2</v>
          </cell>
          <cell r="AG1368">
            <v>1.4718291153136182E-2</v>
          </cell>
          <cell r="AH1368">
            <v>1.5949595285768635E-2</v>
          </cell>
          <cell r="AI1368">
            <v>1.686975034081099E-2</v>
          </cell>
          <cell r="AJ1368">
            <v>1.7408575127358775E-2</v>
          </cell>
          <cell r="AK1368">
            <v>1.7605282751865705E-2</v>
          </cell>
          <cell r="AL1368">
            <v>1.7588107676180801E-2</v>
          </cell>
          <cell r="AM1368">
            <v>1.752138946054551E-2</v>
          </cell>
          <cell r="AN1368">
            <v>1.7548332940865038E-2</v>
          </cell>
          <cell r="AO1368">
            <v>1.7752242667454513E-2</v>
          </cell>
        </row>
        <row r="1369">
          <cell r="C1369" t="str">
            <v>Dépenses publiques</v>
          </cell>
          <cell r="E1369" t="str">
            <v>100*((G_2-G_0)/GDP_0)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</row>
        <row r="1370">
          <cell r="E1370" t="str">
            <v>100*((I_2-I_0)/GDP_0)</v>
          </cell>
          <cell r="F1370">
            <v>0</v>
          </cell>
          <cell r="G1370">
            <v>0</v>
          </cell>
          <cell r="H1370">
            <v>0</v>
          </cell>
          <cell r="I1370">
            <v>0</v>
          </cell>
          <cell r="J1370">
            <v>0</v>
          </cell>
          <cell r="K1370">
            <v>0</v>
          </cell>
          <cell r="L1370">
            <v>-0.35498919410040886</v>
          </cell>
          <cell r="M1370">
            <v>-0.6292517394092525</v>
          </cell>
          <cell r="N1370">
            <v>-0.82585440615135575</v>
          </cell>
          <cell r="O1370">
            <v>-0.91032323294220741</v>
          </cell>
          <cell r="P1370">
            <v>-0.88339427195776798</v>
          </cell>
          <cell r="Q1370">
            <v>-0.77753157350140212</v>
          </cell>
          <cell r="R1370">
            <v>-0.63285080409840511</v>
          </cell>
          <cell r="S1370">
            <v>-0.49250019953523683</v>
          </cell>
          <cell r="T1370">
            <v>-0.38707207066212268</v>
          </cell>
          <cell r="U1370">
            <v>-0.32816829030196898</v>
          </cell>
          <cell r="V1370">
            <v>-0.31025450901871288</v>
          </cell>
          <cell r="W1370">
            <v>-0.31823958793232127</v>
          </cell>
          <cell r="X1370">
            <v>-0.33600442434068301</v>
          </cell>
          <cell r="Y1370">
            <v>-0.35207393761947287</v>
          </cell>
          <cell r="Z1370">
            <v>-0.36157048678933568</v>
          </cell>
          <cell r="AA1370">
            <v>-0.36445875779067799</v>
          </cell>
          <cell r="AB1370">
            <v>-0.36420993920776523</v>
          </cell>
          <cell r="AC1370">
            <v>-0.36394283740687211</v>
          </cell>
          <cell r="AD1370">
            <v>-0.36515200624939809</v>
          </cell>
          <cell r="AE1370">
            <v>-0.36819507322734096</v>
          </cell>
          <cell r="AF1370">
            <v>-0.36947079389494386</v>
          </cell>
          <cell r="AG1370">
            <v>-0.36857556162631672</v>
          </cell>
          <cell r="AH1370">
            <v>-0.36482915510991176</v>
          </cell>
          <cell r="AI1370">
            <v>-0.35847791758373204</v>
          </cell>
          <cell r="AJ1370">
            <v>-0.35046074730585142</v>
          </cell>
          <cell r="AK1370">
            <v>-0.34195713217316209</v>
          </cell>
          <cell r="AL1370">
            <v>-0.33393477546361211</v>
          </cell>
          <cell r="AM1370">
            <v>-0.3268769785117952</v>
          </cell>
          <cell r="AN1370">
            <v>-0.32075384880466129</v>
          </cell>
          <cell r="AO1370">
            <v>-0.31518850564040041</v>
          </cell>
        </row>
        <row r="1371">
          <cell r="C1371" t="str">
            <v>Variations de stocks</v>
          </cell>
          <cell r="E1371" t="str">
            <v>100*((DS_2-DS_0)/GDP_0)</v>
          </cell>
          <cell r="F1371">
            <v>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</row>
        <row r="1372">
          <cell r="E1372" t="str">
            <v>100*((X_2-X_0)/GDP_0)-100*((M_2-M_0)/GDP_0)</v>
          </cell>
          <cell r="F1372">
            <v>0</v>
          </cell>
          <cell r="G1372">
            <v>0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5.0976947787155391E-2</v>
          </cell>
          <cell r="M1372">
            <v>-8.1296713087846306E-2</v>
          </cell>
          <cell r="N1372">
            <v>-0.27775471226459336</v>
          </cell>
          <cell r="O1372">
            <v>-0.48265537563003102</v>
          </cell>
          <cell r="P1372">
            <v>-0.65737406579033941</v>
          </cell>
          <cell r="Q1372">
            <v>-0.77438409280547316</v>
          </cell>
          <cell r="R1372">
            <v>-0.82570702118120254</v>
          </cell>
          <cell r="S1372">
            <v>-0.81839006042435758</v>
          </cell>
          <cell r="T1372">
            <v>-0.76971218940381381</v>
          </cell>
          <cell r="U1372">
            <v>-0.70037558789807908</v>
          </cell>
          <cell r="V1372">
            <v>-0.62863157721319762</v>
          </cell>
          <cell r="W1372">
            <v>-0.56653060382762921</v>
          </cell>
          <cell r="X1372">
            <v>-0.51895661791922798</v>
          </cell>
          <cell r="Y1372">
            <v>-0.48529174731146274</v>
          </cell>
          <cell r="Z1372">
            <v>-0.46217691538897809</v>
          </cell>
          <cell r="AA1372">
            <v>-0.44583004199030696</v>
          </cell>
          <cell r="AB1372">
            <v>-0.43388005718217532</v>
          </cell>
          <cell r="AC1372">
            <v>-0.42515622552809884</v>
          </cell>
          <cell r="AD1372">
            <v>-0.41950920238358397</v>
          </cell>
          <cell r="AE1372">
            <v>-0.41703897159182007</v>
          </cell>
          <cell r="AF1372">
            <v>-0.41729530532257808</v>
          </cell>
          <cell r="AG1372">
            <v>-0.41978969984751024</v>
          </cell>
          <cell r="AH1372">
            <v>-0.42327597347865298</v>
          </cell>
          <cell r="AI1372">
            <v>-0.42670637709803094</v>
          </cell>
          <cell r="AJ1372">
            <v>-0.42939542776224487</v>
          </cell>
          <cell r="AK1372">
            <v>-0.43110415522809475</v>
          </cell>
          <cell r="AL1372">
            <v>-0.43197517106724909</v>
          </cell>
          <cell r="AM1372">
            <v>-0.4323678551363464</v>
          </cell>
          <cell r="AN1372">
            <v>-0.43266659076889219</v>
          </cell>
          <cell r="AO1372">
            <v>-0.43313603280288016</v>
          </cell>
        </row>
        <row r="1373">
          <cell r="C1373" t="str">
            <v>Consommation des ménages</v>
          </cell>
          <cell r="E1373" t="str">
            <v>100*((CH_2-CH_ccon_2-(CH_0-CH_ccon_0))/GDP_0)</v>
          </cell>
          <cell r="F1373">
            <v>0</v>
          </cell>
          <cell r="G1373">
            <v>0</v>
          </cell>
          <cell r="H1373">
            <v>0</v>
          </cell>
          <cell r="I1373">
            <v>0</v>
          </cell>
          <cell r="J1373">
            <v>0</v>
          </cell>
          <cell r="K1373">
            <v>0</v>
          </cell>
          <cell r="L1373">
            <v>-0.87554748439558605</v>
          </cell>
          <cell r="M1373">
            <v>-1.2013945054179458</v>
          </cell>
          <cell r="N1373">
            <v>-1.2629153528047345</v>
          </cell>
          <cell r="O1373">
            <v>-1.085013470216232</v>
          </cell>
          <cell r="P1373">
            <v>-0.75264967707271657</v>
          </cell>
          <cell r="Q1373">
            <v>-0.3918103605511784</v>
          </cell>
          <cell r="R1373">
            <v>-9.1188107737664281E-2</v>
          </cell>
          <cell r="S1373">
            <v>8.8849543003202261E-2</v>
          </cell>
          <cell r="T1373">
            <v>0.13640913449324585</v>
          </cell>
          <cell r="U1373">
            <v>7.4830758900078551E-2</v>
          </cell>
          <cell r="V1373">
            <v>-4.9706707902855085E-2</v>
          </cell>
          <cell r="W1373">
            <v>-0.18694418933876886</v>
          </cell>
          <cell r="X1373">
            <v>-0.30119066124196187</v>
          </cell>
          <cell r="Y1373">
            <v>-0.37760768567398362</v>
          </cell>
          <cell r="Z1373">
            <v>-0.41821783792192668</v>
          </cell>
          <cell r="AA1373">
            <v>-0.43526578080906864</v>
          </cell>
          <cell r="AB1373">
            <v>-0.44112164836208784</v>
          </cell>
          <cell r="AC1373">
            <v>-0.44414695858753844</v>
          </cell>
          <cell r="AD1373">
            <v>-0.447037329945008</v>
          </cell>
          <cell r="AE1373">
            <v>-0.44877565365024691</v>
          </cell>
          <cell r="AF1373">
            <v>-0.44506189545163627</v>
          </cell>
          <cell r="AG1373">
            <v>-0.43586068762628088</v>
          </cell>
          <cell r="AH1373">
            <v>-0.42203932711163156</v>
          </cell>
          <cell r="AI1373">
            <v>-0.40597322381394818</v>
          </cell>
          <cell r="AJ1373">
            <v>-0.3904592203738172</v>
          </cell>
          <cell r="AK1373">
            <v>-0.37768340181252819</v>
          </cell>
          <cell r="AL1373">
            <v>-0.36861345443870103</v>
          </cell>
          <cell r="AM1373">
            <v>-0.36294985347268294</v>
          </cell>
          <cell r="AN1373">
            <v>-0.35953403007530271</v>
          </cell>
          <cell r="AO1373">
            <v>-0.35696028005031932</v>
          </cell>
        </row>
        <row r="1374">
          <cell r="E1374" t="str">
            <v>100*((I_2+CH_ccon_2-(I_0+CH_ccon_0))/GDP_0)</v>
          </cell>
          <cell r="F1374">
            <v>0</v>
          </cell>
          <cell r="G1374">
            <v>0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-0.36038466562003268</v>
          </cell>
          <cell r="M1374">
            <v>-0.63606670376329821</v>
          </cell>
          <cell r="N1374">
            <v>-0.83248949133587913</v>
          </cell>
          <cell r="O1374">
            <v>-0.91537881646029329</v>
          </cell>
          <cell r="P1374">
            <v>-0.88654607928876539</v>
          </cell>
          <cell r="Q1374">
            <v>-0.77877866569180521</v>
          </cell>
          <cell r="R1374">
            <v>-0.63381470822078845</v>
          </cell>
          <cell r="S1374">
            <v>-0.4955723145323212</v>
          </cell>
          <cell r="T1374">
            <v>-0.39505983120168842</v>
          </cell>
          <cell r="U1374">
            <v>-0.33993312775229428</v>
          </cell>
          <cell r="V1374">
            <v>-0.3224747540152309</v>
          </cell>
          <cell r="W1374">
            <v>-0.32901116606291464</v>
          </cell>
          <cell r="X1374">
            <v>-0.34490767502557113</v>
          </cell>
          <cell r="Y1374">
            <v>-0.35937898405550556</v>
          </cell>
          <cell r="Z1374">
            <v>-0.36793286226359395</v>
          </cell>
          <cell r="AA1374">
            <v>-0.37007146980501898</v>
          </cell>
          <cell r="AB1374">
            <v>-0.36915004270631668</v>
          </cell>
          <cell r="AC1374">
            <v>-0.36831411134776915</v>
          </cell>
          <cell r="AD1374">
            <v>-0.369067315347198</v>
          </cell>
          <cell r="AE1374">
            <v>-0.37208297313433497</v>
          </cell>
          <cell r="AF1374">
            <v>-0.37305218708243315</v>
          </cell>
          <cell r="AG1374">
            <v>-0.3718814034658664</v>
          </cell>
          <cell r="AH1374">
            <v>-0.36789232614167877</v>
          </cell>
          <cell r="AI1374">
            <v>-0.36132783727983164</v>
          </cell>
          <cell r="AJ1374">
            <v>-0.35313118608350341</v>
          </cell>
          <cell r="AK1374">
            <v>-0.34448856459069888</v>
          </cell>
          <cell r="AL1374">
            <v>-0.33637001101602881</v>
          </cell>
          <cell r="AM1374">
            <v>-0.32925429243838616</v>
          </cell>
          <cell r="AN1374">
            <v>-0.32310240271084328</v>
          </cell>
          <cell r="AO1374">
            <v>-0.31752661858904319</v>
          </cell>
        </row>
        <row r="1375">
          <cell r="C1375" t="str">
            <v>Investissement entreprises</v>
          </cell>
          <cell r="E1375" t="str">
            <v>100*((I_2-IA_spub_2-(I_0-IA_spub_0))/GDP_0)</v>
          </cell>
          <cell r="F1375">
            <v>0</v>
          </cell>
          <cell r="G1375">
            <v>0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-0.28583244973329891</v>
          </cell>
          <cell r="M1375">
            <v>-0.51989644209971619</v>
          </cell>
          <cell r="N1375">
            <v>-0.69423769176693417</v>
          </cell>
          <cell r="O1375">
            <v>-0.77692351921989267</v>
          </cell>
          <cell r="P1375">
            <v>-0.76611485866500539</v>
          </cell>
          <cell r="Q1375">
            <v>-0.68756990278793806</v>
          </cell>
          <cell r="R1375">
            <v>-0.57396188792348579</v>
          </cell>
          <cell r="S1375">
            <v>-0.46111066652063104</v>
          </cell>
          <cell r="T1375">
            <v>-0.37499241845523978</v>
          </cell>
          <cell r="U1375">
            <v>-0.32619536440332175</v>
          </cell>
          <cell r="V1375">
            <v>-0.31106258984652613</v>
          </cell>
          <cell r="W1375">
            <v>-0.31764994586454987</v>
          </cell>
          <cell r="X1375">
            <v>-0.33273170026222582</v>
          </cell>
          <cell r="Y1375">
            <v>-0.34664168404165496</v>
          </cell>
          <cell r="Z1375">
            <v>-0.35511151773485305</v>
          </cell>
          <cell r="AA1375">
            <v>-0.35784869818019716</v>
          </cell>
          <cell r="AB1375">
            <v>-0.35769133969982836</v>
          </cell>
          <cell r="AC1375">
            <v>-0.35726361033449727</v>
          </cell>
          <cell r="AD1375">
            <v>-0.35791056750493189</v>
          </cell>
          <cell r="AE1375">
            <v>-0.36013077811760336</v>
          </cell>
          <cell r="AF1375">
            <v>-0.36081638177294106</v>
          </cell>
          <cell r="AG1375">
            <v>-0.35974794262177706</v>
          </cell>
          <cell r="AH1375">
            <v>-0.35632531952694485</v>
          </cell>
          <cell r="AI1375">
            <v>-0.3507101679678275</v>
          </cell>
          <cell r="AJ1375">
            <v>-0.34364776529233221</v>
          </cell>
          <cell r="AK1375">
            <v>-0.33610359376035198</v>
          </cell>
          <cell r="AL1375">
            <v>-0.3288900874247393</v>
          </cell>
          <cell r="AM1375">
            <v>-0.32243315099842496</v>
          </cell>
          <cell r="AN1375">
            <v>-0.31673551894132268</v>
          </cell>
          <cell r="AO1375">
            <v>-0.31150394287121724</v>
          </cell>
        </row>
        <row r="1376">
          <cell r="C1376" t="str">
            <v>Investissement ménages</v>
          </cell>
          <cell r="E1376" t="str">
            <v>100*((CH_ccon_2-CH_ccon_0)/GDP_0)</v>
          </cell>
          <cell r="F1376">
            <v>0</v>
          </cell>
          <cell r="G1376">
            <v>0</v>
          </cell>
          <cell r="H1376">
            <v>0</v>
          </cell>
          <cell r="I1376">
            <v>0</v>
          </cell>
          <cell r="J1376">
            <v>0</v>
          </cell>
          <cell r="K1376">
            <v>0</v>
          </cell>
          <cell r="L1376">
            <v>-5.395471519626641E-3</v>
          </cell>
          <cell r="M1376">
            <v>-6.8149643540454299E-3</v>
          </cell>
          <cell r="N1376">
            <v>-6.6350851845241917E-3</v>
          </cell>
          <cell r="O1376">
            <v>-5.0555835180832419E-3</v>
          </cell>
          <cell r="P1376">
            <v>-3.1518073309964203E-3</v>
          </cell>
          <cell r="Q1376">
            <v>-1.2470921903998556E-3</v>
          </cell>
          <cell r="R1376">
            <v>-9.6390412238531024E-4</v>
          </cell>
          <cell r="S1376">
            <v>-3.072114997082705E-3</v>
          </cell>
          <cell r="T1376">
            <v>-7.98776053956546E-3</v>
          </cell>
          <cell r="U1376">
            <v>-1.1764837450329052E-2</v>
          </cell>
          <cell r="V1376">
            <v>-1.2220244996517519E-2</v>
          </cell>
          <cell r="W1376">
            <v>-1.077157813058977E-2</v>
          </cell>
          <cell r="X1376">
            <v>-8.9032506848850702E-3</v>
          </cell>
          <cell r="Y1376">
            <v>-7.30504643603369E-3</v>
          </cell>
          <cell r="Z1376">
            <v>-6.3623754742573166E-3</v>
          </cell>
          <cell r="AA1376">
            <v>-5.6127120143380522E-3</v>
          </cell>
          <cell r="AB1376">
            <v>-4.9401034985504808E-3</v>
          </cell>
          <cell r="AC1376">
            <v>-4.3712739408956281E-3</v>
          </cell>
          <cell r="AD1376">
            <v>-3.915309097798741E-3</v>
          </cell>
          <cell r="AE1376">
            <v>-3.8878999069942317E-3</v>
          </cell>
          <cell r="AF1376">
            <v>-3.5813931874904685E-3</v>
          </cell>
          <cell r="AG1376">
            <v>-3.3058418395489602E-3</v>
          </cell>
          <cell r="AH1376">
            <v>-3.0631710317681016E-3</v>
          </cell>
          <cell r="AI1376">
            <v>-2.849919696100967E-3</v>
          </cell>
          <cell r="AJ1376">
            <v>-2.6704387776500765E-3</v>
          </cell>
          <cell r="AK1376">
            <v>-2.5314324175384722E-3</v>
          </cell>
          <cell r="AL1376">
            <v>-2.4352355524171363E-3</v>
          </cell>
          <cell r="AM1376">
            <v>-2.3773139265901764E-3</v>
          </cell>
          <cell r="AN1376">
            <v>-2.3485539061822349E-3</v>
          </cell>
          <cell r="AO1376">
            <v>-2.3381129486433859E-3</v>
          </cell>
        </row>
        <row r="1377">
          <cell r="C1377" t="str">
            <v>Investissement public</v>
          </cell>
          <cell r="E1377" t="str">
            <v>100*((IA_spub_2-IA_spub_0)/GDP_0)</v>
          </cell>
          <cell r="F1377">
            <v>0</v>
          </cell>
          <cell r="G1377">
            <v>0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-6.9156744367109266E-2</v>
          </cell>
          <cell r="M1377">
            <v>-0.10935529730953628</v>
          </cell>
          <cell r="N1377">
            <v>-0.1316167143844211</v>
          </cell>
          <cell r="O1377">
            <v>-0.1333997137223159</v>
          </cell>
          <cell r="P1377">
            <v>-0.11727941329276324</v>
          </cell>
          <cell r="Q1377">
            <v>-8.9961670713464115E-2</v>
          </cell>
          <cell r="R1377">
            <v>-5.8888916174918739E-2</v>
          </cell>
          <cell r="S1377">
            <v>-3.1389533014605807E-2</v>
          </cell>
          <cell r="T1377">
            <v>-1.207965220688339E-2</v>
          </cell>
          <cell r="U1377">
            <v>-1.9729258986461271E-3</v>
          </cell>
          <cell r="V1377">
            <v>8.0808082781327656E-4</v>
          </cell>
          <cell r="W1377">
            <v>-5.8964206777136895E-4</v>
          </cell>
          <cell r="X1377">
            <v>-3.2727240784566668E-3</v>
          </cell>
          <cell r="Y1377">
            <v>-5.4322535778164273E-3</v>
          </cell>
          <cell r="Z1377">
            <v>-6.4589690544811142E-3</v>
          </cell>
          <cell r="AA1377">
            <v>-6.6100596104808791E-3</v>
          </cell>
          <cell r="AB1377">
            <v>-6.5185995079368869E-3</v>
          </cell>
          <cell r="AC1377">
            <v>-6.6792270723733879E-3</v>
          </cell>
          <cell r="AD1377">
            <v>-7.2414387444648199E-3</v>
          </cell>
          <cell r="AE1377">
            <v>-8.064295109736273E-3</v>
          </cell>
          <cell r="AF1377">
            <v>-8.6544121220041466E-3</v>
          </cell>
          <cell r="AG1377">
            <v>-8.827619004539709E-3</v>
          </cell>
          <cell r="AH1377">
            <v>-8.503835582966501E-3</v>
          </cell>
          <cell r="AI1377">
            <v>-7.7677496159023404E-3</v>
          </cell>
          <cell r="AJ1377">
            <v>-6.812982013517906E-3</v>
          </cell>
          <cell r="AK1377">
            <v>-5.8535384128088463E-3</v>
          </cell>
          <cell r="AL1377">
            <v>-5.0446880388752904E-3</v>
          </cell>
          <cell r="AM1377">
            <v>-4.4438275133693974E-3</v>
          </cell>
          <cell r="AN1377">
            <v>-4.0183298633386447E-3</v>
          </cell>
          <cell r="AO1377">
            <v>-3.6845627691855479E-3</v>
          </cell>
        </row>
        <row r="1378">
          <cell r="C1378" t="str">
            <v>Consommation des ménages</v>
          </cell>
          <cell r="E1378" t="str">
            <v>100*(CH_2/CH_0-1)</v>
          </cell>
          <cell r="F1378">
            <v>0</v>
          </cell>
          <cell r="G1378">
            <v>0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-1.6091439436606403</v>
          </cell>
          <cell r="M1378">
            <v>-2.2136381194161503</v>
          </cell>
          <cell r="N1378">
            <v>-2.3319291350778037</v>
          </cell>
          <cell r="O1378">
            <v>-2.0056181001376072</v>
          </cell>
          <cell r="P1378">
            <v>-1.3922765262675885</v>
          </cell>
          <cell r="Q1378">
            <v>-0.7238934103823258</v>
          </cell>
          <cell r="R1378">
            <v>-0.16961477470611719</v>
          </cell>
          <cell r="S1378">
            <v>0.15776275286585317</v>
          </cell>
          <cell r="T1378">
            <v>0.23601626517062435</v>
          </cell>
          <cell r="U1378">
            <v>0.11582664391098785</v>
          </cell>
          <cell r="V1378">
            <v>-0.11367118640277507</v>
          </cell>
          <cell r="W1378">
            <v>-0.36275872156614763</v>
          </cell>
          <cell r="X1378">
            <v>-0.56875421485842459</v>
          </cell>
          <cell r="Y1378">
            <v>-0.70583149799376965</v>
          </cell>
          <cell r="Z1378">
            <v>-0.7783997462001091</v>
          </cell>
          <cell r="AA1378">
            <v>-0.80845346557252284</v>
          </cell>
          <cell r="AB1378">
            <v>-0.81813669195685002</v>
          </cell>
          <cell r="AC1378">
            <v>-0.82293786123101009</v>
          </cell>
          <cell r="AD1378">
            <v>-0.82782054779115821</v>
          </cell>
          <cell r="AE1378">
            <v>-0.83148017755694248</v>
          </cell>
          <cell r="AF1378">
            <v>-0.82451107767406162</v>
          </cell>
          <cell r="AG1378">
            <v>-0.80751564200668424</v>
          </cell>
          <cell r="AH1378">
            <v>-0.78212703920947924</v>
          </cell>
          <cell r="AI1378">
            <v>-0.75270477671139924</v>
          </cell>
          <cell r="AJ1378">
            <v>-0.7244008266871993</v>
          </cell>
          <cell r="AK1378">
            <v>-0.70124479346717061</v>
          </cell>
          <cell r="AL1378">
            <v>-0.6850104166191695</v>
          </cell>
          <cell r="AM1378">
            <v>-0.67512104293485642</v>
          </cell>
          <cell r="AN1378">
            <v>-0.66940675579307829</v>
          </cell>
          <cell r="AO1378">
            <v>-0.66524066408537585</v>
          </cell>
        </row>
        <row r="1379">
          <cell r="C1379" t="str">
            <v>Consommation des ménages automobile</v>
          </cell>
          <cell r="E1379" t="str">
            <v>100*(CH_cveh_2/CH_cveh_0-1)</v>
          </cell>
          <cell r="F1379">
            <v>0</v>
          </cell>
          <cell r="G1379">
            <v>0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-0.38852408171839992</v>
          </cell>
          <cell r="M1379">
            <v>-0.36184046109094536</v>
          </cell>
          <cell r="N1379">
            <v>0.80643834604168241</v>
          </cell>
          <cell r="O1379">
            <v>1.942485421550999</v>
          </cell>
          <cell r="P1379">
            <v>2.7426937875778101</v>
          </cell>
          <cell r="Q1379">
            <v>3.0206793725338965</v>
          </cell>
          <cell r="R1379">
            <v>2.7807180502138706</v>
          </cell>
          <cell r="S1379">
            <v>2.174869161412385</v>
          </cell>
          <cell r="T1379">
            <v>1.411548935909801</v>
          </cell>
          <cell r="U1379">
            <v>0.68687432056455666</v>
          </cell>
          <cell r="V1379">
            <v>0.13765724760901321</v>
          </cell>
          <cell r="W1379">
            <v>-0.17799984067765617</v>
          </cell>
          <cell r="X1379">
            <v>-0.27519862144960161</v>
          </cell>
          <cell r="Y1379">
            <v>-0.21712610070114824</v>
          </cell>
          <cell r="Z1379">
            <v>-8.2397522960298009E-2</v>
          </cell>
          <cell r="AA1379">
            <v>6.6018735177486576E-2</v>
          </cell>
          <cell r="AB1379">
            <v>0.19025768827336531</v>
          </cell>
          <cell r="AC1379">
            <v>0.28022649293095725</v>
          </cell>
          <cell r="AD1379">
            <v>0.34402806997477775</v>
          </cell>
          <cell r="AE1379">
            <v>0.39365641159621045</v>
          </cell>
          <cell r="AF1379">
            <v>0.44278033008271489</v>
          </cell>
          <cell r="AG1379">
            <v>0.49312628031623618</v>
          </cell>
          <cell r="AH1379">
            <v>0.53859312752524424</v>
          </cell>
          <cell r="AI1379">
            <v>0.57418595436322661</v>
          </cell>
          <cell r="AJ1379">
            <v>0.59733413677471869</v>
          </cell>
          <cell r="AK1379">
            <v>0.60906523268573487</v>
          </cell>
          <cell r="AL1379">
            <v>0.61348743160307695</v>
          </cell>
          <cell r="AM1379">
            <v>0.61611914551078506</v>
          </cell>
          <cell r="AN1379">
            <v>0.62195305447789728</v>
          </cell>
          <cell r="AO1379">
            <v>0.63404825061361691</v>
          </cell>
        </row>
        <row r="1380">
          <cell r="C1380" t="str">
            <v>Dépenses publiques</v>
          </cell>
          <cell r="E1380" t="str">
            <v>100*(G_2/G_0-1)</v>
          </cell>
          <cell r="F1380">
            <v>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0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</row>
        <row r="1381">
          <cell r="C1381" t="str">
            <v>Investissement</v>
          </cell>
          <cell r="E1381" t="str">
            <v>100*(I_2/I_0-1)</v>
          </cell>
          <cell r="F1381">
            <v>0</v>
          </cell>
          <cell r="G1381">
            <v>0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-1.6421104197955727</v>
          </cell>
          <cell r="M1381">
            <v>-2.9078385720633815</v>
          </cell>
          <cell r="N1381">
            <v>-3.8175161450969219</v>
          </cell>
          <cell r="O1381">
            <v>-4.21266040688133</v>
          </cell>
          <cell r="P1381">
            <v>-4.0985513590127587</v>
          </cell>
          <cell r="Q1381">
            <v>-3.60945119379813</v>
          </cell>
          <cell r="R1381">
            <v>-2.9389933856513673</v>
          </cell>
          <cell r="S1381">
            <v>-2.2874857301231954</v>
          </cell>
          <cell r="T1381">
            <v>-1.7975640206122523</v>
          </cell>
          <cell r="U1381">
            <v>-1.5234507961407351</v>
          </cell>
          <cell r="V1381">
            <v>-1.4394571825170122</v>
          </cell>
          <cell r="W1381">
            <v>-1.4753634765368173</v>
          </cell>
          <cell r="X1381">
            <v>-1.5562130662352458</v>
          </cell>
          <cell r="Y1381">
            <v>-1.6287358714416555</v>
          </cell>
          <cell r="Z1381">
            <v>-1.6690407605788105</v>
          </cell>
          <cell r="AA1381">
            <v>-1.6804220477532383</v>
          </cell>
          <cell r="AB1381">
            <v>-1.6769035260674747</v>
          </cell>
          <cell r="AC1381">
            <v>-1.6729230372562909</v>
          </cell>
          <cell r="AD1381">
            <v>-1.6755221789308994</v>
          </cell>
          <cell r="AE1381">
            <v>-1.6825040168695016</v>
          </cell>
          <cell r="AF1381">
            <v>-1.68582078544256</v>
          </cell>
          <cell r="AG1381">
            <v>-1.6791007296215854</v>
          </cell>
          <cell r="AH1381">
            <v>-1.6592353182987574</v>
          </cell>
          <cell r="AI1381">
            <v>-1.6274461529511508</v>
          </cell>
          <cell r="AJ1381">
            <v>-1.5881556394010787</v>
          </cell>
          <cell r="AK1381">
            <v>-1.5468605953086745</v>
          </cell>
          <cell r="AL1381">
            <v>-1.5080299745601544</v>
          </cell>
          <cell r="AM1381">
            <v>-1.4738630133617647</v>
          </cell>
          <cell r="AN1381">
            <v>-1.4441850226105113</v>
          </cell>
          <cell r="AO1381">
            <v>-1.4172346815481851</v>
          </cell>
        </row>
        <row r="1382">
          <cell r="C1382" t="str">
            <v>Investissement entreprises</v>
          </cell>
          <cell r="E1382" t="str">
            <v>100*((I_2-IA_spub_2)/(I_0-IA_spub_0)-1)</v>
          </cell>
          <cell r="F1382">
            <v>0</v>
          </cell>
          <cell r="G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-1.5856495312552399</v>
          </cell>
          <cell r="M1382">
            <v>-2.8814550691908636</v>
          </cell>
          <cell r="N1382">
            <v>-3.8491235740396812</v>
          </cell>
          <cell r="O1382">
            <v>-4.312757877776308</v>
          </cell>
          <cell r="P1382">
            <v>-4.2644633977224178</v>
          </cell>
          <cell r="Q1382">
            <v>-3.8300563193112702</v>
          </cell>
          <cell r="R1382">
            <v>-3.1990090313129049</v>
          </cell>
          <cell r="S1382">
            <v>-2.5707610798354485</v>
          </cell>
          <cell r="T1382">
            <v>-2.0906894371353069</v>
          </cell>
          <cell r="U1382">
            <v>-1.8182632488471184</v>
          </cell>
          <cell r="V1382">
            <v>-1.7332181028196003</v>
          </cell>
          <cell r="W1382">
            <v>-1.7688958665432297</v>
          </cell>
          <cell r="X1382">
            <v>-1.8514703868383053</v>
          </cell>
          <cell r="Y1382">
            <v>-1.9270382285699217</v>
          </cell>
          <cell r="Z1382">
            <v>-1.9702406944529627</v>
          </cell>
          <cell r="AA1382">
            <v>-1.9835852338125348</v>
          </cell>
          <cell r="AB1382">
            <v>-1.9803660905478249</v>
          </cell>
          <cell r="AC1382">
            <v>-1.9751776676716237</v>
          </cell>
          <cell r="AD1382">
            <v>-1.9756631996109331</v>
          </cell>
          <cell r="AE1382">
            <v>-1.9800103639452171</v>
          </cell>
          <cell r="AF1382">
            <v>-1.9811738274225887</v>
          </cell>
          <cell r="AG1382">
            <v>-1.9725741918949158</v>
          </cell>
          <cell r="AH1382">
            <v>-1.9508815824521353</v>
          </cell>
          <cell r="AI1382">
            <v>-1.9170617891391961</v>
          </cell>
          <cell r="AJ1382">
            <v>-1.8753487626961718</v>
          </cell>
          <cell r="AK1382">
            <v>-1.8311823545031247</v>
          </cell>
          <cell r="AL1382">
            <v>-1.7891064246738364</v>
          </cell>
          <cell r="AM1382">
            <v>-1.751474839193623</v>
          </cell>
          <cell r="AN1382">
            <v>-1.7182710501042586</v>
          </cell>
          <cell r="AO1382">
            <v>-1.687837217107091</v>
          </cell>
        </row>
        <row r="1383">
          <cell r="E1383" t="str">
            <v>100*(X_2/X_0-1)</v>
          </cell>
          <cell r="F1383">
            <v>0</v>
          </cell>
          <cell r="G1383">
            <v>0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-0.58517056075719776</v>
          </cell>
          <cell r="M1383">
            <v>-1.3080804723782036</v>
          </cell>
          <cell r="N1383">
            <v>-2.0189976281955735</v>
          </cell>
          <cell r="O1383">
            <v>-2.582706246757005</v>
          </cell>
          <cell r="P1383">
            <v>-2.9308650191166574</v>
          </cell>
          <cell r="Q1383">
            <v>-3.0618990098504772</v>
          </cell>
          <cell r="R1383">
            <v>-3.0200450837160275</v>
          </cell>
          <cell r="S1383">
            <v>-2.8725858937870608</v>
          </cell>
          <cell r="T1383">
            <v>-2.6867725211265236</v>
          </cell>
          <cell r="U1383">
            <v>-2.512483690234435</v>
          </cell>
          <cell r="V1383">
            <v>-2.3747621782135186</v>
          </cell>
          <cell r="W1383">
            <v>-2.2766001400174041</v>
          </cell>
          <cell r="X1383">
            <v>-2.2080675121414761</v>
          </cell>
          <cell r="Y1383">
            <v>-2.1562608834558183</v>
          </cell>
          <cell r="Z1383">
            <v>-2.1119069896733289</v>
          </cell>
          <cell r="AA1383">
            <v>-2.0718240103693275</v>
          </cell>
          <cell r="AB1383">
            <v>-2.0373985893473945</v>
          </cell>
          <cell r="AC1383">
            <v>-2.011489094775154</v>
          </cell>
          <cell r="AD1383">
            <v>-1.9956920546122081</v>
          </cell>
          <cell r="AE1383">
            <v>-1.9891380552117921</v>
          </cell>
          <cell r="AF1383">
            <v>-1.9880997701313907</v>
          </cell>
          <cell r="AG1383">
            <v>-1.9885922388487964</v>
          </cell>
          <cell r="AH1383">
            <v>-1.9874374617768531</v>
          </cell>
          <cell r="AI1383">
            <v>-1.9829909977352123</v>
          </cell>
          <cell r="AJ1383">
            <v>-1.9752249278711997</v>
          </cell>
          <cell r="AK1383">
            <v>-1.9652558701837242</v>
          </cell>
          <cell r="AL1383">
            <v>-1.9546147622058307</v>
          </cell>
          <cell r="AM1383">
            <v>-1.9445783204609213</v>
          </cell>
          <cell r="AN1383">
            <v>-1.9357848401171385</v>
          </cell>
          <cell r="AO1383">
            <v>-1.9281939766347622</v>
          </cell>
        </row>
        <row r="1384">
          <cell r="E1384" t="str">
            <v>100*(M_2/M_0-1)</v>
          </cell>
          <cell r="F1384">
            <v>0</v>
          </cell>
          <cell r="G1384">
            <v>0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-0.73844070590293187</v>
          </cell>
          <cell r="M1384">
            <v>-1.0225347536090279</v>
          </cell>
          <cell r="N1384">
            <v>-1.0916622151686872</v>
          </cell>
          <cell r="O1384">
            <v>-0.99066223990624813</v>
          </cell>
          <cell r="P1384">
            <v>-0.77590181042822559</v>
          </cell>
          <cell r="Q1384">
            <v>-0.5280282011865034</v>
          </cell>
          <cell r="R1384">
            <v>-0.31917907180419869</v>
          </cell>
          <cell r="S1384">
            <v>-0.19427947969298254</v>
          </cell>
          <cell r="T1384">
            <v>-0.16488938382608342</v>
          </cell>
          <cell r="U1384">
            <v>-0.2138467417037937</v>
          </cell>
          <cell r="V1384">
            <v>-0.3069688038518148</v>
          </cell>
          <cell r="W1384">
            <v>-0.4081663101352162</v>
          </cell>
          <cell r="X1384">
            <v>-0.49177707662433345</v>
          </cell>
          <cell r="Y1384">
            <v>-0.54707479851585639</v>
          </cell>
          <cell r="Z1384">
            <v>-0.5751525588977513</v>
          </cell>
          <cell r="AA1384">
            <v>-0.58685950233496875</v>
          </cell>
          <cell r="AB1384">
            <v>-0.59003400714940923</v>
          </cell>
          <cell r="AC1384">
            <v>-0.59137423884734197</v>
          </cell>
          <cell r="AD1384">
            <v>-0.5929325410581221</v>
          </cell>
          <cell r="AE1384">
            <v>-0.5923486060302352</v>
          </cell>
          <cell r="AF1384">
            <v>-0.58908163396766966</v>
          </cell>
          <cell r="AG1384">
            <v>-0.58031385836586624</v>
          </cell>
          <cell r="AH1384">
            <v>-0.56688286244782615</v>
          </cell>
          <cell r="AI1384">
            <v>-0.55060349608428982</v>
          </cell>
          <cell r="AJ1384">
            <v>-0.53372840476838546</v>
          </cell>
          <cell r="AK1384">
            <v>-0.51814124028791708</v>
          </cell>
          <cell r="AL1384">
            <v>-0.50483004298373935</v>
          </cell>
          <cell r="AM1384">
            <v>-0.49378590488531326</v>
          </cell>
          <cell r="AN1384">
            <v>-0.48428620629445973</v>
          </cell>
          <cell r="AO1384">
            <v>-0.47535854622712259</v>
          </cell>
        </row>
        <row r="1385">
          <cell r="C1385" t="str">
            <v>Consommation des ménages</v>
          </cell>
          <cell r="E1385" t="str">
            <v>100*((CH_2-CH_ccon_2)/(CH_0-CH_ccon_0)-1)</v>
          </cell>
          <cell r="F1385">
            <v>0</v>
          </cell>
          <cell r="G1385">
            <v>0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-1.6656820832627317</v>
          </cell>
          <cell r="M1385">
            <v>-2.2863899614596228</v>
          </cell>
          <cell r="N1385">
            <v>-2.4064270212617145</v>
          </cell>
          <cell r="O1385">
            <v>-2.0694427624566636</v>
          </cell>
          <cell r="P1385">
            <v>-1.4464231931317184</v>
          </cell>
          <cell r="Q1385">
            <v>-0.74933768413206758</v>
          </cell>
          <cell r="R1385">
            <v>-0.17393647345897989</v>
          </cell>
          <cell r="S1385">
            <v>0.16918322298418165</v>
          </cell>
          <cell r="T1385">
            <v>0.25942168045396397</v>
          </cell>
          <cell r="U1385">
            <v>0.14217024811791212</v>
          </cell>
          <cell r="V1385">
            <v>-9.4354474856284121E-2</v>
          </cell>
          <cell r="W1385">
            <v>-0.35458914657717777</v>
          </cell>
          <cell r="X1385">
            <v>-0.57091655482648385</v>
          </cell>
          <cell r="Y1385">
            <v>-0.71539781905261002</v>
          </cell>
          <cell r="Z1385">
            <v>-0.78870054077724294</v>
          </cell>
          <cell r="AA1385">
            <v>-0.8227599374000194</v>
          </cell>
          <cell r="AB1385">
            <v>-0.83470568172543391</v>
          </cell>
          <cell r="AC1385">
            <v>-0.84090016546471968</v>
          </cell>
          <cell r="AD1385">
            <v>-0.84672572417904268</v>
          </cell>
          <cell r="AE1385">
            <v>-0.841054376748962</v>
          </cell>
          <cell r="AF1385">
            <v>-0.83594588646859203</v>
          </cell>
          <cell r="AG1385">
            <v>-0.81979175320960884</v>
          </cell>
          <cell r="AH1385">
            <v>-0.79457284986639287</v>
          </cell>
          <cell r="AI1385">
            <v>-0.76495574903620023</v>
          </cell>
          <cell r="AJ1385">
            <v>-0.73631730338328261</v>
          </cell>
          <cell r="AK1385">
            <v>-0.71282640697032384</v>
          </cell>
          <cell r="AL1385">
            <v>-0.69632017613519004</v>
          </cell>
          <cell r="AM1385">
            <v>-0.68622751945064397</v>
          </cell>
          <cell r="AN1385">
            <v>-0.68034888876594701</v>
          </cell>
          <cell r="AO1385">
            <v>-0.67601842306682647</v>
          </cell>
        </row>
        <row r="1386">
          <cell r="C1386" t="str">
            <v>Investissement</v>
          </cell>
          <cell r="E1386" t="str">
            <v>100*((I_2+CH_ccon_2)/(I_0+CH_ccon_0)-1)</v>
          </cell>
          <cell r="F1386">
            <v>0</v>
          </cell>
          <cell r="G1386">
            <v>0</v>
          </cell>
          <cell r="H1386">
            <v>0</v>
          </cell>
          <cell r="I1386">
            <v>0</v>
          </cell>
          <cell r="J1386">
            <v>0</v>
          </cell>
          <cell r="K1386">
            <v>0</v>
          </cell>
          <cell r="L1386">
            <v>-1.514219659288385</v>
          </cell>
          <cell r="M1386">
            <v>-2.6867019022311811</v>
          </cell>
          <cell r="N1386">
            <v>-3.5283311212626844</v>
          </cell>
          <cell r="O1386">
            <v>-3.8902992317559781</v>
          </cell>
          <cell r="P1386">
            <v>-3.7243757212603645</v>
          </cell>
          <cell r="Q1386">
            <v>-3.3066789112368045</v>
          </cell>
          <cell r="R1386">
            <v>-2.7043348404729328</v>
          </cell>
          <cell r="S1386">
            <v>-2.1192257136784853</v>
          </cell>
          <cell r="T1386">
            <v>-1.6909476039900118</v>
          </cell>
          <cell r="U1386">
            <v>-1.4555017867788345</v>
          </cell>
          <cell r="V1386">
            <v>-1.3809426832552929</v>
          </cell>
          <cell r="W1386">
            <v>-1.4089038582400626</v>
          </cell>
          <cell r="X1386">
            <v>-1.4766701182221564</v>
          </cell>
          <cell r="Y1386">
            <v>-1.5379943942012364</v>
          </cell>
          <cell r="Z1386">
            <v>-1.5871182444800902</v>
          </cell>
          <cell r="AA1386">
            <v>-1.5869983743307614</v>
          </cell>
          <cell r="AB1386">
            <v>-1.5780166001095997</v>
          </cell>
          <cell r="AC1386">
            <v>-1.5713765190601636</v>
          </cell>
          <cell r="AD1386">
            <v>-1.5723720652457973</v>
          </cell>
          <cell r="AE1386">
            <v>-1.6201646773277734</v>
          </cell>
          <cell r="AF1386">
            <v>-1.6157061483414781</v>
          </cell>
          <cell r="AG1386">
            <v>-1.605121914251173</v>
          </cell>
          <cell r="AH1386">
            <v>-1.5840600091671542</v>
          </cell>
          <cell r="AI1386">
            <v>-1.5528003407183633</v>
          </cell>
          <cell r="AJ1386">
            <v>-1.5150563385239901</v>
          </cell>
          <cell r="AK1386">
            <v>-1.4757942033309712</v>
          </cell>
          <cell r="AL1386">
            <v>-1.4391211731772935</v>
          </cell>
          <cell r="AM1386">
            <v>-1.4070403772330264</v>
          </cell>
          <cell r="AN1386">
            <v>-1.3793247445956003</v>
          </cell>
          <cell r="AO1386">
            <v>-1.3542524394011046</v>
          </cell>
        </row>
        <row r="1387">
          <cell r="C1387" t="str">
            <v>Investissement ménages</v>
          </cell>
          <cell r="E1387" t="str">
            <v>100*((CH_ccon_2)/(CH_ccon_0)-1)</v>
          </cell>
          <cell r="F1387">
            <v>0</v>
          </cell>
          <cell r="G1387">
            <v>0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-0.24725351196179801</v>
          </cell>
          <cell r="M1387">
            <v>-0.33492314121288391</v>
          </cell>
          <cell r="N1387">
            <v>-0.33832888994331789</v>
          </cell>
          <cell r="O1387">
            <v>-0.26323556329452824</v>
          </cell>
          <cell r="P1387">
            <v>-0.14007616867067751</v>
          </cell>
          <cell r="Q1387">
            <v>-6.2040023518039611E-2</v>
          </cell>
          <cell r="R1387">
            <v>-5.0623070901845146E-2</v>
          </cell>
          <cell r="S1387">
            <v>-0.1656666429534992</v>
          </cell>
          <cell r="T1387">
            <v>-0.43647149112949757</v>
          </cell>
          <cell r="U1387">
            <v>-0.6485820767972772</v>
          </cell>
          <cell r="V1387">
            <v>-0.67957931260425042</v>
          </cell>
          <cell r="W1387">
            <v>-0.60445562234218153</v>
          </cell>
          <cell r="X1387">
            <v>-0.50415749475388738</v>
          </cell>
          <cell r="Y1387">
            <v>-0.41735092772221538</v>
          </cell>
          <cell r="Z1387">
            <v>-0.41883156667705812</v>
          </cell>
          <cell r="AA1387">
            <v>-0.34424693039126764</v>
          </cell>
          <cell r="AB1387">
            <v>-0.29509042719398915</v>
          </cell>
          <cell r="AC1387">
            <v>-0.25957052872366271</v>
          </cell>
          <cell r="AD1387">
            <v>-0.23323689385482682</v>
          </cell>
          <cell r="AE1387">
            <v>-0.35932722040965537</v>
          </cell>
          <cell r="AF1387">
            <v>-0.30538765296124204</v>
          </cell>
          <cell r="AG1387">
            <v>-0.27149366480087034</v>
          </cell>
          <cell r="AH1387">
            <v>-0.24765762866858498</v>
          </cell>
          <cell r="AI1387">
            <v>-0.22938614534034896</v>
          </cell>
          <cell r="AJ1387">
            <v>-0.21518986932733686</v>
          </cell>
          <cell r="AK1387">
            <v>-0.20479804983123406</v>
          </cell>
          <cell r="AL1387">
            <v>-0.19806433389488731</v>
          </cell>
          <cell r="AM1387">
            <v>-0.19450475461669781</v>
          </cell>
          <cell r="AN1387">
            <v>-0.19335151277044549</v>
          </cell>
          <cell r="AO1387">
            <v>-0.19372060937374869</v>
          </cell>
        </row>
        <row r="1388">
          <cell r="C1388" t="str">
            <v>Investissement public</v>
          </cell>
          <cell r="E1388" t="str">
            <v>100*((IA_spub_2)/(IA_spub_0)-1)</v>
          </cell>
          <cell r="F1388">
            <v>0</v>
          </cell>
          <cell r="G1388">
            <v>0</v>
          </cell>
          <cell r="H1388">
            <v>0</v>
          </cell>
          <cell r="I1388">
            <v>0</v>
          </cell>
          <cell r="J1388">
            <v>0</v>
          </cell>
          <cell r="K1388">
            <v>0</v>
          </cell>
          <cell r="L1388">
            <v>-1.9254825105553874</v>
          </cell>
          <cell r="M1388">
            <v>-3.0401803518393278</v>
          </cell>
          <cell r="N1388">
            <v>-3.6590303049824913</v>
          </cell>
          <cell r="O1388">
            <v>-3.7110279549140368</v>
          </cell>
          <cell r="P1388">
            <v>-3.2679982247102113</v>
          </cell>
          <cell r="Q1388">
            <v>-2.5061804145713462</v>
          </cell>
          <cell r="R1388">
            <v>-1.6398824692006042</v>
          </cell>
          <cell r="S1388">
            <v>-0.87351832007741548</v>
          </cell>
          <cell r="T1388">
            <v>-0.3358405996077285</v>
          </cell>
          <cell r="U1388">
            <v>-5.4785637295606815E-2</v>
          </cell>
          <cell r="V1388">
            <v>2.2406451258172311E-2</v>
          </cell>
          <cell r="W1388">
            <v>-1.6321263202589975E-2</v>
          </cell>
          <cell r="X1388">
            <v>-9.0408130353325511E-2</v>
          </cell>
          <cell r="Y1388">
            <v>-0.14972811137786701</v>
          </cell>
          <cell r="Z1388">
            <v>-0.17746334273852638</v>
          </cell>
          <cell r="AA1388">
            <v>-0.18119557246147888</v>
          </cell>
          <cell r="AB1388">
            <v>-0.17823457020965661</v>
          </cell>
          <cell r="AC1388">
            <v>-0.18213242824948184</v>
          </cell>
          <cell r="AD1388">
            <v>-0.19691976392239852</v>
          </cell>
          <cell r="AE1388">
            <v>-0.21822357334566611</v>
          </cell>
          <cell r="AF1388">
            <v>-0.23364275623287689</v>
          </cell>
          <cell r="AG1388">
            <v>-0.23773069600363517</v>
          </cell>
          <cell r="AH1388">
            <v>-0.22841642440774024</v>
          </cell>
          <cell r="AI1388">
            <v>-0.20809047673466807</v>
          </cell>
          <cell r="AJ1388">
            <v>-0.18203478205125467</v>
          </cell>
          <cell r="AK1388">
            <v>-0.15600833902753575</v>
          </cell>
          <cell r="AL1388">
            <v>-0.13413687608481162</v>
          </cell>
          <cell r="AM1388">
            <v>-0.11790436704524065</v>
          </cell>
          <cell r="AN1388">
            <v>-0.10639961303351431</v>
          </cell>
          <cell r="AO1388">
            <v>-9.7375292408019565E-2</v>
          </cell>
        </row>
        <row r="1389">
          <cell r="C1389" t="str">
            <v>Revenu disponible des ménages</v>
          </cell>
          <cell r="E1389" t="str">
            <v>100*(DISPINC_AT_VAL_2/DISPINC_AT_VAL_0-1)</v>
          </cell>
          <cell r="F1389">
            <v>0</v>
          </cell>
          <cell r="G1389">
            <v>0</v>
          </cell>
          <cell r="H1389">
            <v>0</v>
          </cell>
          <cell r="I1389">
            <v>0</v>
          </cell>
          <cell r="J1389">
            <v>0</v>
          </cell>
          <cell r="K1389">
            <v>0</v>
          </cell>
          <cell r="L1389">
            <v>1.1539060389836875</v>
          </cell>
          <cell r="M1389">
            <v>2.1930912044850315</v>
          </cell>
          <cell r="N1389">
            <v>3.2953355886347735</v>
          </cell>
          <cell r="O1389">
            <v>4.1381717501040693</v>
          </cell>
          <cell r="P1389">
            <v>4.6104873217206466</v>
          </cell>
          <cell r="Q1389">
            <v>4.7065540580865539</v>
          </cell>
          <cell r="R1389">
            <v>4.503595605313504</v>
          </cell>
          <cell r="S1389">
            <v>4.1262903993959155</v>
          </cell>
          <cell r="T1389">
            <v>3.695411292330153</v>
          </cell>
          <cell r="U1389">
            <v>3.2966373051543041</v>
          </cell>
          <cell r="V1389">
            <v>2.9715473701827255</v>
          </cell>
          <cell r="W1389">
            <v>2.7257908782862383</v>
          </cell>
          <cell r="X1389">
            <v>2.5445884046578771</v>
          </cell>
          <cell r="Y1389">
            <v>2.4078175609519414</v>
          </cell>
          <cell r="Z1389">
            <v>2.2996106084534507</v>
          </cell>
          <cell r="AA1389">
            <v>2.213364040566379</v>
          </cell>
          <cell r="AB1389">
            <v>2.1482946209715914</v>
          </cell>
          <cell r="AC1389">
            <v>2.1055709393923205</v>
          </cell>
          <cell r="AD1389">
            <v>2.0846173794296874</v>
          </cell>
          <cell r="AE1389">
            <v>2.0813274339958499</v>
          </cell>
          <cell r="AF1389">
            <v>2.0878525916128376</v>
          </cell>
          <cell r="AG1389">
            <v>2.0971833678157692</v>
          </cell>
          <cell r="AH1389">
            <v>2.1034365929057941</v>
          </cell>
          <cell r="AI1389">
            <v>2.1037659637071826</v>
          </cell>
          <cell r="AJ1389">
            <v>2.0980627212717762</v>
          </cell>
          <cell r="AK1389">
            <v>2.0880487951297821</v>
          </cell>
          <cell r="AL1389">
            <v>2.0760494853716338</v>
          </cell>
          <cell r="AM1389">
            <v>2.0639463034392902</v>
          </cell>
          <cell r="AN1389">
            <v>2.0526256856056246</v>
          </cell>
          <cell r="AO1389">
            <v>2.0419684542105632</v>
          </cell>
        </row>
        <row r="1390">
          <cell r="C1390" t="str">
            <v>Revenu disponible réel des ménages</v>
          </cell>
          <cell r="E1390" t="str">
            <v>100*(DISPINC_AT_VAL_2/DISPINC_AT_VAL_0-1)-100*(PCH_2/PCH_0-1)</v>
          </cell>
          <cell r="F1390">
            <v>0</v>
          </cell>
          <cell r="G1390">
            <v>0</v>
          </cell>
          <cell r="H1390">
            <v>0</v>
          </cell>
          <cell r="I1390">
            <v>0</v>
          </cell>
          <cell r="J1390">
            <v>0</v>
          </cell>
          <cell r="K1390">
            <v>0</v>
          </cell>
          <cell r="L1390">
            <v>-2.4455186437161158</v>
          </cell>
          <cell r="M1390">
            <v>-2.403621921241661</v>
          </cell>
          <cell r="N1390">
            <v>-2.2899808940545663</v>
          </cell>
          <cell r="O1390">
            <v>-1.77691347130573</v>
          </cell>
          <cell r="P1390">
            <v>-1.0795540732895015</v>
          </cell>
          <cell r="Q1390">
            <v>-0.44309565209350588</v>
          </cell>
          <cell r="R1390">
            <v>-5.1955732762065665E-3</v>
          </cell>
          <cell r="S1390">
            <v>0.17677777417224316</v>
          </cell>
          <cell r="T1390">
            <v>0.13185846280310276</v>
          </cell>
          <cell r="U1390">
            <v>-5.9111253630717009E-2</v>
          </cell>
          <cell r="V1390">
            <v>-0.30140860149485693</v>
          </cell>
          <cell r="W1390">
            <v>-0.51892171948684229</v>
          </cell>
          <cell r="X1390">
            <v>-0.67190061562238945</v>
          </cell>
          <cell r="Y1390">
            <v>-0.75664517908893281</v>
          </cell>
          <cell r="Z1390">
            <v>-0.79200839587343363</v>
          </cell>
          <cell r="AA1390">
            <v>-0.80343171075034636</v>
          </cell>
          <cell r="AB1390">
            <v>-0.81070250079484651</v>
          </cell>
          <cell r="AC1390">
            <v>-0.82118318509394328</v>
          </cell>
          <cell r="AD1390">
            <v>-0.83283963174449749</v>
          </cell>
          <cell r="AE1390">
            <v>-0.84062202316474988</v>
          </cell>
          <cell r="AF1390">
            <v>-0.83292312449514405</v>
          </cell>
          <cell r="AG1390">
            <v>-0.8144462449503731</v>
          </cell>
          <cell r="AH1390">
            <v>-0.78836182350532358</v>
          </cell>
          <cell r="AI1390">
            <v>-0.76017195271396165</v>
          </cell>
          <cell r="AJ1390">
            <v>-0.7350242091706205</v>
          </cell>
          <cell r="AK1390">
            <v>-0.71604544426882022</v>
          </cell>
          <cell r="AL1390">
            <v>-0.70376287497064816</v>
          </cell>
          <cell r="AM1390">
            <v>-0.69657151303961218</v>
          </cell>
          <cell r="AN1390">
            <v>-0.69184421557715314</v>
          </cell>
          <cell r="AO1390">
            <v>-0.68712559697168274</v>
          </cell>
        </row>
        <row r="1391">
          <cell r="C1391" t="str">
            <v>Revenu disponible par emploi en valeur</v>
          </cell>
          <cell r="E1391" t="str">
            <v>100*(DISPINC_AT_VAL_2/DISPINC_AT_VAL_0-1)-100*((F_L_2/F_L_0)-1)</v>
          </cell>
          <cell r="F1391">
            <v>0</v>
          </cell>
          <cell r="G1391">
            <v>0</v>
          </cell>
          <cell r="H1391">
            <v>0</v>
          </cell>
          <cell r="I1391">
            <v>0</v>
          </cell>
          <cell r="J1391">
            <v>0</v>
          </cell>
          <cell r="K1391">
            <v>0</v>
          </cell>
          <cell r="L1391">
            <v>1.3225858446327177</v>
          </cell>
          <cell r="M1391">
            <v>2.7459336865456208</v>
          </cell>
          <cell r="N1391">
            <v>4.2932995160378518</v>
          </cell>
          <cell r="O1391">
            <v>5.5154842601417791</v>
          </cell>
          <cell r="P1391">
            <v>6.2314513952877686</v>
          </cell>
          <cell r="Q1391">
            <v>6.4260112396703262</v>
          </cell>
          <cell r="R1391">
            <v>6.2051904820579207</v>
          </cell>
          <cell r="S1391">
            <v>5.7444648341527067</v>
          </cell>
          <cell r="T1391">
            <v>5.2158206546538359</v>
          </cell>
          <cell r="U1391">
            <v>4.7410756682983664</v>
          </cell>
          <cell r="V1391">
            <v>4.3765277239975475</v>
          </cell>
          <cell r="W1391">
            <v>4.1238920631720299</v>
          </cell>
          <cell r="X1391">
            <v>3.9540545775219038</v>
          </cell>
          <cell r="Y1391">
            <v>3.8311639768193295</v>
          </cell>
          <cell r="Z1391">
            <v>3.7289176747992259</v>
          </cell>
          <cell r="AA1391">
            <v>3.6358843075986025</v>
          </cell>
          <cell r="AB1391">
            <v>3.5536711319368197</v>
          </cell>
          <cell r="AC1391">
            <v>3.4885455166358548</v>
          </cell>
          <cell r="AD1391">
            <v>3.4447632957895435</v>
          </cell>
          <cell r="AE1391">
            <v>3.4223564904687032</v>
          </cell>
          <cell r="AF1391">
            <v>3.4112668676029356</v>
          </cell>
          <cell r="AG1391">
            <v>3.4039341651592059</v>
          </cell>
          <cell r="AH1391">
            <v>3.3934122868747307</v>
          </cell>
          <cell r="AI1391">
            <v>3.3762474572958778</v>
          </cell>
          <cell r="AJ1391">
            <v>3.3525351326131103</v>
          </cell>
          <cell r="AK1391">
            <v>3.3248457447851543</v>
          </cell>
          <cell r="AL1391">
            <v>3.2965467817544836</v>
          </cell>
          <cell r="AM1391">
            <v>3.2702959727842207</v>
          </cell>
          <cell r="AN1391">
            <v>3.2472241806431379</v>
          </cell>
          <cell r="AO1391">
            <v>3.2269127156025812</v>
          </cell>
        </row>
        <row r="1392">
          <cell r="C1392" t="str">
            <v>Revenu disponible réel par emploi</v>
          </cell>
          <cell r="E1392" t="str">
            <v>100*(DISPINC_AT_VAL_2/DISPINC_AT_VAL_0-1)-100*((F_L_2/F_L_0)-1)-100*(PCH_2/PCH_0-1)</v>
          </cell>
          <cell r="F1392">
            <v>0</v>
          </cell>
          <cell r="G1392">
            <v>0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-2.2768388380670856</v>
          </cell>
          <cell r="M1392">
            <v>-1.8507794391810717</v>
          </cell>
          <cell r="N1392">
            <v>-1.292016966651488</v>
          </cell>
          <cell r="O1392">
            <v>-0.39960096126802025</v>
          </cell>
          <cell r="P1392">
            <v>0.54141000027762054</v>
          </cell>
          <cell r="Q1392">
            <v>1.2763615294902664</v>
          </cell>
          <cell r="R1392">
            <v>1.6963993034682101</v>
          </cell>
          <cell r="S1392">
            <v>1.7949522089290344</v>
          </cell>
          <cell r="T1392">
            <v>1.6522678251267857</v>
          </cell>
          <cell r="U1392">
            <v>1.3853271095133453</v>
          </cell>
          <cell r="V1392">
            <v>1.1035717523199651</v>
          </cell>
          <cell r="W1392">
            <v>0.87917946539894931</v>
          </cell>
          <cell r="X1392">
            <v>0.7375655572416373</v>
          </cell>
          <cell r="Y1392">
            <v>0.66670123677845528</v>
          </cell>
          <cell r="Z1392">
            <v>0.63729867047234157</v>
          </cell>
          <cell r="AA1392">
            <v>0.61908855628187709</v>
          </cell>
          <cell r="AB1392">
            <v>0.59467401017038179</v>
          </cell>
          <cell r="AC1392">
            <v>0.56179139214959095</v>
          </cell>
          <cell r="AD1392">
            <v>0.52730628461535867</v>
          </cell>
          <cell r="AE1392">
            <v>0.50040703330810343</v>
          </cell>
          <cell r="AF1392">
            <v>0.49049115149495393</v>
          </cell>
          <cell r="AG1392">
            <v>0.49230455239306359</v>
          </cell>
          <cell r="AH1392">
            <v>0.50161387046361305</v>
          </cell>
          <cell r="AI1392">
            <v>0.51230954087473357</v>
          </cell>
          <cell r="AJ1392">
            <v>0.51944820217071364</v>
          </cell>
          <cell r="AK1392">
            <v>0.52075150538655191</v>
          </cell>
          <cell r="AL1392">
            <v>0.51673442141220161</v>
          </cell>
          <cell r="AM1392">
            <v>0.50977815630531831</v>
          </cell>
          <cell r="AN1392">
            <v>0.50275427946036011</v>
          </cell>
          <cell r="AO1392">
            <v>0.49781866442033529</v>
          </cell>
        </row>
        <row r="1393">
          <cell r="C1393" t="str">
            <v>Taux d'épargne</v>
          </cell>
          <cell r="E1393" t="str">
            <v>100*(MPS_n_2-MPS_n_0)</v>
          </cell>
          <cell r="F1393">
            <v>0</v>
          </cell>
          <cell r="G1393">
            <v>0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0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0</v>
          </cell>
        </row>
        <row r="1394">
          <cell r="C1394" t="str">
            <v>Prix à la consommation des ménages</v>
          </cell>
          <cell r="E1394" t="str">
            <v>100*(PCH_2/PCH_0-1)</v>
          </cell>
          <cell r="F1394">
            <v>0</v>
          </cell>
          <cell r="G1394">
            <v>0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-2.4455186437161158</v>
          </cell>
          <cell r="M1394">
            <v>-2.403621921241661</v>
          </cell>
          <cell r="N1394">
            <v>-2.2899808940545663</v>
          </cell>
          <cell r="O1394">
            <v>-1.77691347130573</v>
          </cell>
          <cell r="P1394">
            <v>-1.0795540732895015</v>
          </cell>
          <cell r="Q1394">
            <v>-0.44309565209350588</v>
          </cell>
          <cell r="R1394">
            <v>-5.1955732762065665E-3</v>
          </cell>
          <cell r="S1394">
            <v>0.17677777417224316</v>
          </cell>
          <cell r="T1394">
            <v>0.13185846280310276</v>
          </cell>
          <cell r="U1394">
            <v>-5.9111253630717009E-2</v>
          </cell>
          <cell r="V1394">
            <v>-0.30140860149485693</v>
          </cell>
          <cell r="W1394">
            <v>-0.51892171948684229</v>
          </cell>
          <cell r="X1394">
            <v>-0.67190061562238945</v>
          </cell>
          <cell r="Y1394">
            <v>-0.75664517908893281</v>
          </cell>
          <cell r="Z1394">
            <v>-0.79200839587343363</v>
          </cell>
          <cell r="AA1394">
            <v>-0.80343171075034636</v>
          </cell>
          <cell r="AB1394">
            <v>-0.81070250079484651</v>
          </cell>
          <cell r="AC1394">
            <v>-0.82118318509394328</v>
          </cell>
          <cell r="AD1394">
            <v>-0.83283963174449749</v>
          </cell>
          <cell r="AE1394">
            <v>-0.84062202316474988</v>
          </cell>
          <cell r="AF1394">
            <v>-0.83292312449514405</v>
          </cell>
          <cell r="AG1394">
            <v>-0.8144462449503731</v>
          </cell>
          <cell r="AH1394">
            <v>-0.78836182350532358</v>
          </cell>
          <cell r="AI1394">
            <v>-0.76017195271396165</v>
          </cell>
          <cell r="AJ1394">
            <v>-0.7350242091706205</v>
          </cell>
          <cell r="AK1394">
            <v>-0.71604544426882022</v>
          </cell>
          <cell r="AL1394">
            <v>-0.70376287497064816</v>
          </cell>
          <cell r="AM1394">
            <v>-0.69657151303961218</v>
          </cell>
          <cell r="AN1394">
            <v>-0.69184421557715314</v>
          </cell>
          <cell r="AO1394">
            <v>-0.68712559697168274</v>
          </cell>
        </row>
        <row r="1395">
          <cell r="C1395" t="str">
            <v>Prix à la production marchande</v>
          </cell>
          <cell r="E1395" t="str">
            <v>100*(PY_2/PY_0-1)</v>
          </cell>
          <cell r="F1395">
            <v>0</v>
          </cell>
          <cell r="G1395">
            <v>0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2.8135405663115343</v>
          </cell>
          <cell r="M1395">
            <v>4.3847688020847597</v>
          </cell>
          <cell r="N1395">
            <v>5.3470489027986234</v>
          </cell>
          <cell r="O1395">
            <v>5.6082090205939794</v>
          </cell>
          <cell r="P1395">
            <v>5.3030366153619335</v>
          </cell>
          <cell r="Q1395">
            <v>4.6878249399164185</v>
          </cell>
          <cell r="R1395">
            <v>3.9959613522272841</v>
          </cell>
          <cell r="S1395">
            <v>3.4130092061388728</v>
          </cell>
          <cell r="T1395">
            <v>3.0304277021332426</v>
          </cell>
          <cell r="U1395">
            <v>2.8467366754789669</v>
          </cell>
          <cell r="V1395">
            <v>2.798358678722801</v>
          </cell>
          <cell r="W1395">
            <v>2.8038995831107139</v>
          </cell>
          <cell r="X1395">
            <v>2.8008924522962886</v>
          </cell>
          <cell r="Y1395">
            <v>2.7622984970516962</v>
          </cell>
          <cell r="Z1395">
            <v>2.6929861200920779</v>
          </cell>
          <cell r="AA1395">
            <v>2.6141058588154742</v>
          </cell>
          <cell r="AB1395">
            <v>2.5496872640579982</v>
          </cell>
          <cell r="AC1395">
            <v>2.5120669305957355</v>
          </cell>
          <cell r="AD1395">
            <v>2.5003789418737599</v>
          </cell>
          <cell r="AE1395">
            <v>2.5066037832013333</v>
          </cell>
          <cell r="AF1395">
            <v>2.5100554097054584</v>
          </cell>
          <cell r="AG1395">
            <v>2.5057500790976794</v>
          </cell>
          <cell r="AH1395">
            <v>2.4912546539897162</v>
          </cell>
          <cell r="AI1395">
            <v>2.4689810758600661</v>
          </cell>
          <cell r="AJ1395">
            <v>2.4439655912643854</v>
          </cell>
          <cell r="AK1395">
            <v>2.4211820343145396</v>
          </cell>
          <cell r="AL1395">
            <v>2.403572999435033</v>
          </cell>
          <cell r="AM1395">
            <v>2.3913656283565121</v>
          </cell>
          <cell r="AN1395">
            <v>2.3826219496538181</v>
          </cell>
          <cell r="AO1395">
            <v>2.3744876593216002</v>
          </cell>
        </row>
        <row r="1396">
          <cell r="C1396" t="str">
            <v>Prix des exportations</v>
          </cell>
          <cell r="E1396" t="str">
            <v>100*(PX_2/PX_0-1)</v>
          </cell>
          <cell r="F1396">
            <v>0</v>
          </cell>
          <cell r="G1396">
            <v>0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2.5115460420980451</v>
          </cell>
          <cell r="M1396">
            <v>3.9090356632100365</v>
          </cell>
          <cell r="N1396">
            <v>4.8507941616717343</v>
          </cell>
          <cell r="O1396">
            <v>5.1680280193544093</v>
          </cell>
          <cell r="P1396">
            <v>4.9615281559853841</v>
          </cell>
          <cell r="Q1396">
            <v>4.4454192200523712</v>
          </cell>
          <cell r="R1396">
            <v>3.8344920421336193</v>
          </cell>
          <cell r="S1396">
            <v>3.2987952901277096</v>
          </cell>
          <cell r="T1396">
            <v>2.9287356835107969</v>
          </cell>
          <cell r="U1396">
            <v>2.733732264027533</v>
          </cell>
          <cell r="V1396">
            <v>2.6667586898701634</v>
          </cell>
          <cell r="W1396">
            <v>2.6612240015846167</v>
          </cell>
          <cell r="X1396">
            <v>2.6627121591731751</v>
          </cell>
          <cell r="Y1396">
            <v>2.6445405562839586</v>
          </cell>
          <cell r="Z1396">
            <v>2.606199210276694</v>
          </cell>
          <cell r="AA1396">
            <v>2.5626714015856145</v>
          </cell>
          <cell r="AB1396">
            <v>2.5310950444761726</v>
          </cell>
          <cell r="AC1396">
            <v>2.5204179678890437</v>
          </cell>
          <cell r="AD1396">
            <v>2.5292089709949117</v>
          </cell>
          <cell r="AE1396">
            <v>2.5492586322873656</v>
          </cell>
          <cell r="AF1396">
            <v>2.565562284945333</v>
          </cell>
          <cell r="AG1396">
            <v>2.572220269016201</v>
          </cell>
          <cell r="AH1396">
            <v>2.5671773819960331</v>
          </cell>
          <cell r="AI1396">
            <v>2.5528240179451211</v>
          </cell>
          <cell r="AJ1396">
            <v>2.5339803729786059</v>
          </cell>
          <cell r="AK1396">
            <v>2.515550129781996</v>
          </cell>
          <cell r="AL1396">
            <v>2.5007554666280019</v>
          </cell>
          <cell r="AM1396">
            <v>2.4904488880861164</v>
          </cell>
          <cell r="AN1396">
            <v>2.4834850036651979</v>
          </cell>
          <cell r="AO1396">
            <v>2.4777269898875076</v>
          </cell>
        </row>
        <row r="1397">
          <cell r="C1397" t="str">
            <v>Prix des importations</v>
          </cell>
          <cell r="E1397" t="str">
            <v>100*(PM_2/PM_0-1)</v>
          </cell>
          <cell r="F1397">
            <v>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2.1947461214787634</v>
          </cell>
          <cell r="M1397">
            <v>0.87934338652682076</v>
          </cell>
          <cell r="N1397">
            <v>0.96816385207674216</v>
          </cell>
          <cell r="O1397">
            <v>1.1126982067624747</v>
          </cell>
          <cell r="P1397">
            <v>1.2334907070323142</v>
          </cell>
          <cell r="Q1397">
            <v>1.3107447913428105</v>
          </cell>
          <cell r="R1397">
            <v>1.3333493647589956</v>
          </cell>
          <cell r="S1397">
            <v>1.3119783390630246</v>
          </cell>
          <cell r="T1397">
            <v>1.2608309707930587</v>
          </cell>
          <cell r="U1397">
            <v>1.1956107910170877</v>
          </cell>
          <cell r="V1397">
            <v>1.1298276234056104</v>
          </cell>
          <cell r="W1397">
            <v>1.0726760544839342</v>
          </cell>
          <cell r="X1397">
            <v>1.0284715518359855</v>
          </cell>
          <cell r="Y1397">
            <v>0.99747669870269284</v>
          </cell>
          <cell r="Z1397">
            <v>0.97772235341313518</v>
          </cell>
          <cell r="AA1397">
            <v>0.9646270855783623</v>
          </cell>
          <cell r="AB1397">
            <v>0.95728668723069621</v>
          </cell>
          <cell r="AC1397">
            <v>0.95222239133367914</v>
          </cell>
          <cell r="AD1397">
            <v>0.94789807230006851</v>
          </cell>
          <cell r="AE1397">
            <v>0.94414266676854375</v>
          </cell>
          <cell r="AF1397">
            <v>0.93678284106009091</v>
          </cell>
          <cell r="AG1397">
            <v>0.92994378778448183</v>
          </cell>
          <cell r="AH1397">
            <v>0.92152818106034928</v>
          </cell>
          <cell r="AI1397">
            <v>0.91147198684657926</v>
          </cell>
          <cell r="AJ1397">
            <v>0.90001272792767928</v>
          </cell>
          <cell r="AK1397">
            <v>0.88758560433661593</v>
          </cell>
          <cell r="AL1397">
            <v>0.87471262921043902</v>
          </cell>
          <cell r="AM1397">
            <v>0.86189305403787664</v>
          </cell>
          <cell r="AN1397">
            <v>0.84951880030716964</v>
          </cell>
          <cell r="AO1397">
            <v>0.83782875555602487</v>
          </cell>
        </row>
        <row r="1398">
          <cell r="C1398" t="str">
            <v>Salaire net nominal (hors cotisations employeurs et employés, unitaire)</v>
          </cell>
          <cell r="E1398" t="str">
            <v>100*(W_2/W_0-1)</v>
          </cell>
          <cell r="F1398">
            <v>0</v>
          </cell>
          <cell r="G1398">
            <v>0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-0.10482417873018957</v>
          </cell>
          <cell r="M1398">
            <v>0.76405004809430022</v>
          </cell>
          <cell r="N1398">
            <v>1.8722272622789582</v>
          </cell>
          <cell r="O1398">
            <v>3.0184397978258781</v>
          </cell>
          <cell r="P1398">
            <v>3.9820238855539092</v>
          </cell>
          <cell r="Q1398">
            <v>4.6114773288916666</v>
          </cell>
          <cell r="R1398">
            <v>4.8664574111820791</v>
          </cell>
          <cell r="S1398">
            <v>4.7958481605901992</v>
          </cell>
          <cell r="T1398">
            <v>4.5056157946903763</v>
          </cell>
          <cell r="U1398">
            <v>4.1150575807918699</v>
          </cell>
          <cell r="V1398">
            <v>3.7213650721781288</v>
          </cell>
          <cell r="W1398">
            <v>3.3818583373002475</v>
          </cell>
          <cell r="X1398">
            <v>3.1146231088022835</v>
          </cell>
          <cell r="Y1398">
            <v>2.9113521474787962</v>
          </cell>
          <cell r="Z1398">
            <v>2.753386339135222</v>
          </cell>
          <cell r="AA1398">
            <v>2.6243694382727556</v>
          </cell>
          <cell r="AB1398">
            <v>2.5157554116369774</v>
          </cell>
          <cell r="AC1398">
            <v>2.4265405432754017</v>
          </cell>
          <cell r="AD1398">
            <v>2.3589875387298287</v>
          </cell>
          <cell r="AE1398">
            <v>2.3140571956415945</v>
          </cell>
          <cell r="AF1398">
            <v>2.2904539148682623</v>
          </cell>
          <cell r="AG1398">
            <v>2.2809974941993882</v>
          </cell>
          <cell r="AH1398">
            <v>2.2784371924966962</v>
          </cell>
          <cell r="AI1398">
            <v>2.2764593017708057</v>
          </cell>
          <cell r="AJ1398">
            <v>2.2711034528207108</v>
          </cell>
          <cell r="AK1398">
            <v>2.2611478032579013</v>
          </cell>
          <cell r="AL1398">
            <v>2.2475264783464066</v>
          </cell>
          <cell r="AM1398">
            <v>2.232211309114196</v>
          </cell>
          <cell r="AN1398">
            <v>2.2170816129785109</v>
          </cell>
          <cell r="AO1398">
            <v>2.2031844592070637</v>
          </cell>
        </row>
        <row r="1399">
          <cell r="C1399" t="str">
            <v>Salaire net réel (hors cotisations employeurs et employés, unitaire)</v>
          </cell>
          <cell r="E1399" t="str">
            <v>100*((W_2/PCH_2)/(W_0/PCH_0)-1)</v>
          </cell>
          <cell r="F1399">
            <v>0</v>
          </cell>
          <cell r="G1399">
            <v>0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-3.57554964496688</v>
          </cell>
          <cell r="M1399">
            <v>-3.664228983013551</v>
          </cell>
          <cell r="N1399">
            <v>-3.5166719616918751</v>
          </cell>
          <cell r="O1399">
            <v>-2.7348752234194307</v>
          </cell>
          <cell r="P1399">
            <v>-1.6160628635508156</v>
          </cell>
          <cell r="Q1399">
            <v>-0.51181566726256067</v>
          </cell>
          <cell r="R1399">
            <v>0.3422355464634208</v>
          </cell>
          <cell r="S1399">
            <v>0.81417941651911185</v>
          </cell>
          <cell r="T1399">
            <v>0.90964720640092089</v>
          </cell>
          <cell r="U1399">
            <v>0.73465581991791762</v>
          </cell>
          <cell r="V1399">
            <v>0.43419799141175552</v>
          </cell>
          <cell r="W1399">
            <v>0.13283560588854826</v>
          </cell>
          <cell r="X1399">
            <v>-9.869150989815223E-2</v>
          </cell>
          <cell r="Y1399">
            <v>-0.24534668803526394</v>
          </cell>
          <cell r="Z1399">
            <v>-0.32808939122147551</v>
          </cell>
          <cell r="AA1399">
            <v>-0.38093430317061028</v>
          </cell>
          <cell r="AB1399">
            <v>-0.4305031347627164</v>
          </cell>
          <cell r="AC1399">
            <v>-0.48598985313952348</v>
          </cell>
          <cell r="AD1399">
            <v>-0.54263823520602772</v>
          </cell>
          <cell r="AE1399">
            <v>-0.59063422790299747</v>
          </cell>
          <cell r="AF1399">
            <v>-0.61243397832366764</v>
          </cell>
          <cell r="AG1399">
            <v>-0.61278994506227535</v>
          </cell>
          <cell r="AH1399">
            <v>-0.59612256113174</v>
          </cell>
          <cell r="AI1399">
            <v>-0.57112203416486151</v>
          </cell>
          <cell r="AJ1399">
            <v>-0.54650063943119109</v>
          </cell>
          <cell r="AK1399">
            <v>-0.52813697757633227</v>
          </cell>
          <cell r="AL1399">
            <v>-0.51788952496791829</v>
          </cell>
          <cell r="AM1399">
            <v>-0.5141142907709062</v>
          </cell>
          <cell r="AN1399">
            <v>-0.51330089951457936</v>
          </cell>
          <cell r="AO1399">
            <v>-0.5119383139046918</v>
          </cell>
        </row>
        <row r="1400">
          <cell r="C1400" t="str">
            <v>Coût du travail nominal (yc. Cotisations employeurs et employés, unitaire)</v>
          </cell>
          <cell r="E1400" t="str">
            <v>100*(C_L_2/C_L_0-1)</v>
          </cell>
          <cell r="F1400">
            <v>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-0.10487184724100596</v>
          </cell>
          <cell r="M1400">
            <v>0.76397163836381399</v>
          </cell>
          <cell r="N1400">
            <v>1.872137191929002</v>
          </cell>
          <cell r="O1400">
            <v>3.0183565940491874</v>
          </cell>
          <cell r="P1400">
            <v>3.9819613503091933</v>
          </cell>
          <cell r="Q1400">
            <v>4.6114414845198404</v>
          </cell>
          <cell r="R1400">
            <v>4.8664471567309464</v>
          </cell>
          <cell r="S1400">
            <v>4.7958576734774994</v>
          </cell>
          <cell r="T1400">
            <v>4.5056376661879893</v>
          </cell>
          <cell r="U1400">
            <v>4.1150854402309367</v>
          </cell>
          <cell r="V1400">
            <v>3.7213949987794148</v>
          </cell>
          <cell r="W1400">
            <v>3.3818889263427021</v>
          </cell>
          <cell r="X1400">
            <v>3.1146546518076024</v>
          </cell>
          <cell r="Y1400">
            <v>2.911385508062847</v>
          </cell>
          <cell r="Z1400">
            <v>2.7534221265029579</v>
          </cell>
          <cell r="AA1400">
            <v>2.6244075074133955</v>
          </cell>
          <cell r="AB1400">
            <v>2.5157948226065763</v>
          </cell>
          <cell r="AC1400">
            <v>2.4265802331447706</v>
          </cell>
          <cell r="AD1400">
            <v>2.3590266179379649</v>
          </cell>
          <cell r="AE1400">
            <v>2.3140950758753887</v>
          </cell>
          <cell r="AF1400">
            <v>2.2904904243814084</v>
          </cell>
          <cell r="AG1400">
            <v>2.2810329059475443</v>
          </cell>
          <cell r="AH1400">
            <v>2.2784718354110334</v>
          </cell>
          <cell r="AI1400">
            <v>2.2764935439887557</v>
          </cell>
          <cell r="AJ1400">
            <v>2.2711375768160735</v>
          </cell>
          <cell r="AK1400">
            <v>2.2611816123198514</v>
          </cell>
          <cell r="AL1400">
            <v>2.2475600595405432</v>
          </cell>
          <cell r="AM1400">
            <v>2.2322446802210294</v>
          </cell>
          <cell r="AN1400">
            <v>2.217114632995365</v>
          </cell>
          <cell r="AO1400">
            <v>2.2032172948121209</v>
          </cell>
        </row>
        <row r="1401">
          <cell r="C1401" t="str">
            <v>Coût réel du travail (yc. Cotisations employeurs et employés, unitaire)</v>
          </cell>
          <cell r="E1401" t="str">
            <v>100*((C_L_2/PVA_2)/(C_L_0/PVA_0)-1)</v>
          </cell>
          <cell r="F1401">
            <v>0</v>
          </cell>
          <cell r="G1401">
            <v>0</v>
          </cell>
          <cell r="H1401">
            <v>0</v>
          </cell>
          <cell r="I1401">
            <v>0</v>
          </cell>
          <cell r="J1401">
            <v>0</v>
          </cell>
          <cell r="K1401">
            <v>0</v>
          </cell>
          <cell r="L1401">
            <v>-2.9681331036258474</v>
          </cell>
          <cell r="M1401">
            <v>-3.9807554155065317</v>
          </cell>
          <cell r="N1401">
            <v>-3.9833757562150462</v>
          </cell>
          <cell r="O1401">
            <v>-3.2336600320355235</v>
          </cell>
          <cell r="P1401">
            <v>-2.0691602699703715</v>
          </cell>
          <cell r="Q1401">
            <v>-0.87170444289493831</v>
          </cell>
          <cell r="R1401">
            <v>8.426824233838115E-2</v>
          </cell>
          <cell r="S1401">
            <v>0.63967733389971304</v>
          </cell>
          <cell r="T1401">
            <v>0.78420881417249344</v>
          </cell>
          <cell r="U1401">
            <v>0.62412043381867566</v>
          </cell>
          <cell r="V1401">
            <v>0.31699272642515819</v>
          </cell>
          <cell r="W1401">
            <v>3.7590631749351289E-3</v>
          </cell>
          <cell r="X1401">
            <v>-0.23242827201545024</v>
          </cell>
          <cell r="Y1401">
            <v>-0.37157043165615411</v>
          </cell>
          <cell r="Z1401">
            <v>-0.43651142251732722</v>
          </cell>
          <cell r="AA1401">
            <v>-0.46710095004164343</v>
          </cell>
          <cell r="AB1401">
            <v>-0.49625686569341187</v>
          </cell>
          <cell r="AC1401">
            <v>-0.53770033012221496</v>
          </cell>
          <cell r="AD1401">
            <v>-0.58793006576254303</v>
          </cell>
          <cell r="AE1401">
            <v>-0.63545763503680686</v>
          </cell>
          <cell r="AF1401">
            <v>-0.6616993651858305</v>
          </cell>
          <cell r="AG1401">
            <v>-0.66721549404222813</v>
          </cell>
          <cell r="AH1401">
            <v>-0.65573117339169373</v>
          </cell>
          <cell r="AI1401">
            <v>-0.63551913226813639</v>
          </cell>
          <cell r="AJ1401">
            <v>-0.61551411683020696</v>
          </cell>
          <cell r="AK1401">
            <v>-0.60206159945369597</v>
          </cell>
          <cell r="AL1401">
            <v>-0.59736322288906907</v>
          </cell>
          <cell r="AM1401">
            <v>-0.59979071231603953</v>
          </cell>
          <cell r="AN1401">
            <v>-0.60552202804927679</v>
          </cell>
          <cell r="AO1401">
            <v>-0.61055791959448991</v>
          </cell>
        </row>
        <row r="1402">
          <cell r="C1402" t="str">
            <v>Emploi en %</v>
          </cell>
          <cell r="E1402" t="str">
            <v>((F_L_2/F_L_0)-1)*100</v>
          </cell>
          <cell r="F1402">
            <v>0</v>
          </cell>
          <cell r="G1402">
            <v>0</v>
          </cell>
          <cell r="H1402">
            <v>0</v>
          </cell>
          <cell r="I1402">
            <v>0</v>
          </cell>
          <cell r="J1402">
            <v>0</v>
          </cell>
          <cell r="K1402">
            <v>0</v>
          </cell>
          <cell r="L1402">
            <v>-0.16867980564903018</v>
          </cell>
          <cell r="M1402">
            <v>-0.55284248206058928</v>
          </cell>
          <cell r="N1402">
            <v>-0.99796392740307827</v>
          </cell>
          <cell r="O1402">
            <v>-1.3773125100377093</v>
          </cell>
          <cell r="P1402">
            <v>-1.6209640735671216</v>
          </cell>
          <cell r="Q1402">
            <v>-1.7194571815837723</v>
          </cell>
          <cell r="R1402">
            <v>-1.7015948767444167</v>
          </cell>
          <cell r="S1402">
            <v>-1.6181744347567917</v>
          </cell>
          <cell r="T1402">
            <v>-1.5204093623236825</v>
          </cell>
          <cell r="U1402">
            <v>-1.4444383631440627</v>
          </cell>
          <cell r="V1402">
            <v>-1.404980353814822</v>
          </cell>
          <cell r="W1402">
            <v>-1.3981011848857916</v>
          </cell>
          <cell r="X1402">
            <v>-1.4094661728640268</v>
          </cell>
          <cell r="Y1402">
            <v>-1.4233464158673881</v>
          </cell>
          <cell r="Z1402">
            <v>-1.4293070663457752</v>
          </cell>
          <cell r="AA1402">
            <v>-1.4225202670322235</v>
          </cell>
          <cell r="AB1402">
            <v>-1.4053765109652283</v>
          </cell>
          <cell r="AC1402">
            <v>-1.3829745772435342</v>
          </cell>
          <cell r="AD1402">
            <v>-1.3601459163598562</v>
          </cell>
          <cell r="AE1402">
            <v>-1.3410290564728533</v>
          </cell>
          <cell r="AF1402">
            <v>-1.323414275990098</v>
          </cell>
          <cell r="AG1402">
            <v>-1.3067507973434367</v>
          </cell>
          <cell r="AH1402">
            <v>-1.2899756939689366</v>
          </cell>
          <cell r="AI1402">
            <v>-1.2724814935886952</v>
          </cell>
          <cell r="AJ1402">
            <v>-1.2544724113413341</v>
          </cell>
          <cell r="AK1402">
            <v>-1.2367969496553721</v>
          </cell>
          <cell r="AL1402">
            <v>-1.2204972963828498</v>
          </cell>
          <cell r="AM1402">
            <v>-1.2063496693449305</v>
          </cell>
          <cell r="AN1402">
            <v>-1.1945984950375133</v>
          </cell>
          <cell r="AO1402">
            <v>-1.184944261392018</v>
          </cell>
        </row>
        <row r="1403">
          <cell r="C1403" t="str">
            <v>Emploi en millier</v>
          </cell>
          <cell r="E1403" t="str">
            <v>F_L_2-F_L_0</v>
          </cell>
          <cell r="F1403">
            <v>0</v>
          </cell>
          <cell r="G1403">
            <v>0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-46.534850000000006</v>
          </cell>
          <cell r="M1403">
            <v>-153.02683999999863</v>
          </cell>
          <cell r="N1403">
            <v>-277.10289000000193</v>
          </cell>
          <cell r="O1403">
            <v>-383.56791999999768</v>
          </cell>
          <cell r="P1403">
            <v>-453.02913000000262</v>
          </cell>
          <cell r="Q1403">
            <v>-482.26288000000204</v>
          </cell>
          <cell r="R1403">
            <v>-478.99601999999868</v>
          </cell>
          <cell r="S1403">
            <v>-457.21610000000146</v>
          </cell>
          <cell r="T1403">
            <v>-431.20505000000048</v>
          </cell>
          <cell r="U1403">
            <v>-411.17311999999947</v>
          </cell>
          <cell r="V1403">
            <v>-401.37809999999808</v>
          </cell>
          <cell r="W1403">
            <v>-400.80254000000059</v>
          </cell>
          <cell r="X1403">
            <v>-405.42808999999761</v>
          </cell>
          <cell r="Y1403">
            <v>-410.78132999999798</v>
          </cell>
          <cell r="Z1403">
            <v>-413.66700000000128</v>
          </cell>
          <cell r="AA1403">
            <v>-412.91711999999825</v>
          </cell>
          <cell r="AB1403">
            <v>-409.20796999999948</v>
          </cell>
          <cell r="AC1403">
            <v>-403.98534999999902</v>
          </cell>
          <cell r="AD1403">
            <v>-398.63016000000061</v>
          </cell>
          <cell r="AE1403">
            <v>-393.76583000000028</v>
          </cell>
          <cell r="AF1403">
            <v>-389.33745000000272</v>
          </cell>
          <cell r="AG1403">
            <v>-385.17900999999983</v>
          </cell>
          <cell r="AH1403">
            <v>-380.98347999999896</v>
          </cell>
          <cell r="AI1403">
            <v>-376.579179999997</v>
          </cell>
          <cell r="AJ1403">
            <v>-372.02505999999994</v>
          </cell>
          <cell r="AK1403">
            <v>-367.56345999999758</v>
          </cell>
          <cell r="AL1403">
            <v>-363.49403000000166</v>
          </cell>
          <cell r="AM1403">
            <v>-360.04302000000098</v>
          </cell>
          <cell r="AN1403">
            <v>-357.28543999999965</v>
          </cell>
          <cell r="AO1403">
            <v>-355.13879000000088</v>
          </cell>
        </row>
        <row r="1404">
          <cell r="C1404" t="str">
            <v>Taux de chômage (en point)</v>
          </cell>
          <cell r="E1404" t="str">
            <v>100*(UnR_2-UnR_0)</v>
          </cell>
          <cell r="F1404">
            <v>0</v>
          </cell>
          <cell r="G1404">
            <v>0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0.12536192999999946</v>
          </cell>
          <cell r="M1404">
            <v>0.40104509999999982</v>
          </cell>
          <cell r="N1404">
            <v>0.70533611000000018</v>
          </cell>
          <cell r="O1404">
            <v>0.95006784000000044</v>
          </cell>
          <cell r="P1404">
            <v>1.0923531700000002</v>
          </cell>
          <cell r="Q1404">
            <v>1.135501139999999</v>
          </cell>
          <cell r="R1404">
            <v>1.103681179999999</v>
          </cell>
          <cell r="S1404">
            <v>1.0348372000000008</v>
          </cell>
          <cell r="T1404">
            <v>0.96417302999999976</v>
          </cell>
          <cell r="U1404">
            <v>0.91432865000000008</v>
          </cell>
          <cell r="V1404">
            <v>0.89230770999999964</v>
          </cell>
          <cell r="W1404">
            <v>0.89262798000000054</v>
          </cell>
          <cell r="X1404">
            <v>0.90376944000000048</v>
          </cell>
          <cell r="Y1404">
            <v>0.91451763999999969</v>
          </cell>
          <cell r="Z1404">
            <v>0.91862233000000049</v>
          </cell>
          <cell r="AA1404">
            <v>0.91257767999999984</v>
          </cell>
          <cell r="AB1404">
            <v>0.89974270999999972</v>
          </cell>
          <cell r="AC1404">
            <v>0.88402184999999966</v>
          </cell>
          <cell r="AD1404">
            <v>0.8687391099999997</v>
          </cell>
          <cell r="AE1404">
            <v>0.85736237000000048</v>
          </cell>
          <cell r="AF1404">
            <v>0.84600341000000001</v>
          </cell>
          <cell r="AG1404">
            <v>0.83531923000000063</v>
          </cell>
          <cell r="AH1404">
            <v>0.82449470999999974</v>
          </cell>
          <cell r="AI1404">
            <v>0.81314121999999933</v>
          </cell>
          <cell r="AJ1404">
            <v>0.80146715000000013</v>
          </cell>
          <cell r="AK1404">
            <v>0.79010277000000073</v>
          </cell>
          <cell r="AL1404">
            <v>0.77976301000000081</v>
          </cell>
          <cell r="AM1404">
            <v>0.77093541999999904</v>
          </cell>
          <cell r="AN1404">
            <v>0.76372096</v>
          </cell>
          <cell r="AO1404">
            <v>0.75785368000000075</v>
          </cell>
        </row>
        <row r="1405">
          <cell r="C1405" t="str">
            <v>Balance commerciale</v>
          </cell>
          <cell r="E1405" t="str">
            <v>100*(Bal_Trade_VAL_2/(GDP_2*PGDP_2)-Bal_Trade_VAL_0/(GDP_0*PGDP_0))</v>
          </cell>
          <cell r="F1405">
            <v>0</v>
          </cell>
          <cell r="G1405">
            <v>0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0.14641130246420414</v>
          </cell>
          <cell r="M1405">
            <v>0.85310063597002928</v>
          </cell>
          <cell r="N1405">
            <v>0.90368014615031922</v>
          </cell>
          <cell r="O1405">
            <v>0.74126429202316602</v>
          </cell>
          <cell r="P1405">
            <v>0.46416572745635565</v>
          </cell>
          <cell r="Q1405">
            <v>0.16995270235220222</v>
          </cell>
          <cell r="R1405">
            <v>-7.0176206913711958E-2</v>
          </cell>
          <cell r="S1405">
            <v>-0.21608869504902498</v>
          </cell>
          <cell r="T1405">
            <v>-0.26246372204443752</v>
          </cell>
          <cell r="U1405">
            <v>-0.23196152222723451</v>
          </cell>
          <cell r="V1405">
            <v>-0.16115122443377625</v>
          </cell>
          <cell r="W1405">
            <v>-8.4816349774033406E-2</v>
          </cell>
          <cell r="X1405">
            <v>-2.5182826767617891E-2</v>
          </cell>
          <cell r="Y1405">
            <v>1.0642479049184986E-2</v>
          </cell>
          <cell r="Z1405">
            <v>2.6750481402720502E-2</v>
          </cell>
          <cell r="AA1405">
            <v>3.2564076635196483E-2</v>
          </cell>
          <cell r="AB1405">
            <v>3.6264459777718763E-2</v>
          </cell>
          <cell r="AC1405">
            <v>4.2454718046396576E-2</v>
          </cell>
          <cell r="AD1405">
            <v>5.1202585188471657E-2</v>
          </cell>
          <cell r="AE1405">
            <v>6.0171803446335687E-2</v>
          </cell>
          <cell r="AF1405">
            <v>6.5783736476738269E-2</v>
          </cell>
          <cell r="AG1405">
            <v>6.6633839324981098E-2</v>
          </cell>
          <cell r="AH1405">
            <v>6.3760064047959239E-2</v>
          </cell>
          <cell r="AI1405">
            <v>5.8849651011904938E-2</v>
          </cell>
          <cell r="AJ1405">
            <v>5.385389220415697E-2</v>
          </cell>
          <cell r="AK1405">
            <v>5.0254583257176424E-2</v>
          </cell>
          <cell r="AL1405">
            <v>4.8657497014033095E-2</v>
          </cell>
          <cell r="AM1405">
            <v>4.8791054694787873E-2</v>
          </cell>
          <cell r="AN1405">
            <v>4.9826673491845233E-2</v>
          </cell>
          <cell r="AO1405">
            <v>5.0821685678853999E-2</v>
          </cell>
        </row>
        <row r="1406">
          <cell r="C1406" t="str">
            <v>Facture énergétique</v>
          </cell>
          <cell r="E1406" t="str">
            <v>100*(ENER_BILL_2/(GDP_2*PGDP_2)-ENER_BILL_0/(GDP_0*PGDP_0))</v>
          </cell>
          <cell r="F1406">
            <v>0</v>
          </cell>
          <cell r="G1406">
            <v>0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-2.4429167289026672E-2</v>
          </cell>
          <cell r="M1406">
            <v>-4.5050171486706904E-2</v>
          </cell>
          <cell r="N1406">
            <v>-6.0484342218948203E-2</v>
          </cell>
          <cell r="O1406">
            <v>-6.9573968915277201E-2</v>
          </cell>
          <cell r="P1406">
            <v>-7.3101624909907223E-2</v>
          </cell>
          <cell r="Q1406">
            <v>-7.259731080345444E-2</v>
          </cell>
          <cell r="R1406">
            <v>-6.9861079861040065E-2</v>
          </cell>
          <cell r="S1406">
            <v>-6.6514727807171103E-2</v>
          </cell>
          <cell r="T1406">
            <v>-6.3608372295149984E-2</v>
          </cell>
          <cell r="U1406">
            <v>-6.1511774081599024E-2</v>
          </cell>
          <cell r="V1406">
            <v>-6.0068909808482646E-2</v>
          </cell>
          <cell r="W1406">
            <v>-5.885589628103309E-2</v>
          </cell>
          <cell r="X1406">
            <v>-5.7496602933703941E-2</v>
          </cell>
          <cell r="Y1406">
            <v>-5.5832528718265106E-2</v>
          </cell>
          <cell r="Z1406">
            <v>-5.3945513086176185E-2</v>
          </cell>
          <cell r="AA1406">
            <v>-5.1978538145831116E-2</v>
          </cell>
          <cell r="AB1406">
            <v>-5.018292967624606E-2</v>
          </cell>
          <cell r="AC1406">
            <v>-4.8679638596567723E-2</v>
          </cell>
          <cell r="AD1406">
            <v>-4.7489229625448208E-2</v>
          </cell>
          <cell r="AE1406">
            <v>-4.6611335661872477E-2</v>
          </cell>
          <cell r="AF1406">
            <v>-4.5773381074549341E-2</v>
          </cell>
          <cell r="AG1406">
            <v>-4.4987464713795548E-2</v>
          </cell>
          <cell r="AH1406">
            <v>-4.4187607200078458E-2</v>
          </cell>
          <cell r="AI1406">
            <v>-4.3363066909476305E-2</v>
          </cell>
          <cell r="AJ1406">
            <v>-4.2530092639251477E-2</v>
          </cell>
          <cell r="AK1406">
            <v>-4.1710944987656713E-2</v>
          </cell>
          <cell r="AL1406">
            <v>-4.0921174259194414E-2</v>
          </cell>
          <cell r="AM1406">
            <v>-4.0160811932362338E-2</v>
          </cell>
          <cell r="AN1406">
            <v>-3.9413448415916846E-2</v>
          </cell>
          <cell r="AO1406">
            <v>-3.8654511814145351E-2</v>
          </cell>
        </row>
        <row r="1407">
          <cell r="C1407" t="str">
            <v>Solde public primaire</v>
          </cell>
          <cell r="E1407" t="str">
            <v>100*((-Bal_G_prim_VAL_2)/(GDP_2*PGDP_2)-(-Bal_G_prim_VAL_0)/(GDP_0*PGDP_0))</v>
          </cell>
          <cell r="F1407">
            <v>0</v>
          </cell>
          <cell r="G1407">
            <v>0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0.88642177060264482</v>
          </cell>
          <cell r="M1407">
            <v>1.0366655781371861</v>
          </cell>
          <cell r="N1407">
            <v>1.076412813645963</v>
          </cell>
          <cell r="O1407">
            <v>0.94576353828619497</v>
          </cell>
          <cell r="P1407">
            <v>0.71365926478013864</v>
          </cell>
          <cell r="Q1407">
            <v>0.47120519900574509</v>
          </cell>
          <cell r="R1407">
            <v>0.28190133100213821</v>
          </cell>
          <cell r="S1407">
            <v>0.18359755088207358</v>
          </cell>
          <cell r="T1407">
            <v>0.17920788624890116</v>
          </cell>
          <cell r="U1407">
            <v>0.24411261699958889</v>
          </cell>
          <cell r="V1407">
            <v>0.34067293838506135</v>
          </cell>
          <cell r="W1407">
            <v>0.43398084290175737</v>
          </cell>
          <cell r="X1407">
            <v>0.50227873635805798</v>
          </cell>
          <cell r="Y1407">
            <v>0.53947845278338891</v>
          </cell>
          <cell r="Z1407">
            <v>0.55123353279095499</v>
          </cell>
          <cell r="AA1407">
            <v>0.54800855567459072</v>
          </cell>
          <cell r="AB1407">
            <v>0.53992834176495486</v>
          </cell>
          <cell r="AC1407">
            <v>0.53259845214010848</v>
          </cell>
          <cell r="AD1407">
            <v>0.5271114898079684</v>
          </cell>
          <cell r="AE1407">
            <v>0.5227473604994396</v>
          </cell>
          <cell r="AF1407">
            <v>0.51367985924988779</v>
          </cell>
          <cell r="AG1407">
            <v>0.5013984185641468</v>
          </cell>
          <cell r="AH1407">
            <v>0.4866087103554203</v>
          </cell>
          <cell r="AI1407">
            <v>0.47114217937991693</v>
          </cell>
          <cell r="AJ1407">
            <v>0.457016146941157</v>
          </cell>
          <cell r="AK1407">
            <v>0.445669568858857</v>
          </cell>
          <cell r="AL1407">
            <v>0.43755982471101446</v>
          </cell>
          <cell r="AM1407">
            <v>0.43219712031697022</v>
          </cell>
          <cell r="AN1407">
            <v>0.42851712141980741</v>
          </cell>
          <cell r="AO1407">
            <v>0.42537134515282238</v>
          </cell>
        </row>
        <row r="1408">
          <cell r="C1408" t="str">
            <v xml:space="preserve">Solde public </v>
          </cell>
          <cell r="E1408" t="str">
            <v>100*((-Bal_G_tot_VAL_2)/(GDP_2*PGDP_2)-(-Bal_G_tot_VAL_0)/(GDP_0*PGDP_0))</v>
          </cell>
          <cell r="F1408">
            <v>0</v>
          </cell>
          <cell r="G1408">
            <v>0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0.86270722040943659</v>
          </cell>
          <cell r="M1408">
            <v>2.7064930500477882</v>
          </cell>
          <cell r="N1408">
            <v>2.4128015857727383</v>
          </cell>
          <cell r="O1408">
            <v>2.1433451074009695</v>
          </cell>
          <cell r="P1408">
            <v>1.5591830293458071</v>
          </cell>
          <cell r="Q1408">
            <v>0.88078730993843002</v>
          </cell>
          <cell r="R1408">
            <v>0.31599424078601196</v>
          </cell>
          <cell r="S1408">
            <v>-2.8544840993249138E-2</v>
          </cell>
          <cell r="T1408">
            <v>-0.12234145716540912</v>
          </cell>
          <cell r="U1408">
            <v>-1.9295986544804605E-2</v>
          </cell>
          <cell r="V1408">
            <v>0.18496997980853441</v>
          </cell>
          <cell r="W1408">
            <v>0.39729926481437072</v>
          </cell>
          <cell r="X1408">
            <v>0.55731625973782783</v>
          </cell>
          <cell r="Y1408">
            <v>0.64612804161151904</v>
          </cell>
          <cell r="Z1408">
            <v>0.67712059060612462</v>
          </cell>
          <cell r="AA1408">
            <v>0.67885492613484166</v>
          </cell>
          <cell r="AB1408">
            <v>0.67360778744063743</v>
          </cell>
          <cell r="AC1408">
            <v>0.67906153501000421</v>
          </cell>
          <cell r="AD1408">
            <v>0.69585631101788847</v>
          </cell>
          <cell r="AE1408">
            <v>0.71839574995070932</v>
          </cell>
          <cell r="AF1408">
            <v>0.73853144079797683</v>
          </cell>
          <cell r="AG1408">
            <v>0.73847777627006794</v>
          </cell>
          <cell r="AH1408">
            <v>0.72802792764526292</v>
          </cell>
          <cell r="AI1408">
            <v>0.71075508695513201</v>
          </cell>
          <cell r="AJ1408">
            <v>0.69348361009596715</v>
          </cell>
          <cell r="AK1408">
            <v>0.68163260558170469</v>
          </cell>
          <cell r="AL1408">
            <v>0.67745679389070379</v>
          </cell>
          <cell r="AM1408">
            <v>0.67997778765367456</v>
          </cell>
          <cell r="AN1408">
            <v>0.68617626610490423</v>
          </cell>
          <cell r="AO1408">
            <v>0.69265503334292811</v>
          </cell>
        </row>
        <row r="1409">
          <cell r="C1409" t="str">
            <v>Dette publique</v>
          </cell>
          <cell r="E1409" t="str">
            <v>(DEBT_G_VAL_2/(PGDP_2*GDP_2)-DEBT_G_VAL_0/(PGDP_0*GDP_0))*100</v>
          </cell>
          <cell r="F1409">
            <v>0</v>
          </cell>
          <cell r="G1409">
            <v>0</v>
          </cell>
          <cell r="H1409">
            <v>0</v>
          </cell>
          <cell r="I1409">
            <v>0</v>
          </cell>
          <cell r="J1409">
            <v>0</v>
          </cell>
          <cell r="K1409">
            <v>0</v>
          </cell>
          <cell r="L1409">
            <v>-0.75532010363287272</v>
          </cell>
          <cell r="M1409">
            <v>0.95610284067096929</v>
          </cell>
          <cell r="N1409">
            <v>2.7490447614569535</v>
          </cell>
          <cell r="O1409">
            <v>4.5708965449391741</v>
          </cell>
          <cell r="P1409">
            <v>6.0239069375709882</v>
          </cell>
          <cell r="Q1409">
            <v>6.9229513607950821</v>
          </cell>
          <cell r="R1409">
            <v>7.288468652703683</v>
          </cell>
          <cell r="S1409">
            <v>7.2752729218075078</v>
          </cell>
          <cell r="T1409">
            <v>7.1031571146335404</v>
          </cell>
          <cell r="U1409">
            <v>6.9731254816618566</v>
          </cell>
          <cell r="V1409">
            <v>7.010950553986028</v>
          </cell>
          <cell r="W1409">
            <v>7.2493738962843395</v>
          </cell>
          <cell r="X1409">
            <v>7.6473737503228829</v>
          </cell>
          <cell r="Y1409">
            <v>8.1294588745938761</v>
          </cell>
          <cell r="Z1409">
            <v>8.6293466059568118</v>
          </cell>
          <cell r="AA1409">
            <v>9.0931339989592903</v>
          </cell>
          <cell r="AB1409">
            <v>9.5088675466612038</v>
          </cell>
          <cell r="AC1409">
            <v>9.8858583715957913</v>
          </cell>
          <cell r="AD1409">
            <v>10.241511922890512</v>
          </cell>
          <cell r="AE1409">
            <v>10.612991747590383</v>
          </cell>
          <cell r="AF1409">
            <v>10.974380284562368</v>
          </cell>
          <cell r="AG1409">
            <v>11.331084824626036</v>
          </cell>
          <cell r="AH1409">
            <v>11.673297967363483</v>
          </cell>
          <cell r="AI1409">
            <v>11.992686774957463</v>
          </cell>
          <cell r="AJ1409">
            <v>12.286546772109052</v>
          </cell>
          <cell r="AK1409">
            <v>12.558051164603901</v>
          </cell>
          <cell r="AL1409">
            <v>12.814107067287829</v>
          </cell>
          <cell r="AM1409">
            <v>13.062218675377535</v>
          </cell>
          <cell r="AN1409">
            <v>13.307815908021581</v>
          </cell>
          <cell r="AO1409">
            <v>13.552997242059428</v>
          </cell>
        </row>
        <row r="1410">
          <cell r="C1410" t="str">
            <v>PIB</v>
          </cell>
          <cell r="E1410" t="str">
            <v>GDP_2</v>
          </cell>
          <cell r="F1410">
            <v>2196712.3879999998</v>
          </cell>
          <cell r="G1410">
            <v>2214145.2949999999</v>
          </cell>
          <cell r="H1410">
            <v>2243480.773</v>
          </cell>
          <cell r="I1410">
            <v>2279202.9279999998</v>
          </cell>
          <cell r="J1410">
            <v>2317495.7799999998</v>
          </cell>
          <cell r="K1410">
            <v>2356043.6290000002</v>
          </cell>
          <cell r="L1410">
            <v>2362527.7250000001</v>
          </cell>
          <cell r="M1410">
            <v>2377451.5150000001</v>
          </cell>
          <cell r="N1410">
            <v>2397326.7280000001</v>
          </cell>
          <cell r="O1410">
            <v>2425636.9730000002</v>
          </cell>
          <cell r="P1410">
            <v>2465907.5729999999</v>
          </cell>
          <cell r="Q1410">
            <v>2510354.9279999998</v>
          </cell>
          <cell r="R1410">
            <v>2558626.7680000002</v>
          </cell>
          <cell r="S1410">
            <v>2606812.838</v>
          </cell>
          <cell r="T1410">
            <v>2652712.0610000002</v>
          </cell>
          <cell r="U1410">
            <v>2695730.0830000001</v>
          </cell>
          <cell r="V1410">
            <v>2736586.9509999999</v>
          </cell>
          <cell r="W1410">
            <v>2776672.858</v>
          </cell>
          <cell r="X1410">
            <v>2817347.4920000001</v>
          </cell>
          <cell r="Y1410">
            <v>2859472.4619999998</v>
          </cell>
          <cell r="Z1410">
            <v>2900721.5789999999</v>
          </cell>
          <cell r="AA1410">
            <v>2945727.3050000002</v>
          </cell>
          <cell r="AB1410">
            <v>2991911.8650000002</v>
          </cell>
          <cell r="AC1410">
            <v>3038891.648</v>
          </cell>
          <cell r="AD1410">
            <v>3086337.139</v>
          </cell>
          <cell r="AE1410">
            <v>3125595.932</v>
          </cell>
          <cell r="AF1410">
            <v>3170888.523</v>
          </cell>
          <cell r="AG1410">
            <v>3216408.9180000001</v>
          </cell>
          <cell r="AH1410">
            <v>3262981.3130000001</v>
          </cell>
          <cell r="AI1410">
            <v>3310640.4130000002</v>
          </cell>
          <cell r="AJ1410">
            <v>3359077.14</v>
          </cell>
          <cell r="AK1410">
            <v>3407934.3810000001</v>
          </cell>
          <cell r="AL1410">
            <v>3456998.71</v>
          </cell>
          <cell r="AM1410">
            <v>3506269.0019999999</v>
          </cell>
          <cell r="AN1410">
            <v>3555914.8190000001</v>
          </cell>
          <cell r="AO1410">
            <v>3606172.7609999999</v>
          </cell>
        </row>
        <row r="1411">
          <cell r="C1411" t="str">
            <v>Ecart PIB</v>
          </cell>
          <cell r="E1411" t="str">
            <v>(GDPter_2/GDPbis_2-1)*100</v>
          </cell>
          <cell r="F1411">
            <v>0</v>
          </cell>
          <cell r="G1411">
            <v>4.5164161299737771E-8</v>
          </cell>
          <cell r="H1411">
            <v>0</v>
          </cell>
          <cell r="I1411">
            <v>4.3874992528003531E-8</v>
          </cell>
          <cell r="J1411">
            <v>0</v>
          </cell>
          <cell r="K1411">
            <v>4.2444026071564167E-8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0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0</v>
          </cell>
        </row>
        <row r="1412">
          <cell r="C1412" t="str">
            <v>Dépenses publiques</v>
          </cell>
          <cell r="E1412" t="str">
            <v>SPEND_G_VAL_2</v>
          </cell>
          <cell r="F1412">
            <v>1187320.2109999999</v>
          </cell>
          <cell r="G1412">
            <v>1227002.8359999999</v>
          </cell>
          <cell r="H1412">
            <v>1267602.8219999999</v>
          </cell>
          <cell r="I1412">
            <v>1297189.328</v>
          </cell>
          <cell r="J1412">
            <v>1326989.83</v>
          </cell>
          <cell r="K1412">
            <v>1361624.696</v>
          </cell>
          <cell r="L1412">
            <v>1438026.922</v>
          </cell>
          <cell r="M1412">
            <v>1552477.7930000001</v>
          </cell>
          <cell r="N1412">
            <v>1621375.047</v>
          </cell>
          <cell r="O1412">
            <v>1692273.638</v>
          </cell>
          <cell r="P1412">
            <v>1752321.7009999999</v>
          </cell>
          <cell r="Q1412">
            <v>1800363.794</v>
          </cell>
          <cell r="R1412">
            <v>1848385.8470000001</v>
          </cell>
          <cell r="S1412">
            <v>1900476.585</v>
          </cell>
          <cell r="T1412">
            <v>1960985.9920000001</v>
          </cell>
          <cell r="U1412">
            <v>2030642.061</v>
          </cell>
          <cell r="V1412">
            <v>2107595.6430000002</v>
          </cell>
          <cell r="W1412">
            <v>2188827.4470000002</v>
          </cell>
          <cell r="X1412">
            <v>2271642.6120000002</v>
          </cell>
          <cell r="Y1412">
            <v>2354634.9389999998</v>
          </cell>
          <cell r="Z1412">
            <v>2436097.341</v>
          </cell>
          <cell r="AA1412">
            <v>2521367.9279999998</v>
          </cell>
          <cell r="AB1412">
            <v>2607448.696</v>
          </cell>
          <cell r="AC1412">
            <v>2697269.0589999999</v>
          </cell>
          <cell r="AD1412">
            <v>2791446.122</v>
          </cell>
          <cell r="AE1412">
            <v>2884392.6060000001</v>
          </cell>
          <cell r="AF1412">
            <v>2986241.6519999998</v>
          </cell>
          <cell r="AG1412">
            <v>3086508.0959999999</v>
          </cell>
          <cell r="AH1412">
            <v>3187635.3110000002</v>
          </cell>
          <cell r="AI1412">
            <v>3289956.605</v>
          </cell>
          <cell r="AJ1412">
            <v>3394907.5559999999</v>
          </cell>
          <cell r="AK1412">
            <v>3503838.5320000001</v>
          </cell>
          <cell r="AL1412">
            <v>3617530.3309999998</v>
          </cell>
          <cell r="AM1412">
            <v>3736062.7280000001</v>
          </cell>
          <cell r="AN1412">
            <v>3858995.6260000002</v>
          </cell>
          <cell r="AO1412">
            <v>3985718.79</v>
          </cell>
        </row>
        <row r="1413">
          <cell r="C1413" t="str">
            <v>Recettes publiques</v>
          </cell>
          <cell r="E1413" t="str">
            <v>INC_G_VAL_2</v>
          </cell>
          <cell r="F1413">
            <v>1021631.956</v>
          </cell>
          <cell r="G1413">
            <v>1051921.395</v>
          </cell>
          <cell r="H1413">
            <v>1082875.0930000001</v>
          </cell>
          <cell r="I1413">
            <v>1113728.797</v>
          </cell>
          <cell r="J1413">
            <v>1144576.3219999999</v>
          </cell>
          <cell r="K1413">
            <v>1176586.3559999999</v>
          </cell>
          <cell r="L1413">
            <v>1220992.253</v>
          </cell>
          <cell r="M1413">
            <v>1268133.9890000001</v>
          </cell>
          <cell r="N1413">
            <v>1320979.0179999999</v>
          </cell>
          <cell r="O1413">
            <v>1376368.625</v>
          </cell>
          <cell r="P1413">
            <v>1433859.1769999999</v>
          </cell>
          <cell r="Q1413">
            <v>1489711.557</v>
          </cell>
          <cell r="R1413">
            <v>1545316.3160000001</v>
          </cell>
          <cell r="S1413">
            <v>1601129.544</v>
          </cell>
          <cell r="T1413">
            <v>1658026.007</v>
          </cell>
          <cell r="U1413">
            <v>1716885.254</v>
          </cell>
          <cell r="V1413">
            <v>1778315.6089999999</v>
          </cell>
          <cell r="W1413">
            <v>1842582.7949999999</v>
          </cell>
          <cell r="X1413">
            <v>1909687.0530000001</v>
          </cell>
          <cell r="Y1413">
            <v>1979508.3359999999</v>
          </cell>
          <cell r="Z1413">
            <v>2050440.3759999999</v>
          </cell>
          <cell r="AA1413">
            <v>2125228.9989999998</v>
          </cell>
          <cell r="AB1413">
            <v>2202657.9270000001</v>
          </cell>
          <cell r="AC1413">
            <v>2282883.9040000001</v>
          </cell>
          <cell r="AD1413">
            <v>2366165.5890000002</v>
          </cell>
          <cell r="AE1413">
            <v>2447043.6060000001</v>
          </cell>
          <cell r="AF1413">
            <v>2534307.003</v>
          </cell>
          <cell r="AG1413">
            <v>2624107.0550000002</v>
          </cell>
          <cell r="AH1413">
            <v>2716195.6669999999</v>
          </cell>
          <cell r="AI1413">
            <v>2810602.0630000001</v>
          </cell>
          <cell r="AJ1413">
            <v>2907534.3330000001</v>
          </cell>
          <cell r="AK1413">
            <v>3007319.2080000001</v>
          </cell>
          <cell r="AL1413">
            <v>3110317.2719999999</v>
          </cell>
          <cell r="AM1413">
            <v>3216844.47</v>
          </cell>
          <cell r="AN1413">
            <v>3327127.8</v>
          </cell>
          <cell r="AO1413">
            <v>3441304.1889999998</v>
          </cell>
        </row>
        <row r="1414">
          <cell r="C1414" t="str">
            <v>Solde public</v>
          </cell>
          <cell r="E1414" t="str">
            <v>Bal_G_tot_VAL_2</v>
          </cell>
          <cell r="F1414">
            <v>-64101.80947</v>
          </cell>
          <cell r="G1414">
            <v>-70289.905780000001</v>
          </cell>
          <cell r="H1414">
            <v>-76421.698390000005</v>
          </cell>
          <cell r="I1414">
            <v>-71333.415229999999</v>
          </cell>
          <cell r="J1414">
            <v>-66719.721160000001</v>
          </cell>
          <cell r="K1414">
            <v>-66008.567290000006</v>
          </cell>
          <cell r="L1414">
            <v>-94704.468059999999</v>
          </cell>
          <cell r="M1414">
            <v>-157278.37950000001</v>
          </cell>
          <cell r="N1414">
            <v>-165466.6851</v>
          </cell>
          <cell r="O1414">
            <v>-172702.33499999999</v>
          </cell>
          <cell r="P1414">
            <v>-166624.72880000001</v>
          </cell>
          <cell r="Q1414">
            <v>-150483.20619999999</v>
          </cell>
          <cell r="R1414">
            <v>-135376.33960000001</v>
          </cell>
          <cell r="S1414">
            <v>-124885.0324</v>
          </cell>
          <cell r="T1414">
            <v>-122253.7254</v>
          </cell>
          <cell r="U1414">
            <v>-126937.8609</v>
          </cell>
          <cell r="V1414">
            <v>-136114.19500000001</v>
          </cell>
          <cell r="W1414">
            <v>-146273.1029</v>
          </cell>
          <cell r="X1414">
            <v>-154670.3553</v>
          </cell>
          <cell r="Y1414">
            <v>-160107.8811</v>
          </cell>
          <cell r="Z1414">
            <v>-162632.84950000001</v>
          </cell>
          <cell r="AA1414">
            <v>-164983.1704</v>
          </cell>
          <cell r="AB1414">
            <v>-165385.85209999999</v>
          </cell>
          <cell r="AC1414">
            <v>-166710.94589999999</v>
          </cell>
          <cell r="AD1414">
            <v>-169270.77619999999</v>
          </cell>
          <cell r="AE1414">
            <v>-172875.70439999999</v>
          </cell>
          <cell r="AF1414">
            <v>-178817.5686</v>
          </cell>
          <cell r="AG1414">
            <v>-180343.0816</v>
          </cell>
          <cell r="AH1414">
            <v>-180364.53020000001</v>
          </cell>
          <cell r="AI1414">
            <v>-179261.20180000001</v>
          </cell>
          <cell r="AJ1414">
            <v>-178316.82310000001</v>
          </cell>
          <cell r="AK1414">
            <v>-178547.08259999999</v>
          </cell>
          <cell r="AL1414">
            <v>-180313.4639</v>
          </cell>
          <cell r="AM1414">
            <v>-183302.99</v>
          </cell>
          <cell r="AN1414">
            <v>-186787.4086</v>
          </cell>
          <cell r="AO1414">
            <v>-189994.81299999999</v>
          </cell>
        </row>
        <row r="1415">
          <cell r="C1415" t="str">
            <v>Dette publique</v>
          </cell>
          <cell r="E1415" t="str">
            <v>DEBT_G_VAL_2</v>
          </cell>
          <cell r="F1415">
            <v>2095830.716</v>
          </cell>
          <cell r="G1415">
            <v>2166120.622</v>
          </cell>
          <cell r="H1415">
            <v>2242542.3199999998</v>
          </cell>
          <cell r="I1415">
            <v>2313875.7349999999</v>
          </cell>
          <cell r="J1415">
            <v>2380595.4559999998</v>
          </cell>
          <cell r="K1415">
            <v>2446604.0240000002</v>
          </cell>
          <cell r="L1415">
            <v>2541308.4920000001</v>
          </cell>
          <cell r="M1415">
            <v>2698586.8709999998</v>
          </cell>
          <cell r="N1415">
            <v>2864053.5559999999</v>
          </cell>
          <cell r="O1415">
            <v>3036755.8909999998</v>
          </cell>
          <cell r="P1415">
            <v>3203380.62</v>
          </cell>
          <cell r="Q1415">
            <v>3353863.8259999999</v>
          </cell>
          <cell r="R1415">
            <v>3489240.1660000002</v>
          </cell>
          <cell r="S1415">
            <v>3614125.199</v>
          </cell>
          <cell r="T1415">
            <v>3736378.9240000001</v>
          </cell>
          <cell r="U1415">
            <v>3863316.7850000001</v>
          </cell>
          <cell r="V1415">
            <v>3999430.98</v>
          </cell>
          <cell r="W1415">
            <v>4145704.0830000001</v>
          </cell>
          <cell r="X1415">
            <v>4300374.4380000001</v>
          </cell>
          <cell r="Y1415">
            <v>4460482.3190000001</v>
          </cell>
          <cell r="Z1415">
            <v>4623115.1689999998</v>
          </cell>
          <cell r="AA1415">
            <v>4788098.3389999997</v>
          </cell>
          <cell r="AB1415">
            <v>4953484.1909999996</v>
          </cell>
          <cell r="AC1415">
            <v>5120195.1370000001</v>
          </cell>
          <cell r="AD1415">
            <v>5289465.9129999997</v>
          </cell>
          <cell r="AE1415">
            <v>5462341.6179999998</v>
          </cell>
          <cell r="AF1415">
            <v>5641159.1859999998</v>
          </cell>
          <cell r="AG1415">
            <v>5821502.2680000002</v>
          </cell>
          <cell r="AH1415">
            <v>6001866.7980000004</v>
          </cell>
          <cell r="AI1415">
            <v>6181128</v>
          </cell>
          <cell r="AJ1415">
            <v>6359444.8229999999</v>
          </cell>
          <cell r="AK1415">
            <v>6537991.9060000004</v>
          </cell>
          <cell r="AL1415">
            <v>6718305.3689999999</v>
          </cell>
          <cell r="AM1415">
            <v>6901608.3590000002</v>
          </cell>
          <cell r="AN1415">
            <v>7088395.7680000002</v>
          </cell>
          <cell r="AO1415">
            <v>7278390.5810000002</v>
          </cell>
        </row>
        <row r="1434">
          <cell r="F1434">
            <v>27367.648700000002</v>
          </cell>
          <cell r="G1434">
            <v>27332.478599999999</v>
          </cell>
          <cell r="H1434">
            <v>27312.15624</v>
          </cell>
          <cell r="I1434">
            <v>27336.220120000002</v>
          </cell>
          <cell r="J1434">
            <v>27400.34274</v>
          </cell>
          <cell r="K1434">
            <v>27493.324339999999</v>
          </cell>
          <cell r="L1434">
            <v>27541.148109999998</v>
          </cell>
          <cell r="M1434">
            <v>27526.98057</v>
          </cell>
          <cell r="N1434">
            <v>27489.721379999999</v>
          </cell>
          <cell r="O1434">
            <v>27465.443630000002</v>
          </cell>
          <cell r="P1434">
            <v>27495.099849999999</v>
          </cell>
          <cell r="Q1434">
            <v>27565.128189999999</v>
          </cell>
          <cell r="R1434">
            <v>27670.831330000001</v>
          </cell>
          <cell r="S1434">
            <v>27797.840349999999</v>
          </cell>
          <cell r="T1434">
            <v>27929.910100000001</v>
          </cell>
          <cell r="U1434">
            <v>28054.778109999999</v>
          </cell>
          <cell r="V1434">
            <v>28166.857670000001</v>
          </cell>
          <cell r="W1434">
            <v>28266.832129999999</v>
          </cell>
          <cell r="X1434">
            <v>28359.227480000001</v>
          </cell>
          <cell r="Y1434">
            <v>28449.468390000002</v>
          </cell>
          <cell r="Z1434">
            <v>28528.11953</v>
          </cell>
          <cell r="AA1434">
            <v>28614.23487</v>
          </cell>
          <cell r="AB1434">
            <v>28708.11161</v>
          </cell>
          <cell r="AC1434">
            <v>28807.350610000001</v>
          </cell>
          <cell r="AD1434">
            <v>28909.266530000001</v>
          </cell>
          <cell r="AE1434">
            <v>28969.194510000001</v>
          </cell>
          <cell r="AF1434">
            <v>29029.829099999999</v>
          </cell>
          <cell r="AG1434">
            <v>29090.908609999999</v>
          </cell>
          <cell r="AH1434">
            <v>29153.176100000001</v>
          </cell>
          <cell r="AI1434">
            <v>29217.499940000002</v>
          </cell>
          <cell r="AJ1434">
            <v>29283.873039999999</v>
          </cell>
          <cell r="AK1434">
            <v>29351.418310000001</v>
          </cell>
          <cell r="AL1434">
            <v>29418.95867</v>
          </cell>
          <cell r="AM1434">
            <v>29485.61692</v>
          </cell>
          <cell r="AN1434">
            <v>29551.12659</v>
          </cell>
          <cell r="AO1434">
            <v>29615.789089999998</v>
          </cell>
        </row>
        <row r="1435">
          <cell r="F1435">
            <v>760.47401260000004</v>
          </cell>
          <cell r="G1435">
            <v>752.85472030000005</v>
          </cell>
          <cell r="H1435">
            <v>742.15650110000001</v>
          </cell>
          <cell r="I1435">
            <v>731.59538550000002</v>
          </cell>
          <cell r="J1435">
            <v>723.00946750000003</v>
          </cell>
          <cell r="K1435">
            <v>717.06894269999998</v>
          </cell>
          <cell r="L1435">
            <v>735.72899710000002</v>
          </cell>
          <cell r="M1435">
            <v>740.49197489999995</v>
          </cell>
          <cell r="N1435">
            <v>734.70765779999999</v>
          </cell>
          <cell r="O1435">
            <v>722.92149089999998</v>
          </cell>
          <cell r="P1435">
            <v>709.44594979999999</v>
          </cell>
          <cell r="Q1435">
            <v>696.62683730000003</v>
          </cell>
          <cell r="R1435">
            <v>685.91818369999999</v>
          </cell>
          <cell r="S1435">
            <v>677.7776877</v>
          </cell>
          <cell r="T1435">
            <v>671.97297709999998</v>
          </cell>
          <cell r="U1435">
            <v>667.87608639999996</v>
          </cell>
          <cell r="V1435">
            <v>664.71749290000002</v>
          </cell>
          <cell r="W1435">
            <v>661.78062079999995</v>
          </cell>
          <cell r="X1435">
            <v>658.52534939999998</v>
          </cell>
          <cell r="Y1435">
            <v>654.63853349999999</v>
          </cell>
          <cell r="Z1435">
            <v>649.75247430000002</v>
          </cell>
          <cell r="AA1435">
            <v>644.2159494</v>
          </cell>
          <cell r="AB1435">
            <v>638.23807939999995</v>
          </cell>
          <cell r="AC1435">
            <v>632.04711559999998</v>
          </cell>
          <cell r="AD1435">
            <v>625.83813889999999</v>
          </cell>
          <cell r="AE1435">
            <v>619.03146449999997</v>
          </cell>
          <cell r="AF1435">
            <v>612.16641870000001</v>
          </cell>
          <cell r="AG1435">
            <v>605.41554970000004</v>
          </cell>
          <cell r="AH1435">
            <v>598.91249349999998</v>
          </cell>
          <cell r="AI1435">
            <v>592.73219119999999</v>
          </cell>
          <cell r="AJ1435">
            <v>586.89147419999995</v>
          </cell>
          <cell r="AK1435">
            <v>581.35731469999996</v>
          </cell>
          <cell r="AL1435">
            <v>576.06195920000005</v>
          </cell>
          <cell r="AM1435">
            <v>570.9215858</v>
          </cell>
          <cell r="AN1435">
            <v>565.85439699999995</v>
          </cell>
          <cell r="AO1435">
            <v>560.794579</v>
          </cell>
        </row>
        <row r="1438">
          <cell r="F1438">
            <v>4364.6171379999996</v>
          </cell>
          <cell r="G1438">
            <v>4407.3951559999996</v>
          </cell>
          <cell r="H1438">
            <v>4474.2533039999998</v>
          </cell>
          <cell r="I1438">
            <v>4531.75558</v>
          </cell>
          <cell r="J1438">
            <v>4569.8804959999998</v>
          </cell>
          <cell r="K1438">
            <v>4591.4580509999996</v>
          </cell>
          <cell r="L1438">
            <v>4552.417751</v>
          </cell>
          <cell r="M1438">
            <v>4495.1472679999997</v>
          </cell>
          <cell r="N1438">
            <v>4438.446355</v>
          </cell>
          <cell r="O1438">
            <v>4393.7464460000001</v>
          </cell>
          <cell r="P1438">
            <v>4398.7103280000001</v>
          </cell>
          <cell r="Q1438">
            <v>4389.7268130000002</v>
          </cell>
          <cell r="R1438">
            <v>4388.7726990000001</v>
          </cell>
          <cell r="S1438">
            <v>4398.3539469999996</v>
          </cell>
          <cell r="T1438">
            <v>4414.0499440000003</v>
          </cell>
          <cell r="U1438">
            <v>4430.8153080000002</v>
          </cell>
          <cell r="V1438">
            <v>4445.4997830000002</v>
          </cell>
          <cell r="W1438">
            <v>4457.2474359999997</v>
          </cell>
          <cell r="X1438">
            <v>4466.8098790000004</v>
          </cell>
          <cell r="Y1438">
            <v>4475.5430770000003</v>
          </cell>
          <cell r="Z1438">
            <v>4464.2526959999996</v>
          </cell>
          <cell r="AA1438">
            <v>4473.8924589999997</v>
          </cell>
          <cell r="AB1438">
            <v>4490.0123000000003</v>
          </cell>
          <cell r="AC1438">
            <v>4506.6579009999996</v>
          </cell>
          <cell r="AD1438">
            <v>4521.9043600000005</v>
          </cell>
          <cell r="AE1438">
            <v>4478.8805220000004</v>
          </cell>
          <cell r="AF1438">
            <v>4467.7861190000003</v>
          </cell>
          <cell r="AG1438">
            <v>4470.9229109999997</v>
          </cell>
          <cell r="AH1438">
            <v>4479.6652409999997</v>
          </cell>
          <cell r="AI1438">
            <v>4490.3451189999996</v>
          </cell>
          <cell r="AJ1438">
            <v>4501.4055410000001</v>
          </cell>
          <cell r="AK1438">
            <v>4512.0874910000002</v>
          </cell>
          <cell r="AL1438">
            <v>4521.9774969999999</v>
          </cell>
          <cell r="AM1438">
            <v>4530.9118310000003</v>
          </cell>
          <cell r="AN1438">
            <v>4538.955551</v>
          </cell>
          <cell r="AO1438">
            <v>4546.34375</v>
          </cell>
        </row>
        <row r="1448">
          <cell r="F1448">
            <v>1769.125442</v>
          </cell>
          <cell r="G1448">
            <v>1823.699975</v>
          </cell>
          <cell r="H1448">
            <v>1904.1874110000001</v>
          </cell>
          <cell r="I1448">
            <v>1971.8884210000001</v>
          </cell>
          <cell r="J1448">
            <v>2015.5150430000001</v>
          </cell>
          <cell r="K1448">
            <v>2038.3940689999999</v>
          </cell>
          <cell r="L1448">
            <v>2009.4791889999999</v>
          </cell>
          <cell r="M1448">
            <v>1969.788235</v>
          </cell>
          <cell r="N1448">
            <v>1934.609727</v>
          </cell>
          <cell r="O1448">
            <v>1910.4862370000001</v>
          </cell>
          <cell r="P1448">
            <v>1928.374575</v>
          </cell>
          <cell r="Q1448">
            <v>1927.431231</v>
          </cell>
          <cell r="R1448">
            <v>1929.212178</v>
          </cell>
          <cell r="S1448">
            <v>1937.199218</v>
          </cell>
          <cell r="T1448">
            <v>1948.810663</v>
          </cell>
          <cell r="U1448">
            <v>1960.791714</v>
          </cell>
          <cell r="V1448">
            <v>1971.1915320000001</v>
          </cell>
          <cell r="W1448">
            <v>1979.6262400000001</v>
          </cell>
          <cell r="X1448">
            <v>1986.75307</v>
          </cell>
          <cell r="Y1448">
            <v>1993.5582219999999</v>
          </cell>
          <cell r="Z1448">
            <v>1982.4422460000001</v>
          </cell>
          <cell r="AA1448">
            <v>1991.1680140000001</v>
          </cell>
          <cell r="AB1448">
            <v>2005.483166</v>
          </cell>
          <cell r="AC1448">
            <v>2019.875534</v>
          </cell>
          <cell r="AD1448">
            <v>2032.7313059999999</v>
          </cell>
          <cell r="AE1448">
            <v>1992.9349110000001</v>
          </cell>
          <cell r="AF1448">
            <v>1984.532637</v>
          </cell>
          <cell r="AG1448">
            <v>1989.5485719999999</v>
          </cell>
          <cell r="AH1448">
            <v>1999.5321369999999</v>
          </cell>
          <cell r="AI1448">
            <v>2010.8965659999999</v>
          </cell>
          <cell r="AJ1448">
            <v>2022.1691049999999</v>
          </cell>
          <cell r="AK1448">
            <v>2032.7288390000001</v>
          </cell>
          <cell r="AL1448">
            <v>2042.3265369999999</v>
          </cell>
          <cell r="AM1448">
            <v>2050.9356090000001</v>
          </cell>
          <cell r="AN1448">
            <v>2058.6943919999999</v>
          </cell>
          <cell r="AO1448">
            <v>2065.8433989999999</v>
          </cell>
        </row>
        <row r="1450">
          <cell r="F1450">
            <v>868.12487880000003</v>
          </cell>
          <cell r="G1450">
            <v>860.96730460000003</v>
          </cell>
          <cell r="H1450">
            <v>851.65571120000004</v>
          </cell>
          <cell r="I1450">
            <v>843.69302449999998</v>
          </cell>
          <cell r="J1450">
            <v>838.18972459999998</v>
          </cell>
          <cell r="K1450">
            <v>835.05002460000003</v>
          </cell>
          <cell r="L1450">
            <v>831.69610420000004</v>
          </cell>
          <cell r="M1450">
            <v>827.54185489999998</v>
          </cell>
          <cell r="N1450">
            <v>823.16504399999997</v>
          </cell>
          <cell r="O1450">
            <v>819.35671400000001</v>
          </cell>
          <cell r="P1450">
            <v>816.90063399999997</v>
          </cell>
          <cell r="Q1450">
            <v>816.16665049999995</v>
          </cell>
          <cell r="R1450">
            <v>816.77909890000001</v>
          </cell>
          <cell r="S1450">
            <v>818.23808499999996</v>
          </cell>
          <cell r="T1450">
            <v>820.03331800000001</v>
          </cell>
          <cell r="U1450">
            <v>821.75957940000001</v>
          </cell>
          <cell r="V1450">
            <v>823.19343579999997</v>
          </cell>
          <cell r="W1450">
            <v>824.29994529999999</v>
          </cell>
          <cell r="X1450">
            <v>825.17761410000003</v>
          </cell>
          <cell r="Y1450">
            <v>825.97603360000005</v>
          </cell>
          <cell r="Z1450">
            <v>826.68629550000003</v>
          </cell>
          <cell r="AA1450">
            <v>827.38182619999998</v>
          </cell>
          <cell r="AB1450">
            <v>828.24302350000005</v>
          </cell>
          <cell r="AC1450">
            <v>829.28832880000004</v>
          </cell>
          <cell r="AD1450">
            <v>830.46006009999996</v>
          </cell>
          <cell r="AE1450">
            <v>831.22900319999997</v>
          </cell>
          <cell r="AF1450">
            <v>831.56127790000005</v>
          </cell>
          <cell r="AG1450">
            <v>831.70924830000001</v>
          </cell>
          <cell r="AH1450">
            <v>831.84544760000006</v>
          </cell>
          <cell r="AI1450">
            <v>832.06300039999996</v>
          </cell>
          <cell r="AJ1450">
            <v>832.38803280000002</v>
          </cell>
          <cell r="AK1450">
            <v>832.80060960000003</v>
          </cell>
          <cell r="AL1450">
            <v>833.26110310000001</v>
          </cell>
          <cell r="AM1450">
            <v>833.73350300000004</v>
          </cell>
          <cell r="AN1450">
            <v>834.19890859999998</v>
          </cell>
          <cell r="AO1450">
            <v>834.65745270000002</v>
          </cell>
        </row>
        <row r="1455">
          <cell r="F1455">
            <v>21273.564770000001</v>
          </cell>
          <cell r="G1455">
            <v>21209.840990000001</v>
          </cell>
          <cell r="H1455">
            <v>21142.218349999999</v>
          </cell>
          <cell r="I1455">
            <v>21127.073840000001</v>
          </cell>
          <cell r="J1455">
            <v>21167.089830000001</v>
          </cell>
          <cell r="K1455">
            <v>21247.541450000001</v>
          </cell>
          <cell r="L1455">
            <v>21318.444899999999</v>
          </cell>
          <cell r="M1455">
            <v>21360.42643</v>
          </cell>
          <cell r="N1455">
            <v>21389.82807</v>
          </cell>
          <cell r="O1455">
            <v>21426.017199999998</v>
          </cell>
          <cell r="P1455">
            <v>21467.118589999998</v>
          </cell>
          <cell r="Q1455">
            <v>21560.376700000001</v>
          </cell>
          <cell r="R1455">
            <v>21677.885300000002</v>
          </cell>
          <cell r="S1455">
            <v>21802.673699999999</v>
          </cell>
          <cell r="T1455">
            <v>21923.58079</v>
          </cell>
          <cell r="U1455">
            <v>22034.409500000002</v>
          </cell>
          <cell r="V1455">
            <v>22133.755659999999</v>
          </cell>
          <cell r="W1455">
            <v>22223.971460000001</v>
          </cell>
          <cell r="X1455">
            <v>22309.32933</v>
          </cell>
          <cell r="Y1455">
            <v>22394.096519999999</v>
          </cell>
          <cell r="Z1455">
            <v>22488.44731</v>
          </cell>
          <cell r="AA1455">
            <v>22570.021909999999</v>
          </cell>
          <cell r="AB1455">
            <v>22653.156360000001</v>
          </cell>
          <cell r="AC1455">
            <v>22741.14343</v>
          </cell>
          <cell r="AD1455">
            <v>22833.075789999999</v>
          </cell>
          <cell r="AE1455">
            <v>22942.35312</v>
          </cell>
          <cell r="AF1455">
            <v>23020.9136</v>
          </cell>
          <cell r="AG1455">
            <v>23085.768619999999</v>
          </cell>
          <cell r="AH1455">
            <v>23145.983550000001</v>
          </cell>
          <cell r="AI1455">
            <v>23205.920839999999</v>
          </cell>
          <cell r="AJ1455">
            <v>23267.075140000001</v>
          </cell>
          <cell r="AK1455">
            <v>23329.369159999998</v>
          </cell>
          <cell r="AL1455">
            <v>23392.13967</v>
          </cell>
          <cell r="AM1455">
            <v>23454.793150000001</v>
          </cell>
          <cell r="AN1455">
            <v>23517.104350000001</v>
          </cell>
          <cell r="AO1455">
            <v>23579.21286</v>
          </cell>
        </row>
        <row r="1458">
          <cell r="F1458">
            <v>43.707144669999998</v>
          </cell>
          <cell r="G1458">
            <v>44.379338859999997</v>
          </cell>
          <cell r="H1458">
            <v>45.135641120000003</v>
          </cell>
          <cell r="I1458">
            <v>45.774896480000002</v>
          </cell>
          <cell r="J1458">
            <v>46.263263449999997</v>
          </cell>
          <cell r="K1458">
            <v>46.640835070000001</v>
          </cell>
          <cell r="L1458">
            <v>47.227123650000003</v>
          </cell>
          <cell r="M1458">
            <v>47.71575249</v>
          </cell>
          <cell r="N1458">
            <v>48.04049577</v>
          </cell>
          <cell r="O1458">
            <v>48.172019849999998</v>
          </cell>
          <cell r="P1458">
            <v>48.142219900000001</v>
          </cell>
          <cell r="Q1458">
            <v>47.977871890000003</v>
          </cell>
          <cell r="R1458">
            <v>47.750263609999998</v>
          </cell>
          <cell r="S1458">
            <v>47.527472090000003</v>
          </cell>
          <cell r="T1458">
            <v>47.35352288</v>
          </cell>
          <cell r="U1458">
            <v>47.243376900000001</v>
          </cell>
          <cell r="V1458">
            <v>47.187791009999998</v>
          </cell>
          <cell r="W1458">
            <v>47.164470549999997</v>
          </cell>
          <cell r="X1458">
            <v>47.14983865</v>
          </cell>
          <cell r="Y1458">
            <v>47.127288190000002</v>
          </cell>
          <cell r="Z1458">
            <v>47.073952380000001</v>
          </cell>
          <cell r="AA1458">
            <v>47.010317540000003</v>
          </cell>
          <cell r="AB1458">
            <v>46.943276109999999</v>
          </cell>
          <cell r="AC1458">
            <v>46.878504309999997</v>
          </cell>
          <cell r="AD1458">
            <v>46.820331490000001</v>
          </cell>
          <cell r="AE1458">
            <v>46.722828999999997</v>
          </cell>
          <cell r="AF1458">
            <v>46.621508120000001</v>
          </cell>
          <cell r="AG1458">
            <v>46.516152839999997</v>
          </cell>
          <cell r="AH1458">
            <v>46.40381369</v>
          </cell>
          <cell r="AI1458">
            <v>46.285848280000003</v>
          </cell>
          <cell r="AJ1458">
            <v>46.167129520000003</v>
          </cell>
          <cell r="AK1458">
            <v>46.053148030000003</v>
          </cell>
          <cell r="AL1458">
            <v>45.947546850000002</v>
          </cell>
          <cell r="AM1458">
            <v>45.851059159999998</v>
          </cell>
          <cell r="AN1458">
            <v>45.761901600000002</v>
          </cell>
          <cell r="AO1458">
            <v>45.67704483</v>
          </cell>
        </row>
        <row r="1463">
          <cell r="F1463">
            <v>57.16075163</v>
          </cell>
          <cell r="G1463">
            <v>57.04108643</v>
          </cell>
          <cell r="H1463">
            <v>56.736730629999997</v>
          </cell>
          <cell r="I1463">
            <v>56.327398350000003</v>
          </cell>
          <cell r="J1463">
            <v>55.909958090000003</v>
          </cell>
          <cell r="K1463">
            <v>55.565039740000003</v>
          </cell>
          <cell r="L1463">
            <v>55.633233480000001</v>
          </cell>
          <cell r="M1463">
            <v>55.657291549999997</v>
          </cell>
          <cell r="N1463">
            <v>55.533762269999997</v>
          </cell>
          <cell r="O1463">
            <v>55.229754909999997</v>
          </cell>
          <cell r="P1463">
            <v>54.78213719</v>
          </cell>
          <cell r="Q1463">
            <v>54.25332264</v>
          </cell>
          <cell r="R1463">
            <v>53.72578875</v>
          </cell>
          <cell r="S1463">
            <v>53.269466790000003</v>
          </cell>
          <cell r="T1463">
            <v>52.919548249999998</v>
          </cell>
          <cell r="U1463">
            <v>52.67426038</v>
          </cell>
          <cell r="V1463">
            <v>52.503503219999999</v>
          </cell>
          <cell r="W1463">
            <v>52.368194959999997</v>
          </cell>
          <cell r="X1463">
            <v>52.235469530000003</v>
          </cell>
          <cell r="Y1463">
            <v>52.086935349999997</v>
          </cell>
          <cell r="Z1463">
            <v>51.906798719999998</v>
          </cell>
          <cell r="AA1463">
            <v>51.712403649999999</v>
          </cell>
          <cell r="AB1463">
            <v>51.518571139999999</v>
          </cell>
          <cell r="AC1463">
            <v>51.335334189999998</v>
          </cell>
          <cell r="AD1463">
            <v>51.167847190000003</v>
          </cell>
          <cell r="AE1463">
            <v>50.97756476</v>
          </cell>
          <cell r="AF1463">
            <v>50.780173509999997</v>
          </cell>
          <cell r="AG1463">
            <v>50.576135119999996</v>
          </cell>
          <cell r="AH1463">
            <v>50.36555577</v>
          </cell>
          <cell r="AI1463">
            <v>50.152947609999998</v>
          </cell>
          <cell r="AJ1463">
            <v>49.945720510000001</v>
          </cell>
          <cell r="AK1463">
            <v>49.750590209999999</v>
          </cell>
          <cell r="AL1463">
            <v>49.570902390000001</v>
          </cell>
          <cell r="AM1463">
            <v>49.405784230000002</v>
          </cell>
          <cell r="AN1463">
            <v>49.251480090000001</v>
          </cell>
          <cell r="AO1463">
            <v>49.103403530000001</v>
          </cell>
        </row>
        <row r="1473">
          <cell r="F1473">
            <v>27367.648700000002</v>
          </cell>
          <cell r="G1473">
            <v>27332.478599999999</v>
          </cell>
          <cell r="H1473">
            <v>27312.15624</v>
          </cell>
          <cell r="I1473">
            <v>27336.220120000002</v>
          </cell>
          <cell r="J1473">
            <v>27400.34274</v>
          </cell>
          <cell r="K1473">
            <v>27493.324339999999</v>
          </cell>
          <cell r="L1473">
            <v>27587.682959999998</v>
          </cell>
          <cell r="M1473">
            <v>27680.007409999998</v>
          </cell>
          <cell r="N1473">
            <v>27766.824270000001</v>
          </cell>
          <cell r="O1473">
            <v>27849.011549999999</v>
          </cell>
          <cell r="P1473">
            <v>27948.128980000001</v>
          </cell>
          <cell r="Q1473">
            <v>28047.391070000001</v>
          </cell>
          <cell r="R1473">
            <v>28149.82735</v>
          </cell>
          <cell r="S1473">
            <v>28255.05645</v>
          </cell>
          <cell r="T1473">
            <v>28361.115150000001</v>
          </cell>
          <cell r="U1473">
            <v>28465.951229999999</v>
          </cell>
          <cell r="V1473">
            <v>28568.235769999999</v>
          </cell>
          <cell r="W1473">
            <v>28667.634669999999</v>
          </cell>
          <cell r="X1473">
            <v>28764.655569999999</v>
          </cell>
          <cell r="Y1473">
            <v>28860.24972</v>
          </cell>
          <cell r="Z1473">
            <v>28941.786530000001</v>
          </cell>
          <cell r="AA1473">
            <v>29027.151989999998</v>
          </cell>
          <cell r="AB1473">
            <v>29117.319579999999</v>
          </cell>
          <cell r="AC1473">
            <v>29211.33596</v>
          </cell>
          <cell r="AD1473">
            <v>29307.896690000001</v>
          </cell>
          <cell r="AE1473">
            <v>29362.960340000001</v>
          </cell>
          <cell r="AF1473">
            <v>29419.166550000002</v>
          </cell>
          <cell r="AG1473">
            <v>29476.087619999998</v>
          </cell>
          <cell r="AH1473">
            <v>29534.15958</v>
          </cell>
          <cell r="AI1473">
            <v>29594.079119999999</v>
          </cell>
          <cell r="AJ1473">
            <v>29655.898099999999</v>
          </cell>
          <cell r="AK1473">
            <v>29718.981769999999</v>
          </cell>
          <cell r="AL1473">
            <v>29782.452700000002</v>
          </cell>
          <cell r="AM1473">
            <v>29845.659940000001</v>
          </cell>
          <cell r="AN1473">
            <v>29908.41203</v>
          </cell>
          <cell r="AO1473">
            <v>29970.927879999999</v>
          </cell>
        </row>
        <row r="1474">
          <cell r="F1474">
            <v>760.47401260000004</v>
          </cell>
          <cell r="G1474">
            <v>752.85472030000005</v>
          </cell>
          <cell r="H1474">
            <v>742.15650110000001</v>
          </cell>
          <cell r="I1474">
            <v>731.59538550000002</v>
          </cell>
          <cell r="J1474">
            <v>723.00946750000003</v>
          </cell>
          <cell r="K1474">
            <v>717.06894269999998</v>
          </cell>
          <cell r="L1474">
            <v>713.32017889999997</v>
          </cell>
          <cell r="M1474">
            <v>711.07095019999997</v>
          </cell>
          <cell r="N1474">
            <v>709.44865700000003</v>
          </cell>
          <cell r="O1474">
            <v>707.63762699999995</v>
          </cell>
          <cell r="P1474">
            <v>705.45454089999998</v>
          </cell>
          <cell r="Q1474">
            <v>702.18404229999999</v>
          </cell>
          <cell r="R1474">
            <v>697.7091805</v>
          </cell>
          <cell r="S1474">
            <v>692.12491279999995</v>
          </cell>
          <cell r="T1474">
            <v>685.66941880000002</v>
          </cell>
          <cell r="U1474">
            <v>678.64385949999996</v>
          </cell>
          <cell r="V1474">
            <v>671.35024829999998</v>
          </cell>
          <cell r="W1474">
            <v>664.05013770000005</v>
          </cell>
          <cell r="X1474">
            <v>656.94297949999998</v>
          </cell>
          <cell r="Y1474">
            <v>650.1595433</v>
          </cell>
          <cell r="Z1474">
            <v>643.49833369999999</v>
          </cell>
          <cell r="AA1474">
            <v>637.24944760000005</v>
          </cell>
          <cell r="AB1474">
            <v>631.42093929999999</v>
          </cell>
          <cell r="AC1474">
            <v>625.97673250000003</v>
          </cell>
          <cell r="AD1474">
            <v>620.84270370000002</v>
          </cell>
          <cell r="AE1474">
            <v>615.20734140000002</v>
          </cell>
          <cell r="AF1474">
            <v>609.42735279999999</v>
          </cell>
          <cell r="AG1474">
            <v>603.54792139999995</v>
          </cell>
          <cell r="AH1474">
            <v>597.63644839999995</v>
          </cell>
          <cell r="AI1474">
            <v>591.75428399999998</v>
          </cell>
          <cell r="AJ1474">
            <v>585.94554300000004</v>
          </cell>
          <cell r="AK1474">
            <v>580.23208380000005</v>
          </cell>
          <cell r="AL1474">
            <v>574.61545869999998</v>
          </cell>
          <cell r="AM1474">
            <v>569.08369700000003</v>
          </cell>
          <cell r="AN1474">
            <v>563.61973309999996</v>
          </cell>
          <cell r="AO1474">
            <v>558.20858799999996</v>
          </cell>
        </row>
        <row r="1477">
          <cell r="F1477">
            <v>4364.6171379999996</v>
          </cell>
          <cell r="G1477">
            <v>4407.3951559999996</v>
          </cell>
          <cell r="H1477">
            <v>4474.2533039999998</v>
          </cell>
          <cell r="I1477">
            <v>4531.75558</v>
          </cell>
          <cell r="J1477">
            <v>4569.8804959999998</v>
          </cell>
          <cell r="K1477">
            <v>4591.4580509999996</v>
          </cell>
          <cell r="L1477">
            <v>4578.4652880000003</v>
          </cell>
          <cell r="M1477">
            <v>4559.5659050000004</v>
          </cell>
          <cell r="N1477">
            <v>4542.5906969999996</v>
          </cell>
          <cell r="O1477">
            <v>4529.1471060000003</v>
          </cell>
          <cell r="P1477">
            <v>4551.6914559999996</v>
          </cell>
          <cell r="Q1477">
            <v>4545.8873359999998</v>
          </cell>
          <cell r="R1477">
            <v>4536.8037780000004</v>
          </cell>
          <cell r="S1477">
            <v>4532.0953609999997</v>
          </cell>
          <cell r="T1477">
            <v>4532.5601409999999</v>
          </cell>
          <cell r="U1477">
            <v>4536.6600840000001</v>
          </cell>
          <cell r="V1477">
            <v>4542.6990800000003</v>
          </cell>
          <cell r="W1477">
            <v>4549.7125100000003</v>
          </cell>
          <cell r="X1477">
            <v>4557.3680519999998</v>
          </cell>
          <cell r="Y1477">
            <v>4565.6509340000002</v>
          </cell>
          <cell r="Z1477">
            <v>4554.2522440000002</v>
          </cell>
          <cell r="AA1477">
            <v>4563.5642340000004</v>
          </cell>
          <cell r="AB1477">
            <v>4579.0805440000004</v>
          </cell>
          <cell r="AC1477">
            <v>4595.0510109999996</v>
          </cell>
          <cell r="AD1477">
            <v>4609.7807519999997</v>
          </cell>
          <cell r="AE1477">
            <v>4566.4141570000002</v>
          </cell>
          <cell r="AF1477">
            <v>4555.0890019999997</v>
          </cell>
          <cell r="AG1477">
            <v>4557.9602690000002</v>
          </cell>
          <cell r="AH1477">
            <v>4566.2581019999998</v>
          </cell>
          <cell r="AI1477">
            <v>4576.2432129999997</v>
          </cell>
          <cell r="AJ1477">
            <v>4586.3805080000002</v>
          </cell>
          <cell r="AK1477">
            <v>4596.0037830000001</v>
          </cell>
          <cell r="AL1477">
            <v>4604.8168189999997</v>
          </cell>
          <cell r="AM1477">
            <v>4612.7508909999997</v>
          </cell>
          <cell r="AN1477">
            <v>4619.9155360000004</v>
          </cell>
          <cell r="AO1477">
            <v>4626.5365789999996</v>
          </cell>
        </row>
        <row r="1487">
          <cell r="F1487">
            <v>1769.125442</v>
          </cell>
          <cell r="G1487">
            <v>1823.699975</v>
          </cell>
          <cell r="H1487">
            <v>1904.1874110000001</v>
          </cell>
          <cell r="I1487">
            <v>1971.8884210000001</v>
          </cell>
          <cell r="J1487">
            <v>2015.5150430000001</v>
          </cell>
          <cell r="K1487">
            <v>2038.3940689999999</v>
          </cell>
          <cell r="L1487">
            <v>2026.0338670000001</v>
          </cell>
          <cell r="M1487">
            <v>2007.4953210000001</v>
          </cell>
          <cell r="N1487">
            <v>1991.1632030000001</v>
          </cell>
          <cell r="O1487">
            <v>1978.9085419999999</v>
          </cell>
          <cell r="P1487">
            <v>1999.964862</v>
          </cell>
          <cell r="Q1487">
            <v>1994.1732609999999</v>
          </cell>
          <cell r="R1487">
            <v>1985.739</v>
          </cell>
          <cell r="S1487">
            <v>1981.6928889999999</v>
          </cell>
          <cell r="T1487">
            <v>1982.684773</v>
          </cell>
          <cell r="U1487">
            <v>1987.234336</v>
          </cell>
          <cell r="V1487">
            <v>1993.717586</v>
          </cell>
          <cell r="W1487">
            <v>2001.1686830000001</v>
          </cell>
          <cell r="X1487">
            <v>2009.1810419999999</v>
          </cell>
          <cell r="Y1487">
            <v>2017.6335489999999</v>
          </cell>
          <cell r="Z1487">
            <v>2008.1331170000001</v>
          </cell>
          <cell r="AA1487">
            <v>2018.01064</v>
          </cell>
          <cell r="AB1487">
            <v>2033.0109629999999</v>
          </cell>
          <cell r="AC1487">
            <v>2047.7998419999999</v>
          </cell>
          <cell r="AD1487">
            <v>2060.9560959999999</v>
          </cell>
          <cell r="AE1487">
            <v>2021.4666400000001</v>
          </cell>
          <cell r="AF1487">
            <v>2013.3001670000001</v>
          </cell>
          <cell r="AG1487">
            <v>2018.4148379999999</v>
          </cell>
          <cell r="AH1487">
            <v>2028.2950719999999</v>
          </cell>
          <cell r="AI1487">
            <v>2039.33537</v>
          </cell>
          <cell r="AJ1487">
            <v>2050.1025460000001</v>
          </cell>
          <cell r="AK1487">
            <v>2060.0566269999999</v>
          </cell>
          <cell r="AL1487">
            <v>2069.0382669999999</v>
          </cell>
          <cell r="AM1487">
            <v>2077.088702</v>
          </cell>
          <cell r="AN1487">
            <v>2084.3751269999998</v>
          </cell>
          <cell r="AO1487">
            <v>2091.128674</v>
          </cell>
        </row>
        <row r="1489">
          <cell r="F1489">
            <v>868.12487880000003</v>
          </cell>
          <cell r="G1489">
            <v>860.96730460000003</v>
          </cell>
          <cell r="H1489">
            <v>851.65571120000004</v>
          </cell>
          <cell r="I1489">
            <v>843.69302449999998</v>
          </cell>
          <cell r="J1489">
            <v>838.18972459999998</v>
          </cell>
          <cell r="K1489">
            <v>835.05002460000003</v>
          </cell>
          <cell r="L1489">
            <v>833.5642732</v>
          </cell>
          <cell r="M1489">
            <v>832.93521569999996</v>
          </cell>
          <cell r="N1489">
            <v>832.65834789999997</v>
          </cell>
          <cell r="O1489">
            <v>832.51803989999996</v>
          </cell>
          <cell r="P1489">
            <v>832.65286460000004</v>
          </cell>
          <cell r="Q1489">
            <v>833.23276080000005</v>
          </cell>
          <cell r="R1489">
            <v>834.04265109999994</v>
          </cell>
          <cell r="S1489">
            <v>834.9620807</v>
          </cell>
          <cell r="T1489">
            <v>835.91328880000003</v>
          </cell>
          <cell r="U1489">
            <v>836.8429294</v>
          </cell>
          <cell r="V1489">
            <v>837.72042929999998</v>
          </cell>
          <cell r="W1489">
            <v>838.53838519999999</v>
          </cell>
          <cell r="X1489">
            <v>839.3111447</v>
          </cell>
          <cell r="Y1489">
            <v>840.06689319999998</v>
          </cell>
          <cell r="Z1489">
            <v>840.69335139999998</v>
          </cell>
          <cell r="AA1489">
            <v>841.22486700000002</v>
          </cell>
          <cell r="AB1489">
            <v>841.85021170000005</v>
          </cell>
          <cell r="AC1489">
            <v>842.62647430000004</v>
          </cell>
          <cell r="AD1489">
            <v>843.53870849999998</v>
          </cell>
          <cell r="AE1489">
            <v>844.07357500000001</v>
          </cell>
          <cell r="AF1489">
            <v>844.21096460000001</v>
          </cell>
          <cell r="AG1489">
            <v>844.19597750000003</v>
          </cell>
          <cell r="AH1489">
            <v>844.18840869999997</v>
          </cell>
          <cell r="AI1489">
            <v>844.27099299999998</v>
          </cell>
          <cell r="AJ1489">
            <v>844.46580070000005</v>
          </cell>
          <cell r="AK1489">
            <v>844.7550023</v>
          </cell>
          <cell r="AL1489">
            <v>845.10427219999997</v>
          </cell>
          <cell r="AM1489">
            <v>845.48235369999998</v>
          </cell>
          <cell r="AN1489">
            <v>845.87182949999999</v>
          </cell>
          <cell r="AO1489">
            <v>846.27023870000005</v>
          </cell>
        </row>
        <row r="1494">
          <cell r="F1494">
            <v>21273.564770000001</v>
          </cell>
          <cell r="G1494">
            <v>21209.840990000001</v>
          </cell>
          <cell r="H1494">
            <v>21142.218349999999</v>
          </cell>
          <cell r="I1494">
            <v>21127.073840000001</v>
          </cell>
          <cell r="J1494">
            <v>21167.089830000001</v>
          </cell>
          <cell r="K1494">
            <v>21247.541450000001</v>
          </cell>
          <cell r="L1494">
            <v>21360.068780000001</v>
          </cell>
          <cell r="M1494">
            <v>21474.045419999999</v>
          </cell>
          <cell r="N1494">
            <v>21579.56381</v>
          </cell>
          <cell r="O1494">
            <v>21676.98244</v>
          </cell>
          <cell r="P1494">
            <v>21755.469300000001</v>
          </cell>
          <cell r="Q1494">
            <v>21863.18707</v>
          </cell>
          <cell r="R1494">
            <v>21978.431209999999</v>
          </cell>
          <cell r="S1494">
            <v>22093.170600000001</v>
          </cell>
          <cell r="T1494">
            <v>22204.459930000001</v>
          </cell>
          <cell r="U1494">
            <v>22311.517329999999</v>
          </cell>
          <cell r="V1494">
            <v>22414.424790000001</v>
          </cell>
          <cell r="W1494">
            <v>22513.551640000001</v>
          </cell>
          <cell r="X1494">
            <v>22609.521239999998</v>
          </cell>
          <cell r="Y1494">
            <v>22703.138749999998</v>
          </cell>
          <cell r="Z1494">
            <v>22802.421419999999</v>
          </cell>
          <cell r="AA1494">
            <v>22884.505300000001</v>
          </cell>
          <cell r="AB1494">
            <v>22964.662499999999</v>
          </cell>
          <cell r="AC1494">
            <v>23047.662359999998</v>
          </cell>
          <cell r="AD1494">
            <v>23133.978800000001</v>
          </cell>
          <cell r="AE1494">
            <v>23237.833620000001</v>
          </cell>
          <cell r="AF1494">
            <v>23311.336589999999</v>
          </cell>
          <cell r="AG1494">
            <v>23371.610929999999</v>
          </cell>
          <cell r="AH1494">
            <v>23427.637289999999</v>
          </cell>
          <cell r="AI1494">
            <v>23483.703130000002</v>
          </cell>
          <cell r="AJ1494">
            <v>23541.319930000001</v>
          </cell>
          <cell r="AK1494">
            <v>23600.506290000001</v>
          </cell>
          <cell r="AL1494">
            <v>23660.709340000001</v>
          </cell>
          <cell r="AM1494">
            <v>23721.391220000001</v>
          </cell>
          <cell r="AN1494">
            <v>23782.29077</v>
          </cell>
          <cell r="AO1494">
            <v>23843.425200000001</v>
          </cell>
        </row>
        <row r="1497">
          <cell r="F1497">
            <v>43.707144669999998</v>
          </cell>
          <cell r="G1497">
            <v>44.379338859999997</v>
          </cell>
          <cell r="H1497">
            <v>45.135641120000003</v>
          </cell>
          <cell r="I1497">
            <v>45.774896480000002</v>
          </cell>
          <cell r="J1497">
            <v>46.263263449999997</v>
          </cell>
          <cell r="K1497">
            <v>46.640835070000001</v>
          </cell>
          <cell r="L1497">
            <v>46.943472149999998</v>
          </cell>
          <cell r="M1497">
            <v>47.212927309999998</v>
          </cell>
          <cell r="N1497">
            <v>47.462256940000003</v>
          </cell>
          <cell r="O1497">
            <v>47.68167313</v>
          </cell>
          <cell r="P1497">
            <v>47.876173399999999</v>
          </cell>
          <cell r="Q1497">
            <v>48.010681820000002</v>
          </cell>
          <cell r="R1497">
            <v>48.087353729999997</v>
          </cell>
          <cell r="S1497">
            <v>48.117598479999998</v>
          </cell>
          <cell r="T1497">
            <v>48.11361471</v>
          </cell>
          <cell r="U1497">
            <v>48.086041780000002</v>
          </cell>
          <cell r="V1497">
            <v>48.042835289999999</v>
          </cell>
          <cell r="W1497">
            <v>47.988652299999998</v>
          </cell>
          <cell r="X1497">
            <v>47.925716350000002</v>
          </cell>
          <cell r="Y1497">
            <v>47.85536304</v>
          </cell>
          <cell r="Z1497">
            <v>47.763135490000003</v>
          </cell>
          <cell r="AA1497">
            <v>47.669778970000003</v>
          </cell>
          <cell r="AB1497">
            <v>47.578819510000002</v>
          </cell>
          <cell r="AC1497">
            <v>47.492235520000001</v>
          </cell>
          <cell r="AD1497">
            <v>47.412471279999998</v>
          </cell>
          <cell r="AE1497">
            <v>47.293979980000003</v>
          </cell>
          <cell r="AF1497">
            <v>47.173811890000003</v>
          </cell>
          <cell r="AG1497">
            <v>47.053334360000001</v>
          </cell>
          <cell r="AH1497">
            <v>46.930216659999999</v>
          </cell>
          <cell r="AI1497">
            <v>46.80536713</v>
          </cell>
          <cell r="AJ1497">
            <v>46.682428440000002</v>
          </cell>
          <cell r="AK1497">
            <v>46.56540468</v>
          </cell>
          <cell r="AL1497">
            <v>46.45671214</v>
          </cell>
          <cell r="AM1497">
            <v>46.35642635</v>
          </cell>
          <cell r="AN1497">
            <v>46.262687749999998</v>
          </cell>
          <cell r="AO1497">
            <v>46.172790229999997</v>
          </cell>
        </row>
        <row r="1502">
          <cell r="F1502">
            <v>57.16075163</v>
          </cell>
          <cell r="G1502">
            <v>57.04108643</v>
          </cell>
          <cell r="H1502">
            <v>56.736730629999997</v>
          </cell>
          <cell r="I1502">
            <v>56.327398350000003</v>
          </cell>
          <cell r="J1502">
            <v>55.909958090000003</v>
          </cell>
          <cell r="K1502">
            <v>55.565039740000003</v>
          </cell>
          <cell r="L1502">
            <v>55.32097023</v>
          </cell>
          <cell r="M1502">
            <v>55.1769897</v>
          </cell>
          <cell r="N1502">
            <v>55.100497420000004</v>
          </cell>
          <cell r="O1502">
            <v>55.044663730000003</v>
          </cell>
          <cell r="P1502">
            <v>54.984645479999998</v>
          </cell>
          <cell r="Q1502">
            <v>54.889181989999997</v>
          </cell>
          <cell r="R1502">
            <v>54.753180280000002</v>
          </cell>
          <cell r="S1502">
            <v>54.585894690000003</v>
          </cell>
          <cell r="T1502">
            <v>54.398748679999997</v>
          </cell>
          <cell r="U1502">
            <v>54.200984910000003</v>
          </cell>
          <cell r="V1502">
            <v>53.998382059999997</v>
          </cell>
          <cell r="W1502">
            <v>53.79333974</v>
          </cell>
          <cell r="X1502">
            <v>53.586429940000002</v>
          </cell>
          <cell r="Y1502">
            <v>53.378245730000003</v>
          </cell>
          <cell r="Z1502">
            <v>53.158049630000001</v>
          </cell>
          <cell r="AA1502">
            <v>52.938368070000003</v>
          </cell>
          <cell r="AB1502">
            <v>52.726572599999997</v>
          </cell>
          <cell r="AC1502">
            <v>52.527145130000001</v>
          </cell>
          <cell r="AD1502">
            <v>52.343252819999996</v>
          </cell>
          <cell r="AE1502">
            <v>52.137670040000003</v>
          </cell>
          <cell r="AF1502">
            <v>51.928823209999997</v>
          </cell>
          <cell r="AG1502">
            <v>51.719189380000003</v>
          </cell>
          <cell r="AH1502">
            <v>51.509111470000001</v>
          </cell>
          <cell r="AI1502">
            <v>51.302134889999998</v>
          </cell>
          <cell r="AJ1502">
            <v>51.103886920000001</v>
          </cell>
          <cell r="AK1502">
            <v>50.919206240000001</v>
          </cell>
          <cell r="AL1502">
            <v>50.750099249999998</v>
          </cell>
          <cell r="AM1502">
            <v>50.595348280000003</v>
          </cell>
          <cell r="AN1502">
            <v>50.45147188</v>
          </cell>
          <cell r="AO1502">
            <v>50.314486770000002</v>
          </cell>
        </row>
        <row r="1512">
          <cell r="F1512">
            <v>1960604.2250000001</v>
          </cell>
          <cell r="G1512">
            <v>1975296.787</v>
          </cell>
          <cell r="H1512">
            <v>2000443.635</v>
          </cell>
          <cell r="I1512">
            <v>2031861.784</v>
          </cell>
          <cell r="J1512">
            <v>2066141.7620000001</v>
          </cell>
          <cell r="K1512">
            <v>2100989.1379999998</v>
          </cell>
          <cell r="L1512">
            <v>2108216.6949999998</v>
          </cell>
          <cell r="M1512">
            <v>2122139.7140000002</v>
          </cell>
          <cell r="N1512">
            <v>2140011.202</v>
          </cell>
          <cell r="O1512">
            <v>2165075.7200000002</v>
          </cell>
          <cell r="P1512">
            <v>2200164.568</v>
          </cell>
          <cell r="Q1512">
            <v>2239744.9589999998</v>
          </cell>
          <cell r="R1512">
            <v>2282705.3489999999</v>
          </cell>
          <cell r="S1512">
            <v>2325689.0520000001</v>
          </cell>
          <cell r="T1512">
            <v>2366767.1060000001</v>
          </cell>
          <cell r="U1512">
            <v>2405373.7420000001</v>
          </cell>
          <cell r="V1512">
            <v>2442089.2110000001</v>
          </cell>
          <cell r="W1512">
            <v>2478099.3119999999</v>
          </cell>
          <cell r="X1512">
            <v>2514588.2409999999</v>
          </cell>
          <cell r="Y1512">
            <v>2552323.3730000001</v>
          </cell>
          <cell r="Z1512">
            <v>2589605.2000000002</v>
          </cell>
          <cell r="AA1512">
            <v>2629688.0440000002</v>
          </cell>
          <cell r="AB1512">
            <v>2670903.3319999999</v>
          </cell>
          <cell r="AC1512">
            <v>2712908.659</v>
          </cell>
          <cell r="AD1512">
            <v>2755381.304</v>
          </cell>
          <cell r="AE1512">
            <v>2791703.034</v>
          </cell>
          <cell r="AF1512">
            <v>2832106.5240000002</v>
          </cell>
          <cell r="AG1512">
            <v>2872751.4449999998</v>
          </cell>
          <cell r="AH1512">
            <v>2914403.5350000001</v>
          </cell>
          <cell r="AI1512">
            <v>2957082.9890000001</v>
          </cell>
          <cell r="AJ1512">
            <v>3000506.2310000001</v>
          </cell>
          <cell r="AK1512">
            <v>3044347.21</v>
          </cell>
          <cell r="AL1512">
            <v>3088404.9530000002</v>
          </cell>
          <cell r="AM1512">
            <v>3132665.5090000001</v>
          </cell>
          <cell r="AN1512">
            <v>3177268.0619999999</v>
          </cell>
          <cell r="AO1512">
            <v>3222415.54</v>
          </cell>
        </row>
        <row r="1513">
          <cell r="F1513">
            <v>35216.957049999997</v>
          </cell>
          <cell r="G1513">
            <v>34888.328229999999</v>
          </cell>
          <cell r="H1513">
            <v>34823.031900000002</v>
          </cell>
          <cell r="I1513">
            <v>34902.869680000003</v>
          </cell>
          <cell r="J1513">
            <v>35106.828690000002</v>
          </cell>
          <cell r="K1513">
            <v>35392.566500000001</v>
          </cell>
          <cell r="L1513">
            <v>32808.06854</v>
          </cell>
          <cell r="M1513">
            <v>32295.18303</v>
          </cell>
          <cell r="N1513">
            <v>31930.480660000001</v>
          </cell>
          <cell r="O1513">
            <v>31665.19382</v>
          </cell>
          <cell r="P1513">
            <v>31581.67182</v>
          </cell>
          <cell r="Q1513">
            <v>31611.954180000001</v>
          </cell>
          <cell r="R1513">
            <v>31757.162830000001</v>
          </cell>
          <cell r="S1513">
            <v>31973.861000000001</v>
          </cell>
          <cell r="T1513">
            <v>32221.14616</v>
          </cell>
          <cell r="U1513">
            <v>32468.36261</v>
          </cell>
          <cell r="V1513">
            <v>32697.815320000002</v>
          </cell>
          <cell r="W1513">
            <v>32902.868540000003</v>
          </cell>
          <cell r="X1513">
            <v>33083.567419999999</v>
          </cell>
          <cell r="Y1513">
            <v>33242.505319999997</v>
          </cell>
          <cell r="Z1513">
            <v>33351.52203</v>
          </cell>
          <cell r="AA1513">
            <v>33468.878470000003</v>
          </cell>
          <cell r="AB1513">
            <v>33577.127529999998</v>
          </cell>
          <cell r="AC1513">
            <v>33680.789879999997</v>
          </cell>
          <cell r="AD1513">
            <v>33783.311419999998</v>
          </cell>
          <cell r="AE1513">
            <v>33801.384169999998</v>
          </cell>
          <cell r="AF1513">
            <v>33857.632039999997</v>
          </cell>
          <cell r="AG1513">
            <v>33925.628400000001</v>
          </cell>
          <cell r="AH1513">
            <v>34011.414239999998</v>
          </cell>
          <cell r="AI1513">
            <v>34114.087399999997</v>
          </cell>
          <cell r="AJ1513">
            <v>34229.158470000002</v>
          </cell>
          <cell r="AK1513">
            <v>34350.843840000001</v>
          </cell>
          <cell r="AL1513">
            <v>34473.999479999999</v>
          </cell>
          <cell r="AM1513">
            <v>34595.15582</v>
          </cell>
          <cell r="AN1513">
            <v>34712.645060000003</v>
          </cell>
          <cell r="AO1513">
            <v>34826.129200000003</v>
          </cell>
        </row>
        <row r="1516">
          <cell r="F1516">
            <v>335588.18589999998</v>
          </cell>
          <cell r="G1516">
            <v>343492.69660000002</v>
          </cell>
          <cell r="H1516">
            <v>352387.23839999997</v>
          </cell>
          <cell r="I1516">
            <v>358976.99560000002</v>
          </cell>
          <cell r="J1516">
            <v>364566.33689999999</v>
          </cell>
          <cell r="K1516">
            <v>369789.86580000003</v>
          </cell>
          <cell r="L1516">
            <v>367323.00429999997</v>
          </cell>
          <cell r="M1516">
            <v>367391.0122</v>
          </cell>
          <cell r="N1516">
            <v>368405.28120000003</v>
          </cell>
          <cell r="O1516">
            <v>370839.2818</v>
          </cell>
          <cell r="P1516">
            <v>379149.92479999998</v>
          </cell>
          <cell r="Q1516">
            <v>381722.33039999998</v>
          </cell>
          <cell r="R1516">
            <v>387186.84519999998</v>
          </cell>
          <cell r="S1516">
            <v>393400.13219999999</v>
          </cell>
          <cell r="T1516">
            <v>399619.8553</v>
          </cell>
          <cell r="U1516">
            <v>405568.01260000002</v>
          </cell>
          <cell r="V1516">
            <v>411241.6642</v>
          </cell>
          <cell r="W1516">
            <v>416787.0773</v>
          </cell>
          <cell r="X1516">
            <v>422382.63079999998</v>
          </cell>
          <cell r="Y1516">
            <v>428157.08760000003</v>
          </cell>
          <cell r="Z1516">
            <v>431066.58480000001</v>
          </cell>
          <cell r="AA1516">
            <v>439103.16440000001</v>
          </cell>
          <cell r="AB1516">
            <v>446028.09409999999</v>
          </cell>
          <cell r="AC1516">
            <v>452700.17660000001</v>
          </cell>
          <cell r="AD1516">
            <v>459308.5784</v>
          </cell>
          <cell r="AE1516">
            <v>456843.6545</v>
          </cell>
          <cell r="AF1516">
            <v>465162.76409999997</v>
          </cell>
          <cell r="AG1516">
            <v>472017.40870000003</v>
          </cell>
          <cell r="AH1516">
            <v>478669.61</v>
          </cell>
          <cell r="AI1516">
            <v>485374.28409999999</v>
          </cell>
          <cell r="AJ1516">
            <v>492159.42800000001</v>
          </cell>
          <cell r="AK1516">
            <v>498995.48690000002</v>
          </cell>
          <cell r="AL1516">
            <v>505854.07260000001</v>
          </cell>
          <cell r="AM1516">
            <v>512730.70860000001</v>
          </cell>
          <cell r="AN1516">
            <v>519645.52269999997</v>
          </cell>
          <cell r="AO1516">
            <v>526631.13410000002</v>
          </cell>
        </row>
        <row r="1526">
          <cell r="F1526">
            <v>107996.9336</v>
          </cell>
          <cell r="G1526">
            <v>115525.0316</v>
          </cell>
          <cell r="H1526">
            <v>122378.29949999999</v>
          </cell>
          <cell r="I1526">
            <v>126328.96829999999</v>
          </cell>
          <cell r="J1526">
            <v>128927.59269999999</v>
          </cell>
          <cell r="K1526">
            <v>130983.48540000001</v>
          </cell>
          <cell r="L1526">
            <v>128114.363</v>
          </cell>
          <cell r="M1526">
            <v>127604.7363</v>
          </cell>
          <cell r="N1526">
            <v>127844.51519999999</v>
          </cell>
          <cell r="O1526">
            <v>128841.292</v>
          </cell>
          <cell r="P1526">
            <v>134318.3486</v>
          </cell>
          <cell r="Q1526">
            <v>134040.93729999999</v>
          </cell>
          <cell r="R1526">
            <v>136104.2377</v>
          </cell>
          <cell r="S1526">
            <v>138676.36869999999</v>
          </cell>
          <cell r="T1526">
            <v>141255.7414</v>
          </cell>
          <cell r="U1526">
            <v>143679.0312</v>
          </cell>
          <cell r="V1526">
            <v>145947.96400000001</v>
          </cell>
          <cell r="W1526">
            <v>148145.11559999999</v>
          </cell>
          <cell r="X1526">
            <v>150367.49400000001</v>
          </cell>
          <cell r="Y1526">
            <v>152683.66459999999</v>
          </cell>
          <cell r="Z1526">
            <v>152465.32670000001</v>
          </cell>
          <cell r="AA1526">
            <v>156762.9987</v>
          </cell>
          <cell r="AB1526">
            <v>159901.26819999999</v>
          </cell>
          <cell r="AC1526">
            <v>162756.1188</v>
          </cell>
          <cell r="AD1526">
            <v>165521.11129999999</v>
          </cell>
          <cell r="AE1526">
            <v>160493.0503</v>
          </cell>
          <cell r="AF1526">
            <v>165206.28</v>
          </cell>
          <cell r="AG1526">
            <v>168413.03330000001</v>
          </cell>
          <cell r="AH1526">
            <v>171346.7211</v>
          </cell>
          <cell r="AI1526">
            <v>174238.25520000001</v>
          </cell>
          <cell r="AJ1526">
            <v>177128.7843</v>
          </cell>
          <cell r="AK1526">
            <v>180014.2745</v>
          </cell>
          <cell r="AL1526">
            <v>182886.5239</v>
          </cell>
          <cell r="AM1526">
            <v>185747.79319999999</v>
          </cell>
          <cell r="AN1526">
            <v>188611.92259999999</v>
          </cell>
          <cell r="AO1526">
            <v>191498.15909999999</v>
          </cell>
        </row>
        <row r="1528">
          <cell r="F1528">
            <v>52068.478779999998</v>
          </cell>
          <cell r="G1528">
            <v>51962.756600000001</v>
          </cell>
          <cell r="H1528">
            <v>52175.11735</v>
          </cell>
          <cell r="I1528">
            <v>52613.396520000002</v>
          </cell>
          <cell r="J1528">
            <v>53189.805610000003</v>
          </cell>
          <cell r="K1528">
            <v>53836.557950000002</v>
          </cell>
          <cell r="L1528">
            <v>54033.067949999997</v>
          </cell>
          <cell r="M1528">
            <v>54294.950989999998</v>
          </cell>
          <cell r="N1528">
            <v>54627.652150000002</v>
          </cell>
          <cell r="O1528">
            <v>55102.876219999998</v>
          </cell>
          <cell r="P1528">
            <v>55773.22928</v>
          </cell>
          <cell r="Q1528">
            <v>56581.69988</v>
          </cell>
          <cell r="R1528">
            <v>57459.408340000002</v>
          </cell>
          <cell r="S1528">
            <v>58354.172169999998</v>
          </cell>
          <cell r="T1528">
            <v>59227.658649999998</v>
          </cell>
          <cell r="U1528">
            <v>60063.991670000003</v>
          </cell>
          <cell r="V1528">
            <v>60869.247819999997</v>
          </cell>
          <cell r="W1528">
            <v>61662.849770000001</v>
          </cell>
          <cell r="X1528">
            <v>62466.336940000001</v>
          </cell>
          <cell r="Y1528">
            <v>63294.815569999999</v>
          </cell>
          <cell r="Z1528">
            <v>64125.695489999998</v>
          </cell>
          <cell r="AA1528">
            <v>64989.760090000003</v>
          </cell>
          <cell r="AB1528">
            <v>65888.402879999994</v>
          </cell>
          <cell r="AC1528">
            <v>66808.981639999998</v>
          </cell>
          <cell r="AD1528">
            <v>67742.485769999999</v>
          </cell>
          <cell r="AE1528">
            <v>68592.967250000002</v>
          </cell>
          <cell r="AF1528">
            <v>69450.986290000001</v>
          </cell>
          <cell r="AG1528">
            <v>70330.926139999996</v>
          </cell>
          <cell r="AH1528">
            <v>71237.147280000005</v>
          </cell>
          <cell r="AI1528">
            <v>72167.850409999999</v>
          </cell>
          <cell r="AJ1528">
            <v>73117.340540000005</v>
          </cell>
          <cell r="AK1528">
            <v>74079.144899999999</v>
          </cell>
          <cell r="AL1528">
            <v>75048.885909999997</v>
          </cell>
          <cell r="AM1528">
            <v>76025.614499999996</v>
          </cell>
          <cell r="AN1528">
            <v>77011.407930000001</v>
          </cell>
          <cell r="AO1528">
            <v>78009.831510000004</v>
          </cell>
        </row>
        <row r="1533">
          <cell r="F1533">
            <v>1520101.6240000001</v>
          </cell>
          <cell r="G1533">
            <v>1527016.628</v>
          </cell>
          <cell r="H1533">
            <v>1542992.7949999999</v>
          </cell>
          <cell r="I1533">
            <v>1567180.8130000001</v>
          </cell>
          <cell r="J1533">
            <v>1594943.175</v>
          </cell>
          <cell r="K1533">
            <v>1623448.9380000001</v>
          </cell>
          <cell r="L1533">
            <v>1635079.63</v>
          </cell>
          <cell r="M1533">
            <v>1648997.781</v>
          </cell>
          <cell r="N1533">
            <v>1665738.186</v>
          </cell>
          <cell r="O1533">
            <v>1688061.649</v>
          </cell>
          <cell r="P1533">
            <v>1714176.2150000001</v>
          </cell>
          <cell r="Q1533">
            <v>1750286.33</v>
          </cell>
          <cell r="R1533">
            <v>1786671.905</v>
          </cell>
          <cell r="S1533">
            <v>1822205.0090000001</v>
          </cell>
          <cell r="T1533">
            <v>1855780.45</v>
          </cell>
          <cell r="U1533">
            <v>1887167.997</v>
          </cell>
          <cell r="V1533">
            <v>1916978.091</v>
          </cell>
          <cell r="W1533">
            <v>1946248.946</v>
          </cell>
          <cell r="X1533">
            <v>1975970.203</v>
          </cell>
          <cell r="Y1533">
            <v>2006762.2609999999</v>
          </cell>
          <cell r="Z1533">
            <v>2040030.43</v>
          </cell>
          <cell r="AA1533">
            <v>2070914.62</v>
          </cell>
          <cell r="AB1533">
            <v>2104013.8390000002</v>
          </cell>
          <cell r="AC1533">
            <v>2138131.1540000001</v>
          </cell>
          <cell r="AD1533">
            <v>2172759.5279999999</v>
          </cell>
          <cell r="AE1533">
            <v>2210516.9939999999</v>
          </cell>
          <cell r="AF1533">
            <v>2241495.0419999999</v>
          </cell>
          <cell r="AG1533">
            <v>2274153.5809999998</v>
          </cell>
          <cell r="AH1533">
            <v>2307981.0440000002</v>
          </cell>
          <cell r="AI1533">
            <v>2342740.0240000002</v>
          </cell>
          <cell r="AJ1533">
            <v>2378124.949</v>
          </cell>
          <cell r="AK1533">
            <v>2413849.5690000001</v>
          </cell>
          <cell r="AL1533">
            <v>2449751.0350000001</v>
          </cell>
          <cell r="AM1533">
            <v>2485826.156</v>
          </cell>
          <cell r="AN1533">
            <v>2522195.7540000002</v>
          </cell>
          <cell r="AO1533">
            <v>2559028.5060000001</v>
          </cell>
        </row>
        <row r="1536">
          <cell r="F1536">
            <v>3894.6733939999999</v>
          </cell>
          <cell r="G1536">
            <v>4108.4823660000002</v>
          </cell>
          <cell r="H1536">
            <v>4182.6041459999997</v>
          </cell>
          <cell r="I1536">
            <v>4250.4030339999999</v>
          </cell>
          <cell r="J1536">
            <v>4324.3957710000004</v>
          </cell>
          <cell r="K1536">
            <v>4404.817677</v>
          </cell>
          <cell r="L1536">
            <v>4563.3940060000004</v>
          </cell>
          <cell r="M1536">
            <v>4621.8695109999999</v>
          </cell>
          <cell r="N1536">
            <v>4680.8207249999996</v>
          </cell>
          <cell r="O1536">
            <v>4729.124444</v>
          </cell>
          <cell r="P1536">
            <v>4777.9216479999995</v>
          </cell>
          <cell r="Q1536">
            <v>4812.7410890000001</v>
          </cell>
          <cell r="R1536">
            <v>4856.5310200000004</v>
          </cell>
          <cell r="S1536">
            <v>4907.6773569999996</v>
          </cell>
          <cell r="T1536">
            <v>4964.5011789999999</v>
          </cell>
          <cell r="U1536">
            <v>5024.4829840000002</v>
          </cell>
          <cell r="V1536">
            <v>5084.7870569999995</v>
          </cell>
          <cell r="W1536">
            <v>5143.5214729999998</v>
          </cell>
          <cell r="X1536">
            <v>5200.1495430000004</v>
          </cell>
          <cell r="Y1536">
            <v>5255.2851380000002</v>
          </cell>
          <cell r="Z1536">
            <v>5302.6993039999998</v>
          </cell>
          <cell r="AA1536">
            <v>5361.382044</v>
          </cell>
          <cell r="AB1536">
            <v>5418.1320669999996</v>
          </cell>
          <cell r="AC1536">
            <v>5475.8706750000001</v>
          </cell>
          <cell r="AD1536">
            <v>5535.1835039999996</v>
          </cell>
          <cell r="AE1536">
            <v>5573.1046859999997</v>
          </cell>
          <cell r="AF1536">
            <v>5634.7454200000002</v>
          </cell>
          <cell r="AG1536">
            <v>5689.9192899999998</v>
          </cell>
          <cell r="AH1536">
            <v>5743.0869739999998</v>
          </cell>
          <cell r="AI1536">
            <v>5796.5571819999996</v>
          </cell>
          <cell r="AJ1536">
            <v>5851.4375689999997</v>
          </cell>
          <cell r="AK1536">
            <v>5908.0793279999998</v>
          </cell>
          <cell r="AL1536">
            <v>5966.3076739999997</v>
          </cell>
          <cell r="AM1536">
            <v>6025.672654</v>
          </cell>
          <cell r="AN1536">
            <v>6085.7131589999999</v>
          </cell>
          <cell r="AO1536">
            <v>6146.1406900000002</v>
          </cell>
        </row>
        <row r="1541">
          <cell r="F1541">
            <v>13734.305340000001</v>
          </cell>
          <cell r="G1541">
            <v>13827.89457</v>
          </cell>
          <cell r="H1541">
            <v>13882.847470000001</v>
          </cell>
          <cell r="I1541">
            <v>13937.306500000001</v>
          </cell>
          <cell r="J1541">
            <v>14011.220740000001</v>
          </cell>
          <cell r="K1541">
            <v>14116.39186</v>
          </cell>
          <cell r="L1541">
            <v>14409.53004</v>
          </cell>
          <cell r="M1541">
            <v>14538.917090000001</v>
          </cell>
          <cell r="N1541">
            <v>14628.78083</v>
          </cell>
          <cell r="O1541">
            <v>14677.594940000001</v>
          </cell>
          <cell r="P1541">
            <v>14705.606030000001</v>
          </cell>
          <cell r="Q1541">
            <v>14729.903679999999</v>
          </cell>
          <cell r="R1541">
            <v>14773.49696</v>
          </cell>
          <cell r="S1541">
            <v>14848.20024</v>
          </cell>
          <cell r="T1541">
            <v>14953.49512</v>
          </cell>
          <cell r="U1541">
            <v>15080.895500000001</v>
          </cell>
          <cell r="V1541">
            <v>15217.606379999999</v>
          </cell>
          <cell r="W1541">
            <v>15354.04926</v>
          </cell>
          <cell r="X1541">
            <v>15485.353590000001</v>
          </cell>
          <cell r="Y1541">
            <v>15611.418320000001</v>
          </cell>
          <cell r="Z1541">
            <v>15728.26809</v>
          </cell>
          <cell r="AA1541">
            <v>15850.238450000001</v>
          </cell>
          <cell r="AB1541">
            <v>15977.737220000001</v>
          </cell>
          <cell r="AC1541">
            <v>16111.68556</v>
          </cell>
          <cell r="AD1541">
            <v>16252.217570000001</v>
          </cell>
          <cell r="AE1541">
            <v>16374.92885</v>
          </cell>
          <cell r="AF1541">
            <v>16505.35398</v>
          </cell>
          <cell r="AG1541">
            <v>16633.98214</v>
          </cell>
          <cell r="AH1541">
            <v>16761.232029999999</v>
          </cell>
          <cell r="AI1541">
            <v>16890.185809999999</v>
          </cell>
          <cell r="AJ1541">
            <v>17023.917030000001</v>
          </cell>
          <cell r="AK1541">
            <v>17164.086080000001</v>
          </cell>
          <cell r="AL1541">
            <v>17310.65237</v>
          </cell>
          <cell r="AM1541">
            <v>17462.201150000001</v>
          </cell>
          <cell r="AN1541">
            <v>17617.019359999998</v>
          </cell>
          <cell r="AO1541">
            <v>17773.799279999999</v>
          </cell>
        </row>
        <row r="1551">
          <cell r="F1551">
            <v>1960604.2250000001</v>
          </cell>
          <cell r="G1551">
            <v>1975296.787</v>
          </cell>
          <cell r="H1551">
            <v>2000443.635</v>
          </cell>
          <cell r="I1551">
            <v>2031861.784</v>
          </cell>
          <cell r="J1551">
            <v>2066141.7620000001</v>
          </cell>
          <cell r="K1551">
            <v>2100989.1379999998</v>
          </cell>
          <cell r="L1551">
            <v>2133036.0109999999</v>
          </cell>
          <cell r="M1551">
            <v>2163328.9070000001</v>
          </cell>
          <cell r="N1551">
            <v>2192133.6239999998</v>
          </cell>
          <cell r="O1551">
            <v>2220902.5839999998</v>
          </cell>
          <cell r="P1551">
            <v>2253203.9210000001</v>
          </cell>
          <cell r="Q1551">
            <v>2285967.3470000001</v>
          </cell>
          <cell r="R1551">
            <v>2320717.7280000001</v>
          </cell>
          <cell r="S1551">
            <v>2356620.8130000001</v>
          </cell>
          <cell r="T1551">
            <v>2393284.27</v>
          </cell>
          <cell r="U1551">
            <v>2430479.6009999998</v>
          </cell>
          <cell r="V1551">
            <v>2468139.16</v>
          </cell>
          <cell r="W1551">
            <v>2506320.79</v>
          </cell>
          <cell r="X1551">
            <v>2545138.3659999999</v>
          </cell>
          <cell r="Y1551">
            <v>2584688.6009999998</v>
          </cell>
          <cell r="Z1551">
            <v>2623047.747</v>
          </cell>
          <cell r="AA1551">
            <v>2663680.85</v>
          </cell>
          <cell r="AB1551">
            <v>2705213.06</v>
          </cell>
          <cell r="AC1551">
            <v>2747563.2769999998</v>
          </cell>
          <cell r="AD1551">
            <v>2790517.5290000001</v>
          </cell>
          <cell r="AE1551">
            <v>2827358.7889999999</v>
          </cell>
          <cell r="AF1551">
            <v>2868224.7940000002</v>
          </cell>
          <cell r="AG1551">
            <v>2909183.2089999998</v>
          </cell>
          <cell r="AH1551">
            <v>2950965.8429999999</v>
          </cell>
          <cell r="AI1551">
            <v>2993627.0860000001</v>
          </cell>
          <cell r="AJ1551">
            <v>3036962.8590000002</v>
          </cell>
          <cell r="AK1551">
            <v>3080736.08</v>
          </cell>
          <cell r="AL1551">
            <v>3124811.0460000001</v>
          </cell>
          <cell r="AM1551">
            <v>3169197.5090000001</v>
          </cell>
          <cell r="AN1551">
            <v>3214017.8960000002</v>
          </cell>
          <cell r="AO1551">
            <v>3259433.7069999999</v>
          </cell>
        </row>
        <row r="1552">
          <cell r="F1552">
            <v>35216.957049999997</v>
          </cell>
          <cell r="G1552">
            <v>34888.328229999999</v>
          </cell>
          <cell r="H1552">
            <v>34823.031900000002</v>
          </cell>
          <cell r="I1552">
            <v>34902.869680000003</v>
          </cell>
          <cell r="J1552">
            <v>35106.828690000002</v>
          </cell>
          <cell r="K1552">
            <v>35392.566500000001</v>
          </cell>
          <cell r="L1552">
            <v>35683.498209999998</v>
          </cell>
          <cell r="M1552">
            <v>35961.297830000003</v>
          </cell>
          <cell r="N1552">
            <v>36206.028169999998</v>
          </cell>
          <cell r="O1552">
            <v>36414.028689999999</v>
          </cell>
          <cell r="P1552">
            <v>36639.226759999998</v>
          </cell>
          <cell r="Q1552">
            <v>36802.040050000003</v>
          </cell>
          <cell r="R1552">
            <v>36935.65047</v>
          </cell>
          <cell r="S1552">
            <v>37041.945469999999</v>
          </cell>
          <cell r="T1552">
            <v>37127.4398</v>
          </cell>
          <cell r="U1552">
            <v>37201.015509999997</v>
          </cell>
          <cell r="V1552">
            <v>37272.634059999997</v>
          </cell>
          <cell r="W1552">
            <v>37351.597529999999</v>
          </cell>
          <cell r="X1552">
            <v>37445.01773</v>
          </cell>
          <cell r="Y1552">
            <v>37556.894370000002</v>
          </cell>
          <cell r="Z1552">
            <v>37653.724170000001</v>
          </cell>
          <cell r="AA1552">
            <v>37794.280630000001</v>
          </cell>
          <cell r="AB1552">
            <v>37952.787960000001</v>
          </cell>
          <cell r="AC1552">
            <v>38125.053399999997</v>
          </cell>
          <cell r="AD1552">
            <v>38304.677830000001</v>
          </cell>
          <cell r="AE1552">
            <v>38389.321759999999</v>
          </cell>
          <cell r="AF1552">
            <v>38504.913240000002</v>
          </cell>
          <cell r="AG1552">
            <v>38618.458709999999</v>
          </cell>
          <cell r="AH1552">
            <v>38735.09792</v>
          </cell>
          <cell r="AI1552">
            <v>38855.069710000003</v>
          </cell>
          <cell r="AJ1552">
            <v>38976.54451</v>
          </cell>
          <cell r="AK1552">
            <v>39097.159399999997</v>
          </cell>
          <cell r="AL1552">
            <v>39215.27233</v>
          </cell>
          <cell r="AM1552">
            <v>39330.49179</v>
          </cell>
          <cell r="AN1552">
            <v>39443.51139</v>
          </cell>
          <cell r="AO1552">
            <v>39555.547919999997</v>
          </cell>
        </row>
        <row r="1555">
          <cell r="F1555">
            <v>335588.18589999998</v>
          </cell>
          <cell r="G1555">
            <v>343492.69660000002</v>
          </cell>
          <cell r="H1555">
            <v>352387.23839999997</v>
          </cell>
          <cell r="I1555">
            <v>358976.99560000002</v>
          </cell>
          <cell r="J1555">
            <v>364566.33689999999</v>
          </cell>
          <cell r="K1555">
            <v>369789.86580000003</v>
          </cell>
          <cell r="L1555">
            <v>371798.23950000003</v>
          </cell>
          <cell r="M1555">
            <v>375443.84570000001</v>
          </cell>
          <cell r="N1555">
            <v>379313.79460000002</v>
          </cell>
          <cell r="O1555">
            <v>383302.56719999999</v>
          </cell>
          <cell r="P1555">
            <v>391869.80940000003</v>
          </cell>
          <cell r="Q1555">
            <v>393716.30249999999</v>
          </cell>
          <cell r="R1555">
            <v>397944.19439999998</v>
          </cell>
          <cell r="S1555">
            <v>402892.14620000002</v>
          </cell>
          <cell r="T1555">
            <v>408168.61930000002</v>
          </cell>
          <cell r="U1555">
            <v>413593.87780000002</v>
          </cell>
          <cell r="V1555">
            <v>419102.2501</v>
          </cell>
          <cell r="W1555">
            <v>424711.87150000001</v>
          </cell>
          <cell r="X1555">
            <v>430455.44510000001</v>
          </cell>
          <cell r="Y1555">
            <v>436355.4387</v>
          </cell>
          <cell r="Z1555">
            <v>439320.9363</v>
          </cell>
          <cell r="AA1555">
            <v>447368.9253</v>
          </cell>
          <cell r="AB1555">
            <v>454295.1703</v>
          </cell>
          <cell r="AC1555">
            <v>460997.24160000001</v>
          </cell>
          <cell r="AD1555">
            <v>467678.58630000002</v>
          </cell>
          <cell r="AE1555">
            <v>465304.39390000002</v>
          </cell>
          <cell r="AF1555">
            <v>473717.44799999997</v>
          </cell>
          <cell r="AG1555">
            <v>480645.26419999998</v>
          </cell>
          <cell r="AH1555">
            <v>487340.21909999999</v>
          </cell>
          <cell r="AI1555">
            <v>494058.92310000001</v>
          </cell>
          <cell r="AJ1555">
            <v>500840.40820000001</v>
          </cell>
          <cell r="AK1555">
            <v>507669.68030000001</v>
          </cell>
          <cell r="AL1555">
            <v>514530.33519999997</v>
          </cell>
          <cell r="AM1555">
            <v>521423.46100000001</v>
          </cell>
          <cell r="AN1555">
            <v>528367.78799999994</v>
          </cell>
          <cell r="AO1555">
            <v>535389.75540000002</v>
          </cell>
        </row>
        <row r="1565">
          <cell r="F1565">
            <v>107996.9336</v>
          </cell>
          <cell r="G1565">
            <v>115525.0316</v>
          </cell>
          <cell r="H1565">
            <v>122378.29949999999</v>
          </cell>
          <cell r="I1565">
            <v>126328.96829999999</v>
          </cell>
          <cell r="J1565">
            <v>128927.59269999999</v>
          </cell>
          <cell r="K1565">
            <v>130983.48540000001</v>
          </cell>
          <cell r="L1565">
            <v>130211.8671</v>
          </cell>
          <cell r="M1565">
            <v>131092.32930000001</v>
          </cell>
          <cell r="N1565">
            <v>132276.56479999999</v>
          </cell>
          <cell r="O1565">
            <v>133601.03400000001</v>
          </cell>
          <cell r="P1565">
            <v>138826.1532</v>
          </cell>
          <cell r="Q1565">
            <v>137905.42610000001</v>
          </cell>
          <cell r="R1565">
            <v>139163.9901</v>
          </cell>
          <cell r="S1565">
            <v>141011.61040000001</v>
          </cell>
          <cell r="T1565">
            <v>143114.1998</v>
          </cell>
          <cell r="U1565">
            <v>145319.16579999999</v>
          </cell>
          <cell r="V1565">
            <v>147566.1563</v>
          </cell>
          <cell r="W1565">
            <v>149863.06779999999</v>
          </cell>
          <cell r="X1565">
            <v>152227.03950000001</v>
          </cell>
          <cell r="Y1565">
            <v>154667.6666</v>
          </cell>
          <cell r="Z1565">
            <v>154533.61429999999</v>
          </cell>
          <cell r="AA1565">
            <v>158877.6299</v>
          </cell>
          <cell r="AB1565">
            <v>162045.4883</v>
          </cell>
          <cell r="AC1565">
            <v>164934.07139999999</v>
          </cell>
          <cell r="AD1565">
            <v>167745.46489999999</v>
          </cell>
          <cell r="AE1565">
            <v>162775.01060000001</v>
          </cell>
          <cell r="AF1565">
            <v>167532.47769999999</v>
          </cell>
          <cell r="AG1565">
            <v>170767.5387</v>
          </cell>
          <cell r="AH1565">
            <v>173709.6568</v>
          </cell>
          <cell r="AI1565">
            <v>176591.79800000001</v>
          </cell>
          <cell r="AJ1565">
            <v>179461.92300000001</v>
          </cell>
          <cell r="AK1565">
            <v>182324.38990000001</v>
          </cell>
          <cell r="AL1565">
            <v>185177.70050000001</v>
          </cell>
          <cell r="AM1565">
            <v>188027.15700000001</v>
          </cell>
          <cell r="AN1565">
            <v>190885.83850000001</v>
          </cell>
          <cell r="AO1565">
            <v>193769.71849999999</v>
          </cell>
        </row>
        <row r="1567">
          <cell r="F1567">
            <v>52068.478779999998</v>
          </cell>
          <cell r="G1567">
            <v>51962.756600000001</v>
          </cell>
          <cell r="H1567">
            <v>52175.11735</v>
          </cell>
          <cell r="I1567">
            <v>52613.396520000002</v>
          </cell>
          <cell r="J1567">
            <v>53189.805610000003</v>
          </cell>
          <cell r="K1567">
            <v>53836.557950000002</v>
          </cell>
          <cell r="L1567">
            <v>54483.6633</v>
          </cell>
          <cell r="M1567">
            <v>55107.413630000003</v>
          </cell>
          <cell r="N1567">
            <v>55716.331630000001</v>
          </cell>
          <cell r="O1567">
            <v>56333.505510000003</v>
          </cell>
          <cell r="P1567">
            <v>57014.624889999999</v>
          </cell>
          <cell r="Q1567">
            <v>57740.827920000003</v>
          </cell>
          <cell r="R1567">
            <v>58493.384740000001</v>
          </cell>
          <cell r="S1567">
            <v>59268.398569999998</v>
          </cell>
          <cell r="T1567">
            <v>60060.086790000001</v>
          </cell>
          <cell r="U1567">
            <v>60864.08582</v>
          </cell>
          <cell r="V1567">
            <v>61678.720829999998</v>
          </cell>
          <cell r="W1567">
            <v>62504.699959999998</v>
          </cell>
          <cell r="X1567">
            <v>63344.219440000001</v>
          </cell>
          <cell r="Y1567">
            <v>64199.526639999996</v>
          </cell>
          <cell r="Z1567">
            <v>65043.034099999997</v>
          </cell>
          <cell r="AA1567">
            <v>65909.746060000005</v>
          </cell>
          <cell r="AB1567">
            <v>66806.554879999996</v>
          </cell>
          <cell r="AC1567">
            <v>67726.337710000007</v>
          </cell>
          <cell r="AD1567">
            <v>68662.813599999994</v>
          </cell>
          <cell r="AE1567">
            <v>69517.976290000006</v>
          </cell>
          <cell r="AF1567">
            <v>70381.967350000006</v>
          </cell>
          <cell r="AG1567">
            <v>71266.596520000006</v>
          </cell>
          <cell r="AH1567">
            <v>72175.334310000006</v>
          </cell>
          <cell r="AI1567">
            <v>73106.6397</v>
          </cell>
          <cell r="AJ1567">
            <v>74055.983139999997</v>
          </cell>
          <cell r="AK1567">
            <v>75018.349530000007</v>
          </cell>
          <cell r="AL1567">
            <v>75990.489239999995</v>
          </cell>
          <cell r="AM1567">
            <v>76971.871549999996</v>
          </cell>
          <cell r="AN1567">
            <v>77964.249670000005</v>
          </cell>
          <cell r="AO1567">
            <v>78970.373630000002</v>
          </cell>
        </row>
        <row r="1572">
          <cell r="F1572">
            <v>1520101.6240000001</v>
          </cell>
          <cell r="G1572">
            <v>1527016.628</v>
          </cell>
          <cell r="H1572">
            <v>1542992.7949999999</v>
          </cell>
          <cell r="I1572">
            <v>1567180.8130000001</v>
          </cell>
          <cell r="J1572">
            <v>1594943.175</v>
          </cell>
          <cell r="K1572">
            <v>1623448.9380000001</v>
          </cell>
          <cell r="L1572">
            <v>1652341.15</v>
          </cell>
          <cell r="M1572">
            <v>1677853.5049999999</v>
          </cell>
          <cell r="N1572">
            <v>1701697.091</v>
          </cell>
          <cell r="O1572">
            <v>1725425.8370000001</v>
          </cell>
          <cell r="P1572">
            <v>1748028.709</v>
          </cell>
          <cell r="Q1572">
            <v>1777863.1359999999</v>
          </cell>
          <cell r="R1572">
            <v>1807310.7080000001</v>
          </cell>
          <cell r="S1572">
            <v>1837198.977</v>
          </cell>
          <cell r="T1572">
            <v>1867525.1229999999</v>
          </cell>
          <cell r="U1572">
            <v>1898234.692</v>
          </cell>
          <cell r="V1572">
            <v>1929316.9639999999</v>
          </cell>
          <cell r="W1572">
            <v>1960801.993</v>
          </cell>
          <cell r="X1572">
            <v>1992761.834</v>
          </cell>
          <cell r="Y1572">
            <v>2025263.912</v>
          </cell>
          <cell r="Z1572">
            <v>2059549.4539999999</v>
          </cell>
          <cell r="AA1572">
            <v>2090943.433</v>
          </cell>
          <cell r="AB1572">
            <v>2124308.639</v>
          </cell>
          <cell r="AC1572">
            <v>2158673.9709999999</v>
          </cell>
          <cell r="AD1572">
            <v>2193632.7059999998</v>
          </cell>
          <cell r="AE1572">
            <v>2231748.4180000001</v>
          </cell>
          <cell r="AF1572">
            <v>2263028.0529999998</v>
          </cell>
          <cell r="AG1572">
            <v>2295872.2439999999</v>
          </cell>
          <cell r="AH1572">
            <v>2329747.5720000002</v>
          </cell>
          <cell r="AI1572">
            <v>2364448.3990000002</v>
          </cell>
          <cell r="AJ1572">
            <v>2399734.611</v>
          </cell>
          <cell r="AK1572">
            <v>2435390.0619999999</v>
          </cell>
          <cell r="AL1572">
            <v>2471300.7280000001</v>
          </cell>
          <cell r="AM1572">
            <v>2507477.7459999998</v>
          </cell>
          <cell r="AN1572">
            <v>2544024.227</v>
          </cell>
          <cell r="AO1572">
            <v>2581072.548</v>
          </cell>
        </row>
        <row r="1575">
          <cell r="F1575">
            <v>3894.6733939999999</v>
          </cell>
          <cell r="G1575">
            <v>4108.4823660000002</v>
          </cell>
          <cell r="H1575">
            <v>4182.6041459999997</v>
          </cell>
          <cell r="I1575">
            <v>4250.4030339999999</v>
          </cell>
          <cell r="J1575">
            <v>4324.3957710000004</v>
          </cell>
          <cell r="K1575">
            <v>4404.817677</v>
          </cell>
          <cell r="L1575">
            <v>4482.9902380000003</v>
          </cell>
          <cell r="M1575">
            <v>4565.9812810000003</v>
          </cell>
          <cell r="N1575">
            <v>4646.5635990000001</v>
          </cell>
          <cell r="O1575">
            <v>4721.4959440000002</v>
          </cell>
          <cell r="P1575">
            <v>4799.2879069999999</v>
          </cell>
          <cell r="Q1575">
            <v>4859.1506630000003</v>
          </cell>
          <cell r="R1575">
            <v>4921.0228100000004</v>
          </cell>
          <cell r="S1575">
            <v>4982.1033939999998</v>
          </cell>
          <cell r="T1575">
            <v>5041.9154490000001</v>
          </cell>
          <cell r="U1575">
            <v>5100.7204359999996</v>
          </cell>
          <cell r="V1575">
            <v>5158.7556260000001</v>
          </cell>
          <cell r="W1575">
            <v>5216.0103479999998</v>
          </cell>
          <cell r="X1575">
            <v>5272.5162129999999</v>
          </cell>
          <cell r="Y1575">
            <v>5328.4973769999997</v>
          </cell>
          <cell r="Z1575">
            <v>5376.9996099999998</v>
          </cell>
          <cell r="AA1575">
            <v>5436.1228959999999</v>
          </cell>
          <cell r="AB1575">
            <v>5492.5506800000003</v>
          </cell>
          <cell r="AC1575">
            <v>5549.3199860000004</v>
          </cell>
          <cell r="AD1575">
            <v>5607.42965</v>
          </cell>
          <cell r="AE1575">
            <v>5644.4214979999997</v>
          </cell>
          <cell r="AF1575">
            <v>5705.5314120000003</v>
          </cell>
          <cell r="AG1575">
            <v>5760.7059010000003</v>
          </cell>
          <cell r="AH1575">
            <v>5814.2306829999998</v>
          </cell>
          <cell r="AI1575">
            <v>5868.2302330000002</v>
          </cell>
          <cell r="AJ1575">
            <v>5923.6347109999997</v>
          </cell>
          <cell r="AK1575">
            <v>5980.6881309999999</v>
          </cell>
          <cell r="AL1575">
            <v>6039.2065220000004</v>
          </cell>
          <cell r="AM1575">
            <v>6098.8006949999999</v>
          </cell>
          <cell r="AN1575">
            <v>6159.0880500000003</v>
          </cell>
          <cell r="AO1575">
            <v>6219.8456550000001</v>
          </cell>
        </row>
        <row r="1580">
          <cell r="F1580">
            <v>13734.305340000001</v>
          </cell>
          <cell r="G1580">
            <v>13827.89457</v>
          </cell>
          <cell r="H1580">
            <v>13882.847470000001</v>
          </cell>
          <cell r="I1580">
            <v>13937.306500000001</v>
          </cell>
          <cell r="J1580">
            <v>14011.220740000001</v>
          </cell>
          <cell r="K1580">
            <v>14116.39186</v>
          </cell>
          <cell r="L1580">
            <v>14246.46999</v>
          </cell>
          <cell r="M1580">
            <v>14396.86325</v>
          </cell>
          <cell r="N1580">
            <v>14553.81517</v>
          </cell>
          <cell r="O1580">
            <v>14705.14956</v>
          </cell>
          <cell r="P1580">
            <v>14852.26333</v>
          </cell>
          <cell r="Q1580">
            <v>14985.89</v>
          </cell>
          <cell r="R1580">
            <v>15112.767459999999</v>
          </cell>
          <cell r="S1580">
            <v>15237.24242</v>
          </cell>
          <cell r="T1580">
            <v>15361.085800000001</v>
          </cell>
          <cell r="U1580">
            <v>15485.2088</v>
          </cell>
          <cell r="V1580">
            <v>15609.83539</v>
          </cell>
          <cell r="W1580">
            <v>15734.6178</v>
          </cell>
          <cell r="X1580">
            <v>15859.33383</v>
          </cell>
          <cell r="Y1580">
            <v>15984.33216</v>
          </cell>
          <cell r="Z1580">
            <v>16103.59851</v>
          </cell>
          <cell r="AA1580">
            <v>16228.341689999999</v>
          </cell>
          <cell r="AB1580">
            <v>16357.35735</v>
          </cell>
          <cell r="AC1580">
            <v>16491.35298</v>
          </cell>
          <cell r="AD1580">
            <v>16631.315060000001</v>
          </cell>
          <cell r="AE1580">
            <v>16754.25805</v>
          </cell>
          <cell r="AF1580">
            <v>16886.880539999998</v>
          </cell>
          <cell r="AG1580">
            <v>17019.939409999999</v>
          </cell>
          <cell r="AH1580">
            <v>17153.389380000001</v>
          </cell>
          <cell r="AI1580">
            <v>17289.82418</v>
          </cell>
          <cell r="AJ1580">
            <v>17431.67728</v>
          </cell>
          <cell r="AK1580">
            <v>17580.14071</v>
          </cell>
          <cell r="AL1580">
            <v>17735.014370000001</v>
          </cell>
          <cell r="AM1580">
            <v>17895.137340000001</v>
          </cell>
          <cell r="AN1580">
            <v>18059.03255</v>
          </cell>
          <cell r="AO1580">
            <v>18225.636320000001</v>
          </cell>
        </row>
        <row r="1600">
          <cell r="F1600">
            <v>473424.22009999998</v>
          </cell>
          <cell r="G1600">
            <v>476872.60489999998</v>
          </cell>
          <cell r="H1600">
            <v>481961.17839999998</v>
          </cell>
          <cell r="I1600">
            <v>489463.74959999998</v>
          </cell>
          <cell r="J1600">
            <v>498523.35950000002</v>
          </cell>
          <cell r="K1600">
            <v>507961.45039999997</v>
          </cell>
          <cell r="L1600">
            <v>508365.20779999997</v>
          </cell>
          <cell r="M1600">
            <v>509288.6678</v>
          </cell>
          <cell r="N1600">
            <v>510947.86540000001</v>
          </cell>
          <cell r="O1600">
            <v>514864.5269</v>
          </cell>
          <cell r="P1600">
            <v>521694.6078</v>
          </cell>
          <cell r="Q1600">
            <v>531589.72580000001</v>
          </cell>
          <cell r="R1600">
            <v>543177.62080000003</v>
          </cell>
          <cell r="S1600">
            <v>555215.41410000005</v>
          </cell>
          <cell r="T1600">
            <v>566772.91480000003</v>
          </cell>
          <cell r="U1600">
            <v>577418.63970000006</v>
          </cell>
          <cell r="V1600">
            <v>587218.94900000002</v>
          </cell>
          <cell r="W1600">
            <v>596556.44010000001</v>
          </cell>
          <cell r="X1600">
            <v>605890.49780000001</v>
          </cell>
          <cell r="Y1600">
            <v>615571.32680000004</v>
          </cell>
          <cell r="Z1600">
            <v>625716.91209999996</v>
          </cell>
          <cell r="AA1600">
            <v>636107.61549999996</v>
          </cell>
          <cell r="AB1600">
            <v>646971.62699999998</v>
          </cell>
          <cell r="AC1600">
            <v>658194.12320000003</v>
          </cell>
          <cell r="AD1600">
            <v>669619.59649999999</v>
          </cell>
          <cell r="AE1600">
            <v>680918.57059999998</v>
          </cell>
          <cell r="AF1600">
            <v>691774.53879999998</v>
          </cell>
          <cell r="AG1600">
            <v>702798.74739999999</v>
          </cell>
          <cell r="AH1600">
            <v>714218.07609999995</v>
          </cell>
          <cell r="AI1600">
            <v>726036.49800000002</v>
          </cell>
          <cell r="AJ1600">
            <v>738138.73430000001</v>
          </cell>
          <cell r="AK1600">
            <v>750376.11739999999</v>
          </cell>
          <cell r="AL1600">
            <v>762636.78509999998</v>
          </cell>
          <cell r="AM1600">
            <v>774881.91610000003</v>
          </cell>
          <cell r="AN1600">
            <v>787142.85069999995</v>
          </cell>
          <cell r="AO1600">
            <v>799490.50150000001</v>
          </cell>
        </row>
        <row r="1601">
          <cell r="F1601">
            <v>12191.49021</v>
          </cell>
          <cell r="G1601">
            <v>12179.002500000001</v>
          </cell>
          <cell r="H1601">
            <v>12158.54341</v>
          </cell>
          <cell r="I1601">
            <v>12170.36226</v>
          </cell>
          <cell r="J1601">
            <v>12219.67058</v>
          </cell>
          <cell r="K1601">
            <v>12294.70513</v>
          </cell>
          <cell r="L1601">
            <v>12216.893679999999</v>
          </cell>
          <cell r="M1601">
            <v>12131.767449999999</v>
          </cell>
          <cell r="N1601">
            <v>11990.522209999999</v>
          </cell>
          <cell r="O1601">
            <v>11848.8125</v>
          </cell>
          <cell r="P1601">
            <v>11756.64266</v>
          </cell>
          <cell r="Q1601">
            <v>11714.039269999999</v>
          </cell>
          <cell r="R1601">
            <v>11718.508</v>
          </cell>
          <cell r="S1601">
            <v>11755.93749</v>
          </cell>
          <cell r="T1601">
            <v>11810.265880000001</v>
          </cell>
          <cell r="U1601">
            <v>11868.95932</v>
          </cell>
          <cell r="V1601">
            <v>11924.75023</v>
          </cell>
          <cell r="W1601">
            <v>11974.730680000001</v>
          </cell>
          <cell r="X1601">
            <v>12018.41229</v>
          </cell>
          <cell r="Y1601">
            <v>12056.0213</v>
          </cell>
          <cell r="Z1601">
            <v>12080.072679999999</v>
          </cell>
          <cell r="AA1601">
            <v>12100.912039999999</v>
          </cell>
          <cell r="AB1601">
            <v>12118.09052</v>
          </cell>
          <cell r="AC1601">
            <v>12132.05472</v>
          </cell>
          <cell r="AD1601">
            <v>12143.796689999999</v>
          </cell>
          <cell r="AE1601">
            <v>12134.158170000001</v>
          </cell>
          <cell r="AF1601">
            <v>12124.842769999999</v>
          </cell>
          <cell r="AG1601">
            <v>12119.45916</v>
          </cell>
          <cell r="AH1601">
            <v>12120.59719</v>
          </cell>
          <cell r="AI1601">
            <v>12128.65364</v>
          </cell>
          <cell r="AJ1601">
            <v>12142.327960000001</v>
          </cell>
          <cell r="AK1601">
            <v>12159.54205</v>
          </cell>
          <cell r="AL1601">
            <v>12178.30673</v>
          </cell>
          <cell r="AM1601">
            <v>12197.236730000001</v>
          </cell>
          <cell r="AN1601">
            <v>12215.65351</v>
          </cell>
          <cell r="AO1601">
            <v>12233.398579999999</v>
          </cell>
        </row>
        <row r="1604">
          <cell r="F1604">
            <v>67448.986529999995</v>
          </cell>
          <cell r="G1604">
            <v>68236.737829999998</v>
          </cell>
          <cell r="H1604">
            <v>69279.678209999998</v>
          </cell>
          <cell r="I1604">
            <v>70434.801890000002</v>
          </cell>
          <cell r="J1604">
            <v>71620.894579999993</v>
          </cell>
          <cell r="K1604">
            <v>72793.219219999999</v>
          </cell>
          <cell r="L1604">
            <v>72938.042740000004</v>
          </cell>
          <cell r="M1604">
            <v>73011.927779999998</v>
          </cell>
          <cell r="N1604">
            <v>73128.876489999995</v>
          </cell>
          <cell r="O1604">
            <v>73457.501480000006</v>
          </cell>
          <cell r="P1604">
            <v>74353.980450000003</v>
          </cell>
          <cell r="Q1604">
            <v>75276.512969999996</v>
          </cell>
          <cell r="R1604">
            <v>76379.176399999997</v>
          </cell>
          <cell r="S1604">
            <v>77612.210489999998</v>
          </cell>
          <cell r="T1604">
            <v>78880.242769999997</v>
          </cell>
          <cell r="U1604">
            <v>80116.42439</v>
          </cell>
          <cell r="V1604">
            <v>81300.423389999996</v>
          </cell>
          <cell r="W1604">
            <v>82448.756779999996</v>
          </cell>
          <cell r="X1604">
            <v>83594.458689999999</v>
          </cell>
          <cell r="Y1604">
            <v>84768.142359999998</v>
          </cell>
          <cell r="Z1604">
            <v>85790.425380000001</v>
          </cell>
          <cell r="AA1604">
            <v>87051.799929999994</v>
          </cell>
          <cell r="AB1604">
            <v>88394.945300000007</v>
          </cell>
          <cell r="AC1604">
            <v>89762.307209999999</v>
          </cell>
          <cell r="AD1604">
            <v>91137.455629999997</v>
          </cell>
          <cell r="AE1604">
            <v>91936.246710000007</v>
          </cell>
          <cell r="AF1604">
            <v>93076.832670000003</v>
          </cell>
          <cell r="AG1604">
            <v>94348.943650000001</v>
          </cell>
          <cell r="AH1604">
            <v>95677.928100000005</v>
          </cell>
          <cell r="AI1604">
            <v>97044.761989999999</v>
          </cell>
          <cell r="AJ1604">
            <v>98440.012449999995</v>
          </cell>
          <cell r="AK1604">
            <v>99853.569050000006</v>
          </cell>
          <cell r="AL1604">
            <v>101276.58869999999</v>
          </cell>
          <cell r="AM1604">
            <v>102704.826</v>
          </cell>
          <cell r="AN1604">
            <v>104139.5888</v>
          </cell>
          <cell r="AO1604">
            <v>105586.0831</v>
          </cell>
        </row>
        <row r="1614">
          <cell r="F1614">
            <v>7527.0786390000003</v>
          </cell>
          <cell r="G1614">
            <v>7887.0270119999996</v>
          </cell>
          <cell r="H1614">
            <v>8362.4990290000005</v>
          </cell>
          <cell r="I1614">
            <v>8769.4210710000007</v>
          </cell>
          <cell r="J1614">
            <v>9079.7884080000003</v>
          </cell>
          <cell r="K1614">
            <v>9318.2238010000001</v>
          </cell>
          <cell r="L1614">
            <v>9249.0424110000004</v>
          </cell>
          <cell r="M1614">
            <v>9180.0467289999997</v>
          </cell>
          <cell r="N1614">
            <v>9151.0651030000008</v>
          </cell>
          <cell r="O1614">
            <v>9182.1844899999996</v>
          </cell>
          <cell r="P1614">
            <v>9444.9099920000008</v>
          </cell>
          <cell r="Q1614">
            <v>9568.1436990000002</v>
          </cell>
          <cell r="R1614">
            <v>9716.3002660000002</v>
          </cell>
          <cell r="S1614">
            <v>9900.8514830000004</v>
          </cell>
          <cell r="T1614">
            <v>10098.56551</v>
          </cell>
          <cell r="U1614">
            <v>10290.69202</v>
          </cell>
          <cell r="V1614">
            <v>10470.434240000001</v>
          </cell>
          <cell r="W1614">
            <v>10640.47897</v>
          </cell>
          <cell r="X1614">
            <v>10807.83208</v>
          </cell>
          <cell r="Y1614">
            <v>10979.248100000001</v>
          </cell>
          <cell r="Z1614">
            <v>11038.64107</v>
          </cell>
          <cell r="AA1614">
            <v>11245.973099999999</v>
          </cell>
          <cell r="AB1614">
            <v>11477.737569999999</v>
          </cell>
          <cell r="AC1614">
            <v>11703.09989</v>
          </cell>
          <cell r="AD1614">
            <v>11919.68741</v>
          </cell>
          <cell r="AE1614">
            <v>11776.86147</v>
          </cell>
          <cell r="AF1614">
            <v>11900.242319999999</v>
          </cell>
          <cell r="AG1614">
            <v>12096.64359</v>
          </cell>
          <cell r="AH1614">
            <v>12307.453519999999</v>
          </cell>
          <cell r="AI1614">
            <v>12520.48767</v>
          </cell>
          <cell r="AJ1614">
            <v>12733.81388</v>
          </cell>
          <cell r="AK1614">
            <v>12946.620699999999</v>
          </cell>
          <cell r="AL1614">
            <v>13158.135410000001</v>
          </cell>
          <cell r="AM1614">
            <v>13368.199930000001</v>
          </cell>
          <cell r="AN1614">
            <v>13577.580959999999</v>
          </cell>
          <cell r="AO1614">
            <v>13787.707609999999</v>
          </cell>
        </row>
        <row r="1616">
          <cell r="F1616">
            <v>15675.55985</v>
          </cell>
          <cell r="G1616">
            <v>15744.72472</v>
          </cell>
          <cell r="H1616">
            <v>15828.85226</v>
          </cell>
          <cell r="I1616">
            <v>15966.570530000001</v>
          </cell>
          <cell r="J1616">
            <v>16150.58619</v>
          </cell>
          <cell r="K1616">
            <v>16359.27189</v>
          </cell>
          <cell r="L1616">
            <v>16395.731240000001</v>
          </cell>
          <cell r="M1616">
            <v>16432.574949999998</v>
          </cell>
          <cell r="N1616">
            <v>16481.729449999999</v>
          </cell>
          <cell r="O1616">
            <v>16577.905170000002</v>
          </cell>
          <cell r="P1616">
            <v>16747.720089999999</v>
          </cell>
          <cell r="Q1616">
            <v>16980.08944</v>
          </cell>
          <cell r="R1616">
            <v>17254.974460000001</v>
          </cell>
          <cell r="S1616">
            <v>17548.34592</v>
          </cell>
          <cell r="T1616">
            <v>17839.959630000001</v>
          </cell>
          <cell r="U1616">
            <v>18118.36506</v>
          </cell>
          <cell r="V1616">
            <v>18382.034449999999</v>
          </cell>
          <cell r="W1616">
            <v>18636.725689999999</v>
          </cell>
          <cell r="X1616">
            <v>18891.04479</v>
          </cell>
          <cell r="Y1616">
            <v>19152.43406</v>
          </cell>
          <cell r="Z1616">
            <v>19417.726989999999</v>
          </cell>
          <cell r="AA1616">
            <v>19695.076110000002</v>
          </cell>
          <cell r="AB1616">
            <v>19984.989560000002</v>
          </cell>
          <cell r="AC1616">
            <v>20284.577700000002</v>
          </cell>
          <cell r="AD1616">
            <v>20590.455569999998</v>
          </cell>
          <cell r="AE1616">
            <v>20877.918150000001</v>
          </cell>
          <cell r="AF1616">
            <v>21163.257119999998</v>
          </cell>
          <cell r="AG1616">
            <v>21453.79911</v>
          </cell>
          <cell r="AH1616">
            <v>21753.37098</v>
          </cell>
          <cell r="AI1616">
            <v>22062.39961</v>
          </cell>
          <cell r="AJ1616">
            <v>22379.004359999999</v>
          </cell>
          <cell r="AK1616">
            <v>22700.405559999999</v>
          </cell>
          <cell r="AL1616">
            <v>23024.27291</v>
          </cell>
          <cell r="AM1616">
            <v>23349.551169999999</v>
          </cell>
          <cell r="AN1616">
            <v>23676.567780000001</v>
          </cell>
          <cell r="AO1616">
            <v>24006.56019</v>
          </cell>
        </row>
        <row r="1621">
          <cell r="F1621">
            <v>367438.23920000001</v>
          </cell>
          <cell r="G1621">
            <v>369848.74119999999</v>
          </cell>
          <cell r="H1621">
            <v>373650.53340000001</v>
          </cell>
          <cell r="I1621">
            <v>379691.24369999999</v>
          </cell>
          <cell r="J1621">
            <v>387186.0049</v>
          </cell>
          <cell r="K1621">
            <v>395020.48590000003</v>
          </cell>
          <cell r="L1621">
            <v>395092.62829999998</v>
          </cell>
          <cell r="M1621">
            <v>395789.2046</v>
          </cell>
          <cell r="N1621">
            <v>397261.32490000001</v>
          </cell>
          <cell r="O1621">
            <v>400773.63219999999</v>
          </cell>
          <cell r="P1621">
            <v>406539.33130000002</v>
          </cell>
          <cell r="Q1621">
            <v>415253.90759999998</v>
          </cell>
          <cell r="R1621">
            <v>425397.19579999999</v>
          </cell>
          <cell r="S1621">
            <v>435800.06760000001</v>
          </cell>
          <cell r="T1621">
            <v>445656.64559999999</v>
          </cell>
          <cell r="U1621">
            <v>454625.92019999999</v>
          </cell>
          <cell r="V1621">
            <v>462808.34840000002</v>
          </cell>
          <cell r="W1621">
            <v>470573.78820000001</v>
          </cell>
          <cell r="X1621">
            <v>478345.91340000002</v>
          </cell>
          <cell r="Y1621">
            <v>486439.38439999998</v>
          </cell>
          <cell r="Z1621">
            <v>495166.60440000001</v>
          </cell>
          <cell r="AA1621">
            <v>503892.3443</v>
          </cell>
          <cell r="AB1621">
            <v>512999.28580000001</v>
          </cell>
          <cell r="AC1621">
            <v>522430.96419999999</v>
          </cell>
          <cell r="AD1621">
            <v>532049.73300000001</v>
          </cell>
          <cell r="AE1621">
            <v>542168.05460000003</v>
          </cell>
          <cell r="AF1621">
            <v>551503.63659999997</v>
          </cell>
          <cell r="AG1621">
            <v>560867.53159999999</v>
          </cell>
          <cell r="AH1621">
            <v>570555.60990000004</v>
          </cell>
          <cell r="AI1621">
            <v>580589.10349999997</v>
          </cell>
          <cell r="AJ1621">
            <v>590863.40500000003</v>
          </cell>
          <cell r="AK1621">
            <v>601242.97730000003</v>
          </cell>
          <cell r="AL1621">
            <v>611628.1054</v>
          </cell>
          <cell r="AM1621">
            <v>621986.66110000003</v>
          </cell>
          <cell r="AN1621">
            <v>632349.73069999996</v>
          </cell>
          <cell r="AO1621">
            <v>642782.848</v>
          </cell>
        </row>
        <row r="1624">
          <cell r="F1624">
            <v>3917.6266190000001</v>
          </cell>
          <cell r="G1624">
            <v>4048.8456160000001</v>
          </cell>
          <cell r="H1624">
            <v>4186.7608170000003</v>
          </cell>
          <cell r="I1624">
            <v>4312.2516400000004</v>
          </cell>
          <cell r="J1624">
            <v>4425.780917</v>
          </cell>
          <cell r="K1624">
            <v>4532.6250870000003</v>
          </cell>
          <cell r="L1624">
            <v>4662.8506939999997</v>
          </cell>
          <cell r="M1624">
            <v>4782.2612230000004</v>
          </cell>
          <cell r="N1624">
            <v>4885.4077159999997</v>
          </cell>
          <cell r="O1624">
            <v>4970.9963090000001</v>
          </cell>
          <cell r="P1624">
            <v>5042.8507339999996</v>
          </cell>
          <cell r="Q1624">
            <v>5102.3769609999999</v>
          </cell>
          <cell r="R1624">
            <v>5155.8460459999997</v>
          </cell>
          <cell r="S1624">
            <v>5209.0524919999998</v>
          </cell>
          <cell r="T1624">
            <v>5265.4659110000002</v>
          </cell>
          <cell r="U1624">
            <v>5326.0119160000004</v>
          </cell>
          <cell r="V1624">
            <v>5389.5941320000002</v>
          </cell>
          <cell r="W1624">
            <v>5454.1671580000002</v>
          </cell>
          <cell r="X1624">
            <v>5517.8090910000001</v>
          </cell>
          <cell r="Y1624">
            <v>5579.4010479999997</v>
          </cell>
          <cell r="Z1624">
            <v>5636.5230810000003</v>
          </cell>
          <cell r="AA1624">
            <v>5692.5030100000004</v>
          </cell>
          <cell r="AB1624">
            <v>5748.1195200000002</v>
          </cell>
          <cell r="AC1624">
            <v>5803.8912479999999</v>
          </cell>
          <cell r="AD1624">
            <v>5860.2575809999998</v>
          </cell>
          <cell r="AE1624">
            <v>5910.3624339999997</v>
          </cell>
          <cell r="AF1624">
            <v>5960.148596</v>
          </cell>
          <cell r="AG1624">
            <v>6009.3079980000002</v>
          </cell>
          <cell r="AH1624">
            <v>6057.2616520000001</v>
          </cell>
          <cell r="AI1624">
            <v>6104.2330380000003</v>
          </cell>
          <cell r="AJ1624">
            <v>6150.9438819999996</v>
          </cell>
          <cell r="AK1624">
            <v>6198.1543140000003</v>
          </cell>
          <cell r="AL1624">
            <v>6246.3576199999998</v>
          </cell>
          <cell r="AM1624">
            <v>6295.6810180000002</v>
          </cell>
          <cell r="AN1624">
            <v>6345.9630260000004</v>
          </cell>
          <cell r="AO1624">
            <v>6396.9208150000004</v>
          </cell>
        </row>
        <row r="1629">
          <cell r="F1629">
            <v>6752.3176679999997</v>
          </cell>
          <cell r="G1629">
            <v>6814.5529999999999</v>
          </cell>
          <cell r="H1629">
            <v>6856.8102799999997</v>
          </cell>
          <cell r="I1629">
            <v>6888.5195530000001</v>
          </cell>
          <cell r="J1629">
            <v>6920.4222849999996</v>
          </cell>
          <cell r="K1629">
            <v>6961.1431519999996</v>
          </cell>
          <cell r="L1629">
            <v>7059.0611689999996</v>
          </cell>
          <cell r="M1629">
            <v>7140.931791</v>
          </cell>
          <cell r="N1629">
            <v>7200.0046400000001</v>
          </cell>
          <cell r="O1629">
            <v>7235.6792930000001</v>
          </cell>
          <cell r="P1629">
            <v>7254.0825690000001</v>
          </cell>
          <cell r="Q1629">
            <v>7262.7995520000004</v>
          </cell>
          <cell r="R1629">
            <v>7271.9201380000004</v>
          </cell>
          <cell r="S1629">
            <v>7289.8001729999996</v>
          </cell>
          <cell r="T1629">
            <v>7320.335059</v>
          </cell>
          <cell r="U1629">
            <v>7362.9588569999996</v>
          </cell>
          <cell r="V1629">
            <v>7413.7983850000001</v>
          </cell>
          <cell r="W1629">
            <v>7468.2715909999997</v>
          </cell>
          <cell r="X1629">
            <v>7522.8595100000002</v>
          </cell>
          <cell r="Y1629">
            <v>7575.9436610000002</v>
          </cell>
          <cell r="Z1629">
            <v>7625.5596159999996</v>
          </cell>
          <cell r="AA1629">
            <v>7674.9801360000001</v>
          </cell>
          <cell r="AB1629">
            <v>7726.1962940000003</v>
          </cell>
          <cell r="AC1629">
            <v>7780.3281010000001</v>
          </cell>
          <cell r="AD1629">
            <v>7837.8980620000002</v>
          </cell>
          <cell r="AE1629">
            <v>7891.8305410000003</v>
          </cell>
          <cell r="AF1629">
            <v>7945.8210289999997</v>
          </cell>
          <cell r="AG1629">
            <v>7999.7059019999997</v>
          </cell>
          <cell r="AH1629">
            <v>8053.3082910000003</v>
          </cell>
          <cell r="AI1629">
            <v>8107.3461950000001</v>
          </cell>
          <cell r="AJ1629">
            <v>8163.0406929999999</v>
          </cell>
          <cell r="AK1629">
            <v>8221.4691330000005</v>
          </cell>
          <cell r="AL1629">
            <v>8283.1537439999993</v>
          </cell>
          <cell r="AM1629">
            <v>8347.9600570000002</v>
          </cell>
          <cell r="AN1629">
            <v>8415.3468489999996</v>
          </cell>
          <cell r="AO1629">
            <v>8484.6908879999992</v>
          </cell>
        </row>
        <row r="1639">
          <cell r="F1639">
            <v>473424.22009999998</v>
          </cell>
          <cell r="G1639">
            <v>476872.60489999998</v>
          </cell>
          <cell r="H1639">
            <v>481961.17839999998</v>
          </cell>
          <cell r="I1639">
            <v>489463.74959999998</v>
          </cell>
          <cell r="J1639">
            <v>498523.35950000002</v>
          </cell>
          <cell r="K1639">
            <v>507961.45039999997</v>
          </cell>
          <cell r="L1639">
            <v>516852.49650000001</v>
          </cell>
          <cell r="M1639">
            <v>524541.48750000005</v>
          </cell>
          <cell r="N1639">
            <v>531227.56339999998</v>
          </cell>
          <cell r="O1639">
            <v>537507.90980000002</v>
          </cell>
          <cell r="P1639">
            <v>543990.33089999994</v>
          </cell>
          <cell r="Q1639">
            <v>551495.69369999995</v>
          </cell>
          <cell r="R1639">
            <v>559624.96140000003</v>
          </cell>
          <cell r="S1639">
            <v>568213.21019999997</v>
          </cell>
          <cell r="T1639">
            <v>577147.51080000005</v>
          </cell>
          <cell r="U1639">
            <v>586351.41500000004</v>
          </cell>
          <cell r="V1639">
            <v>595795.16529999999</v>
          </cell>
          <cell r="W1639">
            <v>605489.61270000006</v>
          </cell>
          <cell r="X1639">
            <v>615468.49899999995</v>
          </cell>
          <cell r="Y1639">
            <v>625763.3591</v>
          </cell>
          <cell r="Z1639">
            <v>636337.64679999999</v>
          </cell>
          <cell r="AA1639">
            <v>646979.60340000002</v>
          </cell>
          <cell r="AB1639">
            <v>658005.74860000005</v>
          </cell>
          <cell r="AC1639">
            <v>669392.5453</v>
          </cell>
          <cell r="AD1639">
            <v>681030.41209999996</v>
          </cell>
          <cell r="AE1639">
            <v>692571.10730000003</v>
          </cell>
          <cell r="AF1639">
            <v>703636.59069999994</v>
          </cell>
          <cell r="AG1639">
            <v>714800.97580000001</v>
          </cell>
          <cell r="AH1639">
            <v>726268.58089999994</v>
          </cell>
          <cell r="AI1639">
            <v>738047.82900000003</v>
          </cell>
          <cell r="AJ1639">
            <v>750050.70689999999</v>
          </cell>
          <cell r="AK1639">
            <v>762165.75919999997</v>
          </cell>
          <cell r="AL1639">
            <v>774313.66729999997</v>
          </cell>
          <cell r="AM1639">
            <v>786473.45750000002</v>
          </cell>
          <cell r="AN1639">
            <v>798677.22759999998</v>
          </cell>
          <cell r="AO1639">
            <v>810984.04870000004</v>
          </cell>
        </row>
        <row r="1640">
          <cell r="F1640">
            <v>12191.49021</v>
          </cell>
          <cell r="G1640">
            <v>12179.002500000001</v>
          </cell>
          <cell r="H1640">
            <v>12158.54341</v>
          </cell>
          <cell r="I1640">
            <v>12170.36226</v>
          </cell>
          <cell r="J1640">
            <v>12219.67058</v>
          </cell>
          <cell r="K1640">
            <v>12294.70513</v>
          </cell>
          <cell r="L1640">
            <v>12372.182930000001</v>
          </cell>
          <cell r="M1640">
            <v>12440.57358</v>
          </cell>
          <cell r="N1640">
            <v>12494.83237</v>
          </cell>
          <cell r="O1640">
            <v>12535.366110000001</v>
          </cell>
          <cell r="P1640">
            <v>12576.941140000001</v>
          </cell>
          <cell r="Q1640">
            <v>12605.08214</v>
          </cell>
          <cell r="R1640">
            <v>12621.21766</v>
          </cell>
          <cell r="S1640">
            <v>12625.529630000001</v>
          </cell>
          <cell r="T1640">
            <v>12619.20966</v>
          </cell>
          <cell r="U1640">
            <v>12604.769480000001</v>
          </cell>
          <cell r="V1640">
            <v>12585.74236</v>
          </cell>
          <cell r="W1640">
            <v>12565.999669999999</v>
          </cell>
          <cell r="X1640">
            <v>12548.982389999999</v>
          </cell>
          <cell r="Y1640">
            <v>12537.11923</v>
          </cell>
          <cell r="Z1640">
            <v>12523.708140000001</v>
          </cell>
          <cell r="AA1640">
            <v>12519.69764</v>
          </cell>
          <cell r="AB1640">
            <v>12523.571760000001</v>
          </cell>
          <cell r="AC1640">
            <v>12533.52111</v>
          </cell>
          <cell r="AD1640">
            <v>12547.286469999999</v>
          </cell>
          <cell r="AE1640">
            <v>12541.31986</v>
          </cell>
          <cell r="AF1640">
            <v>12534.488160000001</v>
          </cell>
          <cell r="AG1640">
            <v>12527.98488</v>
          </cell>
          <cell r="AH1640">
            <v>12523.0993</v>
          </cell>
          <cell r="AI1640">
            <v>12519.953009999999</v>
          </cell>
          <cell r="AJ1640">
            <v>12517.79364</v>
          </cell>
          <cell r="AK1640">
            <v>12515.61945</v>
          </cell>
          <cell r="AL1640">
            <v>12512.732959999999</v>
          </cell>
          <cell r="AM1640">
            <v>12508.99741</v>
          </cell>
          <cell r="AN1640">
            <v>12504.775310000001</v>
          </cell>
          <cell r="AO1640">
            <v>12500.674230000001</v>
          </cell>
        </row>
        <row r="1643">
          <cell r="F1643">
            <v>67448.986529999995</v>
          </cell>
          <cell r="G1643">
            <v>68236.737829999998</v>
          </cell>
          <cell r="H1643">
            <v>69279.678209999998</v>
          </cell>
          <cell r="I1643">
            <v>70434.801890000002</v>
          </cell>
          <cell r="J1643">
            <v>71620.894579999993</v>
          </cell>
          <cell r="K1643">
            <v>72793.219219999999</v>
          </cell>
          <cell r="L1643">
            <v>73730.795320000005</v>
          </cell>
          <cell r="M1643">
            <v>74596.060490000003</v>
          </cell>
          <cell r="N1643">
            <v>75422.635609999998</v>
          </cell>
          <cell r="O1643">
            <v>76237.102280000006</v>
          </cell>
          <cell r="P1643">
            <v>77350.461819999997</v>
          </cell>
          <cell r="Q1643">
            <v>78243.138019999999</v>
          </cell>
          <cell r="R1643">
            <v>79152.993929999997</v>
          </cell>
          <cell r="S1643">
            <v>80131.108089999994</v>
          </cell>
          <cell r="T1643">
            <v>81168.314530000003</v>
          </cell>
          <cell r="U1643">
            <v>82245.844070000006</v>
          </cell>
          <cell r="V1643">
            <v>83351.407860000007</v>
          </cell>
          <cell r="W1643">
            <v>84482.479680000004</v>
          </cell>
          <cell r="X1643">
            <v>85642.258740000005</v>
          </cell>
          <cell r="Y1643">
            <v>86835.078510000007</v>
          </cell>
          <cell r="Z1643">
            <v>87864.968729999993</v>
          </cell>
          <cell r="AA1643">
            <v>89123.234939999995</v>
          </cell>
          <cell r="AB1643">
            <v>90457.704750000004</v>
          </cell>
          <cell r="AC1643">
            <v>91818.27072</v>
          </cell>
          <cell r="AD1643">
            <v>93193.190709999995</v>
          </cell>
          <cell r="AE1643">
            <v>93993.884340000004</v>
          </cell>
          <cell r="AF1643">
            <v>95138.63708</v>
          </cell>
          <cell r="AG1643">
            <v>96412.302179999999</v>
          </cell>
          <cell r="AH1643">
            <v>97736.848979999995</v>
          </cell>
          <cell r="AI1643">
            <v>99092.426019999999</v>
          </cell>
          <cell r="AJ1643">
            <v>100471.0647</v>
          </cell>
          <cell r="AK1643">
            <v>101865.42879999999</v>
          </cell>
          <cell r="AL1643">
            <v>103269.505</v>
          </cell>
          <cell r="AM1643">
            <v>104680.92329999999</v>
          </cell>
          <cell r="AN1643">
            <v>106101.47960000001</v>
          </cell>
          <cell r="AO1643">
            <v>107535.6624</v>
          </cell>
        </row>
        <row r="1653">
          <cell r="F1653">
            <v>7527.0786390000003</v>
          </cell>
          <cell r="G1653">
            <v>7887.0270119999996</v>
          </cell>
          <cell r="H1653">
            <v>8362.4990290000005</v>
          </cell>
          <cell r="I1653">
            <v>8769.4210710000007</v>
          </cell>
          <cell r="J1653">
            <v>9079.7884080000003</v>
          </cell>
          <cell r="K1653">
            <v>9318.2238010000001</v>
          </cell>
          <cell r="L1653">
            <v>9393.4958559999995</v>
          </cell>
          <cell r="M1653">
            <v>9459.6800629999998</v>
          </cell>
          <cell r="N1653">
            <v>9537.7248589999999</v>
          </cell>
          <cell r="O1653">
            <v>9626.8283179999999</v>
          </cell>
          <cell r="P1653">
            <v>9896.1730669999997</v>
          </cell>
          <cell r="Q1653">
            <v>9979.2135799999996</v>
          </cell>
          <cell r="R1653">
            <v>10060.90227</v>
          </cell>
          <cell r="S1653">
            <v>10174.402760000001</v>
          </cell>
          <cell r="T1653">
            <v>10314.250739999999</v>
          </cell>
          <cell r="U1653">
            <v>10469.57063</v>
          </cell>
          <cell r="V1653">
            <v>10632.76064</v>
          </cell>
          <cell r="W1653">
            <v>10801.179959999999</v>
          </cell>
          <cell r="X1653">
            <v>10974.841259999999</v>
          </cell>
          <cell r="Y1653">
            <v>11154.39567</v>
          </cell>
          <cell r="Z1653">
            <v>11219.84859</v>
          </cell>
          <cell r="AA1653">
            <v>11430.895479999999</v>
          </cell>
          <cell r="AB1653">
            <v>11664.61767</v>
          </cell>
          <cell r="AC1653">
            <v>11891.622230000001</v>
          </cell>
          <cell r="AD1653">
            <v>12110.548650000001</v>
          </cell>
          <cell r="AE1653">
            <v>11970.13142</v>
          </cell>
          <cell r="AF1653">
            <v>12096.03743</v>
          </cell>
          <cell r="AG1653">
            <v>12293.902</v>
          </cell>
          <cell r="AH1653">
            <v>12504.434800000001</v>
          </cell>
          <cell r="AI1653">
            <v>12715.36382</v>
          </cell>
          <cell r="AJ1653">
            <v>12925.165429999999</v>
          </cell>
          <cell r="AK1653">
            <v>13133.70744</v>
          </cell>
          <cell r="AL1653">
            <v>13340.88731</v>
          </cell>
          <cell r="AM1653">
            <v>13546.98646</v>
          </cell>
          <cell r="AN1653">
            <v>13752.89193</v>
          </cell>
          <cell r="AO1653">
            <v>13959.88279</v>
          </cell>
        </row>
        <row r="1655">
          <cell r="F1655">
            <v>15675.55985</v>
          </cell>
          <cell r="G1655">
            <v>15744.72472</v>
          </cell>
          <cell r="H1655">
            <v>15828.85226</v>
          </cell>
          <cell r="I1655">
            <v>15966.570530000001</v>
          </cell>
          <cell r="J1655">
            <v>16150.58619</v>
          </cell>
          <cell r="K1655">
            <v>16359.27189</v>
          </cell>
          <cell r="L1655">
            <v>16566.599999999999</v>
          </cell>
          <cell r="M1655">
            <v>16759.604169999999</v>
          </cell>
          <cell r="N1655">
            <v>16938.438699999999</v>
          </cell>
          <cell r="O1655">
            <v>17111.921600000001</v>
          </cell>
          <cell r="P1655">
            <v>17300.515090000001</v>
          </cell>
          <cell r="Q1655">
            <v>17503.33051</v>
          </cell>
          <cell r="R1655">
            <v>17719.81021</v>
          </cell>
          <cell r="S1655">
            <v>17948.21831</v>
          </cell>
          <cell r="T1655">
            <v>18186.30745</v>
          </cell>
          <cell r="U1655">
            <v>18432.068520000001</v>
          </cell>
          <cell r="V1655">
            <v>18684.349300000002</v>
          </cell>
          <cell r="W1655">
            <v>18942.961149999999</v>
          </cell>
          <cell r="X1655">
            <v>19208.384279999998</v>
          </cell>
          <cell r="Y1655">
            <v>19481.249500000002</v>
          </cell>
          <cell r="Z1655">
            <v>19754.45203</v>
          </cell>
          <cell r="AA1655">
            <v>20035.803909999999</v>
          </cell>
          <cell r="AB1655">
            <v>20327.232830000001</v>
          </cell>
          <cell r="AC1655">
            <v>20627.740659999999</v>
          </cell>
          <cell r="AD1655">
            <v>20935.19184</v>
          </cell>
          <cell r="AE1655">
            <v>21224.63985</v>
          </cell>
          <cell r="AF1655">
            <v>21511.811089999999</v>
          </cell>
          <cell r="AG1655">
            <v>21803.285670000001</v>
          </cell>
          <cell r="AH1655">
            <v>22102.382409999998</v>
          </cell>
          <cell r="AI1655">
            <v>22409.508989999998</v>
          </cell>
          <cell r="AJ1655">
            <v>22723.217140000001</v>
          </cell>
          <cell r="AK1655">
            <v>23041.39414</v>
          </cell>
          <cell r="AL1655">
            <v>23362.33728</v>
          </cell>
          <cell r="AM1655">
            <v>23685.369279999999</v>
          </cell>
          <cell r="AN1655">
            <v>24010.870749999998</v>
          </cell>
          <cell r="AO1655">
            <v>24339.867330000001</v>
          </cell>
        </row>
        <row r="1660">
          <cell r="F1660">
            <v>367438.23920000001</v>
          </cell>
          <cell r="G1660">
            <v>369848.74119999999</v>
          </cell>
          <cell r="H1660">
            <v>373650.53340000001</v>
          </cell>
          <cell r="I1660">
            <v>379691.24369999999</v>
          </cell>
          <cell r="J1660">
            <v>387186.0049</v>
          </cell>
          <cell r="K1660">
            <v>395020.48590000003</v>
          </cell>
          <cell r="L1660">
            <v>402534.7366</v>
          </cell>
          <cell r="M1660">
            <v>408933.12319999997</v>
          </cell>
          <cell r="N1660">
            <v>414389.84250000003</v>
          </cell>
          <cell r="O1660">
            <v>419473.38439999998</v>
          </cell>
          <cell r="P1660">
            <v>424446.57169999997</v>
          </cell>
          <cell r="Q1660">
            <v>430673.19880000001</v>
          </cell>
          <cell r="R1660">
            <v>437515.1692</v>
          </cell>
          <cell r="S1660">
            <v>444755.51010000001</v>
          </cell>
          <cell r="T1660">
            <v>452289.33159999998</v>
          </cell>
          <cell r="U1660">
            <v>460056.8517</v>
          </cell>
          <cell r="V1660">
            <v>468037.20120000001</v>
          </cell>
          <cell r="W1660">
            <v>476239.6581</v>
          </cell>
          <cell r="X1660">
            <v>484690.72220000002</v>
          </cell>
          <cell r="Y1660">
            <v>493414.31410000002</v>
          </cell>
          <cell r="Z1660">
            <v>502587.51699999999</v>
          </cell>
          <cell r="AA1660">
            <v>511583.02799999999</v>
          </cell>
          <cell r="AB1660">
            <v>520867.68589999998</v>
          </cell>
          <cell r="AC1660">
            <v>530470.03709999996</v>
          </cell>
          <cell r="AD1660">
            <v>540295.70050000004</v>
          </cell>
          <cell r="AE1660">
            <v>550646.8824</v>
          </cell>
          <cell r="AF1660">
            <v>560182.15399999998</v>
          </cell>
          <cell r="AG1660">
            <v>569682.84719999996</v>
          </cell>
          <cell r="AH1660">
            <v>579427.29379999998</v>
          </cell>
          <cell r="AI1660">
            <v>589442.41839999997</v>
          </cell>
          <cell r="AJ1660">
            <v>599648.75179999997</v>
          </cell>
          <cell r="AK1660">
            <v>609943.80209999997</v>
          </cell>
          <cell r="AL1660">
            <v>620255.8885</v>
          </cell>
          <cell r="AM1660">
            <v>630567.25639999995</v>
          </cell>
          <cell r="AN1660">
            <v>640908.06420000002</v>
          </cell>
          <cell r="AO1660">
            <v>651331.99179999996</v>
          </cell>
        </row>
        <row r="1663">
          <cell r="F1663">
            <v>3917.6266190000001</v>
          </cell>
          <cell r="G1663">
            <v>4048.8456160000001</v>
          </cell>
          <cell r="H1663">
            <v>4186.7608170000003</v>
          </cell>
          <cell r="I1663">
            <v>4312.2516400000004</v>
          </cell>
          <cell r="J1663">
            <v>4425.780917</v>
          </cell>
          <cell r="K1663">
            <v>4532.6250870000003</v>
          </cell>
          <cell r="L1663">
            <v>4635.3238419999998</v>
          </cell>
          <cell r="M1663">
            <v>4736.88213</v>
          </cell>
          <cell r="N1663">
            <v>4837.4387109999998</v>
          </cell>
          <cell r="O1663">
            <v>4935.2438410000004</v>
          </cell>
          <cell r="P1663">
            <v>5030.9505749999998</v>
          </cell>
          <cell r="Q1663">
            <v>5120.2799320000004</v>
          </cell>
          <cell r="R1663">
            <v>5203.591754</v>
          </cell>
          <cell r="S1663">
            <v>5281.982293</v>
          </cell>
          <cell r="T1663">
            <v>5356.3738940000003</v>
          </cell>
          <cell r="U1663">
            <v>5427.5339309999999</v>
          </cell>
          <cell r="V1663">
            <v>5496.0598710000004</v>
          </cell>
          <cell r="W1663">
            <v>5562.2914270000001</v>
          </cell>
          <cell r="X1663">
            <v>5626.3922819999998</v>
          </cell>
          <cell r="Y1663">
            <v>5688.508699</v>
          </cell>
          <cell r="Z1663">
            <v>5746.6308790000003</v>
          </cell>
          <cell r="AA1663">
            <v>5803.8331399999997</v>
          </cell>
          <cell r="AB1663">
            <v>5860.4840569999997</v>
          </cell>
          <cell r="AC1663">
            <v>5916.7875469999999</v>
          </cell>
          <cell r="AD1663">
            <v>5973.1275349999996</v>
          </cell>
          <cell r="AE1663">
            <v>6022.8180650000004</v>
          </cell>
          <cell r="AF1663">
            <v>6072.0778879999998</v>
          </cell>
          <cell r="AG1663">
            <v>6120.8537509999996</v>
          </cell>
          <cell r="AH1663">
            <v>6168.6693109999997</v>
          </cell>
          <cell r="AI1663">
            <v>6215.7236869999997</v>
          </cell>
          <cell r="AJ1663">
            <v>6262.6297549999999</v>
          </cell>
          <cell r="AK1663">
            <v>6310.0144399999999</v>
          </cell>
          <cell r="AL1663">
            <v>6358.2687020000003</v>
          </cell>
          <cell r="AM1663">
            <v>6407.4798069999997</v>
          </cell>
          <cell r="AN1663">
            <v>6457.505193</v>
          </cell>
          <cell r="AO1663">
            <v>6508.1177710000002</v>
          </cell>
        </row>
        <row r="1668">
          <cell r="F1668">
            <v>6752.3176679999997</v>
          </cell>
          <cell r="G1668">
            <v>6814.5529999999999</v>
          </cell>
          <cell r="H1668">
            <v>6856.8102799999997</v>
          </cell>
          <cell r="I1668">
            <v>6888.5195530000001</v>
          </cell>
          <cell r="J1668">
            <v>6920.4222849999996</v>
          </cell>
          <cell r="K1668">
            <v>6961.1431519999996</v>
          </cell>
          <cell r="L1668">
            <v>7012.8577770000002</v>
          </cell>
          <cell r="M1668">
            <v>7075.243974</v>
          </cell>
          <cell r="N1668">
            <v>7144.375462</v>
          </cell>
          <cell r="O1668">
            <v>7214.8915850000003</v>
          </cell>
          <cell r="P1668">
            <v>7284.8905830000003</v>
          </cell>
          <cell r="Q1668">
            <v>7350.6643130000002</v>
          </cell>
          <cell r="R1668">
            <v>7412.1786229999998</v>
          </cell>
          <cell r="S1668">
            <v>7470.8618280000001</v>
          </cell>
          <cell r="T1668">
            <v>7527.9736670000002</v>
          </cell>
          <cell r="U1668">
            <v>7584.3473409999997</v>
          </cell>
          <cell r="V1668">
            <v>7640.404724</v>
          </cell>
          <cell r="W1668">
            <v>7696.2227220000004</v>
          </cell>
          <cell r="X1668">
            <v>7751.7591519999996</v>
          </cell>
          <cell r="Y1668">
            <v>7807.0890529999997</v>
          </cell>
          <cell r="Z1668">
            <v>7860.3700790000003</v>
          </cell>
          <cell r="AA1668">
            <v>7914.0057299999999</v>
          </cell>
          <cell r="AB1668">
            <v>7969.0693090000004</v>
          </cell>
          <cell r="AC1668">
            <v>8026.1881709999998</v>
          </cell>
          <cell r="AD1668">
            <v>8085.9150360000003</v>
          </cell>
          <cell r="AE1668">
            <v>8141.5627969999996</v>
          </cell>
          <cell r="AF1668">
            <v>8197.4224819999999</v>
          </cell>
          <cell r="AG1668">
            <v>8253.7020499999999</v>
          </cell>
          <cell r="AH1668">
            <v>8310.2870939999993</v>
          </cell>
          <cell r="AI1668">
            <v>8367.7988609999993</v>
          </cell>
          <cell r="AJ1668">
            <v>8427.2499299999999</v>
          </cell>
          <cell r="AK1668">
            <v>8489.5003250000009</v>
          </cell>
          <cell r="AL1668">
            <v>8554.9348410000002</v>
          </cell>
          <cell r="AM1668">
            <v>8623.4312649999993</v>
          </cell>
          <cell r="AN1668">
            <v>8694.5325489999996</v>
          </cell>
          <cell r="AO1668">
            <v>8767.7351780000008</v>
          </cell>
        </row>
        <row r="1702">
          <cell r="F1702">
            <v>1207915.335</v>
          </cell>
          <cell r="G1702">
            <v>1216845.7169999999</v>
          </cell>
          <cell r="H1702">
            <v>1234706.3289999999</v>
          </cell>
          <cell r="I1702">
            <v>1255506.852</v>
          </cell>
          <cell r="J1702">
            <v>1275497.92</v>
          </cell>
          <cell r="K1702">
            <v>1293769.324</v>
          </cell>
          <cell r="L1702">
            <v>1287838.7050000001</v>
          </cell>
          <cell r="M1702">
            <v>1293717.9709999999</v>
          </cell>
          <cell r="N1702">
            <v>1305705.4410000001</v>
          </cell>
          <cell r="O1702">
            <v>1324807.054</v>
          </cell>
          <cell r="P1702">
            <v>1351014.9509999999</v>
          </cell>
          <cell r="Q1702">
            <v>1380039.1740000001</v>
          </cell>
          <cell r="R1702">
            <v>1409607.618</v>
          </cell>
          <cell r="S1702">
            <v>1437197.55</v>
          </cell>
          <cell r="T1702">
            <v>1461835.601</v>
          </cell>
          <cell r="U1702">
            <v>1483811.7490000001</v>
          </cell>
          <cell r="V1702">
            <v>1504225.6629999999</v>
          </cell>
          <cell r="W1702">
            <v>1524391.9909999999</v>
          </cell>
          <cell r="X1702">
            <v>1545330.5260000001</v>
          </cell>
          <cell r="Y1702">
            <v>1567515.699</v>
          </cell>
          <cell r="Z1702">
            <v>1589735.524</v>
          </cell>
          <cell r="AA1702">
            <v>1613612.01</v>
          </cell>
          <cell r="AB1702">
            <v>1638277.0619999999</v>
          </cell>
          <cell r="AC1702">
            <v>1663213.32</v>
          </cell>
          <cell r="AD1702">
            <v>1688214.338</v>
          </cell>
          <cell r="AE1702">
            <v>1708598.284</v>
          </cell>
          <cell r="AF1702">
            <v>1732561.808</v>
          </cell>
          <cell r="AG1702">
            <v>1756678.996</v>
          </cell>
          <cell r="AH1702">
            <v>1781238.0830000001</v>
          </cell>
          <cell r="AI1702">
            <v>1806168.2679999999</v>
          </cell>
          <cell r="AJ1702">
            <v>1831233.365</v>
          </cell>
          <cell r="AK1702">
            <v>1856231.574</v>
          </cell>
          <cell r="AL1702">
            <v>1881108.2109999999</v>
          </cell>
          <cell r="AM1702">
            <v>1905966.3330000001</v>
          </cell>
          <cell r="AN1702">
            <v>1931002.709</v>
          </cell>
          <cell r="AO1702">
            <v>1956417.067</v>
          </cell>
        </row>
        <row r="1731">
          <cell r="F1731">
            <v>1207915.335</v>
          </cell>
          <cell r="G1731">
            <v>1216845.7169999999</v>
          </cell>
          <cell r="H1731">
            <v>1234706.3289999999</v>
          </cell>
          <cell r="I1731">
            <v>1255506.852</v>
          </cell>
          <cell r="J1731">
            <v>1275497.92</v>
          </cell>
          <cell r="K1731">
            <v>1293769.324</v>
          </cell>
          <cell r="L1731">
            <v>1308900.8030000001</v>
          </cell>
          <cell r="M1731">
            <v>1323004.503</v>
          </cell>
          <cell r="N1731">
            <v>1336880.548</v>
          </cell>
          <cell r="O1731">
            <v>1351921.4350000001</v>
          </cell>
          <cell r="P1731">
            <v>1370090.398</v>
          </cell>
          <cell r="Q1731">
            <v>1390102.031</v>
          </cell>
          <cell r="R1731">
            <v>1412002.5830000001</v>
          </cell>
          <cell r="S1731">
            <v>1434933.7590000001</v>
          </cell>
          <cell r="T1731">
            <v>1458393.5549999999</v>
          </cell>
          <cell r="U1731">
            <v>1482095.088</v>
          </cell>
          <cell r="V1731">
            <v>1505937.48</v>
          </cell>
          <cell r="W1731">
            <v>1529941.9890000001</v>
          </cell>
          <cell r="X1731">
            <v>1554169.933</v>
          </cell>
          <cell r="Y1731">
            <v>1578658.3670000001</v>
          </cell>
          <cell r="Z1731">
            <v>1602207.1</v>
          </cell>
          <cell r="AA1731">
            <v>1626763.6370000001</v>
          </cell>
          <cell r="AB1731">
            <v>1651790.97</v>
          </cell>
          <cell r="AC1731">
            <v>1677014.1040000001</v>
          </cell>
          <cell r="AD1731">
            <v>1702306.38</v>
          </cell>
          <cell r="AE1731">
            <v>1722924.0560000001</v>
          </cell>
          <cell r="AF1731">
            <v>1746965.7339999999</v>
          </cell>
          <cell r="AG1731">
            <v>1770979.936</v>
          </cell>
          <cell r="AH1731">
            <v>1795279.449</v>
          </cell>
          <cell r="AI1731">
            <v>1819866.49</v>
          </cell>
          <cell r="AJ1731">
            <v>1844595.6310000001</v>
          </cell>
          <cell r="AK1731">
            <v>1869340.2250000001</v>
          </cell>
          <cell r="AL1731">
            <v>1894082.8759999999</v>
          </cell>
          <cell r="AM1731">
            <v>1918921.375</v>
          </cell>
          <cell r="AN1731">
            <v>1944016.084</v>
          </cell>
          <cell r="AO1731">
            <v>1969519.1089999999</v>
          </cell>
        </row>
        <row r="1760">
          <cell r="F1760">
            <v>0.99828038009999998</v>
          </cell>
          <cell r="G1760">
            <v>1.0195316240000001</v>
          </cell>
          <cell r="H1760">
            <v>1.033661392</v>
          </cell>
          <cell r="I1760">
            <v>1.0454893679999999</v>
          </cell>
          <cell r="J1760">
            <v>1.05723061</v>
          </cell>
          <cell r="K1760">
            <v>1.0710518550000001</v>
          </cell>
          <cell r="L1760">
            <v>1.1277472989999999</v>
          </cell>
          <cell r="M1760">
            <v>1.1608294480000001</v>
          </cell>
          <cell r="N1760">
            <v>1.1972739349999999</v>
          </cell>
          <cell r="O1760">
            <v>1.228186024</v>
          </cell>
          <cell r="P1760">
            <v>1.252252937</v>
          </cell>
          <cell r="Q1760">
            <v>1.273465904</v>
          </cell>
          <cell r="R1760">
            <v>1.2933850929999999</v>
          </cell>
          <cell r="S1760">
            <v>1.3145984479999999</v>
          </cell>
          <cell r="T1760">
            <v>1.3385194739999999</v>
          </cell>
          <cell r="U1760">
            <v>1.365396321</v>
          </cell>
          <cell r="V1760">
            <v>1.3945776000000001</v>
          </cell>
          <cell r="W1760">
            <v>1.425037162</v>
          </cell>
          <cell r="X1760">
            <v>1.4558927209999999</v>
          </cell>
          <cell r="Y1760">
            <v>1.486705728</v>
          </cell>
          <cell r="Z1760">
            <v>1.5180353660000001</v>
          </cell>
          <cell r="AA1760">
            <v>1.548904439</v>
          </cell>
          <cell r="AB1760">
            <v>1.5803703330000001</v>
          </cell>
          <cell r="AC1760">
            <v>1.6127405880000001</v>
          </cell>
          <cell r="AD1760">
            <v>1.6462452999999999</v>
          </cell>
          <cell r="AE1760">
            <v>1.682311822</v>
          </cell>
          <cell r="AF1760">
            <v>1.7178060399999999</v>
          </cell>
          <cell r="AG1760">
            <v>1.7533531950000001</v>
          </cell>
          <cell r="AH1760">
            <v>1.788733586</v>
          </cell>
          <cell r="AI1760">
            <v>1.8242313130000001</v>
          </cell>
          <cell r="AJ1760">
            <v>1.8602804669999999</v>
          </cell>
          <cell r="AK1760">
            <v>1.897262714</v>
          </cell>
          <cell r="AL1760">
            <v>1.9353805909999999</v>
          </cell>
          <cell r="AM1760">
            <v>1.9746328820000001</v>
          </cell>
          <cell r="AN1760">
            <v>2.0148770159999998</v>
          </cell>
          <cell r="AO1760">
            <v>2.0559321810000002</v>
          </cell>
        </row>
        <row r="1789">
          <cell r="F1789">
            <v>0.99828038009999998</v>
          </cell>
          <cell r="G1789">
            <v>1.0195316240000001</v>
          </cell>
          <cell r="H1789">
            <v>1.033661392</v>
          </cell>
          <cell r="I1789">
            <v>1.0454893679999999</v>
          </cell>
          <cell r="J1789">
            <v>1.05723061</v>
          </cell>
          <cell r="K1789">
            <v>1.0710518550000001</v>
          </cell>
          <cell r="L1789">
            <v>1.0885652139999999</v>
          </cell>
          <cell r="M1789">
            <v>1.109814461</v>
          </cell>
          <cell r="N1789">
            <v>1.133939808</v>
          </cell>
          <cell r="O1789">
            <v>1.1595949919999999</v>
          </cell>
          <cell r="P1789">
            <v>1.1848353170000001</v>
          </cell>
          <cell r="Q1789">
            <v>1.2110985700000001</v>
          </cell>
          <cell r="R1789">
            <v>1.237584971</v>
          </cell>
          <cell r="S1789">
            <v>1.264650901</v>
          </cell>
          <cell r="T1789">
            <v>1.292461911</v>
          </cell>
          <cell r="U1789">
            <v>1.321064711</v>
          </cell>
          <cell r="V1789">
            <v>1.3503802490000001</v>
          </cell>
          <cell r="W1789">
            <v>1.3802519529999999</v>
          </cell>
          <cell r="X1789">
            <v>1.4105233909999999</v>
          </cell>
          <cell r="Y1789">
            <v>1.4411025740000001</v>
          </cell>
          <cell r="Z1789">
            <v>1.4725109380000001</v>
          </cell>
          <cell r="AA1789">
            <v>1.503545541</v>
          </cell>
          <cell r="AB1789">
            <v>1.534951172</v>
          </cell>
          <cell r="AC1789">
            <v>1.5668818099999999</v>
          </cell>
          <cell r="AD1789">
            <v>1.599578291</v>
          </cell>
          <cell r="AE1789">
            <v>1.634551066</v>
          </cell>
          <cell r="AF1789">
            <v>1.6690566389999999</v>
          </cell>
          <cell r="AG1789">
            <v>1.7037464099999999</v>
          </cell>
          <cell r="AH1789">
            <v>1.738460804</v>
          </cell>
          <cell r="AI1789">
            <v>1.7734410620000001</v>
          </cell>
          <cell r="AJ1789">
            <v>1.8090291000000001</v>
          </cell>
          <cell r="AK1789">
            <v>1.845512796</v>
          </cell>
          <cell r="AL1789">
            <v>1.8830357310000001</v>
          </cell>
          <cell r="AM1789">
            <v>1.921587127</v>
          </cell>
          <cell r="AN1789">
            <v>1.9610564130000001</v>
          </cell>
          <cell r="AO1789">
            <v>2.0013144280000001</v>
          </cell>
        </row>
      </sheetData>
      <sheetData sheetId="7"/>
      <sheetData sheetId="8">
        <row r="820">
          <cell r="B820">
            <v>352.66205120000001</v>
          </cell>
          <cell r="C820">
            <v>355.2350485</v>
          </cell>
          <cell r="D820">
            <v>357.33033</v>
          </cell>
          <cell r="E820">
            <v>359.27821</v>
          </cell>
          <cell r="F820">
            <v>361.50007490000002</v>
          </cell>
          <cell r="G820">
            <v>364.33780610000002</v>
          </cell>
          <cell r="H820">
            <v>367.49754369999999</v>
          </cell>
          <cell r="I820">
            <v>371.346969</v>
          </cell>
          <cell r="J820">
            <v>375.6614275</v>
          </cell>
          <cell r="K820">
            <v>380.16006800000002</v>
          </cell>
          <cell r="L820">
            <v>385.204768</v>
          </cell>
          <cell r="M820">
            <v>389.60271180000001</v>
          </cell>
          <cell r="N820">
            <v>393.94747660000002</v>
          </cell>
          <cell r="O820">
            <v>398.33179250000001</v>
          </cell>
          <cell r="P820">
            <v>402.75667220000003</v>
          </cell>
          <cell r="Q820">
            <v>407.21387750000002</v>
          </cell>
          <cell r="R820">
            <v>411.69532909999998</v>
          </cell>
          <cell r="S820">
            <v>416.19360879999999</v>
          </cell>
          <cell r="T820">
            <v>420.70513620000003</v>
          </cell>
          <cell r="U820">
            <v>425.23422260000001</v>
          </cell>
          <cell r="V820">
            <v>429.36463570000001</v>
          </cell>
          <cell r="W820">
            <v>433.95696149999998</v>
          </cell>
          <cell r="X820">
            <v>438.64157299999999</v>
          </cell>
          <cell r="Y820">
            <v>443.38260650000001</v>
          </cell>
          <cell r="Z820">
            <v>448.21126520000001</v>
          </cell>
          <cell r="AA820">
            <v>451.83291630000002</v>
          </cell>
          <cell r="AB820">
            <v>456.32227469999998</v>
          </cell>
          <cell r="AC820">
            <v>460.93641880000001</v>
          </cell>
          <cell r="AD820">
            <v>465.538882</v>
          </cell>
          <cell r="AE820">
            <v>470.15875949999997</v>
          </cell>
          <cell r="AF820">
            <v>474.84620410000002</v>
          </cell>
          <cell r="AG820">
            <v>479.6343895</v>
          </cell>
          <cell r="AH820">
            <v>484.5324225</v>
          </cell>
          <cell r="AI820">
            <v>489.53033119999998</v>
          </cell>
          <cell r="AJ820">
            <v>494.60917599999999</v>
          </cell>
          <cell r="AK820">
            <v>499.75133199999999</v>
          </cell>
        </row>
        <row r="821">
          <cell r="B821">
            <v>185.34808140000001</v>
          </cell>
          <cell r="C821">
            <v>187.31634389999999</v>
          </cell>
          <cell r="D821">
            <v>188.974277</v>
          </cell>
          <cell r="E821">
            <v>190.41494990000001</v>
          </cell>
          <cell r="F821">
            <v>191.98067800000001</v>
          </cell>
          <cell r="G821">
            <v>194.0075674</v>
          </cell>
          <cell r="H821">
            <v>196.41958289999999</v>
          </cell>
          <cell r="I821">
            <v>199.42540740000001</v>
          </cell>
          <cell r="J821">
            <v>202.8163261</v>
          </cell>
          <cell r="K821">
            <v>206.3263638</v>
          </cell>
          <cell r="L821">
            <v>210.0424194</v>
          </cell>
          <cell r="M821">
            <v>213.3191894</v>
          </cell>
          <cell r="N821">
            <v>216.48773940000001</v>
          </cell>
          <cell r="O821">
            <v>219.61400140000001</v>
          </cell>
          <cell r="P821">
            <v>222.72827419999999</v>
          </cell>
          <cell r="Q821">
            <v>225.84590750000001</v>
          </cell>
          <cell r="R821">
            <v>228.96897430000001</v>
          </cell>
          <cell r="S821">
            <v>232.0925015</v>
          </cell>
          <cell r="T821">
            <v>235.21231119999999</v>
          </cell>
          <cell r="U821">
            <v>238.33177319999999</v>
          </cell>
          <cell r="V821">
            <v>241.2295963</v>
          </cell>
          <cell r="W821">
            <v>244.36947190000001</v>
          </cell>
          <cell r="X821">
            <v>247.56221790000001</v>
          </cell>
          <cell r="Y821">
            <v>250.81121049999999</v>
          </cell>
          <cell r="Z821">
            <v>254.14733659999999</v>
          </cell>
          <cell r="AA821">
            <v>256.84656310000003</v>
          </cell>
          <cell r="AB821">
            <v>260.04153580000002</v>
          </cell>
          <cell r="AC821">
            <v>263.27849670000001</v>
          </cell>
          <cell r="AD821">
            <v>266.49391989999998</v>
          </cell>
          <cell r="AE821">
            <v>269.72155839999999</v>
          </cell>
          <cell r="AF821">
            <v>273.00986740000002</v>
          </cell>
          <cell r="AG821">
            <v>276.3932059</v>
          </cell>
          <cell r="AH821">
            <v>279.88257060000001</v>
          </cell>
          <cell r="AI821">
            <v>283.46814910000001</v>
          </cell>
          <cell r="AJ821">
            <v>287.12884680000002</v>
          </cell>
          <cell r="AK821">
            <v>290.84351770000001</v>
          </cell>
        </row>
        <row r="822">
          <cell r="B822">
            <v>2.752998888</v>
          </cell>
          <cell r="C822">
            <v>2.7418505689999999</v>
          </cell>
          <cell r="D822">
            <v>2.741217502</v>
          </cell>
          <cell r="E822">
            <v>2.7513423690000001</v>
          </cell>
          <cell r="F822">
            <v>2.7712100230000001</v>
          </cell>
          <cell r="G822">
            <v>2.7980796290000001</v>
          </cell>
          <cell r="H822">
            <v>2.8275062819999999</v>
          </cell>
          <cell r="I822">
            <v>2.8562029330000001</v>
          </cell>
          <cell r="J822">
            <v>2.8826433800000002</v>
          </cell>
          <cell r="K822">
            <v>2.9062524870000002</v>
          </cell>
          <cell r="L822">
            <v>2.9288857610000001</v>
          </cell>
          <cell r="M822">
            <v>2.9494630000000002</v>
          </cell>
          <cell r="N822">
            <v>2.966915325</v>
          </cell>
          <cell r="O822">
            <v>2.981739965</v>
          </cell>
          <cell r="P822">
            <v>2.9946309929999999</v>
          </cell>
          <cell r="Q822">
            <v>3.0063931290000001</v>
          </cell>
          <cell r="R822">
            <v>3.0178468449999998</v>
          </cell>
          <cell r="S822">
            <v>3.0297221419999998</v>
          </cell>
          <cell r="T822">
            <v>3.0425813320000001</v>
          </cell>
          <cell r="U822">
            <v>3.0567655710000001</v>
          </cell>
          <cell r="V822">
            <v>3.07101873</v>
          </cell>
          <cell r="W822">
            <v>3.0865337799999999</v>
          </cell>
          <cell r="X822">
            <v>3.1038660770000002</v>
          </cell>
          <cell r="Y822">
            <v>3.1225574370000002</v>
          </cell>
          <cell r="Z822">
            <v>3.1420733059999999</v>
          </cell>
          <cell r="AA822">
            <v>3.1579090120000002</v>
          </cell>
          <cell r="AB822">
            <v>3.1721704750000002</v>
          </cell>
          <cell r="AC822">
            <v>3.1864170949999999</v>
          </cell>
          <cell r="AD822">
            <v>3.200984074</v>
          </cell>
          <cell r="AE822">
            <v>3.215926821</v>
          </cell>
          <cell r="AF822">
            <v>3.2311448779999998</v>
          </cell>
          <cell r="AG822">
            <v>3.2464798730000002</v>
          </cell>
          <cell r="AH822">
            <v>3.2618039040000002</v>
          </cell>
          <cell r="AI822">
            <v>3.2770661470000002</v>
          </cell>
          <cell r="AJ822">
            <v>3.292292631</v>
          </cell>
          <cell r="AK822">
            <v>3.307554477</v>
          </cell>
        </row>
        <row r="823">
          <cell r="B823">
            <v>49.249043909999997</v>
          </cell>
          <cell r="C823">
            <v>50.122242129999997</v>
          </cell>
          <cell r="D823">
            <v>51.14833308</v>
          </cell>
          <cell r="E823">
            <v>52.12960047</v>
          </cell>
          <cell r="F823">
            <v>53.052701200000001</v>
          </cell>
          <cell r="G823">
            <v>53.948596539999997</v>
          </cell>
          <cell r="H823">
            <v>54.671127310000003</v>
          </cell>
          <cell r="I823">
            <v>55.408973580000001</v>
          </cell>
          <cell r="J823">
            <v>56.164376760000003</v>
          </cell>
          <cell r="K823">
            <v>56.927586730000002</v>
          </cell>
          <cell r="L823">
            <v>57.935708490000003</v>
          </cell>
          <cell r="M823">
            <v>58.692885580000002</v>
          </cell>
          <cell r="N823">
            <v>59.467863180000002</v>
          </cell>
          <cell r="O823">
            <v>60.297596300000002</v>
          </cell>
          <cell r="P823">
            <v>61.166128260000001</v>
          </cell>
          <cell r="Q823">
            <v>62.056619730000001</v>
          </cell>
          <cell r="R823">
            <v>62.959866519999999</v>
          </cell>
          <cell r="S823">
            <v>63.874167679999999</v>
          </cell>
          <cell r="T823">
            <v>64.80152219</v>
          </cell>
          <cell r="U823">
            <v>65.744704209999995</v>
          </cell>
          <cell r="V823">
            <v>66.537138830000004</v>
          </cell>
          <cell r="W823">
            <v>67.542456939999994</v>
          </cell>
          <cell r="X823">
            <v>68.583457670000001</v>
          </cell>
          <cell r="Y823">
            <v>69.624825319999999</v>
          </cell>
          <cell r="Z823">
            <v>70.669566099999997</v>
          </cell>
          <cell r="AA823">
            <v>71.222779799999998</v>
          </cell>
          <cell r="AB823">
            <v>72.160222559999994</v>
          </cell>
          <cell r="AC823">
            <v>73.18508937</v>
          </cell>
          <cell r="AD823">
            <v>74.222219280000004</v>
          </cell>
          <cell r="AE823">
            <v>75.267205610000005</v>
          </cell>
          <cell r="AF823">
            <v>76.323360170000001</v>
          </cell>
          <cell r="AG823">
            <v>77.39115907</v>
          </cell>
          <cell r="AH823">
            <v>78.469460650000002</v>
          </cell>
          <cell r="AI823">
            <v>79.557653119999998</v>
          </cell>
          <cell r="AJ823">
            <v>80.656570070000001</v>
          </cell>
          <cell r="AK823">
            <v>81.768196009999997</v>
          </cell>
        </row>
        <row r="824">
          <cell r="B824">
            <v>115.311927</v>
          </cell>
          <cell r="C824">
            <v>115.0546119</v>
          </cell>
          <cell r="D824">
            <v>114.4665024</v>
          </cell>
          <cell r="E824">
            <v>113.98231730000001</v>
          </cell>
          <cell r="F824">
            <v>113.69548570000001</v>
          </cell>
          <cell r="G824">
            <v>113.5835625</v>
          </cell>
          <cell r="H824">
            <v>113.57932719999999</v>
          </cell>
          <cell r="I824">
            <v>113.65638509999999</v>
          </cell>
          <cell r="J824">
            <v>113.79808130000001</v>
          </cell>
          <cell r="K824">
            <v>113.999865</v>
          </cell>
          <cell r="L824">
            <v>114.2977544</v>
          </cell>
          <cell r="M824">
            <v>114.6411738</v>
          </cell>
          <cell r="N824">
            <v>115.0249587</v>
          </cell>
          <cell r="O824">
            <v>115.4384548</v>
          </cell>
          <cell r="P824">
            <v>115.86763879999999</v>
          </cell>
          <cell r="Q824">
            <v>116.3049571</v>
          </cell>
          <cell r="R824">
            <v>116.74864150000001</v>
          </cell>
          <cell r="S824">
            <v>117.19721749999999</v>
          </cell>
          <cell r="T824">
            <v>117.64872149999999</v>
          </cell>
          <cell r="U824">
            <v>118.1009797</v>
          </cell>
          <cell r="V824">
            <v>118.5268818</v>
          </cell>
          <cell r="W824">
            <v>118.9584989</v>
          </cell>
          <cell r="X824">
            <v>119.39203139999999</v>
          </cell>
          <cell r="Y824">
            <v>119.8240133</v>
          </cell>
          <cell r="Z824">
            <v>120.2522891</v>
          </cell>
          <cell r="AA824">
            <v>120.6056645</v>
          </cell>
          <cell r="AB824">
            <v>120.94834590000001</v>
          </cell>
          <cell r="AC824">
            <v>121.2864156</v>
          </cell>
          <cell r="AD824">
            <v>121.6217587</v>
          </cell>
          <cell r="AE824">
            <v>121.95406869999999</v>
          </cell>
          <cell r="AF824">
            <v>122.2818317</v>
          </cell>
          <cell r="AG824">
            <v>122.60354460000001</v>
          </cell>
          <cell r="AH824">
            <v>122.91858740000001</v>
          </cell>
          <cell r="AI824">
            <v>123.2274628</v>
          </cell>
          <cell r="AJ824">
            <v>123.53146649999999</v>
          </cell>
          <cell r="AK824">
            <v>123.8320638</v>
          </cell>
        </row>
        <row r="825">
          <cell r="B825">
            <v>352.66205120000001</v>
          </cell>
          <cell r="C825">
            <v>355.2350485</v>
          </cell>
          <cell r="D825">
            <v>357.33033</v>
          </cell>
          <cell r="E825">
            <v>359.27821</v>
          </cell>
          <cell r="F825">
            <v>361.50007490000002</v>
          </cell>
          <cell r="G825">
            <v>364.33780610000002</v>
          </cell>
          <cell r="H825">
            <v>370.3629881</v>
          </cell>
          <cell r="I825">
            <v>374.48689139999999</v>
          </cell>
          <cell r="J825">
            <v>378.0061824</v>
          </cell>
          <cell r="K825">
            <v>380.96607110000002</v>
          </cell>
          <cell r="L825">
            <v>384.06913220000001</v>
          </cell>
          <cell r="M825">
            <v>386.54364880000003</v>
          </cell>
          <cell r="N825">
            <v>389.29335570000001</v>
          </cell>
          <cell r="O825">
            <v>392.58389019999998</v>
          </cell>
          <cell r="P825">
            <v>396.4302576</v>
          </cell>
          <cell r="Q825">
            <v>400.71907820000001</v>
          </cell>
          <cell r="R825">
            <v>405.27455880000002</v>
          </cell>
          <cell r="S825">
            <v>409.93143500000002</v>
          </cell>
          <cell r="T825">
            <v>414.58131500000002</v>
          </cell>
          <cell r="U825">
            <v>419.18842619999998</v>
          </cell>
          <cell r="V825">
            <v>423.34520379999998</v>
          </cell>
          <cell r="W825">
            <v>427.95081779999998</v>
          </cell>
          <cell r="X825">
            <v>432.66379319999999</v>
          </cell>
          <cell r="Y825">
            <v>437.46071480000001</v>
          </cell>
          <cell r="Z825">
            <v>442.36618149999998</v>
          </cell>
          <cell r="AA825">
            <v>446.0683507</v>
          </cell>
          <cell r="AB825">
            <v>450.62591859999998</v>
          </cell>
          <cell r="AC825">
            <v>455.28671880000002</v>
          </cell>
          <cell r="AD825">
            <v>459.91590259999998</v>
          </cell>
          <cell r="AE825">
            <v>464.5494736</v>
          </cell>
          <cell r="AF825">
            <v>469.2467312</v>
          </cell>
          <cell r="AG825">
            <v>474.04851500000001</v>
          </cell>
          <cell r="AH825">
            <v>478.96743980000002</v>
          </cell>
          <cell r="AI825">
            <v>483.99274500000001</v>
          </cell>
          <cell r="AJ825">
            <v>489.1022261</v>
          </cell>
          <cell r="AK825">
            <v>494.27452449999998</v>
          </cell>
        </row>
        <row r="826">
          <cell r="B826">
            <v>185.34808140000001</v>
          </cell>
          <cell r="C826">
            <v>187.31634389999999</v>
          </cell>
          <cell r="D826">
            <v>188.974277</v>
          </cell>
          <cell r="E826">
            <v>190.41494990000001</v>
          </cell>
          <cell r="F826">
            <v>191.98067800000001</v>
          </cell>
          <cell r="G826">
            <v>194.0075674</v>
          </cell>
          <cell r="H826">
            <v>199.52539239999999</v>
          </cell>
          <cell r="I826">
            <v>203.1743707</v>
          </cell>
          <cell r="J826">
            <v>206.03313460000001</v>
          </cell>
          <cell r="K826">
            <v>208.09893980000001</v>
          </cell>
          <cell r="L826">
            <v>209.80661860000001</v>
          </cell>
          <cell r="M826">
            <v>210.98407689999999</v>
          </cell>
          <cell r="N826">
            <v>212.33993580000001</v>
          </cell>
          <cell r="O826">
            <v>214.17327109999999</v>
          </cell>
          <cell r="P826">
            <v>216.56858159999999</v>
          </cell>
          <cell r="Q826">
            <v>219.45244009999999</v>
          </cell>
          <cell r="R826">
            <v>222.65696689999999</v>
          </cell>
          <cell r="S826">
            <v>225.99701580000001</v>
          </cell>
          <cell r="T826">
            <v>229.33318589999999</v>
          </cell>
          <cell r="U826">
            <v>232.60294110000001</v>
          </cell>
          <cell r="V826">
            <v>235.57879449999999</v>
          </cell>
          <cell r="W826">
            <v>238.76207339999999</v>
          </cell>
          <cell r="X826">
            <v>241.99593369999999</v>
          </cell>
          <cell r="Y826">
            <v>245.30299980000001</v>
          </cell>
          <cell r="Z826">
            <v>248.7126681</v>
          </cell>
          <cell r="AA826">
            <v>251.48378679999999</v>
          </cell>
          <cell r="AB826">
            <v>254.73440740000001</v>
          </cell>
          <cell r="AC826">
            <v>257.99855229999997</v>
          </cell>
          <cell r="AD826">
            <v>261.21299420000003</v>
          </cell>
          <cell r="AE826">
            <v>264.41888390000003</v>
          </cell>
          <cell r="AF826">
            <v>267.67527960000001</v>
          </cell>
          <cell r="AG826">
            <v>271.02596319999998</v>
          </cell>
          <cell r="AH826">
            <v>274.48714749999999</v>
          </cell>
          <cell r="AI826">
            <v>278.04917410000002</v>
          </cell>
          <cell r="AJ826">
            <v>281.68749769999999</v>
          </cell>
          <cell r="AK826">
            <v>285.37617060000002</v>
          </cell>
        </row>
        <row r="827">
          <cell r="B827">
            <v>2.752998888</v>
          </cell>
          <cell r="C827">
            <v>2.7418505689999999</v>
          </cell>
          <cell r="D827">
            <v>2.741217502</v>
          </cell>
          <cell r="E827">
            <v>2.7513423690000001</v>
          </cell>
          <cell r="F827">
            <v>2.7712100230000001</v>
          </cell>
          <cell r="G827">
            <v>2.7980796290000001</v>
          </cell>
          <cell r="H827">
            <v>2.8078785119999998</v>
          </cell>
          <cell r="I827">
            <v>2.801649421</v>
          </cell>
          <cell r="J827">
            <v>2.7831360890000001</v>
          </cell>
          <cell r="K827">
            <v>2.7662488299999999</v>
          </cell>
          <cell r="L827">
            <v>2.7595932730000001</v>
          </cell>
          <cell r="M827">
            <v>2.7645268459999999</v>
          </cell>
          <cell r="N827">
            <v>2.77874716</v>
          </cell>
          <cell r="O827">
            <v>2.7996588340000002</v>
          </cell>
          <cell r="P827">
            <v>2.8242311849999999</v>
          </cell>
          <cell r="Q827">
            <v>2.8498430670000001</v>
          </cell>
          <cell r="R827">
            <v>2.8747102949999999</v>
          </cell>
          <cell r="S827">
            <v>2.8979004860000002</v>
          </cell>
          <cell r="T827">
            <v>2.919111901</v>
          </cell>
          <cell r="U827">
            <v>2.938402994</v>
          </cell>
          <cell r="V827">
            <v>2.9547208660000002</v>
          </cell>
          <cell r="W827">
            <v>2.9694990840000002</v>
          </cell>
          <cell r="X827">
            <v>2.9839238259999998</v>
          </cell>
          <cell r="Y827">
            <v>2.9982503739999999</v>
          </cell>
          <cell r="Z827">
            <v>3.0127164290000001</v>
          </cell>
          <cell r="AA827">
            <v>3.0238261629999998</v>
          </cell>
          <cell r="AB827">
            <v>3.03396548</v>
          </cell>
          <cell r="AC827">
            <v>3.0451406630000002</v>
          </cell>
          <cell r="AD827">
            <v>3.0578153440000002</v>
          </cell>
          <cell r="AE827">
            <v>3.0719843870000001</v>
          </cell>
          <cell r="AF827">
            <v>3.0873468370000001</v>
          </cell>
          <cell r="AG827">
            <v>3.103467271</v>
          </cell>
          <cell r="AH827">
            <v>3.119924149</v>
          </cell>
          <cell r="AI827">
            <v>3.136402978</v>
          </cell>
          <cell r="AJ827">
            <v>3.1527243029999998</v>
          </cell>
          <cell r="AK827">
            <v>3.1688223949999998</v>
          </cell>
        </row>
        <row r="828">
          <cell r="B828">
            <v>49.249043909999997</v>
          </cell>
          <cell r="C828">
            <v>50.122242129999997</v>
          </cell>
          <cell r="D828">
            <v>51.14833308</v>
          </cell>
          <cell r="E828">
            <v>52.12960047</v>
          </cell>
          <cell r="F828">
            <v>53.052701200000001</v>
          </cell>
          <cell r="G828">
            <v>53.948596539999997</v>
          </cell>
          <cell r="H828">
            <v>54.430048759999998</v>
          </cell>
          <cell r="I828">
            <v>54.85063487</v>
          </cell>
          <cell r="J828">
            <v>55.320836300000003</v>
          </cell>
          <cell r="K828">
            <v>55.891866569999998</v>
          </cell>
          <cell r="L828">
            <v>56.819718729999998</v>
          </cell>
          <cell r="M828">
            <v>57.598899250000002</v>
          </cell>
          <cell r="N828">
            <v>58.462268229999999</v>
          </cell>
          <cell r="O828">
            <v>59.403574110000001</v>
          </cell>
          <cell r="P828">
            <v>60.36933209</v>
          </cell>
          <cell r="Q828">
            <v>61.322356929999998</v>
          </cell>
          <cell r="R828">
            <v>62.250492860000001</v>
          </cell>
          <cell r="S828">
            <v>63.160816920000002</v>
          </cell>
          <cell r="T828">
            <v>64.069472149999996</v>
          </cell>
          <cell r="U828">
            <v>64.992332289999993</v>
          </cell>
          <cell r="V828">
            <v>65.771523599999995</v>
          </cell>
          <cell r="W828">
            <v>66.77093266</v>
          </cell>
          <cell r="X828">
            <v>67.811428530000001</v>
          </cell>
          <cell r="Y828">
            <v>68.853595560000002</v>
          </cell>
          <cell r="Z828">
            <v>69.897175180000005</v>
          </cell>
          <cell r="AA828">
            <v>70.448224670000002</v>
          </cell>
          <cell r="AB828">
            <v>71.380897160000004</v>
          </cell>
          <cell r="AC828">
            <v>72.400901309999995</v>
          </cell>
          <cell r="AD828">
            <v>73.434658150000004</v>
          </cell>
          <cell r="AE828">
            <v>74.478236570000007</v>
          </cell>
          <cell r="AF828">
            <v>75.534472460000003</v>
          </cell>
          <cell r="AG828">
            <v>76.602796400000003</v>
          </cell>
          <cell r="AH828">
            <v>77.68096894</v>
          </cell>
          <cell r="AI828">
            <v>78.767672180000005</v>
          </cell>
          <cell r="AJ828">
            <v>79.863648960000006</v>
          </cell>
          <cell r="AK828">
            <v>80.971335679999996</v>
          </cell>
        </row>
        <row r="829">
          <cell r="B829">
            <v>115.311927</v>
          </cell>
          <cell r="C829">
            <v>115.0546119</v>
          </cell>
          <cell r="D829">
            <v>114.4665024</v>
          </cell>
          <cell r="E829">
            <v>113.98231730000001</v>
          </cell>
          <cell r="F829">
            <v>113.69548570000001</v>
          </cell>
          <cell r="G829">
            <v>113.5835625</v>
          </cell>
          <cell r="H829">
            <v>113.5996684</v>
          </cell>
          <cell r="I829">
            <v>113.6602364</v>
          </cell>
          <cell r="J829">
            <v>113.8690754</v>
          </cell>
          <cell r="K829">
            <v>114.2090159</v>
          </cell>
          <cell r="L829">
            <v>114.6832016</v>
          </cell>
          <cell r="M829">
            <v>115.1961458</v>
          </cell>
          <cell r="N829">
            <v>115.71240450000001</v>
          </cell>
          <cell r="O829">
            <v>116.2073862</v>
          </cell>
          <cell r="P829">
            <v>116.6681128</v>
          </cell>
          <cell r="Q829">
            <v>117.0944381</v>
          </cell>
          <cell r="R829">
            <v>117.49238870000001</v>
          </cell>
          <cell r="S829">
            <v>117.87570169999999</v>
          </cell>
          <cell r="T829">
            <v>118.2595451</v>
          </cell>
          <cell r="U829">
            <v>118.6547499</v>
          </cell>
          <cell r="V829">
            <v>119.04016489999999</v>
          </cell>
          <cell r="W829">
            <v>119.44831259999999</v>
          </cell>
          <cell r="X829">
            <v>119.87250710000001</v>
          </cell>
          <cell r="Y829">
            <v>120.3058691</v>
          </cell>
          <cell r="Z829">
            <v>120.74362170000001</v>
          </cell>
          <cell r="AA829">
            <v>121.1125131</v>
          </cell>
          <cell r="AB829">
            <v>121.4766486</v>
          </cell>
          <cell r="AC829">
            <v>121.8421245</v>
          </cell>
          <cell r="AD829">
            <v>122.2104349</v>
          </cell>
          <cell r="AE829">
            <v>122.58036869999999</v>
          </cell>
          <cell r="AF829">
            <v>122.9496323</v>
          </cell>
          <cell r="AG829">
            <v>123.31628809999999</v>
          </cell>
          <cell r="AH829">
            <v>123.6793993</v>
          </cell>
          <cell r="AI829">
            <v>124.0394957</v>
          </cell>
          <cell r="AJ829">
            <v>124.3983551</v>
          </cell>
          <cell r="AK829">
            <v>124.7581958</v>
          </cell>
        </row>
        <row r="830">
          <cell r="A830" t="str">
            <v>ems_ci_co2_sagr_2</v>
          </cell>
          <cell r="B830">
            <v>11.901709650000001</v>
          </cell>
          <cell r="C830">
            <v>11.865325289999999</v>
          </cell>
          <cell r="D830">
            <v>11.775022570000001</v>
          </cell>
          <cell r="E830">
            <v>11.674868979999999</v>
          </cell>
          <cell r="F830">
            <v>11.61176485</v>
          </cell>
          <cell r="G830">
            <v>11.61844994</v>
          </cell>
          <cell r="H830">
            <v>12.581330850000001</v>
          </cell>
          <cell r="I830">
            <v>12.847198519999999</v>
          </cell>
          <cell r="J830">
            <v>12.895912020000001</v>
          </cell>
          <cell r="K830">
            <v>12.809264430000001</v>
          </cell>
          <cell r="L830">
            <v>12.64142666</v>
          </cell>
          <cell r="M830">
            <v>12.454484600000001</v>
          </cell>
          <cell r="N830">
            <v>12.300703110000001</v>
          </cell>
          <cell r="O830">
            <v>12.21324744</v>
          </cell>
          <cell r="P830">
            <v>12.20161725</v>
          </cell>
          <cell r="Q830">
            <v>12.254300239999999</v>
          </cell>
          <cell r="R830">
            <v>12.346632769999999</v>
          </cell>
          <cell r="S830">
            <v>12.450725479999999</v>
          </cell>
          <cell r="T830">
            <v>12.54425883</v>
          </cell>
          <cell r="U830">
            <v>12.615405300000001</v>
          </cell>
          <cell r="V830">
            <v>12.658769230000001</v>
          </cell>
          <cell r="W830">
            <v>12.68323189</v>
          </cell>
          <cell r="X830">
            <v>12.69777264</v>
          </cell>
          <cell r="Y830">
            <v>12.71167121</v>
          </cell>
          <cell r="Z830">
            <v>12.73089729</v>
          </cell>
          <cell r="AA830">
            <v>12.74433427</v>
          </cell>
          <cell r="AB830">
            <v>12.75609661</v>
          </cell>
          <cell r="AC830">
            <v>12.76307663</v>
          </cell>
          <cell r="AD830">
            <v>12.76661009</v>
          </cell>
          <cell r="AE830">
            <v>12.77036506</v>
          </cell>
          <cell r="AF830">
            <v>12.7785978</v>
          </cell>
          <cell r="AG830">
            <v>12.794185880000001</v>
          </cell>
          <cell r="AH830">
            <v>12.817557470000001</v>
          </cell>
          <cell r="AI830">
            <v>12.84679846</v>
          </cell>
          <cell r="AJ830">
            <v>12.87865337</v>
          </cell>
          <cell r="AK830">
            <v>12.90984278</v>
          </cell>
        </row>
        <row r="831">
          <cell r="A831" t="str">
            <v>ems_y_co2_sagr_2</v>
          </cell>
          <cell r="B831">
            <v>2.3491547580000001</v>
          </cell>
          <cell r="C831">
            <v>2.336805848</v>
          </cell>
          <cell r="D831">
            <v>2.3326691560000001</v>
          </cell>
          <cell r="E831">
            <v>2.3367146239999999</v>
          </cell>
          <cell r="F831">
            <v>2.3492396850000001</v>
          </cell>
          <cell r="G831">
            <v>2.3684399300000001</v>
          </cell>
          <cell r="H831">
            <v>2.3754866880000001</v>
          </cell>
          <cell r="I831">
            <v>2.3663719379999999</v>
          </cell>
          <cell r="J831">
            <v>2.3442209890000001</v>
          </cell>
          <cell r="K831">
            <v>2.3220139149999999</v>
          </cell>
          <cell r="L831">
            <v>2.3089111820000001</v>
          </cell>
          <cell r="M831">
            <v>2.3042017549999998</v>
          </cell>
          <cell r="N831">
            <v>2.3084325319999999</v>
          </cell>
          <cell r="O831">
            <v>2.3195514510000002</v>
          </cell>
          <cell r="P831">
            <v>2.3349341799999999</v>
          </cell>
          <cell r="Q831">
            <v>2.352078519</v>
          </cell>
          <cell r="R831">
            <v>2.369039076</v>
          </cell>
          <cell r="S831">
            <v>2.3845653389999999</v>
          </cell>
          <cell r="T831">
            <v>2.398033619</v>
          </cell>
          <cell r="U831">
            <v>2.4092869119999998</v>
          </cell>
          <cell r="V831">
            <v>2.4167417119999999</v>
          </cell>
          <cell r="W831">
            <v>2.4234127010000002</v>
          </cell>
          <cell r="X831">
            <v>2.429140662</v>
          </cell>
          <cell r="Y831">
            <v>2.4344512379999999</v>
          </cell>
          <cell r="Z831">
            <v>2.4397471720000001</v>
          </cell>
          <cell r="AA831">
            <v>2.4405134369999999</v>
          </cell>
          <cell r="AB831">
            <v>2.4423908700000001</v>
          </cell>
          <cell r="AC831">
            <v>2.444972693</v>
          </cell>
          <cell r="AD831">
            <v>2.4487183419999998</v>
          </cell>
          <cell r="AE831">
            <v>2.4536743460000001</v>
          </cell>
          <cell r="AF831">
            <v>2.45963303</v>
          </cell>
          <cell r="AG831">
            <v>2.4662532920000002</v>
          </cell>
          <cell r="AH831">
            <v>2.4731725770000001</v>
          </cell>
          <cell r="AI831">
            <v>2.4800851289999999</v>
          </cell>
          <cell r="AJ831">
            <v>2.4867785160000002</v>
          </cell>
          <cell r="AK831">
            <v>2.4931353089999999</v>
          </cell>
        </row>
        <row r="832">
          <cell r="A832" t="str">
            <v>ems_mat_co2_sagr_2</v>
          </cell>
          <cell r="B832">
            <v>0</v>
          </cell>
          <cell r="C832">
            <v>0</v>
          </cell>
          <cell r="D832">
            <v>0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0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0</v>
          </cell>
          <cell r="Y832">
            <v>0</v>
          </cell>
          <cell r="Z832">
            <v>0</v>
          </cell>
          <cell r="AA832">
            <v>0</v>
          </cell>
          <cell r="AB832">
            <v>0</v>
          </cell>
          <cell r="AC832">
            <v>0</v>
          </cell>
          <cell r="AD832">
            <v>0</v>
          </cell>
          <cell r="AE832">
            <v>0</v>
          </cell>
          <cell r="AF832">
            <v>0</v>
          </cell>
          <cell r="AG832">
            <v>0</v>
          </cell>
          <cell r="AH832">
            <v>0</v>
          </cell>
          <cell r="AI832">
            <v>0</v>
          </cell>
          <cell r="AJ832">
            <v>0</v>
          </cell>
          <cell r="AK832">
            <v>0</v>
          </cell>
        </row>
        <row r="833">
          <cell r="A833" t="str">
            <v>ems_ci_co2_sfor_2</v>
          </cell>
          <cell r="B833">
            <v>0.5205475946</v>
          </cell>
          <cell r="C833">
            <v>0.5105853186</v>
          </cell>
          <cell r="D833">
            <v>0.49800627060000002</v>
          </cell>
          <cell r="E833">
            <v>0.48586200089999998</v>
          </cell>
          <cell r="F833">
            <v>0.47599754500000002</v>
          </cell>
          <cell r="G833">
            <v>0.46976320570000002</v>
          </cell>
          <cell r="H833">
            <v>0.51297993649999996</v>
          </cell>
          <cell r="I833">
            <v>0.5242775046</v>
          </cell>
          <cell r="J833">
            <v>0.52854394000000005</v>
          </cell>
          <cell r="K833">
            <v>0.52845978449999997</v>
          </cell>
          <cell r="L833">
            <v>0.52546673089999996</v>
          </cell>
          <cell r="M833">
            <v>0.52006903569999996</v>
          </cell>
          <cell r="N833">
            <v>0.51505430799999996</v>
          </cell>
          <cell r="O833">
            <v>0.51218950760000004</v>
          </cell>
          <cell r="P833">
            <v>0.51214012109999996</v>
          </cell>
          <cell r="Q833">
            <v>0.51468059040000003</v>
          </cell>
          <cell r="R833">
            <v>0.5190070832</v>
          </cell>
          <cell r="S833">
            <v>0.52415760519999999</v>
          </cell>
          <cell r="T833">
            <v>0.52936600830000002</v>
          </cell>
          <cell r="U833">
            <v>0.53424467949999999</v>
          </cell>
          <cell r="V833">
            <v>0.53824866819999995</v>
          </cell>
          <cell r="W833">
            <v>0.54257176579999999</v>
          </cell>
          <cell r="X833">
            <v>0.5470248888</v>
          </cell>
          <cell r="Y833">
            <v>0.55170534459999998</v>
          </cell>
          <cell r="Z833">
            <v>0.55673885919999999</v>
          </cell>
          <cell r="AA833">
            <v>0.56049333020000003</v>
          </cell>
          <cell r="AB833">
            <v>0.56528474750000002</v>
          </cell>
          <cell r="AC833">
            <v>0.57014304159999996</v>
          </cell>
          <cell r="AD833">
            <v>0.57473023590000005</v>
          </cell>
          <cell r="AE833">
            <v>0.57915773739999998</v>
          </cell>
          <cell r="AF833">
            <v>0.58367134330000003</v>
          </cell>
          <cell r="AG833">
            <v>0.58847748820000001</v>
          </cell>
          <cell r="AH833">
            <v>0.59366740029999998</v>
          </cell>
          <cell r="AI833">
            <v>0.59921303390000002</v>
          </cell>
          <cell r="AJ833">
            <v>0.60501074320000003</v>
          </cell>
          <cell r="AK833">
            <v>0.61094197829999997</v>
          </cell>
        </row>
        <row r="834">
          <cell r="A834" t="str">
            <v>ems_y_co2_sfor_2</v>
          </cell>
          <cell r="B834">
            <v>0</v>
          </cell>
          <cell r="C834">
            <v>0</v>
          </cell>
          <cell r="D834">
            <v>0</v>
          </cell>
          <cell r="E834">
            <v>0</v>
          </cell>
          <cell r="F834">
            <v>0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  <cell r="Z834">
            <v>0</v>
          </cell>
          <cell r="AA834">
            <v>0</v>
          </cell>
          <cell r="AB834">
            <v>0</v>
          </cell>
          <cell r="AC834">
            <v>0</v>
          </cell>
          <cell r="AD834">
            <v>0</v>
          </cell>
          <cell r="AE834">
            <v>0</v>
          </cell>
          <cell r="AF834">
            <v>0</v>
          </cell>
          <cell r="AG834">
            <v>0</v>
          </cell>
          <cell r="AH834">
            <v>0</v>
          </cell>
          <cell r="AI834">
            <v>0</v>
          </cell>
          <cell r="AJ834">
            <v>0</v>
          </cell>
          <cell r="AK834">
            <v>0</v>
          </cell>
        </row>
        <row r="835">
          <cell r="A835" t="str">
            <v>ems_mat_co2_sfor_2</v>
          </cell>
          <cell r="B835">
            <v>0</v>
          </cell>
          <cell r="C835">
            <v>0</v>
          </cell>
          <cell r="D835">
            <v>0</v>
          </cell>
          <cell r="E835">
            <v>0</v>
          </cell>
          <cell r="F835">
            <v>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  <cell r="AG835">
            <v>0</v>
          </cell>
          <cell r="AH835">
            <v>0</v>
          </cell>
          <cell r="AI835">
            <v>0</v>
          </cell>
          <cell r="AJ835">
            <v>0</v>
          </cell>
          <cell r="AK835">
            <v>0</v>
          </cell>
        </row>
        <row r="836">
          <cell r="A836" t="str">
            <v>ems_ci_co2_sfoo_2</v>
          </cell>
          <cell r="B836">
            <v>9.8888167879999997</v>
          </cell>
          <cell r="C836">
            <v>9.9154227150000001</v>
          </cell>
          <cell r="D836">
            <v>9.9045798129999998</v>
          </cell>
          <cell r="E836">
            <v>9.8873288109999997</v>
          </cell>
          <cell r="F836">
            <v>9.8853138040000008</v>
          </cell>
          <cell r="G836">
            <v>9.9099053609999999</v>
          </cell>
          <cell r="H836">
            <v>10.01067001</v>
          </cell>
          <cell r="I836">
            <v>10.025962760000001</v>
          </cell>
          <cell r="J836">
            <v>9.9722545300000007</v>
          </cell>
          <cell r="K836">
            <v>9.8877470029999994</v>
          </cell>
          <cell r="L836">
            <v>9.8041447910000006</v>
          </cell>
          <cell r="M836">
            <v>9.7349629520000001</v>
          </cell>
          <cell r="N836">
            <v>9.6936171200000008</v>
          </cell>
          <cell r="O836">
            <v>9.6851233259999994</v>
          </cell>
          <cell r="P836">
            <v>9.7076879439999999</v>
          </cell>
          <cell r="Q836">
            <v>9.7539531200000003</v>
          </cell>
          <cell r="R836">
            <v>9.8136613799999992</v>
          </cell>
          <cell r="S836">
            <v>9.876819953</v>
          </cell>
          <cell r="T836">
            <v>9.9362157579999995</v>
          </cell>
          <cell r="U836">
            <v>9.9884523240000007</v>
          </cell>
          <cell r="V836">
            <v>10.02850233</v>
          </cell>
          <cell r="W836">
            <v>10.06417398</v>
          </cell>
          <cell r="X836">
            <v>10.09754006</v>
          </cell>
          <cell r="Y836">
            <v>10.131147779999999</v>
          </cell>
          <cell r="Z836">
            <v>10.166185759999999</v>
          </cell>
          <cell r="AA836">
            <v>10.18812323</v>
          </cell>
          <cell r="AB836">
            <v>10.207552720000001</v>
          </cell>
          <cell r="AC836">
            <v>10.223622389999999</v>
          </cell>
          <cell r="AD836">
            <v>10.23797491</v>
          </cell>
          <cell r="AE836">
            <v>10.25247753</v>
          </cell>
          <cell r="AF836">
            <v>10.268816899999999</v>
          </cell>
          <cell r="AG836">
            <v>10.28799381</v>
          </cell>
          <cell r="AH836">
            <v>10.310097150000001</v>
          </cell>
          <cell r="AI836">
            <v>10.334436999999999</v>
          </cell>
          <cell r="AJ836">
            <v>10.35992676</v>
          </cell>
          <cell r="AK836">
            <v>10.38552095</v>
          </cell>
        </row>
        <row r="837">
          <cell r="A837" t="str">
            <v>ems_y_co2_sfoo_2</v>
          </cell>
          <cell r="B837">
            <v>0</v>
          </cell>
          <cell r="C837">
            <v>0</v>
          </cell>
          <cell r="D837">
            <v>0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0</v>
          </cell>
          <cell r="Y837">
            <v>0</v>
          </cell>
          <cell r="Z837">
            <v>0</v>
          </cell>
          <cell r="AA837">
            <v>0</v>
          </cell>
          <cell r="AB837">
            <v>0</v>
          </cell>
          <cell r="AC837">
            <v>0</v>
          </cell>
          <cell r="AD837">
            <v>0</v>
          </cell>
          <cell r="AE837">
            <v>0</v>
          </cell>
          <cell r="AF837">
            <v>0</v>
          </cell>
          <cell r="AG837">
            <v>0</v>
          </cell>
          <cell r="AH837">
            <v>0</v>
          </cell>
          <cell r="AI837">
            <v>0</v>
          </cell>
          <cell r="AJ837">
            <v>0</v>
          </cell>
          <cell r="AK837">
            <v>0</v>
          </cell>
        </row>
        <row r="838">
          <cell r="A838" t="str">
            <v>ems_mat_co2_sfoo_2</v>
          </cell>
          <cell r="B838">
            <v>0</v>
          </cell>
          <cell r="C838">
            <v>0</v>
          </cell>
          <cell r="D838">
            <v>0</v>
          </cell>
          <cell r="E838">
            <v>0</v>
          </cell>
          <cell r="F838">
            <v>0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0</v>
          </cell>
          <cell r="Y838">
            <v>0</v>
          </cell>
          <cell r="Z838">
            <v>0</v>
          </cell>
          <cell r="AA838">
            <v>0</v>
          </cell>
          <cell r="AB838">
            <v>0</v>
          </cell>
          <cell r="AC838">
            <v>0</v>
          </cell>
          <cell r="AD838">
            <v>0</v>
          </cell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>
            <v>0</v>
          </cell>
          <cell r="AJ838">
            <v>0</v>
          </cell>
          <cell r="AK838">
            <v>0</v>
          </cell>
        </row>
        <row r="839">
          <cell r="A839" t="str">
            <v>ems_ci_co2_sveh_2</v>
          </cell>
          <cell r="B839">
            <v>1.2356966540000001</v>
          </cell>
          <cell r="C839">
            <v>1.2454449160000001</v>
          </cell>
          <cell r="D839">
            <v>1.2482506799999999</v>
          </cell>
          <cell r="E839">
            <v>1.2469868879999999</v>
          </cell>
          <cell r="F839">
            <v>1.247486088</v>
          </cell>
          <cell r="G839">
            <v>1.2550343340000001</v>
          </cell>
          <cell r="H839">
            <v>1.3262926319999999</v>
          </cell>
          <cell r="I839">
            <v>1.372071745</v>
          </cell>
          <cell r="J839">
            <v>1.4043806240000001</v>
          </cell>
          <cell r="K839">
            <v>1.4191575400000001</v>
          </cell>
          <cell r="L839">
            <v>1.4191842160000001</v>
          </cell>
          <cell r="M839">
            <v>1.411815576</v>
          </cell>
          <cell r="N839">
            <v>1.405673978</v>
          </cell>
          <cell r="O839">
            <v>1.4067705020000001</v>
          </cell>
          <cell r="P839">
            <v>1.417436498</v>
          </cell>
          <cell r="Q839">
            <v>1.436706394</v>
          </cell>
          <cell r="R839">
            <v>1.4615504210000001</v>
          </cell>
          <cell r="S839">
            <v>1.4884367060000001</v>
          </cell>
          <cell r="T839">
            <v>1.5146679220000001</v>
          </cell>
          <cell r="U839">
            <v>1.5390515950000001</v>
          </cell>
          <cell r="V839">
            <v>1.561220703</v>
          </cell>
          <cell r="W839">
            <v>1.5828408650000001</v>
          </cell>
          <cell r="X839">
            <v>1.6047209929999999</v>
          </cell>
          <cell r="Y839">
            <v>1.627748693</v>
          </cell>
          <cell r="Z839">
            <v>1.6523227460000001</v>
          </cell>
          <cell r="AA839">
            <v>1.6763194729999999</v>
          </cell>
          <cell r="AB839">
            <v>1.7006478700000001</v>
          </cell>
          <cell r="AC839">
            <v>1.723885702</v>
          </cell>
          <cell r="AD839">
            <v>1.7458766459999999</v>
          </cell>
          <cell r="AE839">
            <v>1.7673248800000001</v>
          </cell>
          <cell r="AF839">
            <v>1.7892225450000001</v>
          </cell>
          <cell r="AG839">
            <v>1.8123425</v>
          </cell>
          <cell r="AH839">
            <v>1.836967376</v>
          </cell>
          <cell r="AI839">
            <v>1.8628911480000001</v>
          </cell>
          <cell r="AJ839">
            <v>1.8896176790000001</v>
          </cell>
          <cell r="AK839">
            <v>1.91662569</v>
          </cell>
        </row>
        <row r="840">
          <cell r="A840" t="str">
            <v>ems_y_co2_sveh_2</v>
          </cell>
          <cell r="B840">
            <v>0</v>
          </cell>
          <cell r="C840">
            <v>0</v>
          </cell>
          <cell r="D840">
            <v>0</v>
          </cell>
          <cell r="E840">
            <v>0</v>
          </cell>
          <cell r="F840">
            <v>0</v>
          </cell>
          <cell r="G840">
            <v>0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0</v>
          </cell>
          <cell r="Y840">
            <v>0</v>
          </cell>
          <cell r="Z840">
            <v>0</v>
          </cell>
          <cell r="AA840">
            <v>0</v>
          </cell>
          <cell r="AB840">
            <v>0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  <cell r="AG840">
            <v>0</v>
          </cell>
          <cell r="AH840">
            <v>0</v>
          </cell>
          <cell r="AI840">
            <v>0</v>
          </cell>
          <cell r="AJ840">
            <v>0</v>
          </cell>
          <cell r="AK840">
            <v>0</v>
          </cell>
        </row>
        <row r="841">
          <cell r="A841" t="str">
            <v>ems_mat_co2_sveh_2</v>
          </cell>
          <cell r="B841">
            <v>0</v>
          </cell>
          <cell r="C841">
            <v>0</v>
          </cell>
          <cell r="D841">
            <v>0</v>
          </cell>
          <cell r="E841">
            <v>0</v>
          </cell>
          <cell r="F841">
            <v>0</v>
          </cell>
          <cell r="G841">
            <v>0</v>
          </cell>
          <cell r="H841">
            <v>0</v>
          </cell>
          <cell r="I841">
            <v>0</v>
          </cell>
          <cell r="J841">
            <v>0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0</v>
          </cell>
          <cell r="Y841">
            <v>0</v>
          </cell>
          <cell r="Z841">
            <v>0</v>
          </cell>
          <cell r="AA841">
            <v>0</v>
          </cell>
          <cell r="AB841">
            <v>0</v>
          </cell>
          <cell r="AC841">
            <v>0</v>
          </cell>
          <cell r="AD841">
            <v>0</v>
          </cell>
          <cell r="AE841">
            <v>0</v>
          </cell>
          <cell r="AF841">
            <v>0</v>
          </cell>
          <cell r="AG841">
            <v>0</v>
          </cell>
          <cell r="AH841">
            <v>0</v>
          </cell>
          <cell r="AI841">
            <v>0</v>
          </cell>
          <cell r="AJ841">
            <v>0</v>
          </cell>
          <cell r="AK841">
            <v>0</v>
          </cell>
        </row>
        <row r="842">
          <cell r="A842" t="str">
            <v>ems_ci_co2_sgla_2</v>
          </cell>
          <cell r="B842">
            <v>5.7362378749999996</v>
          </cell>
          <cell r="C842">
            <v>5.9142073079999999</v>
          </cell>
          <cell r="D842">
            <v>6.1227892500000003</v>
          </cell>
          <cell r="E842">
            <v>6.2858231580000004</v>
          </cell>
          <cell r="F842">
            <v>6.4081311630000002</v>
          </cell>
          <cell r="G842">
            <v>6.5125996129999999</v>
          </cell>
          <cell r="H842">
            <v>6.550962051</v>
          </cell>
          <cell r="I842">
            <v>6.5753562280000004</v>
          </cell>
          <cell r="J842">
            <v>6.6145691419999997</v>
          </cell>
          <cell r="K842">
            <v>6.6707408839999998</v>
          </cell>
          <cell r="L842">
            <v>6.8177564879999997</v>
          </cell>
          <cell r="M842">
            <v>6.8886679969999998</v>
          </cell>
          <cell r="N842">
            <v>6.9758277160000004</v>
          </cell>
          <cell r="O842">
            <v>7.0856294660000003</v>
          </cell>
          <cell r="P842">
            <v>7.2068416590000002</v>
          </cell>
          <cell r="Q842">
            <v>7.3305859919999996</v>
          </cell>
          <cell r="R842">
            <v>7.4526231249999997</v>
          </cell>
          <cell r="S842">
            <v>7.5723485720000001</v>
          </cell>
          <cell r="T842">
            <v>7.691253927</v>
          </cell>
          <cell r="U842">
            <v>7.8114643739999998</v>
          </cell>
          <cell r="V842">
            <v>7.8828732290000003</v>
          </cell>
          <cell r="W842">
            <v>8.0239308969999996</v>
          </cell>
          <cell r="X842">
            <v>8.1715923640000003</v>
          </cell>
          <cell r="Y842">
            <v>8.3144739160000007</v>
          </cell>
          <cell r="Z842">
            <v>8.4544158120000006</v>
          </cell>
          <cell r="AA842">
            <v>8.4404676090000006</v>
          </cell>
          <cell r="AB842">
            <v>8.5603028440000006</v>
          </cell>
          <cell r="AC842">
            <v>8.7054910050000007</v>
          </cell>
          <cell r="AD842">
            <v>8.8493590189999995</v>
          </cell>
          <cell r="AE842">
            <v>8.9908317069999999</v>
          </cell>
          <cell r="AF842">
            <v>9.1319338440000006</v>
          </cell>
          <cell r="AG842">
            <v>9.2737467220000003</v>
          </cell>
          <cell r="AH842">
            <v>9.4164920960000007</v>
          </cell>
          <cell r="AI842">
            <v>9.5601188399999995</v>
          </cell>
          <cell r="AJ842">
            <v>9.7046818409999993</v>
          </cell>
          <cell r="AK842">
            <v>9.8504452659999995</v>
          </cell>
        </row>
        <row r="843">
          <cell r="A843" t="str">
            <v>ems_y_co2_sgla_2</v>
          </cell>
          <cell r="B843">
            <v>0</v>
          </cell>
          <cell r="C843">
            <v>0</v>
          </cell>
          <cell r="D843">
            <v>0</v>
          </cell>
          <cell r="E843">
            <v>0</v>
          </cell>
          <cell r="F843">
            <v>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0</v>
          </cell>
          <cell r="U843">
            <v>0</v>
          </cell>
          <cell r="V843">
            <v>0</v>
          </cell>
          <cell r="W843">
            <v>0</v>
          </cell>
          <cell r="X843">
            <v>0</v>
          </cell>
          <cell r="Y843">
            <v>0</v>
          </cell>
          <cell r="Z843">
            <v>0</v>
          </cell>
          <cell r="AA843">
            <v>0</v>
          </cell>
          <cell r="AB843">
            <v>0</v>
          </cell>
          <cell r="AC843">
            <v>0</v>
          </cell>
          <cell r="AD843">
            <v>0</v>
          </cell>
          <cell r="AE843">
            <v>0</v>
          </cell>
          <cell r="AF843">
            <v>0</v>
          </cell>
          <cell r="AG843">
            <v>0</v>
          </cell>
          <cell r="AH843">
            <v>0</v>
          </cell>
          <cell r="AI843">
            <v>0</v>
          </cell>
          <cell r="AJ843">
            <v>0</v>
          </cell>
          <cell r="AK843">
            <v>0</v>
          </cell>
        </row>
        <row r="844">
          <cell r="A844" t="str">
            <v>ems_mat_co2_sgla_2</v>
          </cell>
          <cell r="B844">
            <v>13.794878300000001</v>
          </cell>
          <cell r="C844">
            <v>14.22168933</v>
          </cell>
          <cell r="D844">
            <v>14.7433982</v>
          </cell>
          <cell r="E844">
            <v>15.17198741</v>
          </cell>
          <cell r="F844">
            <v>15.506028909999999</v>
          </cell>
          <cell r="G844">
            <v>15.78745518</v>
          </cell>
          <cell r="H844">
            <v>15.7742182</v>
          </cell>
          <cell r="I844">
            <v>15.76311415</v>
          </cell>
          <cell r="J844">
            <v>15.809601049999999</v>
          </cell>
          <cell r="K844">
            <v>15.92837331</v>
          </cell>
          <cell r="L844">
            <v>16.298820129999999</v>
          </cell>
          <cell r="M844">
            <v>16.507048019999999</v>
          </cell>
          <cell r="N844">
            <v>16.760257119999999</v>
          </cell>
          <cell r="O844">
            <v>17.060963810000001</v>
          </cell>
          <cell r="P844">
            <v>17.374332389999999</v>
          </cell>
          <cell r="Q844">
            <v>17.677529610000001</v>
          </cell>
          <cell r="R844">
            <v>17.964237749999999</v>
          </cell>
          <cell r="S844">
            <v>18.239420500000001</v>
          </cell>
          <cell r="T844">
            <v>18.51254303</v>
          </cell>
          <cell r="U844">
            <v>18.79212325</v>
          </cell>
          <cell r="V844">
            <v>18.956847620000001</v>
          </cell>
          <cell r="W844">
            <v>19.29339938</v>
          </cell>
          <cell r="X844">
            <v>19.647406190000002</v>
          </cell>
          <cell r="Y844">
            <v>19.989243869999999</v>
          </cell>
          <cell r="Z844">
            <v>20.32200104</v>
          </cell>
          <cell r="AA844">
            <v>20.2791617</v>
          </cell>
          <cell r="AB844">
            <v>20.559752</v>
          </cell>
          <cell r="AC844">
            <v>20.904472309999999</v>
          </cell>
          <cell r="AD844">
            <v>21.249670340000002</v>
          </cell>
          <cell r="AE844">
            <v>21.591668819999999</v>
          </cell>
          <cell r="AF844">
            <v>21.9334159</v>
          </cell>
          <cell r="AG844">
            <v>22.275732300000001</v>
          </cell>
          <cell r="AH844">
            <v>22.618187200000001</v>
          </cell>
          <cell r="AI844">
            <v>22.960692550000001</v>
          </cell>
          <cell r="AJ844">
            <v>23.304153800000002</v>
          </cell>
          <cell r="AK844">
            <v>23.650227950000001</v>
          </cell>
        </row>
        <row r="845">
          <cell r="A845" t="str">
            <v>ems_ci_co2_spap_2</v>
          </cell>
          <cell r="B845">
            <v>3.019823943</v>
          </cell>
          <cell r="C845">
            <v>3.0370934169999999</v>
          </cell>
          <cell r="D845">
            <v>3.0625783090000001</v>
          </cell>
          <cell r="E845">
            <v>3.1031887889999998</v>
          </cell>
          <cell r="F845">
            <v>3.1541549459999998</v>
          </cell>
          <cell r="G845">
            <v>3.210510829</v>
          </cell>
          <cell r="H845">
            <v>3.2553929190000002</v>
          </cell>
          <cell r="I845">
            <v>3.2871696109999999</v>
          </cell>
          <cell r="J845">
            <v>3.3190780040000001</v>
          </cell>
          <cell r="K845">
            <v>3.3569274830000002</v>
          </cell>
          <cell r="L845">
            <v>3.401188265</v>
          </cell>
          <cell r="M845">
            <v>3.460845489</v>
          </cell>
          <cell r="N845">
            <v>3.5259291859999999</v>
          </cell>
          <cell r="O845">
            <v>3.5928426830000002</v>
          </cell>
          <cell r="P845">
            <v>3.659144564</v>
          </cell>
          <cell r="Q845">
            <v>3.7234103360000002</v>
          </cell>
          <cell r="R845">
            <v>3.7854667059999998</v>
          </cell>
          <cell r="S845">
            <v>3.8461569579999999</v>
          </cell>
          <cell r="T845">
            <v>3.9067773799999999</v>
          </cell>
          <cell r="U845">
            <v>3.9684982290000002</v>
          </cell>
          <cell r="V845">
            <v>4.0332386800000002</v>
          </cell>
          <cell r="W845">
            <v>4.0957865819999997</v>
          </cell>
          <cell r="X845">
            <v>4.1610735959999996</v>
          </cell>
          <cell r="Y845">
            <v>4.2287467970000003</v>
          </cell>
          <cell r="Z845">
            <v>4.2979397529999996</v>
          </cell>
          <cell r="AA845">
            <v>4.3704700890000003</v>
          </cell>
          <cell r="AB845">
            <v>4.4350256000000003</v>
          </cell>
          <cell r="AC845">
            <v>4.4998178729999996</v>
          </cell>
          <cell r="AD845">
            <v>4.5663216909999997</v>
          </cell>
          <cell r="AE845">
            <v>4.6346620429999996</v>
          </cell>
          <cell r="AF845">
            <v>4.7045685400000004</v>
          </cell>
          <cell r="AG845">
            <v>4.7756368589999996</v>
          </cell>
          <cell r="AH845">
            <v>4.8475138170000003</v>
          </cell>
          <cell r="AI845">
            <v>4.920018346</v>
          </cell>
          <cell r="AJ845">
            <v>4.9931678689999996</v>
          </cell>
          <cell r="AK845">
            <v>5.0671211439999997</v>
          </cell>
        </row>
        <row r="846">
          <cell r="A846" t="str">
            <v>ems_y_co2_spap_2</v>
          </cell>
          <cell r="B846">
            <v>0</v>
          </cell>
          <cell r="C846">
            <v>0</v>
          </cell>
          <cell r="D846">
            <v>0</v>
          </cell>
          <cell r="E846">
            <v>0</v>
          </cell>
          <cell r="F846">
            <v>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  <cell r="Z846">
            <v>0</v>
          </cell>
          <cell r="AA846">
            <v>0</v>
          </cell>
          <cell r="AB846">
            <v>0</v>
          </cell>
          <cell r="AC846">
            <v>0</v>
          </cell>
          <cell r="AD846">
            <v>0</v>
          </cell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>
            <v>0</v>
          </cell>
          <cell r="AJ846">
            <v>0</v>
          </cell>
          <cell r="AK846">
            <v>0</v>
          </cell>
        </row>
        <row r="847">
          <cell r="A847" t="str">
            <v>ems_mat_co2_spap_2</v>
          </cell>
          <cell r="B847">
            <v>0</v>
          </cell>
          <cell r="C847">
            <v>0</v>
          </cell>
          <cell r="D847">
            <v>0</v>
          </cell>
          <cell r="E847">
            <v>0</v>
          </cell>
          <cell r="F847">
            <v>0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0</v>
          </cell>
          <cell r="Y847">
            <v>0</v>
          </cell>
          <cell r="Z847">
            <v>0</v>
          </cell>
          <cell r="AA847">
            <v>0</v>
          </cell>
          <cell r="AB847">
            <v>0</v>
          </cell>
          <cell r="AC847">
            <v>0</v>
          </cell>
          <cell r="AD847">
            <v>0</v>
          </cell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>
            <v>0</v>
          </cell>
          <cell r="AJ847">
            <v>0</v>
          </cell>
          <cell r="AK847">
            <v>0</v>
          </cell>
        </row>
        <row r="848">
          <cell r="A848" t="str">
            <v>ems_ci_co2_sche_2</v>
          </cell>
          <cell r="B848">
            <v>3.8354572290000002</v>
          </cell>
          <cell r="C848">
            <v>3.8344472760000001</v>
          </cell>
          <cell r="D848">
            <v>3.8453262760000002</v>
          </cell>
          <cell r="E848">
            <v>3.8701029330000001</v>
          </cell>
          <cell r="F848">
            <v>3.906545049</v>
          </cell>
          <cell r="G848">
            <v>3.9525100740000001</v>
          </cell>
          <cell r="H848">
            <v>3.998201441</v>
          </cell>
          <cell r="I848">
            <v>4.0308220229999998</v>
          </cell>
          <cell r="J848">
            <v>4.0616421249999997</v>
          </cell>
          <cell r="K848">
            <v>4.0951612669999999</v>
          </cell>
          <cell r="L848">
            <v>4.141291818</v>
          </cell>
          <cell r="M848">
            <v>4.1897603419999996</v>
          </cell>
          <cell r="N848">
            <v>4.2452246860000002</v>
          </cell>
          <cell r="O848">
            <v>4.3071043639999997</v>
          </cell>
          <cell r="P848">
            <v>4.3729760569999998</v>
          </cell>
          <cell r="Q848">
            <v>4.4405073049999997</v>
          </cell>
          <cell r="R848">
            <v>4.508210987</v>
          </cell>
          <cell r="S848">
            <v>4.5756156539999999</v>
          </cell>
          <cell r="T848">
            <v>4.6430459439999998</v>
          </cell>
          <cell r="U848">
            <v>4.7112051150000003</v>
          </cell>
          <cell r="V848">
            <v>4.7757536729999996</v>
          </cell>
          <cell r="W848">
            <v>4.8463231740000001</v>
          </cell>
          <cell r="X848">
            <v>4.919729394</v>
          </cell>
          <cell r="Y848">
            <v>4.9948713439999999</v>
          </cell>
          <cell r="Z848">
            <v>5.0713954169999997</v>
          </cell>
          <cell r="AA848">
            <v>5.1339385719999999</v>
          </cell>
          <cell r="AB848">
            <v>5.204240253</v>
          </cell>
          <cell r="AC848">
            <v>5.2772028329999996</v>
          </cell>
          <cell r="AD848">
            <v>5.3515116989999996</v>
          </cell>
          <cell r="AE848">
            <v>5.4272858450000001</v>
          </cell>
          <cell r="AF848">
            <v>5.5046771479999999</v>
          </cell>
          <cell r="AG848">
            <v>5.5836093309999999</v>
          </cell>
          <cell r="AH848">
            <v>5.663860519</v>
          </cell>
          <cell r="AI848">
            <v>5.7452059670000004</v>
          </cell>
          <cell r="AJ848">
            <v>5.8275199630000003</v>
          </cell>
          <cell r="AK848">
            <v>5.9108052779999998</v>
          </cell>
        </row>
        <row r="849">
          <cell r="A849" t="str">
            <v>ems_y_co2_sche_2</v>
          </cell>
          <cell r="B849">
            <v>0</v>
          </cell>
          <cell r="C849">
            <v>0</v>
          </cell>
          <cell r="D849">
            <v>0</v>
          </cell>
          <cell r="E849">
            <v>0</v>
          </cell>
          <cell r="F849">
            <v>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0</v>
          </cell>
          <cell r="Y849">
            <v>0</v>
          </cell>
          <cell r="Z849">
            <v>0</v>
          </cell>
          <cell r="AA849">
            <v>0</v>
          </cell>
          <cell r="AB849">
            <v>0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  <cell r="AG849">
            <v>0</v>
          </cell>
          <cell r="AH849">
            <v>0</v>
          </cell>
          <cell r="AI849">
            <v>0</v>
          </cell>
          <cell r="AJ849">
            <v>0</v>
          </cell>
          <cell r="AK849">
            <v>0</v>
          </cell>
        </row>
        <row r="850">
          <cell r="A850" t="str">
            <v>ems_mat_co2_sche_2</v>
          </cell>
          <cell r="B850">
            <v>2.5948967509999998</v>
          </cell>
          <cell r="C850">
            <v>2.5942116820000001</v>
          </cell>
          <cell r="D850">
            <v>2.6043333030000002</v>
          </cell>
          <cell r="E850">
            <v>2.6259194130000001</v>
          </cell>
          <cell r="F850">
            <v>2.6559269080000001</v>
          </cell>
          <cell r="G850">
            <v>2.691380611</v>
          </cell>
          <cell r="H850">
            <v>2.7106734079999999</v>
          </cell>
          <cell r="I850">
            <v>2.7246786840000001</v>
          </cell>
          <cell r="J850">
            <v>2.7396815769999998</v>
          </cell>
          <cell r="K850">
            <v>2.7600994050000001</v>
          </cell>
          <cell r="L850">
            <v>2.7931500960000002</v>
          </cell>
          <cell r="M850">
            <v>2.8301964179999999</v>
          </cell>
          <cell r="N850">
            <v>2.872830075</v>
          </cell>
          <cell r="O850">
            <v>2.9191155700000002</v>
          </cell>
          <cell r="P850">
            <v>2.9664386550000001</v>
          </cell>
          <cell r="Q850">
            <v>3.0129956180000002</v>
          </cell>
          <cell r="R850">
            <v>3.0581832069999999</v>
          </cell>
          <cell r="S850">
            <v>3.102395102</v>
          </cell>
          <cell r="T850">
            <v>3.1465258889999999</v>
          </cell>
          <cell r="U850">
            <v>3.1914616850000002</v>
          </cell>
          <cell r="V850">
            <v>3.234180367</v>
          </cell>
          <cell r="W850">
            <v>3.2814447520000001</v>
          </cell>
          <cell r="X850">
            <v>3.330805233</v>
          </cell>
          <cell r="Y850">
            <v>3.3812631230000001</v>
          </cell>
          <cell r="Z850">
            <v>3.432421422</v>
          </cell>
          <cell r="AA850">
            <v>3.4733975579999998</v>
          </cell>
          <cell r="AB850">
            <v>3.5197923950000001</v>
          </cell>
          <cell r="AC850">
            <v>3.5683417039999998</v>
          </cell>
          <cell r="AD850">
            <v>3.618228824</v>
          </cell>
          <cell r="AE850">
            <v>3.6694233590000001</v>
          </cell>
          <cell r="AF850">
            <v>3.7218135179999998</v>
          </cell>
          <cell r="AG850">
            <v>3.7751405930000002</v>
          </cell>
          <cell r="AH850">
            <v>3.8291355029999998</v>
          </cell>
          <cell r="AI850">
            <v>3.883640701</v>
          </cell>
          <cell r="AJ850">
            <v>3.9386527500000001</v>
          </cell>
          <cell r="AK850">
            <v>3.9942877700000001</v>
          </cell>
        </row>
        <row r="851">
          <cell r="A851" t="str">
            <v>ems_ci_co2_spla_2</v>
          </cell>
          <cell r="B851">
            <v>1.29735004</v>
          </cell>
          <cell r="C851">
            <v>1.3029338989999999</v>
          </cell>
          <cell r="D851">
            <v>1.308897988</v>
          </cell>
          <cell r="E851">
            <v>1.3155670989999999</v>
          </cell>
          <cell r="F851">
            <v>1.3246463100000001</v>
          </cell>
          <cell r="G851">
            <v>1.3380620059999999</v>
          </cell>
          <cell r="H851">
            <v>1.3723366260000001</v>
          </cell>
          <cell r="I851">
            <v>1.394506341</v>
          </cell>
          <cell r="J851">
            <v>1.412206327</v>
          </cell>
          <cell r="K851">
            <v>1.4252638129999999</v>
          </cell>
          <cell r="L851">
            <v>1.438404697</v>
          </cell>
          <cell r="M851">
            <v>1.4474346410000001</v>
          </cell>
          <cell r="N851">
            <v>1.4585300969999999</v>
          </cell>
          <cell r="O851">
            <v>1.473812575</v>
          </cell>
          <cell r="P851">
            <v>1.4934044790000001</v>
          </cell>
          <cell r="Q851">
            <v>1.516394764</v>
          </cell>
          <cell r="R851">
            <v>1.5414067039999999</v>
          </cell>
          <cell r="S851">
            <v>1.567130905</v>
          </cell>
          <cell r="T851">
            <v>1.5927173509999999</v>
          </cell>
          <cell r="U851">
            <v>1.6179045249999999</v>
          </cell>
          <cell r="V851">
            <v>1.640358086</v>
          </cell>
          <cell r="W851">
            <v>1.665587325</v>
          </cell>
          <cell r="X851">
            <v>1.691606868</v>
          </cell>
          <cell r="Y851">
            <v>1.718177928</v>
          </cell>
          <cell r="Z851">
            <v>1.7454321189999999</v>
          </cell>
          <cell r="AA851">
            <v>1.7656189410000001</v>
          </cell>
          <cell r="AB851">
            <v>1.7910470270000001</v>
          </cell>
          <cell r="AC851">
            <v>1.817291386</v>
          </cell>
          <cell r="AD851">
            <v>1.843260066</v>
          </cell>
          <cell r="AE851">
            <v>1.869197094</v>
          </cell>
          <cell r="AF851">
            <v>1.895550337</v>
          </cell>
          <cell r="AG851">
            <v>1.9226225800000001</v>
          </cell>
          <cell r="AH851">
            <v>1.9504926199999999</v>
          </cell>
          <cell r="AI851">
            <v>1.9790561170000001</v>
          </cell>
          <cell r="AJ851">
            <v>2.0081222969999999</v>
          </cell>
          <cell r="AK851">
            <v>2.0375147060000001</v>
          </cell>
        </row>
        <row r="852">
          <cell r="A852" t="str">
            <v>ems_y_co2_spla_2</v>
          </cell>
          <cell r="B852">
            <v>0</v>
          </cell>
          <cell r="C852">
            <v>0</v>
          </cell>
          <cell r="D852">
            <v>0</v>
          </cell>
          <cell r="E852">
            <v>0</v>
          </cell>
          <cell r="F852">
            <v>0</v>
          </cell>
          <cell r="G852">
            <v>0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0</v>
          </cell>
          <cell r="Y852">
            <v>0</v>
          </cell>
          <cell r="Z852">
            <v>0</v>
          </cell>
          <cell r="AA852">
            <v>0</v>
          </cell>
          <cell r="AB852">
            <v>0</v>
          </cell>
          <cell r="AC852">
            <v>0</v>
          </cell>
          <cell r="AD852">
            <v>0</v>
          </cell>
          <cell r="AE852">
            <v>0</v>
          </cell>
          <cell r="AF852">
            <v>0</v>
          </cell>
          <cell r="AG852">
            <v>0</v>
          </cell>
          <cell r="AH852">
            <v>0</v>
          </cell>
          <cell r="AI852">
            <v>0</v>
          </cell>
          <cell r="AJ852">
            <v>0</v>
          </cell>
          <cell r="AK852">
            <v>0</v>
          </cell>
        </row>
        <row r="853">
          <cell r="A853" t="str">
            <v>ems_mat_co2_spla_2</v>
          </cell>
          <cell r="B853">
            <v>0</v>
          </cell>
          <cell r="C853">
            <v>0</v>
          </cell>
          <cell r="D853">
            <v>0</v>
          </cell>
          <cell r="E853">
            <v>0</v>
          </cell>
          <cell r="F853">
            <v>0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  <cell r="Z853">
            <v>0</v>
          </cell>
          <cell r="AA853">
            <v>0</v>
          </cell>
          <cell r="AB853">
            <v>0</v>
          </cell>
          <cell r="AC853">
            <v>0</v>
          </cell>
          <cell r="AD853">
            <v>0</v>
          </cell>
          <cell r="AE853">
            <v>0</v>
          </cell>
          <cell r="AF853">
            <v>0</v>
          </cell>
          <cell r="AG853">
            <v>0</v>
          </cell>
          <cell r="AH853">
            <v>0</v>
          </cell>
          <cell r="AI853">
            <v>0</v>
          </cell>
          <cell r="AJ853">
            <v>0</v>
          </cell>
          <cell r="AK853">
            <v>0</v>
          </cell>
        </row>
        <row r="854">
          <cell r="A854" t="str">
            <v>ems_ci_co2_smet_2</v>
          </cell>
          <cell r="B854">
            <v>7.5653420369999997</v>
          </cell>
          <cell r="C854">
            <v>7.670200565</v>
          </cell>
          <cell r="D854">
            <v>7.7905426029999996</v>
          </cell>
          <cell r="E854">
            <v>7.9128633859999997</v>
          </cell>
          <cell r="F854">
            <v>8.0375349549999999</v>
          </cell>
          <cell r="G854">
            <v>8.1671483919999996</v>
          </cell>
          <cell r="H854">
            <v>8.2786611449999992</v>
          </cell>
          <cell r="I854">
            <v>8.3720453549999991</v>
          </cell>
          <cell r="J854">
            <v>8.4628725340000006</v>
          </cell>
          <cell r="K854">
            <v>8.5563592629999992</v>
          </cell>
          <cell r="L854">
            <v>8.6813780250000008</v>
          </cell>
          <cell r="M854">
            <v>8.7914602899999998</v>
          </cell>
          <cell r="N854">
            <v>8.912090804</v>
          </cell>
          <cell r="O854">
            <v>9.0447457129999993</v>
          </cell>
          <cell r="P854">
            <v>9.1850771580000004</v>
          </cell>
          <cell r="Q854">
            <v>9.3287288959999994</v>
          </cell>
          <cell r="R854">
            <v>9.4728945329999998</v>
          </cell>
          <cell r="S854">
            <v>9.6165983869999998</v>
          </cell>
          <cell r="T854">
            <v>9.7603170000000006</v>
          </cell>
          <cell r="U854">
            <v>9.9052679389999998</v>
          </cell>
          <cell r="V854">
            <v>10.035282499999999</v>
          </cell>
          <cell r="W854">
            <v>10.18722051</v>
          </cell>
          <cell r="X854">
            <v>10.344437210000001</v>
          </cell>
          <cell r="Y854">
            <v>10.5037661</v>
          </cell>
          <cell r="Z854">
            <v>10.66509593</v>
          </cell>
          <cell r="AA854">
            <v>10.777352990000001</v>
          </cell>
          <cell r="AB854">
            <v>10.924610749999999</v>
          </cell>
          <cell r="AC854">
            <v>11.08011539</v>
          </cell>
          <cell r="AD854">
            <v>11.23783521</v>
          </cell>
          <cell r="AE854">
            <v>11.39771829</v>
          </cell>
          <cell r="AF854">
            <v>11.560322230000001</v>
          </cell>
          <cell r="AG854">
            <v>11.725777130000001</v>
          </cell>
          <cell r="AH854">
            <v>11.89385776</v>
          </cell>
          <cell r="AI854">
            <v>12.06425054</v>
          </cell>
          <cell r="AJ854">
            <v>12.23676161</v>
          </cell>
          <cell r="AK854">
            <v>12.411396119999999</v>
          </cell>
        </row>
        <row r="855">
          <cell r="A855" t="str">
            <v>ems_y_co2_smet_2</v>
          </cell>
          <cell r="B855">
            <v>0</v>
          </cell>
          <cell r="C855">
            <v>0</v>
          </cell>
          <cell r="D855">
            <v>0</v>
          </cell>
          <cell r="E855">
            <v>0</v>
          </cell>
          <cell r="F855">
            <v>0</v>
          </cell>
          <cell r="G855">
            <v>0</v>
          </cell>
          <cell r="H855">
            <v>0</v>
          </cell>
          <cell r="I855">
            <v>0</v>
          </cell>
          <cell r="J855">
            <v>0</v>
          </cell>
          <cell r="K855">
            <v>0</v>
          </cell>
          <cell r="L855">
            <v>0</v>
          </cell>
          <cell r="M855">
            <v>0</v>
          </cell>
          <cell r="N855">
            <v>0</v>
          </cell>
          <cell r="O855">
            <v>0</v>
          </cell>
          <cell r="P855">
            <v>0</v>
          </cell>
          <cell r="Q855">
            <v>0</v>
          </cell>
          <cell r="R855">
            <v>0</v>
          </cell>
          <cell r="S855">
            <v>0</v>
          </cell>
          <cell r="T855">
            <v>0</v>
          </cell>
          <cell r="U855">
            <v>0</v>
          </cell>
          <cell r="V855">
            <v>0</v>
          </cell>
          <cell r="W855">
            <v>0</v>
          </cell>
          <cell r="X855">
            <v>0</v>
          </cell>
          <cell r="Y855">
            <v>0</v>
          </cell>
          <cell r="Z855">
            <v>0</v>
          </cell>
          <cell r="AA855">
            <v>0</v>
          </cell>
          <cell r="AB855">
            <v>0</v>
          </cell>
          <cell r="AC855">
            <v>0</v>
          </cell>
          <cell r="AD855">
            <v>0</v>
          </cell>
          <cell r="AE855">
            <v>0</v>
          </cell>
          <cell r="AF855">
            <v>0</v>
          </cell>
          <cell r="AG855">
            <v>0</v>
          </cell>
          <cell r="AH855">
            <v>0</v>
          </cell>
          <cell r="AI855">
            <v>0</v>
          </cell>
          <cell r="AJ855">
            <v>0</v>
          </cell>
          <cell r="AK855">
            <v>0</v>
          </cell>
        </row>
        <row r="856">
          <cell r="A856" t="str">
            <v>ems_mat_co2_smet_2</v>
          </cell>
          <cell r="B856">
            <v>12.8223094</v>
          </cell>
          <cell r="C856">
            <v>13.00204447</v>
          </cell>
          <cell r="D856">
            <v>13.220380049999999</v>
          </cell>
          <cell r="E856">
            <v>13.454561229999999</v>
          </cell>
          <cell r="F856">
            <v>13.700105799999999</v>
          </cell>
          <cell r="G856">
            <v>13.954016299999999</v>
          </cell>
          <cell r="H856">
            <v>14.107057470000001</v>
          </cell>
          <cell r="I856">
            <v>14.225969279999999</v>
          </cell>
          <cell r="J856">
            <v>14.339348810000001</v>
          </cell>
          <cell r="K856">
            <v>14.467923109999999</v>
          </cell>
          <cell r="L856">
            <v>14.66881485</v>
          </cell>
          <cell r="M856">
            <v>14.860677819999999</v>
          </cell>
          <cell r="N856">
            <v>15.081224860000001</v>
          </cell>
          <cell r="O856">
            <v>15.325336419999999</v>
          </cell>
          <cell r="P856">
            <v>15.57895641</v>
          </cell>
          <cell r="Q856">
            <v>15.830816629999999</v>
          </cell>
          <cell r="R856">
            <v>16.07558465</v>
          </cell>
          <cell r="S856">
            <v>16.313559059999999</v>
          </cell>
          <cell r="T856">
            <v>16.548549690000002</v>
          </cell>
          <cell r="U856">
            <v>16.78526793</v>
          </cell>
          <cell r="V856">
            <v>16.997011839999999</v>
          </cell>
          <cell r="W856">
            <v>17.247988710000001</v>
          </cell>
          <cell r="X856">
            <v>17.50936265</v>
          </cell>
          <cell r="Y856">
            <v>17.774732010000001</v>
          </cell>
          <cell r="Z856">
            <v>18.042905680000001</v>
          </cell>
          <cell r="AA856">
            <v>18.224875870000002</v>
          </cell>
          <cell r="AB856">
            <v>18.466004049999999</v>
          </cell>
          <cell r="AC856">
            <v>18.722228390000001</v>
          </cell>
          <cell r="AD856">
            <v>18.984222580000001</v>
          </cell>
          <cell r="AE856">
            <v>19.251912829999998</v>
          </cell>
          <cell r="AF856">
            <v>19.525528860000001</v>
          </cell>
          <cell r="AG856">
            <v>19.80428156</v>
          </cell>
          <cell r="AH856">
            <v>20.086935260000001</v>
          </cell>
          <cell r="AI856">
            <v>20.372542110000001</v>
          </cell>
          <cell r="AJ856">
            <v>20.660835580000001</v>
          </cell>
          <cell r="AK856">
            <v>20.952207860000001</v>
          </cell>
        </row>
        <row r="857">
          <cell r="A857" t="str">
            <v>ems_ci_co2_sigo_2</v>
          </cell>
          <cell r="B857">
            <v>3.0087871819999998</v>
          </cell>
          <cell r="C857">
            <v>3.0159860329999999</v>
          </cell>
          <cell r="D857">
            <v>3.0253728889999998</v>
          </cell>
          <cell r="E857">
            <v>3.0397772879999998</v>
          </cell>
          <cell r="F857">
            <v>3.0618592009999999</v>
          </cell>
          <cell r="G857">
            <v>3.09398178</v>
          </cell>
          <cell r="H857">
            <v>3.1637517019999999</v>
          </cell>
          <cell r="I857">
            <v>3.206608863</v>
          </cell>
          <cell r="J857">
            <v>3.2393305849999998</v>
          </cell>
          <cell r="K857">
            <v>3.2643755749999999</v>
          </cell>
          <cell r="L857">
            <v>3.2913248369999999</v>
          </cell>
          <cell r="M857">
            <v>3.3152559579999998</v>
          </cell>
          <cell r="N857">
            <v>3.3453170719999998</v>
          </cell>
          <cell r="O857">
            <v>3.3844629550000001</v>
          </cell>
          <cell r="P857">
            <v>3.4320447810000001</v>
          </cell>
          <cell r="Q857">
            <v>3.4856481490000002</v>
          </cell>
          <cell r="R857">
            <v>3.542326756</v>
          </cell>
          <cell r="S857">
            <v>3.5996395720000001</v>
          </cell>
          <cell r="T857">
            <v>3.656276697</v>
          </cell>
          <cell r="U857">
            <v>3.7121202210000002</v>
          </cell>
          <cell r="V857">
            <v>3.7635966839999999</v>
          </cell>
          <cell r="W857">
            <v>3.81961482</v>
          </cell>
          <cell r="X857">
            <v>3.8777092299999998</v>
          </cell>
          <cell r="Y857">
            <v>3.9374377580000002</v>
          </cell>
          <cell r="Z857">
            <v>3.998836485</v>
          </cell>
          <cell r="AA857">
            <v>4.0486369590000004</v>
          </cell>
          <cell r="AB857">
            <v>4.1059073220000002</v>
          </cell>
          <cell r="AC857">
            <v>4.1646865890000004</v>
          </cell>
          <cell r="AD857">
            <v>4.2234267369999996</v>
          </cell>
          <cell r="AE857">
            <v>4.282614981</v>
          </cell>
          <cell r="AF857">
            <v>4.3429975980000002</v>
          </cell>
          <cell r="AG857">
            <v>4.4050043419999998</v>
          </cell>
          <cell r="AH857">
            <v>4.4686490819999998</v>
          </cell>
          <cell r="AI857">
            <v>4.5336462940000004</v>
          </cell>
          <cell r="AJ857">
            <v>4.5996112499999997</v>
          </cell>
          <cell r="AK857">
            <v>4.6662417700000001</v>
          </cell>
        </row>
        <row r="858">
          <cell r="A858" t="str">
            <v>ems_y_co2_sigo_2</v>
          </cell>
          <cell r="B858">
            <v>0</v>
          </cell>
          <cell r="C858">
            <v>0</v>
          </cell>
          <cell r="D858">
            <v>0</v>
          </cell>
          <cell r="E858">
            <v>0</v>
          </cell>
          <cell r="F858">
            <v>0</v>
          </cell>
          <cell r="G858">
            <v>0</v>
          </cell>
          <cell r="H858">
            <v>0</v>
          </cell>
          <cell r="I858">
            <v>0</v>
          </cell>
          <cell r="J858">
            <v>0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0</v>
          </cell>
          <cell r="Y858">
            <v>0</v>
          </cell>
          <cell r="Z858">
            <v>0</v>
          </cell>
          <cell r="AA858">
            <v>0</v>
          </cell>
          <cell r="AB858">
            <v>0</v>
          </cell>
          <cell r="AC858">
            <v>0</v>
          </cell>
          <cell r="AD858">
            <v>0</v>
          </cell>
          <cell r="AE858">
            <v>0</v>
          </cell>
          <cell r="AF858">
            <v>0</v>
          </cell>
          <cell r="AG858">
            <v>0</v>
          </cell>
          <cell r="AH858">
            <v>0</v>
          </cell>
          <cell r="AI858">
            <v>0</v>
          </cell>
          <cell r="AJ858">
            <v>0</v>
          </cell>
          <cell r="AK858">
            <v>0</v>
          </cell>
        </row>
        <row r="859">
          <cell r="A859" t="str">
            <v>ems_mat_co2_sigo_2</v>
          </cell>
          <cell r="B859">
            <v>0.47325563850000002</v>
          </cell>
          <cell r="C859">
            <v>0.47430302019999998</v>
          </cell>
          <cell r="D859">
            <v>0.47728667489999999</v>
          </cell>
          <cell r="E859">
            <v>0.48209038230000001</v>
          </cell>
          <cell r="F859">
            <v>0.4881689159</v>
          </cell>
          <cell r="G859">
            <v>0.49505129009999999</v>
          </cell>
          <cell r="H859">
            <v>0.49859412739999998</v>
          </cell>
          <cell r="I859">
            <v>0.50098232139999999</v>
          </cell>
          <cell r="J859">
            <v>0.50357686369999999</v>
          </cell>
          <cell r="K859">
            <v>0.50724545519999997</v>
          </cell>
          <cell r="L859">
            <v>0.51348382420000005</v>
          </cell>
          <cell r="M859">
            <v>0.52029695320000002</v>
          </cell>
          <cell r="N859">
            <v>0.52816311220000001</v>
          </cell>
          <cell r="O859">
            <v>0.53672301170000003</v>
          </cell>
          <cell r="P859">
            <v>0.54545695100000002</v>
          </cell>
          <cell r="Q859">
            <v>0.55401502189999996</v>
          </cell>
          <cell r="R859">
            <v>0.56228975449999996</v>
          </cell>
          <cell r="S859">
            <v>0.57036802050000002</v>
          </cell>
          <cell r="T859">
            <v>0.57842911210000003</v>
          </cell>
          <cell r="U859">
            <v>0.58664476919999997</v>
          </cell>
          <cell r="V859">
            <v>0.59434299260000001</v>
          </cell>
          <cell r="W859">
            <v>0.60303372450000003</v>
          </cell>
          <cell r="X859">
            <v>0.61212109250000002</v>
          </cell>
          <cell r="Y859">
            <v>0.62138430249999999</v>
          </cell>
          <cell r="Z859">
            <v>0.6307541123</v>
          </cell>
          <cell r="AA859">
            <v>0.63787943300000005</v>
          </cell>
          <cell r="AB859">
            <v>0.64632854250000005</v>
          </cell>
          <cell r="AC859">
            <v>0.65524765679999997</v>
          </cell>
          <cell r="AD859">
            <v>0.66440649259999995</v>
          </cell>
          <cell r="AE859">
            <v>0.67379177109999999</v>
          </cell>
          <cell r="AF859">
            <v>0.68338509410000003</v>
          </cell>
          <cell r="AG859">
            <v>0.69313967880000005</v>
          </cell>
          <cell r="AH859">
            <v>0.7030063111</v>
          </cell>
          <cell r="AI859">
            <v>0.7129572756</v>
          </cell>
          <cell r="AJ859">
            <v>0.72299435690000002</v>
          </cell>
          <cell r="AK859">
            <v>0.73314164199999998</v>
          </cell>
        </row>
        <row r="860">
          <cell r="A860" t="str">
            <v>ems_ci_co2_scgo_2</v>
          </cell>
          <cell r="B860">
            <v>0.69721547260000005</v>
          </cell>
          <cell r="C860">
            <v>0.68240888840000002</v>
          </cell>
          <cell r="D860">
            <v>0.67055571680000003</v>
          </cell>
          <cell r="E860">
            <v>0.66505604259999995</v>
          </cell>
          <cell r="F860">
            <v>0.66437732640000002</v>
          </cell>
          <cell r="G860">
            <v>0.66724080500000005</v>
          </cell>
          <cell r="H860">
            <v>0.67494729769999995</v>
          </cell>
          <cell r="I860">
            <v>0.68142581079999998</v>
          </cell>
          <cell r="J860">
            <v>0.68795849689999999</v>
          </cell>
          <cell r="K860">
            <v>0.69498442829999996</v>
          </cell>
          <cell r="L860">
            <v>0.70077094689999997</v>
          </cell>
          <cell r="M860">
            <v>0.71105902679999999</v>
          </cell>
          <cell r="N860">
            <v>0.72192894949999997</v>
          </cell>
          <cell r="O860">
            <v>0.73328207140000001</v>
          </cell>
          <cell r="P860">
            <v>0.74516221189999998</v>
          </cell>
          <cell r="Q860">
            <v>0.75748360410000004</v>
          </cell>
          <cell r="R860">
            <v>0.77011671650000002</v>
          </cell>
          <cell r="S860">
            <v>0.7829673613</v>
          </cell>
          <cell r="T860">
            <v>0.79601063849999998</v>
          </cell>
          <cell r="U860">
            <v>0.80928033310000003</v>
          </cell>
          <cell r="V860">
            <v>0.82406298730000005</v>
          </cell>
          <cell r="W860">
            <v>0.83689898760000003</v>
          </cell>
          <cell r="X860">
            <v>0.85043784700000002</v>
          </cell>
          <cell r="Y860">
            <v>0.86466929280000004</v>
          </cell>
          <cell r="Z860">
            <v>0.87940674119999995</v>
          </cell>
          <cell r="AA860">
            <v>0.89767838710000003</v>
          </cell>
          <cell r="AB860">
            <v>0.91171761250000005</v>
          </cell>
          <cell r="AC860">
            <v>0.92562448770000005</v>
          </cell>
          <cell r="AD860">
            <v>0.93980958869999998</v>
          </cell>
          <cell r="AE860">
            <v>0.95430153129999995</v>
          </cell>
          <cell r="AF860">
            <v>0.96909787839999995</v>
          </cell>
          <cell r="AG860">
            <v>0.98418713629999999</v>
          </cell>
          <cell r="AH860">
            <v>0.99954785749999997</v>
          </cell>
          <cell r="AI860">
            <v>1.015153985</v>
          </cell>
          <cell r="AJ860">
            <v>1.0309833340000001</v>
          </cell>
          <cell r="AK860">
            <v>1.04702425</v>
          </cell>
        </row>
        <row r="861">
          <cell r="A861" t="str">
            <v>ems_y_co2_scgo_2</v>
          </cell>
          <cell r="B861">
            <v>0</v>
          </cell>
          <cell r="C861">
            <v>0</v>
          </cell>
          <cell r="D861">
            <v>0</v>
          </cell>
          <cell r="E861">
            <v>0</v>
          </cell>
          <cell r="F861">
            <v>0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0</v>
          </cell>
          <cell r="Y861">
            <v>0</v>
          </cell>
          <cell r="Z861">
            <v>0</v>
          </cell>
          <cell r="AA861">
            <v>0</v>
          </cell>
          <cell r="AB861">
            <v>0</v>
          </cell>
          <cell r="AC861">
            <v>0</v>
          </cell>
          <cell r="AD861">
            <v>0</v>
          </cell>
          <cell r="AE861">
            <v>0</v>
          </cell>
          <cell r="AF861">
            <v>0</v>
          </cell>
          <cell r="AG861">
            <v>0</v>
          </cell>
          <cell r="AH861">
            <v>0</v>
          </cell>
          <cell r="AI861">
            <v>0</v>
          </cell>
          <cell r="AJ861">
            <v>0</v>
          </cell>
          <cell r="AK861">
            <v>0</v>
          </cell>
        </row>
        <row r="862">
          <cell r="A862" t="str">
            <v>ems_mat_co2_scgo_2</v>
          </cell>
          <cell r="B862">
            <v>0</v>
          </cell>
          <cell r="C862">
            <v>0</v>
          </cell>
          <cell r="D862">
            <v>0</v>
          </cell>
          <cell r="E862">
            <v>0</v>
          </cell>
          <cell r="F862">
            <v>0</v>
          </cell>
          <cell r="G862">
            <v>0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0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0</v>
          </cell>
          <cell r="Z862">
            <v>0</v>
          </cell>
          <cell r="AA862">
            <v>0</v>
          </cell>
          <cell r="AB862">
            <v>0</v>
          </cell>
          <cell r="AC862">
            <v>0</v>
          </cell>
          <cell r="AD862">
            <v>0</v>
          </cell>
          <cell r="AE862">
            <v>0</v>
          </cell>
          <cell r="AF862">
            <v>0</v>
          </cell>
          <cell r="AG862">
            <v>0</v>
          </cell>
          <cell r="AH862">
            <v>0</v>
          </cell>
          <cell r="AI862">
            <v>0</v>
          </cell>
          <cell r="AJ862">
            <v>0</v>
          </cell>
          <cell r="AK862">
            <v>0</v>
          </cell>
        </row>
        <row r="863">
          <cell r="A863" t="str">
            <v>ems_ci_co2_scon_2</v>
          </cell>
          <cell r="B863">
            <v>7.5419030080000002</v>
          </cell>
          <cell r="C863">
            <v>7.9906949310000002</v>
          </cell>
          <cell r="D863">
            <v>8.4730006959999997</v>
          </cell>
          <cell r="E863">
            <v>8.7842847200000005</v>
          </cell>
          <cell r="F863">
            <v>8.9706400550000005</v>
          </cell>
          <cell r="G863">
            <v>9.1009686960000007</v>
          </cell>
          <cell r="H863">
            <v>9.0211094070000009</v>
          </cell>
          <cell r="I863">
            <v>8.9908712059999996</v>
          </cell>
          <cell r="J863">
            <v>9.0135202890000006</v>
          </cell>
          <cell r="K863">
            <v>9.0784409979999996</v>
          </cell>
          <cell r="L863">
            <v>9.394589431</v>
          </cell>
          <cell r="M863">
            <v>9.4300612610000005</v>
          </cell>
          <cell r="N863">
            <v>9.5279081889999997</v>
          </cell>
          <cell r="O863">
            <v>9.6750490229999997</v>
          </cell>
          <cell r="P863">
            <v>9.8417494869999995</v>
          </cell>
          <cell r="Q863">
            <v>10.01120289</v>
          </cell>
          <cell r="R863">
            <v>10.177277760000001</v>
          </cell>
          <cell r="S863">
            <v>10.34027586</v>
          </cell>
          <cell r="T863">
            <v>10.503346560000001</v>
          </cell>
          <cell r="U863">
            <v>10.66989521</v>
          </cell>
          <cell r="V863">
            <v>10.690559110000001</v>
          </cell>
          <cell r="W863">
            <v>10.933746040000001</v>
          </cell>
          <cell r="X863">
            <v>11.1645459</v>
          </cell>
          <cell r="Y863">
            <v>11.374771819999999</v>
          </cell>
          <cell r="Z863">
            <v>11.574883890000001</v>
          </cell>
          <cell r="AA863">
            <v>11.32617462</v>
          </cell>
          <cell r="AB863">
            <v>11.53237161</v>
          </cell>
          <cell r="AC863">
            <v>11.762577350000001</v>
          </cell>
          <cell r="AD863">
            <v>11.978850120000001</v>
          </cell>
          <cell r="AE863">
            <v>12.186316809999999</v>
          </cell>
          <cell r="AF863">
            <v>12.390305100000001</v>
          </cell>
          <cell r="AG863">
            <v>12.593157659999999</v>
          </cell>
          <cell r="AH863">
            <v>12.79561805</v>
          </cell>
          <cell r="AI863">
            <v>12.99805611</v>
          </cell>
          <cell r="AJ863">
            <v>13.201032420000001</v>
          </cell>
          <cell r="AK863">
            <v>13.405346420000001</v>
          </cell>
        </row>
        <row r="864">
          <cell r="A864" t="str">
            <v>ems_y_co2_scon_2</v>
          </cell>
          <cell r="B864">
            <v>0</v>
          </cell>
          <cell r="C864">
            <v>0</v>
          </cell>
          <cell r="D864">
            <v>0</v>
          </cell>
          <cell r="E864">
            <v>0</v>
          </cell>
          <cell r="F864">
            <v>0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  <cell r="Z864">
            <v>0</v>
          </cell>
          <cell r="AA864">
            <v>0</v>
          </cell>
          <cell r="AB864">
            <v>0</v>
          </cell>
          <cell r="AC864">
            <v>0</v>
          </cell>
          <cell r="AD864">
            <v>0</v>
          </cell>
          <cell r="AE864">
            <v>0</v>
          </cell>
          <cell r="AF864">
            <v>0</v>
          </cell>
          <cell r="AG864">
            <v>0</v>
          </cell>
          <cell r="AH864">
            <v>0</v>
          </cell>
          <cell r="AI864">
            <v>0</v>
          </cell>
          <cell r="AJ864">
            <v>0</v>
          </cell>
          <cell r="AK864">
            <v>0</v>
          </cell>
        </row>
        <row r="865">
          <cell r="A865" t="str">
            <v>ems_mat_co2_scon_2</v>
          </cell>
          <cell r="B865">
            <v>0</v>
          </cell>
          <cell r="C865">
            <v>0</v>
          </cell>
          <cell r="D865">
            <v>0</v>
          </cell>
          <cell r="E865">
            <v>0</v>
          </cell>
          <cell r="F865">
            <v>0</v>
          </cell>
          <cell r="G865">
            <v>0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0</v>
          </cell>
          <cell r="M865">
            <v>0</v>
          </cell>
          <cell r="N865">
            <v>0</v>
          </cell>
          <cell r="O865">
            <v>0</v>
          </cell>
          <cell r="P865">
            <v>0</v>
          </cell>
          <cell r="Q865">
            <v>0</v>
          </cell>
          <cell r="R865">
            <v>0</v>
          </cell>
          <cell r="S865">
            <v>0</v>
          </cell>
          <cell r="T865">
            <v>0</v>
          </cell>
          <cell r="U865">
            <v>0</v>
          </cell>
          <cell r="V865">
            <v>0</v>
          </cell>
          <cell r="W865">
            <v>0</v>
          </cell>
          <cell r="X865">
            <v>0</v>
          </cell>
          <cell r="Y865">
            <v>0</v>
          </cell>
          <cell r="Z865">
            <v>0</v>
          </cell>
          <cell r="AA865">
            <v>0</v>
          </cell>
          <cell r="AB865">
            <v>0</v>
          </cell>
          <cell r="AC865">
            <v>0</v>
          </cell>
          <cell r="AD865">
            <v>0</v>
          </cell>
          <cell r="AE865">
            <v>0</v>
          </cell>
          <cell r="AF865">
            <v>0</v>
          </cell>
          <cell r="AG865">
            <v>0</v>
          </cell>
          <cell r="AH865">
            <v>0</v>
          </cell>
          <cell r="AI865">
            <v>0</v>
          </cell>
          <cell r="AJ865">
            <v>0</v>
          </cell>
          <cell r="AK865">
            <v>0</v>
          </cell>
        </row>
        <row r="866">
          <cell r="A866" t="str">
            <v>ems_ci_co2_srai_2</v>
          </cell>
          <cell r="B866">
            <v>5.5899890560000003</v>
          </cell>
          <cell r="C866">
            <v>5.5787174689999999</v>
          </cell>
          <cell r="D866">
            <v>5.5794012459999998</v>
          </cell>
          <cell r="E866">
            <v>5.602385065</v>
          </cell>
          <cell r="F866">
            <v>5.6425312730000003</v>
          </cell>
          <cell r="G866">
            <v>5.6945774570000003</v>
          </cell>
          <cell r="H866">
            <v>5.7362209550000003</v>
          </cell>
          <cell r="I866">
            <v>5.7749248409999998</v>
          </cell>
          <cell r="J866">
            <v>5.8166564840000001</v>
          </cell>
          <cell r="K866">
            <v>5.8658206829999999</v>
          </cell>
          <cell r="L866">
            <v>5.9257777129999996</v>
          </cell>
          <cell r="M866">
            <v>5.9975242309999999</v>
          </cell>
          <cell r="N866">
            <v>6.0753458230000001</v>
          </cell>
          <cell r="O866">
            <v>6.1565374139999998</v>
          </cell>
          <cell r="P866">
            <v>6.2391228429999996</v>
          </cell>
          <cell r="Q866">
            <v>6.3219278250000004</v>
          </cell>
          <cell r="R866">
            <v>6.4047110619999996</v>
          </cell>
          <cell r="S866">
            <v>6.487951915</v>
          </cell>
          <cell r="T866">
            <v>6.5724213090000001</v>
          </cell>
          <cell r="U866">
            <v>6.658768126</v>
          </cell>
          <cell r="V866">
            <v>6.7457955690000002</v>
          </cell>
          <cell r="W866">
            <v>6.8335654269999999</v>
          </cell>
          <cell r="X866">
            <v>6.924304019</v>
          </cell>
          <cell r="Y866">
            <v>7.0174827479999999</v>
          </cell>
          <cell r="Z866">
            <v>7.1124191559999996</v>
          </cell>
          <cell r="AA866">
            <v>7.2031823209999999</v>
          </cell>
          <cell r="AB866">
            <v>7.290949651</v>
          </cell>
          <cell r="AC866">
            <v>7.3797411259999999</v>
          </cell>
          <cell r="AD866">
            <v>7.4703409450000002</v>
          </cell>
          <cell r="AE866">
            <v>7.5628563560000002</v>
          </cell>
          <cell r="AF866">
            <v>7.6571259749999996</v>
          </cell>
          <cell r="AG866">
            <v>7.7528765450000003</v>
          </cell>
          <cell r="AH866">
            <v>7.8498674800000003</v>
          </cell>
          <cell r="AI866">
            <v>7.9479842310000004</v>
          </cell>
          <cell r="AJ866">
            <v>8.047254358</v>
          </cell>
          <cell r="AK866">
            <v>8.1477997000000002</v>
          </cell>
        </row>
        <row r="867">
          <cell r="A867" t="str">
            <v>ems_y_co2_srai_2</v>
          </cell>
          <cell r="B867">
            <v>0</v>
          </cell>
          <cell r="C867">
            <v>0</v>
          </cell>
          <cell r="D867">
            <v>0</v>
          </cell>
          <cell r="E867">
            <v>0</v>
          </cell>
          <cell r="F867">
            <v>0</v>
          </cell>
          <cell r="G867">
            <v>0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0</v>
          </cell>
          <cell r="R867">
            <v>0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0</v>
          </cell>
          <cell r="Y867">
            <v>0</v>
          </cell>
          <cell r="Z867">
            <v>0</v>
          </cell>
          <cell r="AA867">
            <v>0</v>
          </cell>
          <cell r="AB867">
            <v>0</v>
          </cell>
          <cell r="AC867">
            <v>0</v>
          </cell>
          <cell r="AD867">
            <v>0</v>
          </cell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>
            <v>0</v>
          </cell>
          <cell r="AJ867">
            <v>0</v>
          </cell>
          <cell r="AK867">
            <v>0</v>
          </cell>
        </row>
        <row r="868">
          <cell r="A868" t="str">
            <v>ems_mat_co2_srai_2</v>
          </cell>
          <cell r="B868">
            <v>0</v>
          </cell>
          <cell r="C868">
            <v>0</v>
          </cell>
          <cell r="D868">
            <v>0</v>
          </cell>
          <cell r="E868">
            <v>0</v>
          </cell>
          <cell r="F868">
            <v>0</v>
          </cell>
          <cell r="G868">
            <v>0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0</v>
          </cell>
          <cell r="Y868">
            <v>0</v>
          </cell>
          <cell r="Z868">
            <v>0</v>
          </cell>
          <cell r="AA868">
            <v>0</v>
          </cell>
          <cell r="AB868">
            <v>0</v>
          </cell>
          <cell r="AC868">
            <v>0</v>
          </cell>
          <cell r="AD868">
            <v>0</v>
          </cell>
          <cell r="AE868">
            <v>0</v>
          </cell>
          <cell r="AF868">
            <v>0</v>
          </cell>
          <cell r="AG868">
            <v>0</v>
          </cell>
          <cell r="AH868">
            <v>0</v>
          </cell>
          <cell r="AI868">
            <v>0</v>
          </cell>
          <cell r="AJ868">
            <v>0</v>
          </cell>
          <cell r="AK868">
            <v>0</v>
          </cell>
        </row>
        <row r="869">
          <cell r="A869" t="str">
            <v>ems_ci_co2_sroa_2</v>
          </cell>
          <cell r="B869">
            <v>16.043584360000001</v>
          </cell>
          <cell r="C869">
            <v>15.99709125</v>
          </cell>
          <cell r="D869">
            <v>15.973187149999999</v>
          </cell>
          <cell r="E869">
            <v>16.01090232</v>
          </cell>
          <cell r="F869">
            <v>16.101426109999998</v>
          </cell>
          <cell r="G869">
            <v>16.232448120000001</v>
          </cell>
          <cell r="H869">
            <v>16.38148511</v>
          </cell>
          <cell r="I869">
            <v>16.501880499999999</v>
          </cell>
          <cell r="J869">
            <v>16.622725519999999</v>
          </cell>
          <cell r="K869">
            <v>16.756006960000001</v>
          </cell>
          <cell r="L869">
            <v>16.911243160000001</v>
          </cell>
          <cell r="M869">
            <v>17.097842969999999</v>
          </cell>
          <cell r="N869">
            <v>17.30250092</v>
          </cell>
          <cell r="O869">
            <v>17.519872939999999</v>
          </cell>
          <cell r="P869">
            <v>17.745040639999999</v>
          </cell>
          <cell r="Q869">
            <v>17.973839510000001</v>
          </cell>
          <cell r="R869">
            <v>18.203928810000001</v>
          </cell>
          <cell r="S869">
            <v>18.43503746</v>
          </cell>
          <cell r="T869">
            <v>18.668370490000001</v>
          </cell>
          <cell r="U869">
            <v>18.905625100000002</v>
          </cell>
          <cell r="V869">
            <v>19.144808040000001</v>
          </cell>
          <cell r="W869">
            <v>19.385065780000001</v>
          </cell>
          <cell r="X869">
            <v>19.633801779999999</v>
          </cell>
          <cell r="Y869">
            <v>19.8900632</v>
          </cell>
          <cell r="Z869">
            <v>20.15204516</v>
          </cell>
          <cell r="AA869">
            <v>20.40524177</v>
          </cell>
          <cell r="AB869">
            <v>20.648899650000001</v>
          </cell>
          <cell r="AC869">
            <v>20.894338399999999</v>
          </cell>
          <cell r="AD869">
            <v>21.143962169999998</v>
          </cell>
          <cell r="AE869">
            <v>21.398561489999999</v>
          </cell>
          <cell r="AF869">
            <v>21.658206239999998</v>
          </cell>
          <cell r="AG869">
            <v>21.922457900000001</v>
          </cell>
          <cell r="AH869">
            <v>22.190687560000001</v>
          </cell>
          <cell r="AI869">
            <v>22.462387830000001</v>
          </cell>
          <cell r="AJ869">
            <v>22.73734924</v>
          </cell>
          <cell r="AK869">
            <v>23.015665569999999</v>
          </cell>
        </row>
        <row r="870">
          <cell r="A870" t="str">
            <v>ems_y_co2_sroa_2</v>
          </cell>
          <cell r="B870">
            <v>0</v>
          </cell>
          <cell r="C870">
            <v>0</v>
          </cell>
          <cell r="D870">
            <v>0</v>
          </cell>
          <cell r="E870">
            <v>0</v>
          </cell>
          <cell r="F870">
            <v>0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0</v>
          </cell>
          <cell r="L870">
            <v>0</v>
          </cell>
          <cell r="M870">
            <v>0</v>
          </cell>
          <cell r="N870">
            <v>0</v>
          </cell>
          <cell r="O870">
            <v>0</v>
          </cell>
          <cell r="P870">
            <v>0</v>
          </cell>
          <cell r="Q870">
            <v>0</v>
          </cell>
          <cell r="R870">
            <v>0</v>
          </cell>
          <cell r="S870">
            <v>0</v>
          </cell>
          <cell r="T870">
            <v>0</v>
          </cell>
          <cell r="U870">
            <v>0</v>
          </cell>
          <cell r="V870">
            <v>0</v>
          </cell>
          <cell r="W870">
            <v>0</v>
          </cell>
          <cell r="X870">
            <v>0</v>
          </cell>
          <cell r="Y870">
            <v>0</v>
          </cell>
          <cell r="Z870">
            <v>0</v>
          </cell>
          <cell r="AA870">
            <v>0</v>
          </cell>
          <cell r="AB870">
            <v>0</v>
          </cell>
          <cell r="AC870">
            <v>0</v>
          </cell>
          <cell r="AD870">
            <v>0</v>
          </cell>
          <cell r="AE870">
            <v>0</v>
          </cell>
          <cell r="AF870">
            <v>0</v>
          </cell>
          <cell r="AG870">
            <v>0</v>
          </cell>
          <cell r="AH870">
            <v>0</v>
          </cell>
          <cell r="AI870">
            <v>0</v>
          </cell>
          <cell r="AJ870">
            <v>0</v>
          </cell>
          <cell r="AK870">
            <v>0</v>
          </cell>
        </row>
        <row r="871">
          <cell r="A871" t="str">
            <v>ems_mat_co2_sroa_2</v>
          </cell>
          <cell r="B871">
            <v>0</v>
          </cell>
          <cell r="C871">
            <v>0</v>
          </cell>
          <cell r="D871">
            <v>0</v>
          </cell>
          <cell r="E871">
            <v>0</v>
          </cell>
          <cell r="F871">
            <v>0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0</v>
          </cell>
          <cell r="Y871">
            <v>0</v>
          </cell>
          <cell r="Z871">
            <v>0</v>
          </cell>
          <cell r="AA871">
            <v>0</v>
          </cell>
          <cell r="AB871">
            <v>0</v>
          </cell>
          <cell r="AC871">
            <v>0</v>
          </cell>
          <cell r="AD871">
            <v>0</v>
          </cell>
          <cell r="AE871">
            <v>0</v>
          </cell>
          <cell r="AF871">
            <v>0</v>
          </cell>
          <cell r="AG871">
            <v>0</v>
          </cell>
          <cell r="AH871">
            <v>0</v>
          </cell>
          <cell r="AI871">
            <v>0</v>
          </cell>
          <cell r="AJ871">
            <v>0</v>
          </cell>
          <cell r="AK871">
            <v>0</v>
          </cell>
        </row>
        <row r="872">
          <cell r="A872" t="str">
            <v>ems_ci_co2_swat_2</v>
          </cell>
          <cell r="B872">
            <v>3.7871648360000001</v>
          </cell>
          <cell r="C872">
            <v>3.8471703490000002</v>
          </cell>
          <cell r="D872">
            <v>3.9120774780000001</v>
          </cell>
          <cell r="E872">
            <v>3.9815562880000002</v>
          </cell>
          <cell r="F872">
            <v>4.056939957</v>
          </cell>
          <cell r="G872">
            <v>4.1376657100000003</v>
          </cell>
          <cell r="H872">
            <v>4.2183704649999996</v>
          </cell>
          <cell r="I872">
            <v>4.2781468819999997</v>
          </cell>
          <cell r="J872">
            <v>4.3269763550000002</v>
          </cell>
          <cell r="K872">
            <v>4.3710845369999998</v>
          </cell>
          <cell r="L872">
            <v>4.4228213480000003</v>
          </cell>
          <cell r="M872">
            <v>4.4766362219999998</v>
          </cell>
          <cell r="N872">
            <v>4.5386906610000004</v>
          </cell>
          <cell r="O872">
            <v>4.6087209380000003</v>
          </cell>
          <cell r="P872">
            <v>4.6841203480000004</v>
          </cell>
          <cell r="Q872">
            <v>4.7616188380000004</v>
          </cell>
          <cell r="R872">
            <v>4.8385472140000001</v>
          </cell>
          <cell r="S872">
            <v>4.9135679339999996</v>
          </cell>
          <cell r="T872">
            <v>4.9867464110000004</v>
          </cell>
          <cell r="U872">
            <v>5.0590983429999996</v>
          </cell>
          <cell r="V872">
            <v>5.1274821370000003</v>
          </cell>
          <cell r="W872">
            <v>5.2009470740000001</v>
          </cell>
          <cell r="X872">
            <v>5.2770324090000003</v>
          </cell>
          <cell r="Y872">
            <v>5.355467859</v>
          </cell>
          <cell r="Z872">
            <v>5.4358718289999999</v>
          </cell>
          <cell r="AA872">
            <v>5.5048526310000003</v>
          </cell>
          <cell r="AB872">
            <v>5.579156234</v>
          </cell>
          <cell r="AC872">
            <v>5.6547762840000004</v>
          </cell>
          <cell r="AD872">
            <v>5.731809105</v>
          </cell>
          <cell r="AE872">
            <v>5.810769219</v>
          </cell>
          <cell r="AF872">
            <v>5.8919283849999999</v>
          </cell>
          <cell r="AG872">
            <v>5.9751948549999998</v>
          </cell>
          <cell r="AH872">
            <v>6.0602121599999998</v>
          </cell>
          <cell r="AI872">
            <v>6.1465517690000002</v>
          </cell>
          <cell r="AJ872">
            <v>6.2338932360000001</v>
          </cell>
          <cell r="AK872">
            <v>6.3221203260000003</v>
          </cell>
        </row>
        <row r="873">
          <cell r="A873" t="str">
            <v>ems_y_co2_swat_2</v>
          </cell>
          <cell r="B873">
            <v>0</v>
          </cell>
          <cell r="C873">
            <v>0</v>
          </cell>
          <cell r="D873">
            <v>0</v>
          </cell>
          <cell r="E873">
            <v>0</v>
          </cell>
          <cell r="F873">
            <v>0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0</v>
          </cell>
          <cell r="Y873">
            <v>0</v>
          </cell>
          <cell r="Z873">
            <v>0</v>
          </cell>
          <cell r="AA873">
            <v>0</v>
          </cell>
          <cell r="AB873">
            <v>0</v>
          </cell>
          <cell r="AC873">
            <v>0</v>
          </cell>
          <cell r="AD873">
            <v>0</v>
          </cell>
          <cell r="AE873">
            <v>0</v>
          </cell>
          <cell r="AF873">
            <v>0</v>
          </cell>
          <cell r="AG873">
            <v>0</v>
          </cell>
          <cell r="AH873">
            <v>0</v>
          </cell>
          <cell r="AI873">
            <v>0</v>
          </cell>
          <cell r="AJ873">
            <v>0</v>
          </cell>
          <cell r="AK873">
            <v>0</v>
          </cell>
        </row>
        <row r="874">
          <cell r="A874" t="str">
            <v>ems_mat_co2_swat_2</v>
          </cell>
          <cell r="B874">
            <v>0</v>
          </cell>
          <cell r="C874">
            <v>0</v>
          </cell>
          <cell r="D874">
            <v>0</v>
          </cell>
          <cell r="E874">
            <v>0</v>
          </cell>
          <cell r="F874">
            <v>0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0</v>
          </cell>
          <cell r="Y874">
            <v>0</v>
          </cell>
          <cell r="Z874">
            <v>0</v>
          </cell>
          <cell r="AA874">
            <v>0</v>
          </cell>
          <cell r="AB874">
            <v>0</v>
          </cell>
          <cell r="AC874">
            <v>0</v>
          </cell>
          <cell r="AD874">
            <v>0</v>
          </cell>
          <cell r="AE874">
            <v>0</v>
          </cell>
          <cell r="AF874">
            <v>0</v>
          </cell>
          <cell r="AG874">
            <v>0</v>
          </cell>
          <cell r="AH874">
            <v>0</v>
          </cell>
          <cell r="AI874">
            <v>0</v>
          </cell>
          <cell r="AJ874">
            <v>0</v>
          </cell>
          <cell r="AK874">
            <v>0</v>
          </cell>
        </row>
        <row r="875">
          <cell r="A875" t="str">
            <v>ems_ci_co2_sair_2</v>
          </cell>
          <cell r="B875">
            <v>19.865303740000002</v>
          </cell>
          <cell r="C875">
            <v>20.11204111</v>
          </cell>
          <cell r="D875">
            <v>20.407258670000001</v>
          </cell>
          <cell r="E875">
            <v>20.7519773</v>
          </cell>
          <cell r="F875">
            <v>21.133488</v>
          </cell>
          <cell r="G875">
            <v>21.536563260000001</v>
          </cell>
          <cell r="H875">
            <v>21.84037871</v>
          </cell>
          <cell r="I875">
            <v>22.117640600000001</v>
          </cell>
          <cell r="J875">
            <v>22.408373310000002</v>
          </cell>
          <cell r="K875">
            <v>22.733404279999998</v>
          </cell>
          <cell r="L875">
            <v>23.12540868</v>
          </cell>
          <cell r="M875">
            <v>23.547378800000001</v>
          </cell>
          <cell r="N875">
            <v>23.993319150000001</v>
          </cell>
          <cell r="O875">
            <v>24.44909496</v>
          </cell>
          <cell r="P875">
            <v>24.902705699999999</v>
          </cell>
          <cell r="Q875">
            <v>25.348126279999999</v>
          </cell>
          <cell r="R875">
            <v>25.78610647</v>
          </cell>
          <cell r="S875">
            <v>26.222317199999999</v>
          </cell>
          <cell r="T875">
            <v>26.664111569999999</v>
          </cell>
          <cell r="U875">
            <v>27.117524629999998</v>
          </cell>
          <cell r="V875">
            <v>27.56724818</v>
          </cell>
          <cell r="W875">
            <v>28.040810610000001</v>
          </cell>
          <cell r="X875">
            <v>28.53188978</v>
          </cell>
          <cell r="Y875">
            <v>29.036535789999999</v>
          </cell>
          <cell r="Z875">
            <v>29.551448780000001</v>
          </cell>
          <cell r="AA875">
            <v>30.01812352</v>
          </cell>
          <cell r="AB875">
            <v>30.497234859999999</v>
          </cell>
          <cell r="AC875">
            <v>30.98679916</v>
          </cell>
          <cell r="AD875">
            <v>31.48832616</v>
          </cell>
          <cell r="AE875">
            <v>32.001830820000002</v>
          </cell>
          <cell r="AF875">
            <v>32.525997750000002</v>
          </cell>
          <cell r="AG875">
            <v>33.059045910000002</v>
          </cell>
          <cell r="AH875">
            <v>33.599636740000001</v>
          </cell>
          <cell r="AI875">
            <v>34.147412619999997</v>
          </cell>
          <cell r="AJ875">
            <v>34.703010280000001</v>
          </cell>
          <cell r="AK875">
            <v>35.267655329999997</v>
          </cell>
        </row>
        <row r="876">
          <cell r="A876" t="str">
            <v>ems_y_co2_sair_2</v>
          </cell>
          <cell r="B876">
            <v>0</v>
          </cell>
          <cell r="C876">
            <v>0</v>
          </cell>
          <cell r="D876">
            <v>0</v>
          </cell>
          <cell r="E876">
            <v>0</v>
          </cell>
          <cell r="F876">
            <v>0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0</v>
          </cell>
          <cell r="Y876">
            <v>0</v>
          </cell>
          <cell r="Z876">
            <v>0</v>
          </cell>
          <cell r="AA876">
            <v>0</v>
          </cell>
          <cell r="AB876">
            <v>0</v>
          </cell>
          <cell r="AC876">
            <v>0</v>
          </cell>
          <cell r="AD876">
            <v>0</v>
          </cell>
          <cell r="AE876">
            <v>0</v>
          </cell>
          <cell r="AF876">
            <v>0</v>
          </cell>
          <cell r="AG876">
            <v>0</v>
          </cell>
          <cell r="AH876">
            <v>0</v>
          </cell>
          <cell r="AI876">
            <v>0</v>
          </cell>
          <cell r="AJ876">
            <v>0</v>
          </cell>
          <cell r="AK876">
            <v>0</v>
          </cell>
        </row>
        <row r="877">
          <cell r="A877" t="str">
            <v>ems_mat_co2_sair_2</v>
          </cell>
          <cell r="B877">
            <v>0</v>
          </cell>
          <cell r="C877">
            <v>0</v>
          </cell>
          <cell r="D877">
            <v>0</v>
          </cell>
          <cell r="E877">
            <v>0</v>
          </cell>
          <cell r="F877">
            <v>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0</v>
          </cell>
          <cell r="V877">
            <v>0</v>
          </cell>
          <cell r="W877">
            <v>0</v>
          </cell>
          <cell r="X877">
            <v>0</v>
          </cell>
          <cell r="Y877">
            <v>0</v>
          </cell>
          <cell r="Z877">
            <v>0</v>
          </cell>
          <cell r="AA877">
            <v>0</v>
          </cell>
          <cell r="AB877">
            <v>0</v>
          </cell>
          <cell r="AC877">
            <v>0</v>
          </cell>
          <cell r="AD877">
            <v>0</v>
          </cell>
          <cell r="AE877">
            <v>0</v>
          </cell>
          <cell r="AF877">
            <v>0</v>
          </cell>
          <cell r="AG877">
            <v>0</v>
          </cell>
          <cell r="AH877">
            <v>0</v>
          </cell>
          <cell r="AI877">
            <v>0</v>
          </cell>
          <cell r="AJ877">
            <v>0</v>
          </cell>
          <cell r="AK877">
            <v>0</v>
          </cell>
        </row>
        <row r="878">
          <cell r="A878" t="str">
            <v>ems_ci_co2_spri_2</v>
          </cell>
          <cell r="B878">
            <v>30.97960806</v>
          </cell>
          <cell r="C878">
            <v>31.13940354</v>
          </cell>
          <cell r="D878">
            <v>31.06235242</v>
          </cell>
          <cell r="E878">
            <v>30.924520130000001</v>
          </cell>
          <cell r="F878">
            <v>30.86930946</v>
          </cell>
          <cell r="G878">
            <v>31.03693144</v>
          </cell>
          <cell r="H878">
            <v>33.051674060000003</v>
          </cell>
          <cell r="I878">
            <v>34.483661650000002</v>
          </cell>
          <cell r="J878">
            <v>35.56929075</v>
          </cell>
          <cell r="K878">
            <v>36.169175350000003</v>
          </cell>
          <cell r="L878">
            <v>36.192237179999999</v>
          </cell>
          <cell r="M878">
            <v>36.098528809999998</v>
          </cell>
          <cell r="N878">
            <v>35.963362310000001</v>
          </cell>
          <cell r="O878">
            <v>35.973513910000001</v>
          </cell>
          <cell r="P878">
            <v>36.231416039999999</v>
          </cell>
          <cell r="Q878">
            <v>36.739496170000002</v>
          </cell>
          <cell r="R878">
            <v>37.429472150000002</v>
          </cell>
          <cell r="S878">
            <v>38.205671000000002</v>
          </cell>
          <cell r="T878">
            <v>38.985611140000003</v>
          </cell>
          <cell r="U878">
            <v>39.724481969999999</v>
          </cell>
          <cell r="V878">
            <v>40.47532975</v>
          </cell>
          <cell r="W878">
            <v>41.101662050000002</v>
          </cell>
          <cell r="X878">
            <v>41.734849850000003</v>
          </cell>
          <cell r="Y878">
            <v>42.40644039</v>
          </cell>
          <cell r="Z878">
            <v>43.127626800000002</v>
          </cell>
          <cell r="AA878">
            <v>44.036889549999998</v>
          </cell>
          <cell r="AB878">
            <v>44.778581959999997</v>
          </cell>
          <cell r="AC878">
            <v>45.469843920000002</v>
          </cell>
          <cell r="AD878">
            <v>46.120441759999999</v>
          </cell>
          <cell r="AE878">
            <v>46.750174340000001</v>
          </cell>
          <cell r="AF878">
            <v>47.388517569999998</v>
          </cell>
          <cell r="AG878">
            <v>48.060901600000001</v>
          </cell>
          <cell r="AH878">
            <v>48.77939902</v>
          </cell>
          <cell r="AI878">
            <v>49.541107969999999</v>
          </cell>
          <cell r="AJ878">
            <v>50.332882599999998</v>
          </cell>
          <cell r="AK878">
            <v>51.138929589999996</v>
          </cell>
        </row>
        <row r="879">
          <cell r="A879" t="str">
            <v>ems_y_co2_spri_2</v>
          </cell>
          <cell r="B879">
            <v>0.40384413009999998</v>
          </cell>
          <cell r="C879">
            <v>0.40504472159999999</v>
          </cell>
          <cell r="D879">
            <v>0.4085483466</v>
          </cell>
          <cell r="E879">
            <v>0.41462774460000001</v>
          </cell>
          <cell r="F879">
            <v>0.421970338</v>
          </cell>
          <cell r="G879">
            <v>0.4296396992</v>
          </cell>
          <cell r="H879">
            <v>0.4323918242</v>
          </cell>
          <cell r="I879">
            <v>0.43527748360000001</v>
          </cell>
          <cell r="J879">
            <v>0.43891510030000003</v>
          </cell>
          <cell r="K879">
            <v>0.44423491469999998</v>
          </cell>
          <cell r="L879">
            <v>0.45068209139999998</v>
          </cell>
          <cell r="M879">
            <v>0.46032509040000003</v>
          </cell>
          <cell r="N879">
            <v>0.47031462810000002</v>
          </cell>
          <cell r="O879">
            <v>0.48010738320000002</v>
          </cell>
          <cell r="P879">
            <v>0.48929700479999999</v>
          </cell>
          <cell r="Q879">
            <v>0.49776454780000001</v>
          </cell>
          <cell r="R879">
            <v>0.50567121900000001</v>
          </cell>
          <cell r="S879">
            <v>0.51333514719999995</v>
          </cell>
          <cell r="T879">
            <v>0.52107828180000004</v>
          </cell>
          <cell r="U879">
            <v>0.5291160815</v>
          </cell>
          <cell r="V879">
            <v>0.53797915460000001</v>
          </cell>
          <cell r="W879">
            <v>0.54608638269999998</v>
          </cell>
          <cell r="X879">
            <v>0.55478316400000005</v>
          </cell>
          <cell r="Y879">
            <v>0.5637991363</v>
          </cell>
          <cell r="Z879">
            <v>0.57296925759999995</v>
          </cell>
          <cell r="AA879">
            <v>0.58331272609999996</v>
          </cell>
          <cell r="AB879">
            <v>0.59157461010000001</v>
          </cell>
          <cell r="AC879">
            <v>0.60016797030000002</v>
          </cell>
          <cell r="AD879">
            <v>0.60909700249999998</v>
          </cell>
          <cell r="AE879">
            <v>0.61831004060000005</v>
          </cell>
          <cell r="AF879">
            <v>0.62771380720000003</v>
          </cell>
          <cell r="AG879">
            <v>0.63721397840000005</v>
          </cell>
          <cell r="AH879">
            <v>0.64675157149999996</v>
          </cell>
          <cell r="AI879">
            <v>0.6563178489</v>
          </cell>
          <cell r="AJ879">
            <v>0.66594578680000005</v>
          </cell>
          <cell r="AK879">
            <v>0.67568708659999999</v>
          </cell>
        </row>
        <row r="880">
          <cell r="A880" t="str">
            <v>ems_mat_co2_spri_2</v>
          </cell>
          <cell r="B880">
            <v>0.59216026710000003</v>
          </cell>
          <cell r="C880">
            <v>0.59441334440000004</v>
          </cell>
          <cell r="D880">
            <v>0.59921034230000003</v>
          </cell>
          <cell r="E880">
            <v>0.607778402</v>
          </cell>
          <cell r="F880">
            <v>0.61844975999999996</v>
          </cell>
          <cell r="G880">
            <v>0.62976052530000004</v>
          </cell>
          <cell r="H880">
            <v>0.63447254119999996</v>
          </cell>
          <cell r="I880">
            <v>0.63864655940000004</v>
          </cell>
          <cell r="J880">
            <v>0.64380709739999997</v>
          </cell>
          <cell r="K880">
            <v>0.65136335779999999</v>
          </cell>
          <cell r="L880">
            <v>0.66070034060000005</v>
          </cell>
          <cell r="M880">
            <v>0.6745237623</v>
          </cell>
          <cell r="N880">
            <v>0.68926856179999996</v>
          </cell>
          <cell r="O880">
            <v>0.70380013910000006</v>
          </cell>
          <cell r="P880">
            <v>0.71745615750000002</v>
          </cell>
          <cell r="Q880">
            <v>0.73001847679999998</v>
          </cell>
          <cell r="R880">
            <v>0.74169553210000005</v>
          </cell>
          <cell r="S880">
            <v>0.75295030959999998</v>
          </cell>
          <cell r="T880">
            <v>0.76427282429999999</v>
          </cell>
          <cell r="U880">
            <v>0.77600681469999999</v>
          </cell>
          <cell r="V880">
            <v>0.78890183749999998</v>
          </cell>
          <cell r="W880">
            <v>0.80089932760000004</v>
          </cell>
          <cell r="X880">
            <v>0.81358979190000003</v>
          </cell>
          <cell r="Y880">
            <v>0.82678427799999998</v>
          </cell>
          <cell r="Z880">
            <v>0.84023520019999998</v>
          </cell>
          <cell r="AA880">
            <v>0.85528917660000003</v>
          </cell>
          <cell r="AB880">
            <v>0.86769667189999999</v>
          </cell>
          <cell r="AC880">
            <v>0.88025693199999999</v>
          </cell>
          <cell r="AD880">
            <v>0.89329336680000004</v>
          </cell>
          <cell r="AE880">
            <v>0.90676706330000001</v>
          </cell>
          <cell r="AF880">
            <v>0.92054355310000002</v>
          </cell>
          <cell r="AG880">
            <v>0.93447848089999996</v>
          </cell>
          <cell r="AH880">
            <v>0.94847592510000001</v>
          </cell>
          <cell r="AI880">
            <v>0.9625142015</v>
          </cell>
          <cell r="AJ880">
            <v>0.97663633790000004</v>
          </cell>
          <cell r="AK880">
            <v>0.99091734600000003</v>
          </cell>
        </row>
        <row r="881">
          <cell r="A881" t="str">
            <v>ems_ci_co2_spub_2</v>
          </cell>
          <cell r="B881">
            <v>15.11717672</v>
          </cell>
          <cell r="C881">
            <v>15.27732808</v>
          </cell>
          <cell r="D881">
            <v>15.367111960000001</v>
          </cell>
          <cell r="E881">
            <v>15.4237044</v>
          </cell>
          <cell r="F881">
            <v>15.49506774</v>
          </cell>
          <cell r="G881">
            <v>15.63182419</v>
          </cell>
          <cell r="H881">
            <v>16.36715139</v>
          </cell>
          <cell r="I881">
            <v>16.945017790000001</v>
          </cell>
          <cell r="J881">
            <v>17.423748830000001</v>
          </cell>
          <cell r="K881">
            <v>17.750072500000002</v>
          </cell>
          <cell r="L881">
            <v>17.903484209999998</v>
          </cell>
          <cell r="M881">
            <v>17.989247580000001</v>
          </cell>
          <cell r="N881">
            <v>18.049891930000001</v>
          </cell>
          <cell r="O881">
            <v>18.151185640000001</v>
          </cell>
          <cell r="P881">
            <v>18.331849460000001</v>
          </cell>
          <cell r="Q881">
            <v>18.597239609999999</v>
          </cell>
          <cell r="R881">
            <v>18.927365770000002</v>
          </cell>
          <cell r="S881">
            <v>19.291036569999999</v>
          </cell>
          <cell r="T881">
            <v>19.659989230000001</v>
          </cell>
          <cell r="U881">
            <v>20.0178507</v>
          </cell>
          <cell r="V881">
            <v>20.369398239999999</v>
          </cell>
          <cell r="W881">
            <v>20.693308999999999</v>
          </cell>
          <cell r="X881">
            <v>21.019568369999998</v>
          </cell>
          <cell r="Y881">
            <v>21.357972570000001</v>
          </cell>
          <cell r="Z881">
            <v>21.713203669999999</v>
          </cell>
          <cell r="AA881">
            <v>22.100715900000001</v>
          </cell>
          <cell r="AB881">
            <v>22.455004679999998</v>
          </cell>
          <cell r="AC881">
            <v>22.796675860000001</v>
          </cell>
          <cell r="AD881">
            <v>23.12611051</v>
          </cell>
          <cell r="AE881">
            <v>23.448970469999999</v>
          </cell>
          <cell r="AF881">
            <v>23.774785850000001</v>
          </cell>
          <cell r="AG881">
            <v>24.11226048</v>
          </cell>
          <cell r="AH881">
            <v>24.465954629999999</v>
          </cell>
          <cell r="AI881">
            <v>24.835468670000001</v>
          </cell>
          <cell r="AJ881">
            <v>25.216811329999999</v>
          </cell>
          <cell r="AK881">
            <v>25.604854339999999</v>
          </cell>
        </row>
        <row r="882">
          <cell r="A882" t="str">
            <v>ems_y_co2_spub_2</v>
          </cell>
          <cell r="B882">
            <v>0</v>
          </cell>
          <cell r="C882">
            <v>0</v>
          </cell>
          <cell r="D882">
            <v>0</v>
          </cell>
          <cell r="E882">
            <v>0</v>
          </cell>
          <cell r="F882">
            <v>0</v>
          </cell>
          <cell r="G882">
            <v>0</v>
          </cell>
          <cell r="H882">
            <v>0</v>
          </cell>
          <cell r="I882">
            <v>0</v>
          </cell>
          <cell r="J882">
            <v>0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0</v>
          </cell>
          <cell r="Y882">
            <v>0</v>
          </cell>
          <cell r="Z882">
            <v>0</v>
          </cell>
          <cell r="AA882">
            <v>0</v>
          </cell>
          <cell r="AB882">
            <v>0</v>
          </cell>
          <cell r="AC882">
            <v>0</v>
          </cell>
          <cell r="AD882">
            <v>0</v>
          </cell>
          <cell r="AE882">
            <v>0</v>
          </cell>
          <cell r="AF882">
            <v>0</v>
          </cell>
          <cell r="AG882">
            <v>0</v>
          </cell>
          <cell r="AH882">
            <v>0</v>
          </cell>
          <cell r="AI882">
            <v>0</v>
          </cell>
          <cell r="AJ882">
            <v>0</v>
          </cell>
          <cell r="AK882">
            <v>0</v>
          </cell>
        </row>
        <row r="883">
          <cell r="A883" t="str">
            <v>ems_mat_co2_spub_2</v>
          </cell>
          <cell r="B883">
            <v>9.7331678910000008</v>
          </cell>
          <cell r="C883">
            <v>9.8300874199999999</v>
          </cell>
          <cell r="D883">
            <v>9.9526635030000001</v>
          </cell>
          <cell r="E883">
            <v>10.104516759999999</v>
          </cell>
          <cell r="F883">
            <v>10.272628409999999</v>
          </cell>
          <cell r="G883">
            <v>10.447433889999999</v>
          </cell>
          <cell r="H883">
            <v>10.587598399999999</v>
          </cell>
          <cell r="I883">
            <v>10.731754799999999</v>
          </cell>
          <cell r="J883">
            <v>10.88443453</v>
          </cell>
          <cell r="K883">
            <v>11.05195616</v>
          </cell>
          <cell r="L883">
            <v>11.23330196</v>
          </cell>
          <cell r="M883">
            <v>11.43926759</v>
          </cell>
          <cell r="N883">
            <v>11.647416120000001</v>
          </cell>
          <cell r="O883">
            <v>11.853179089999999</v>
          </cell>
          <cell r="P883">
            <v>12.05467823</v>
          </cell>
          <cell r="Q883">
            <v>12.25204944</v>
          </cell>
          <cell r="R883">
            <v>12.447218960000001</v>
          </cell>
          <cell r="S883">
            <v>12.64297569</v>
          </cell>
          <cell r="T883">
            <v>12.841875959999999</v>
          </cell>
          <cell r="U883">
            <v>13.04550126</v>
          </cell>
          <cell r="V883">
            <v>13.254216509999999</v>
          </cell>
          <cell r="W883">
            <v>13.4602954</v>
          </cell>
          <cell r="X883">
            <v>13.673640499999999</v>
          </cell>
          <cell r="Y883">
            <v>13.892609820000001</v>
          </cell>
          <cell r="Z883">
            <v>14.11555871</v>
          </cell>
          <cell r="AA883">
            <v>14.33902645</v>
          </cell>
          <cell r="AB883">
            <v>14.547094319999999</v>
          </cell>
          <cell r="AC883">
            <v>14.75834439</v>
          </cell>
          <cell r="AD883">
            <v>14.974433210000001</v>
          </cell>
          <cell r="AE883">
            <v>15.19489952</v>
          </cell>
          <cell r="AF883">
            <v>15.418934370000001</v>
          </cell>
          <cell r="AG883">
            <v>15.645824149999999</v>
          </cell>
          <cell r="AH883">
            <v>15.87519116</v>
          </cell>
          <cell r="AI883">
            <v>16.107059270000001</v>
          </cell>
          <cell r="AJ883">
            <v>16.34175372</v>
          </cell>
          <cell r="AK883">
            <v>16.579710949999999</v>
          </cell>
        </row>
        <row r="884">
          <cell r="A884" t="str">
            <v>ems_ci_co2_smin_2</v>
          </cell>
          <cell r="B884">
            <v>1.7686087939999999</v>
          </cell>
          <cell r="C884">
            <v>1.963015811</v>
          </cell>
          <cell r="D884">
            <v>2.1500834580000001</v>
          </cell>
          <cell r="E884">
            <v>2.3054855409999999</v>
          </cell>
          <cell r="F884">
            <v>2.4343909400000001</v>
          </cell>
          <cell r="G884">
            <v>2.5451716160000002</v>
          </cell>
          <cell r="H884">
            <v>2.6360925709999998</v>
          </cell>
          <cell r="I884">
            <v>2.7028918220000002</v>
          </cell>
          <cell r="J884">
            <v>2.7596173390000001</v>
          </cell>
          <cell r="K884">
            <v>2.811091818</v>
          </cell>
          <cell r="L884">
            <v>2.8739007089999999</v>
          </cell>
          <cell r="M884">
            <v>2.9221045769999998</v>
          </cell>
          <cell r="N884">
            <v>2.9724045700000001</v>
          </cell>
          <cell r="O884">
            <v>3.0265952509999998</v>
          </cell>
          <cell r="P884">
            <v>3.0827076349999998</v>
          </cell>
          <cell r="Q884">
            <v>3.1386678969999999</v>
          </cell>
          <cell r="R884">
            <v>3.1931670969999999</v>
          </cell>
          <cell r="S884">
            <v>3.245836035</v>
          </cell>
          <cell r="T884">
            <v>3.2970638440000002</v>
          </cell>
          <cell r="U884">
            <v>3.3476397210000002</v>
          </cell>
          <cell r="V884">
            <v>3.3889368850000001</v>
          </cell>
          <cell r="W884">
            <v>3.4420172469999999</v>
          </cell>
          <cell r="X884">
            <v>3.496857104</v>
          </cell>
          <cell r="Y884">
            <v>3.551639078</v>
          </cell>
          <cell r="Z884">
            <v>3.6065345199999999</v>
          </cell>
          <cell r="AA884">
            <v>3.6338206949999998</v>
          </cell>
          <cell r="AB884">
            <v>3.6827191780000001</v>
          </cell>
          <cell r="AC884">
            <v>3.7359630720000001</v>
          </cell>
          <cell r="AD884">
            <v>3.7894276759999999</v>
          </cell>
          <cell r="AE884">
            <v>3.8431031770000001</v>
          </cell>
          <cell r="AF884">
            <v>3.8974353700000002</v>
          </cell>
          <cell r="AG884">
            <v>3.9526065629999998</v>
          </cell>
          <cell r="AH884">
            <v>4.008557132</v>
          </cell>
          <cell r="AI884">
            <v>4.0651377640000002</v>
          </cell>
          <cell r="AJ884">
            <v>4.1222385529999999</v>
          </cell>
          <cell r="AK884">
            <v>4.1798473779999998</v>
          </cell>
        </row>
        <row r="885">
          <cell r="A885" t="str">
            <v>ems_y_co2_smin_2</v>
          </cell>
          <cell r="B885">
            <v>0</v>
          </cell>
          <cell r="C885">
            <v>0</v>
          </cell>
          <cell r="D885">
            <v>0</v>
          </cell>
          <cell r="E885">
            <v>0</v>
          </cell>
          <cell r="F885">
            <v>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0</v>
          </cell>
          <cell r="Y885">
            <v>0</v>
          </cell>
          <cell r="Z885">
            <v>0</v>
          </cell>
          <cell r="AA885">
            <v>0</v>
          </cell>
          <cell r="AB885">
            <v>0</v>
          </cell>
          <cell r="AC885">
            <v>0</v>
          </cell>
          <cell r="AD885">
            <v>0</v>
          </cell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>
            <v>0</v>
          </cell>
          <cell r="AJ885">
            <v>0</v>
          </cell>
          <cell r="AK885">
            <v>0</v>
          </cell>
        </row>
        <row r="886">
          <cell r="A886" t="str">
            <v>ems_mat_co2_smin_2</v>
          </cell>
          <cell r="B886">
            <v>9.7397463099999998E-2</v>
          </cell>
          <cell r="C886">
            <v>0.1080876554</v>
          </cell>
          <cell r="D886">
            <v>0.1184919532</v>
          </cell>
          <cell r="E886">
            <v>0.1272592813</v>
          </cell>
          <cell r="F886">
            <v>0.1345957964</v>
          </cell>
          <cell r="G886">
            <v>0.14086860339999999</v>
          </cell>
          <cell r="H886">
            <v>0.14519725980000001</v>
          </cell>
          <cell r="I886">
            <v>0.14837253859999999</v>
          </cell>
          <cell r="J886">
            <v>0.15111901999999999</v>
          </cell>
          <cell r="K886">
            <v>0.15380329039999999</v>
          </cell>
          <cell r="L886">
            <v>0.1573775566</v>
          </cell>
          <cell r="M886">
            <v>0.1603159224</v>
          </cell>
          <cell r="N886">
            <v>0.16342687759999999</v>
          </cell>
          <cell r="O886">
            <v>0.16670179930000001</v>
          </cell>
          <cell r="P886">
            <v>0.16996465860000001</v>
          </cell>
          <cell r="Q886">
            <v>0.1730862745</v>
          </cell>
          <cell r="R886">
            <v>0.1760239019</v>
          </cell>
          <cell r="S886">
            <v>0.1788085838</v>
          </cell>
          <cell r="T886">
            <v>0.18151060129999999</v>
          </cell>
          <cell r="U886">
            <v>0.18420340060000001</v>
          </cell>
          <cell r="V886">
            <v>0.186408555</v>
          </cell>
          <cell r="W886">
            <v>0.1892996877</v>
          </cell>
          <cell r="X886">
            <v>0.19230446949999999</v>
          </cell>
          <cell r="Y886">
            <v>0.195304796</v>
          </cell>
          <cell r="Z886">
            <v>0.19829887199999999</v>
          </cell>
          <cell r="AA886">
            <v>0.1997320501</v>
          </cell>
          <cell r="AB886">
            <v>0.20236913279999999</v>
          </cell>
          <cell r="AC886">
            <v>0.20527270850000001</v>
          </cell>
          <cell r="AD886">
            <v>0.20821997759999999</v>
          </cell>
          <cell r="AE886">
            <v>0.2112015971</v>
          </cell>
          <cell r="AF886">
            <v>0.21422628260000001</v>
          </cell>
          <cell r="AG886">
            <v>0.21728919739999999</v>
          </cell>
          <cell r="AH886">
            <v>0.2203787918</v>
          </cell>
          <cell r="AI886">
            <v>0.22348680900000001</v>
          </cell>
          <cell r="AJ886">
            <v>0.22661334550000001</v>
          </cell>
          <cell r="AK886">
            <v>0.22976608949999999</v>
          </cell>
        </row>
        <row r="887">
          <cell r="A887" t="str">
            <v>ems_ci_co2_soil_2</v>
          </cell>
          <cell r="B887">
            <v>16.64052448</v>
          </cell>
          <cell r="C887">
            <v>16.880246199999998</v>
          </cell>
          <cell r="D887">
            <v>17.087361949999998</v>
          </cell>
          <cell r="E887">
            <v>17.280278769999999</v>
          </cell>
          <cell r="F887">
            <v>17.476143879999999</v>
          </cell>
          <cell r="G887">
            <v>17.684277550000001</v>
          </cell>
          <cell r="H887">
            <v>17.971141970000001</v>
          </cell>
          <cell r="I887">
            <v>18.22246088</v>
          </cell>
          <cell r="J887">
            <v>18.457111749999999</v>
          </cell>
          <cell r="K887">
            <v>18.677687450000001</v>
          </cell>
          <cell r="L887">
            <v>18.90388969</v>
          </cell>
          <cell r="M887">
            <v>19.11093881</v>
          </cell>
          <cell r="N887">
            <v>19.318572970000002</v>
          </cell>
          <cell r="O887">
            <v>19.53412767</v>
          </cell>
          <cell r="P887">
            <v>19.759956129999999</v>
          </cell>
          <cell r="Q887">
            <v>19.995286910000001</v>
          </cell>
          <cell r="R887">
            <v>20.2374364</v>
          </cell>
          <cell r="S887">
            <v>20.48339528</v>
          </cell>
          <cell r="T887">
            <v>20.73093398</v>
          </cell>
          <cell r="U887">
            <v>20.979156459999999</v>
          </cell>
          <cell r="V887">
            <v>21.214972710000001</v>
          </cell>
          <cell r="W887">
            <v>21.463407629999999</v>
          </cell>
          <cell r="X887">
            <v>21.71655934</v>
          </cell>
          <cell r="Y887">
            <v>21.97388831</v>
          </cell>
          <cell r="Z887">
            <v>22.235808250000002</v>
          </cell>
          <cell r="AA887">
            <v>22.462255429999999</v>
          </cell>
          <cell r="AB887">
            <v>22.70673781</v>
          </cell>
          <cell r="AC887">
            <v>22.954994249999999</v>
          </cell>
          <cell r="AD887">
            <v>23.204430989999999</v>
          </cell>
          <cell r="AE887">
            <v>23.455555690000001</v>
          </cell>
          <cell r="AF887">
            <v>23.70952338</v>
          </cell>
          <cell r="AG887">
            <v>23.967289999999998</v>
          </cell>
          <cell r="AH887">
            <v>24.22929349</v>
          </cell>
          <cell r="AI887">
            <v>24.4954693</v>
          </cell>
          <cell r="AJ887">
            <v>24.765454200000001</v>
          </cell>
          <cell r="AK887">
            <v>25.038835160000001</v>
          </cell>
        </row>
        <row r="888">
          <cell r="A888" t="str">
            <v>ems_y_co2_soil_2</v>
          </cell>
          <cell r="B888">
            <v>0</v>
          </cell>
          <cell r="C888">
            <v>0</v>
          </cell>
          <cell r="D888">
            <v>0</v>
          </cell>
          <cell r="E888">
            <v>0</v>
          </cell>
          <cell r="F888">
            <v>0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  <cell r="Z888">
            <v>0</v>
          </cell>
          <cell r="AA888">
            <v>0</v>
          </cell>
          <cell r="AB888">
            <v>0</v>
          </cell>
          <cell r="AC888">
            <v>0</v>
          </cell>
          <cell r="AD888">
            <v>0</v>
          </cell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>
            <v>0</v>
          </cell>
          <cell r="AJ888">
            <v>0</v>
          </cell>
          <cell r="AK888">
            <v>0</v>
          </cell>
        </row>
        <row r="889">
          <cell r="A889" t="str">
            <v>ems_mat_co2_soil_2</v>
          </cell>
          <cell r="B889">
            <v>4.789896691</v>
          </cell>
          <cell r="C889">
            <v>4.8588881910000001</v>
          </cell>
          <cell r="D889">
            <v>4.9184610449999999</v>
          </cell>
          <cell r="E889">
            <v>4.9738965610000001</v>
          </cell>
          <cell r="F889">
            <v>5.0301347449999998</v>
          </cell>
          <cell r="G889">
            <v>5.0898804310000001</v>
          </cell>
          <cell r="H889">
            <v>5.1724746809999997</v>
          </cell>
          <cell r="I889">
            <v>5.2449532479999998</v>
          </cell>
          <cell r="J889">
            <v>5.3127020580000002</v>
          </cell>
          <cell r="K889">
            <v>5.3764068719999996</v>
          </cell>
          <cell r="L889">
            <v>5.4416839489999997</v>
          </cell>
          <cell r="M889">
            <v>5.5013768540000001</v>
          </cell>
          <cell r="N889">
            <v>5.5611689699999998</v>
          </cell>
          <cell r="O889">
            <v>5.6231933759999997</v>
          </cell>
          <cell r="P889">
            <v>5.6881571380000002</v>
          </cell>
          <cell r="Q889">
            <v>5.7558646409999996</v>
          </cell>
          <cell r="R889">
            <v>5.8255591139999998</v>
          </cell>
          <cell r="S889">
            <v>5.8963774659999997</v>
          </cell>
          <cell r="T889">
            <v>5.967671545</v>
          </cell>
          <cell r="U889">
            <v>6.0391729859999996</v>
          </cell>
          <cell r="V889">
            <v>6.1071060089999998</v>
          </cell>
          <cell r="W889">
            <v>6.1786664409999998</v>
          </cell>
          <cell r="X889">
            <v>6.251577138</v>
          </cell>
          <cell r="Y889">
            <v>6.3256844110000001</v>
          </cell>
          <cell r="Z889">
            <v>6.4011111100000004</v>
          </cell>
          <cell r="AA889">
            <v>6.4663319899999996</v>
          </cell>
          <cell r="AB889">
            <v>6.5367481879999998</v>
          </cell>
          <cell r="AC889">
            <v>6.6082497770000002</v>
          </cell>
          <cell r="AD889">
            <v>6.680085074</v>
          </cell>
          <cell r="AE889">
            <v>6.7523973469999996</v>
          </cell>
          <cell r="AF889">
            <v>6.8255193399999996</v>
          </cell>
          <cell r="AG889">
            <v>6.8997289769999997</v>
          </cell>
          <cell r="AH889">
            <v>6.9751560389999998</v>
          </cell>
          <cell r="AI889">
            <v>7.0517850429999998</v>
          </cell>
          <cell r="AJ889">
            <v>7.1295129719999997</v>
          </cell>
          <cell r="AK889">
            <v>7.2082208019999996</v>
          </cell>
        </row>
        <row r="890">
          <cell r="A890" t="str">
            <v>ems_ci_co2_sbfu_2</v>
          </cell>
          <cell r="B890">
            <v>3.9556864699999998</v>
          </cell>
          <cell r="C890">
            <v>4.0494378559999999</v>
          </cell>
          <cell r="D890">
            <v>4.1327122239999996</v>
          </cell>
          <cell r="E890">
            <v>4.2073790249999998</v>
          </cell>
          <cell r="F890">
            <v>4.2781223580000001</v>
          </cell>
          <cell r="G890">
            <v>4.3476347740000003</v>
          </cell>
          <cell r="H890">
            <v>4.4286654560000001</v>
          </cell>
          <cell r="I890">
            <v>4.4996109860000004</v>
          </cell>
          <cell r="J890">
            <v>4.5660319679999999</v>
          </cell>
          <cell r="K890">
            <v>4.6292366100000004</v>
          </cell>
          <cell r="L890">
            <v>4.6943786620000001</v>
          </cell>
          <cell r="M890">
            <v>4.7545828569999999</v>
          </cell>
          <cell r="N890">
            <v>4.8142844069999997</v>
          </cell>
          <cell r="O890">
            <v>4.8747602859999999</v>
          </cell>
          <cell r="P890">
            <v>4.9363422430000004</v>
          </cell>
          <cell r="Q890">
            <v>4.9989299340000004</v>
          </cell>
          <cell r="R890">
            <v>5.0622166819999999</v>
          </cell>
          <cell r="S890">
            <v>5.1258822769999997</v>
          </cell>
          <cell r="T890">
            <v>5.1897341380000004</v>
          </cell>
          <cell r="U890">
            <v>5.2537669410000003</v>
          </cell>
          <cell r="V890">
            <v>5.3147368300000002</v>
          </cell>
          <cell r="W890">
            <v>5.3789926699999997</v>
          </cell>
          <cell r="X890">
            <v>5.4443814100000001</v>
          </cell>
          <cell r="Y890">
            <v>5.5106905890000002</v>
          </cell>
          <cell r="Z890">
            <v>5.5779870239999996</v>
          </cell>
          <cell r="AA890">
            <v>5.6362045910000003</v>
          </cell>
          <cell r="AB890">
            <v>5.6990084679999997</v>
          </cell>
          <cell r="AC890">
            <v>5.762819103</v>
          </cell>
          <cell r="AD890">
            <v>5.8270140399999999</v>
          </cell>
          <cell r="AE890">
            <v>5.8916775540000001</v>
          </cell>
          <cell r="AF890">
            <v>5.9570139439999998</v>
          </cell>
          <cell r="AG890">
            <v>6.0231841880000001</v>
          </cell>
          <cell r="AH890">
            <v>6.0902643159999998</v>
          </cell>
          <cell r="AI890">
            <v>6.1582537329999996</v>
          </cell>
          <cell r="AJ890">
            <v>6.2271088270000003</v>
          </cell>
          <cell r="AK890">
            <v>6.2967813210000001</v>
          </cell>
        </row>
        <row r="891">
          <cell r="A891" t="str">
            <v>ems_y_co2_sbfu_2</v>
          </cell>
          <cell r="B891">
            <v>0</v>
          </cell>
          <cell r="C891">
            <v>0</v>
          </cell>
          <cell r="D891">
            <v>0</v>
          </cell>
          <cell r="E891">
            <v>0</v>
          </cell>
          <cell r="F891">
            <v>0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0</v>
          </cell>
          <cell r="Y891">
            <v>0</v>
          </cell>
          <cell r="Z891">
            <v>0</v>
          </cell>
          <cell r="AA891">
            <v>0</v>
          </cell>
          <cell r="AB891">
            <v>0</v>
          </cell>
          <cell r="AC891">
            <v>0</v>
          </cell>
          <cell r="AD891">
            <v>0</v>
          </cell>
          <cell r="AE891">
            <v>0</v>
          </cell>
          <cell r="AF891">
            <v>0</v>
          </cell>
          <cell r="AG891">
            <v>0</v>
          </cell>
          <cell r="AH891">
            <v>0</v>
          </cell>
          <cell r="AI891">
            <v>0</v>
          </cell>
          <cell r="AJ891">
            <v>0</v>
          </cell>
          <cell r="AK891">
            <v>0</v>
          </cell>
        </row>
        <row r="892">
          <cell r="A892" t="str">
            <v>ems_mat_co2_sbfu_2</v>
          </cell>
          <cell r="B892">
            <v>3.2993264390000001</v>
          </cell>
          <cell r="C892">
            <v>3.3775218229999999</v>
          </cell>
          <cell r="D892">
            <v>3.4469786199999999</v>
          </cell>
          <cell r="E892">
            <v>3.5092560879999999</v>
          </cell>
          <cell r="F892">
            <v>3.5682611020000001</v>
          </cell>
          <cell r="G892">
            <v>3.6262394410000001</v>
          </cell>
          <cell r="H892">
            <v>3.6938248549999999</v>
          </cell>
          <cell r="I892">
            <v>3.752998533</v>
          </cell>
          <cell r="J892">
            <v>3.8083984119999998</v>
          </cell>
          <cell r="K892">
            <v>3.86111563</v>
          </cell>
          <cell r="L892">
            <v>3.9154487850000002</v>
          </cell>
          <cell r="M892">
            <v>3.965663411</v>
          </cell>
          <cell r="N892">
            <v>4.0154587949999998</v>
          </cell>
          <cell r="O892">
            <v>4.0659000240000003</v>
          </cell>
          <cell r="P892">
            <v>4.1172637989999998</v>
          </cell>
          <cell r="Q892">
            <v>4.1694664279999998</v>
          </cell>
          <cell r="R892">
            <v>4.2222521200000003</v>
          </cell>
          <cell r="S892">
            <v>4.2753537970000002</v>
          </cell>
          <cell r="T892">
            <v>4.3286108329999999</v>
          </cell>
          <cell r="U892">
            <v>4.3820187869999998</v>
          </cell>
          <cell r="V892">
            <v>4.4328720519999996</v>
          </cell>
          <cell r="W892">
            <v>4.4864660350000003</v>
          </cell>
          <cell r="X892">
            <v>4.5410049389999996</v>
          </cell>
          <cell r="Y892">
            <v>4.5963115559999999</v>
          </cell>
          <cell r="Z892">
            <v>4.6524416149999999</v>
          </cell>
          <cell r="AA892">
            <v>4.7009992460000003</v>
          </cell>
          <cell r="AB892">
            <v>4.7533821889999999</v>
          </cell>
          <cell r="AC892">
            <v>4.8066048400000003</v>
          </cell>
          <cell r="AD892">
            <v>4.8601480270000001</v>
          </cell>
          <cell r="AE892">
            <v>4.9140820420000004</v>
          </cell>
          <cell r="AF892">
            <v>4.9685772830000001</v>
          </cell>
          <cell r="AG892">
            <v>5.0237680170000001</v>
          </cell>
          <cell r="AH892">
            <v>5.0797176610000001</v>
          </cell>
          <cell r="AI892">
            <v>5.1364257159999998</v>
          </cell>
          <cell r="AJ892">
            <v>5.1938558080000004</v>
          </cell>
          <cell r="AK892">
            <v>5.2519676710000001</v>
          </cell>
        </row>
        <row r="893">
          <cell r="A893" t="str">
            <v>ems_ci_co2_seoi_2</v>
          </cell>
          <cell r="B893">
            <v>1.79697964</v>
          </cell>
          <cell r="C893">
            <v>1.8117830239999999</v>
          </cell>
          <cell r="D893">
            <v>1.8210399500000001</v>
          </cell>
          <cell r="E893">
            <v>1.828781547</v>
          </cell>
          <cell r="F893">
            <v>1.8381675230000001</v>
          </cell>
          <cell r="G893">
            <v>1.851242429</v>
          </cell>
          <cell r="H893">
            <v>1.884167218</v>
          </cell>
          <cell r="I893">
            <v>1.906231368</v>
          </cell>
          <cell r="J893">
            <v>1.9208912300000001</v>
          </cell>
          <cell r="K893">
            <v>1.9292887400000001</v>
          </cell>
          <cell r="L893">
            <v>1.9340099770000001</v>
          </cell>
          <cell r="M893">
            <v>1.937490567</v>
          </cell>
          <cell r="N893">
            <v>1.942702401</v>
          </cell>
          <cell r="O893">
            <v>1.9516382779999999</v>
          </cell>
          <cell r="P893">
            <v>1.964741777</v>
          </cell>
          <cell r="Q893">
            <v>1.981212706</v>
          </cell>
          <cell r="R893">
            <v>1.9994908739999999</v>
          </cell>
          <cell r="S893">
            <v>2.0181431280000002</v>
          </cell>
          <cell r="T893">
            <v>2.0362764160000002</v>
          </cell>
          <cell r="U893">
            <v>2.0536533879999999</v>
          </cell>
          <cell r="V893">
            <v>2.0697949320000002</v>
          </cell>
          <cell r="W893">
            <v>2.0860861160000002</v>
          </cell>
          <cell r="X893">
            <v>2.1030010049999999</v>
          </cell>
          <cell r="Y893">
            <v>2.1207495839999999</v>
          </cell>
          <cell r="Z893">
            <v>2.1393848520000001</v>
          </cell>
          <cell r="AA893">
            <v>2.1563256389999998</v>
          </cell>
          <cell r="AB893">
            <v>2.173493772</v>
          </cell>
          <cell r="AC893">
            <v>2.1905635430000001</v>
          </cell>
          <cell r="AD893">
            <v>2.2074772519999999</v>
          </cell>
          <cell r="AE893">
            <v>2.2245228479999999</v>
          </cell>
          <cell r="AF893">
            <v>2.2420882440000001</v>
          </cell>
          <cell r="AG893">
            <v>2.2604442869999999</v>
          </cell>
          <cell r="AH893">
            <v>2.2796538819999999</v>
          </cell>
          <cell r="AI893">
            <v>2.2995826670000001</v>
          </cell>
          <cell r="AJ893">
            <v>2.3200126820000002</v>
          </cell>
          <cell r="AK893">
            <v>2.34074698</v>
          </cell>
        </row>
        <row r="894">
          <cell r="A894" t="str">
            <v>ems_y_co2_seoi_2</v>
          </cell>
          <cell r="B894">
            <v>0</v>
          </cell>
          <cell r="C894">
            <v>0</v>
          </cell>
          <cell r="D894">
            <v>0</v>
          </cell>
          <cell r="E894">
            <v>0</v>
          </cell>
          <cell r="F894">
            <v>0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  <cell r="Z894">
            <v>0</v>
          </cell>
          <cell r="AA894">
            <v>0</v>
          </cell>
          <cell r="AB894">
            <v>0</v>
          </cell>
          <cell r="AC894">
            <v>0</v>
          </cell>
          <cell r="AD894">
            <v>0</v>
          </cell>
          <cell r="AE894">
            <v>0</v>
          </cell>
          <cell r="AF894">
            <v>0</v>
          </cell>
          <cell r="AG894">
            <v>0</v>
          </cell>
          <cell r="AH894">
            <v>0</v>
          </cell>
          <cell r="AI894">
            <v>0</v>
          </cell>
          <cell r="AJ894">
            <v>0</v>
          </cell>
          <cell r="AK894">
            <v>0</v>
          </cell>
        </row>
        <row r="895">
          <cell r="A895" t="str">
            <v>ems_mat_co2_seoi_2</v>
          </cell>
          <cell r="B895">
            <v>0.1231599526</v>
          </cell>
          <cell r="C895">
            <v>0.1241745351</v>
          </cell>
          <cell r="D895">
            <v>0.12480897890000001</v>
          </cell>
          <cell r="E895">
            <v>0.1253395662</v>
          </cell>
          <cell r="F895">
            <v>0.12598285479999999</v>
          </cell>
          <cell r="G895">
            <v>0.1268789722</v>
          </cell>
          <cell r="H895">
            <v>0.12913554499999999</v>
          </cell>
          <cell r="I895">
            <v>0.13064776010000001</v>
          </cell>
          <cell r="J895">
            <v>0.131652506</v>
          </cell>
          <cell r="K895">
            <v>0.13222804790000001</v>
          </cell>
          <cell r="L895">
            <v>0.13255162819999999</v>
          </cell>
          <cell r="M895">
            <v>0.13279017809999999</v>
          </cell>
          <cell r="N895">
            <v>0.1331473826</v>
          </cell>
          <cell r="O895">
            <v>0.13375982259999999</v>
          </cell>
          <cell r="P895">
            <v>0.1346578997</v>
          </cell>
          <cell r="Q895">
            <v>0.13578677110000001</v>
          </cell>
          <cell r="R895">
            <v>0.13703950549999999</v>
          </cell>
          <cell r="S895">
            <v>0.13831787879999999</v>
          </cell>
          <cell r="T895">
            <v>0.13956068360000001</v>
          </cell>
          <cell r="U895">
            <v>0.1407516526</v>
          </cell>
          <cell r="V895">
            <v>0.14185794879999999</v>
          </cell>
          <cell r="W895">
            <v>0.1429745009</v>
          </cell>
          <cell r="X895">
            <v>0.14413380009999999</v>
          </cell>
          <cell r="Y895">
            <v>0.14535023799999999</v>
          </cell>
          <cell r="Z895">
            <v>0.14662744699999999</v>
          </cell>
          <cell r="AA895">
            <v>0.14778852119999999</v>
          </cell>
          <cell r="AB895">
            <v>0.1489651769</v>
          </cell>
          <cell r="AC895">
            <v>0.15013509119999999</v>
          </cell>
          <cell r="AD895">
            <v>0.1512943095</v>
          </cell>
          <cell r="AE895">
            <v>0.15246256690000001</v>
          </cell>
          <cell r="AF895">
            <v>0.1536664499</v>
          </cell>
          <cell r="AG895">
            <v>0.15492452179999999</v>
          </cell>
          <cell r="AH895">
            <v>0.15624109350000001</v>
          </cell>
          <cell r="AI895">
            <v>0.15760695669999999</v>
          </cell>
          <cell r="AJ895">
            <v>0.1590071727</v>
          </cell>
          <cell r="AK895">
            <v>0.1604282434</v>
          </cell>
        </row>
        <row r="896">
          <cell r="A896" t="str">
            <v>ems_ci_co2_sega_2</v>
          </cell>
          <cell r="B896">
            <v>4.5529256260000004</v>
          </cell>
          <cell r="C896">
            <v>4.5904322860000004</v>
          </cell>
          <cell r="D896">
            <v>4.6138861369999997</v>
          </cell>
          <cell r="E896">
            <v>4.6335006700000001</v>
          </cell>
          <cell r="F896">
            <v>4.6572814920000001</v>
          </cell>
          <cell r="G896">
            <v>4.6904087880000001</v>
          </cell>
          <cell r="H896">
            <v>4.773828827</v>
          </cell>
          <cell r="I896">
            <v>4.8297317580000003</v>
          </cell>
          <cell r="J896">
            <v>4.8668747769999996</v>
          </cell>
          <cell r="K896">
            <v>4.8881511639999999</v>
          </cell>
          <cell r="L896">
            <v>4.9001131429999996</v>
          </cell>
          <cell r="M896">
            <v>4.9089317570000004</v>
          </cell>
          <cell r="N896">
            <v>4.9221367459999996</v>
          </cell>
          <cell r="O896">
            <v>4.9447771740000004</v>
          </cell>
          <cell r="P896">
            <v>4.9779769160000003</v>
          </cell>
          <cell r="Q896">
            <v>5.0197085619999999</v>
          </cell>
          <cell r="R896">
            <v>5.0660191259999996</v>
          </cell>
          <cell r="S896">
            <v>5.1132774950000002</v>
          </cell>
          <cell r="T896">
            <v>5.1592209819999999</v>
          </cell>
          <cell r="U896">
            <v>5.2032482260000004</v>
          </cell>
          <cell r="V896">
            <v>5.2441453219999996</v>
          </cell>
          <cell r="W896">
            <v>5.2854215550000001</v>
          </cell>
          <cell r="X896">
            <v>5.3282780409999999</v>
          </cell>
          <cell r="Y896">
            <v>5.3732468080000002</v>
          </cell>
          <cell r="Z896">
            <v>5.4204621380000004</v>
          </cell>
          <cell r="AA896">
            <v>5.4633842420000001</v>
          </cell>
          <cell r="AB896">
            <v>5.5068823589999996</v>
          </cell>
          <cell r="AC896">
            <v>5.5501312619999998</v>
          </cell>
          <cell r="AD896">
            <v>5.5929847580000001</v>
          </cell>
          <cell r="AE896">
            <v>5.6361724090000003</v>
          </cell>
          <cell r="AF896">
            <v>5.6806770550000003</v>
          </cell>
          <cell r="AG896">
            <v>5.7271849289999999</v>
          </cell>
          <cell r="AH896">
            <v>5.7758554049999997</v>
          </cell>
          <cell r="AI896">
            <v>5.8263480620000001</v>
          </cell>
          <cell r="AJ896">
            <v>5.8781106630000002</v>
          </cell>
          <cell r="AK896">
            <v>5.9306442109999997</v>
          </cell>
        </row>
        <row r="897">
          <cell r="A897" t="str">
            <v>ems_y_co2_sega_2</v>
          </cell>
          <cell r="B897">
            <v>0</v>
          </cell>
          <cell r="C897">
            <v>0</v>
          </cell>
          <cell r="D897">
            <v>0</v>
          </cell>
          <cell r="E897">
            <v>0</v>
          </cell>
          <cell r="F897">
            <v>0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  <cell r="Z897">
            <v>0</v>
          </cell>
          <cell r="AA897">
            <v>0</v>
          </cell>
          <cell r="AB897">
            <v>0</v>
          </cell>
          <cell r="AC897">
            <v>0</v>
          </cell>
          <cell r="AD897">
            <v>0</v>
          </cell>
          <cell r="AE897">
            <v>0</v>
          </cell>
          <cell r="AF897">
            <v>0</v>
          </cell>
          <cell r="AG897">
            <v>0</v>
          </cell>
          <cell r="AH897">
            <v>0</v>
          </cell>
          <cell r="AI897">
            <v>0</v>
          </cell>
          <cell r="AJ897">
            <v>0</v>
          </cell>
          <cell r="AK897">
            <v>0</v>
          </cell>
        </row>
        <row r="898">
          <cell r="A898" t="str">
            <v>ems_mat_co2_sega_2</v>
          </cell>
          <cell r="B898">
            <v>0.31204477320000001</v>
          </cell>
          <cell r="C898">
            <v>0.31461537480000001</v>
          </cell>
          <cell r="D898">
            <v>0.31622283610000002</v>
          </cell>
          <cell r="E898">
            <v>0.3175671612</v>
          </cell>
          <cell r="F898">
            <v>0.3191970321</v>
          </cell>
          <cell r="G898">
            <v>0.32146748400000003</v>
          </cell>
          <cell r="H898">
            <v>0.32718486009999997</v>
          </cell>
          <cell r="I898">
            <v>0.3310162908</v>
          </cell>
          <cell r="J898">
            <v>0.33356196960000001</v>
          </cell>
          <cell r="K898">
            <v>0.33502019389999999</v>
          </cell>
          <cell r="L898">
            <v>0.3358400346</v>
          </cell>
          <cell r="M898">
            <v>0.33644443769999999</v>
          </cell>
          <cell r="N898">
            <v>0.33734947050000003</v>
          </cell>
          <cell r="O898">
            <v>0.33890118200000002</v>
          </cell>
          <cell r="P898">
            <v>0.34117659909999998</v>
          </cell>
          <cell r="Q898">
            <v>0.34403676909999997</v>
          </cell>
          <cell r="R898">
            <v>0.34721076550000002</v>
          </cell>
          <cell r="S898">
            <v>0.35044972169999999</v>
          </cell>
          <cell r="T898">
            <v>0.35359855969999998</v>
          </cell>
          <cell r="U898">
            <v>0.35661606369999999</v>
          </cell>
          <cell r="V898">
            <v>0.35941903609999998</v>
          </cell>
          <cell r="W898">
            <v>0.36224799349999998</v>
          </cell>
          <cell r="X898">
            <v>0.36518525709999999</v>
          </cell>
          <cell r="Y898">
            <v>0.3682672904</v>
          </cell>
          <cell r="Z898">
            <v>0.3715032969</v>
          </cell>
          <cell r="AA898">
            <v>0.37444505779999998</v>
          </cell>
          <cell r="AB898">
            <v>0.37742629690000001</v>
          </cell>
          <cell r="AC898">
            <v>0.38039045560000001</v>
          </cell>
          <cell r="AD898">
            <v>0.3833275142</v>
          </cell>
          <cell r="AE898">
            <v>0.38628747479999997</v>
          </cell>
          <cell r="AF898">
            <v>0.3893376986</v>
          </cell>
          <cell r="AG898">
            <v>0.39252521800000001</v>
          </cell>
          <cell r="AH898">
            <v>0.39586095609999999</v>
          </cell>
          <cell r="AI898">
            <v>0.39932158140000001</v>
          </cell>
          <cell r="AJ898">
            <v>0.4028692451</v>
          </cell>
          <cell r="AK898">
            <v>0.40646974740000003</v>
          </cell>
        </row>
        <row r="899">
          <cell r="A899" t="str">
            <v>ems_ci_co2_seco_2</v>
          </cell>
          <cell r="B899">
            <v>4.5415965390000004</v>
          </cell>
          <cell r="C899">
            <v>4.5790098720000003</v>
          </cell>
          <cell r="D899">
            <v>4.6024053609999998</v>
          </cell>
          <cell r="E899">
            <v>4.621971083</v>
          </cell>
          <cell r="F899">
            <v>4.6456927260000001</v>
          </cell>
          <cell r="G899">
            <v>4.6787375840000003</v>
          </cell>
          <cell r="H899">
            <v>4.7619500520000004</v>
          </cell>
          <cell r="I899">
            <v>4.8177138890000002</v>
          </cell>
          <cell r="J899">
            <v>4.8547644959999996</v>
          </cell>
          <cell r="K899">
            <v>4.8759879509999999</v>
          </cell>
          <cell r="L899">
            <v>4.8879201710000002</v>
          </cell>
          <cell r="M899">
            <v>4.8967168430000001</v>
          </cell>
          <cell r="N899">
            <v>4.9098889720000001</v>
          </cell>
          <cell r="O899">
            <v>4.9324730609999996</v>
          </cell>
          <cell r="P899">
            <v>4.9655901870000001</v>
          </cell>
          <cell r="Q899">
            <v>5.0072179889999999</v>
          </cell>
          <cell r="R899">
            <v>5.0534133170000004</v>
          </cell>
          <cell r="S899">
            <v>5.1005540930000004</v>
          </cell>
          <cell r="T899">
            <v>5.1463832600000003</v>
          </cell>
          <cell r="U899">
            <v>5.1903009520000003</v>
          </cell>
          <cell r="V899">
            <v>5.2310962859999997</v>
          </cell>
          <cell r="W899">
            <v>5.2722698120000002</v>
          </cell>
          <cell r="X899">
            <v>5.3150196579999998</v>
          </cell>
          <cell r="Y899">
            <v>5.3598765300000002</v>
          </cell>
          <cell r="Z899">
            <v>5.4069743739999998</v>
          </cell>
          <cell r="AA899">
            <v>5.449789676</v>
          </cell>
          <cell r="AB899">
            <v>5.4931795570000004</v>
          </cell>
          <cell r="AC899">
            <v>5.5363208449999997</v>
          </cell>
          <cell r="AD899">
            <v>5.5790677080000002</v>
          </cell>
          <cell r="AE899">
            <v>5.6221478960000004</v>
          </cell>
          <cell r="AF899">
            <v>5.6665418010000002</v>
          </cell>
          <cell r="AG899">
            <v>5.712933949</v>
          </cell>
          <cell r="AH899">
            <v>5.7614833169999997</v>
          </cell>
          <cell r="AI899">
            <v>5.8118503319999997</v>
          </cell>
          <cell r="AJ899">
            <v>5.863484132</v>
          </cell>
          <cell r="AK899">
            <v>5.915886961</v>
          </cell>
        </row>
        <row r="900">
          <cell r="A900" t="str">
            <v>ems_y_co2_seco_2</v>
          </cell>
          <cell r="B900">
            <v>0</v>
          </cell>
          <cell r="C900">
            <v>0</v>
          </cell>
          <cell r="D900">
            <v>0</v>
          </cell>
          <cell r="E900">
            <v>0</v>
          </cell>
          <cell r="F900">
            <v>0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0</v>
          </cell>
          <cell r="Y900">
            <v>0</v>
          </cell>
          <cell r="Z900">
            <v>0</v>
          </cell>
          <cell r="AA900">
            <v>0</v>
          </cell>
          <cell r="AB900">
            <v>0</v>
          </cell>
          <cell r="AC900">
            <v>0</v>
          </cell>
          <cell r="AD900">
            <v>0</v>
          </cell>
          <cell r="AE900">
            <v>0</v>
          </cell>
          <cell r="AF900">
            <v>0</v>
          </cell>
          <cell r="AG900">
            <v>0</v>
          </cell>
          <cell r="AH900">
            <v>0</v>
          </cell>
          <cell r="AI900">
            <v>0</v>
          </cell>
          <cell r="AJ900">
            <v>0</v>
          </cell>
          <cell r="AK900">
            <v>0</v>
          </cell>
        </row>
        <row r="901">
          <cell r="A901" t="str">
            <v>ems_mat_co2_seco_2</v>
          </cell>
          <cell r="B901">
            <v>0.3112683094</v>
          </cell>
          <cell r="C901">
            <v>0.31383251449999999</v>
          </cell>
          <cell r="D901">
            <v>0.3154359759</v>
          </cell>
          <cell r="E901">
            <v>0.316776956</v>
          </cell>
          <cell r="F901">
            <v>0.31840277119999999</v>
          </cell>
          <cell r="G901">
            <v>0.32066757359999998</v>
          </cell>
          <cell r="H901">
            <v>0.32637072299999997</v>
          </cell>
          <cell r="I901">
            <v>0.33019261989999998</v>
          </cell>
          <cell r="J901">
            <v>0.33273196440000002</v>
          </cell>
          <cell r="K901">
            <v>0.33418656009999997</v>
          </cell>
          <cell r="L901">
            <v>0.33500436090000002</v>
          </cell>
          <cell r="M901">
            <v>0.33560726000000002</v>
          </cell>
          <cell r="N901">
            <v>0.33651004080000002</v>
          </cell>
          <cell r="O901">
            <v>0.33805789110000001</v>
          </cell>
          <cell r="P901">
            <v>0.34032764630000001</v>
          </cell>
          <cell r="Q901">
            <v>0.3431806993</v>
          </cell>
          <cell r="R901">
            <v>0.34634679779999999</v>
          </cell>
          <cell r="S901">
            <v>0.34957769449999998</v>
          </cell>
          <cell r="T901">
            <v>0.35271869719999999</v>
          </cell>
          <cell r="U901">
            <v>0.35572869270000002</v>
          </cell>
          <cell r="V901">
            <v>0.35852469050000002</v>
          </cell>
          <cell r="W901">
            <v>0.36134660860000001</v>
          </cell>
          <cell r="X901">
            <v>0.36427656330000002</v>
          </cell>
          <cell r="Y901">
            <v>0.36735092759999999</v>
          </cell>
          <cell r="Z901">
            <v>0.37057888189999999</v>
          </cell>
          <cell r="AA901">
            <v>0.37351332269999998</v>
          </cell>
          <cell r="AB901">
            <v>0.37648714360000002</v>
          </cell>
          <cell r="AC901">
            <v>0.37944392659999998</v>
          </cell>
          <cell r="AD901">
            <v>0.38237367680000001</v>
          </cell>
          <cell r="AE901">
            <v>0.38532627219999999</v>
          </cell>
          <cell r="AF901">
            <v>0.38836890610000002</v>
          </cell>
          <cell r="AG901">
            <v>0.39154849400000002</v>
          </cell>
          <cell r="AH901">
            <v>0.39487593170000002</v>
          </cell>
          <cell r="AI901">
            <v>0.39832794589999998</v>
          </cell>
          <cell r="AJ901">
            <v>0.40186678190000003</v>
          </cell>
          <cell r="AK901">
            <v>0.40545832510000002</v>
          </cell>
        </row>
        <row r="902">
          <cell r="A902" t="str">
            <v>ems_ci_co2_sech_2</v>
          </cell>
          <cell r="B902">
            <v>2.6053370220000001</v>
          </cell>
          <cell r="C902">
            <v>2.6330751829999999</v>
          </cell>
          <cell r="D902">
            <v>2.6553026380000002</v>
          </cell>
          <cell r="E902">
            <v>2.6753419979999999</v>
          </cell>
          <cell r="F902">
            <v>2.696717177</v>
          </cell>
          <cell r="G902">
            <v>2.7220123850000002</v>
          </cell>
          <cell r="H902">
            <v>2.7704061740000001</v>
          </cell>
          <cell r="I902">
            <v>2.8050134020000002</v>
          </cell>
          <cell r="J902">
            <v>2.8305624919999999</v>
          </cell>
          <cell r="K902">
            <v>2.8484372069999999</v>
          </cell>
          <cell r="L902">
            <v>2.8627054599999999</v>
          </cell>
          <cell r="M902">
            <v>2.8749657110000002</v>
          </cell>
          <cell r="N902">
            <v>2.8886951710000002</v>
          </cell>
          <cell r="O902">
            <v>2.9066007960000002</v>
          </cell>
          <cell r="P902">
            <v>2.9294639010000001</v>
          </cell>
          <cell r="Q902">
            <v>2.9564992860000001</v>
          </cell>
          <cell r="R902">
            <v>2.9859856520000001</v>
          </cell>
          <cell r="S902">
            <v>3.0161329619999999</v>
          </cell>
          <cell r="T902">
            <v>3.0457771779999998</v>
          </cell>
          <cell r="U902">
            <v>3.0745691970000002</v>
          </cell>
          <cell r="V902">
            <v>3.1012704740000001</v>
          </cell>
          <cell r="W902">
            <v>3.1283385369999999</v>
          </cell>
          <cell r="X902">
            <v>3.1564240899999998</v>
          </cell>
          <cell r="Y902">
            <v>3.1856399479999999</v>
          </cell>
          <cell r="Z902">
            <v>3.2159858159999999</v>
          </cell>
          <cell r="AA902">
            <v>3.2425426640000001</v>
          </cell>
          <cell r="AB902">
            <v>3.2691531089999999</v>
          </cell>
          <cell r="AC902">
            <v>3.2957994909999999</v>
          </cell>
          <cell r="AD902">
            <v>3.32232372</v>
          </cell>
          <cell r="AE902">
            <v>3.3490145290000002</v>
          </cell>
          <cell r="AF902">
            <v>3.376325134</v>
          </cell>
          <cell r="AG902">
            <v>3.4045931870000001</v>
          </cell>
          <cell r="AH902">
            <v>3.4339145860000002</v>
          </cell>
          <cell r="AI902">
            <v>3.4641502470000001</v>
          </cell>
          <cell r="AJ902">
            <v>3.4950451220000001</v>
          </cell>
          <cell r="AK902">
            <v>3.5263510930000002</v>
          </cell>
        </row>
        <row r="903">
          <cell r="A903" t="str">
            <v>ems_y_co2_sech_2</v>
          </cell>
          <cell r="B903">
            <v>0</v>
          </cell>
          <cell r="C903">
            <v>0</v>
          </cell>
          <cell r="D903">
            <v>0</v>
          </cell>
          <cell r="E903">
            <v>0</v>
          </cell>
          <cell r="F903">
            <v>0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  <cell r="Z903">
            <v>0</v>
          </cell>
          <cell r="AA903">
            <v>0</v>
          </cell>
          <cell r="AB903">
            <v>0</v>
          </cell>
          <cell r="AC903">
            <v>0</v>
          </cell>
          <cell r="AD903">
            <v>0</v>
          </cell>
          <cell r="AE903">
            <v>0</v>
          </cell>
          <cell r="AF903">
            <v>0</v>
          </cell>
          <cell r="AG903">
            <v>0</v>
          </cell>
          <cell r="AH903">
            <v>0</v>
          </cell>
          <cell r="AI903">
            <v>0</v>
          </cell>
          <cell r="AJ903">
            <v>0</v>
          </cell>
          <cell r="AK903">
            <v>0</v>
          </cell>
        </row>
        <row r="904">
          <cell r="A904" t="str">
            <v>ems_mat_co2_sech_2</v>
          </cell>
          <cell r="B904">
            <v>0.17856109919999999</v>
          </cell>
          <cell r="C904">
            <v>0.18044749199999999</v>
          </cell>
          <cell r="D904">
            <v>0.1819392118</v>
          </cell>
          <cell r="E904">
            <v>0.1832688676</v>
          </cell>
          <cell r="F904">
            <v>0.18468443740000001</v>
          </cell>
          <cell r="G904">
            <v>0.18636816449999999</v>
          </cell>
          <cell r="H904">
            <v>0.18972087709999999</v>
          </cell>
          <cell r="I904">
            <v>0.1921602727</v>
          </cell>
          <cell r="J904">
            <v>0.1939831273</v>
          </cell>
          <cell r="K904">
            <v>0.1952712925</v>
          </cell>
          <cell r="L904">
            <v>0.1962995575</v>
          </cell>
          <cell r="M904">
            <v>0.19717808249999999</v>
          </cell>
          <cell r="N904">
            <v>0.19814722209999999</v>
          </cell>
          <cell r="O904">
            <v>0.19939506039999999</v>
          </cell>
          <cell r="P904">
            <v>0.2009775312</v>
          </cell>
          <cell r="Q904">
            <v>0.20284277780000001</v>
          </cell>
          <cell r="R904">
            <v>0.20487433520000001</v>
          </cell>
          <cell r="S904">
            <v>0.20695066879999999</v>
          </cell>
          <cell r="T904">
            <v>0.20899288760000001</v>
          </cell>
          <cell r="U904">
            <v>0.2109777243</v>
          </cell>
          <cell r="V904">
            <v>0.2128205316</v>
          </cell>
          <cell r="W904">
            <v>0.21468998080000001</v>
          </cell>
          <cell r="X904">
            <v>0.21663070670000001</v>
          </cell>
          <cell r="Y904">
            <v>0.2186501719</v>
          </cell>
          <cell r="Z904">
            <v>0.2207479503</v>
          </cell>
          <cell r="AA904">
            <v>0.22258576769999999</v>
          </cell>
          <cell r="AB904">
            <v>0.22442690160000001</v>
          </cell>
          <cell r="AC904">
            <v>0.22627015240000001</v>
          </cell>
          <cell r="AD904">
            <v>0.22810460969999999</v>
          </cell>
          <cell r="AE904">
            <v>0.22994996810000001</v>
          </cell>
          <cell r="AF904">
            <v>0.23183720229999999</v>
          </cell>
          <cell r="AG904">
            <v>0.23378938460000001</v>
          </cell>
          <cell r="AH904">
            <v>0.23581304289999999</v>
          </cell>
          <cell r="AI904">
            <v>0.237898631</v>
          </cell>
          <cell r="AJ904">
            <v>0.24002869369999999</v>
          </cell>
          <cell r="AK904">
            <v>0.24218628980000001</v>
          </cell>
        </row>
        <row r="905">
          <cell r="A905" t="str">
            <v>ems_ci_co2_seot_2</v>
          </cell>
          <cell r="B905">
            <v>1.79097061</v>
          </cell>
          <cell r="C905">
            <v>1.805997879</v>
          </cell>
          <cell r="D905">
            <v>1.8156797520000001</v>
          </cell>
          <cell r="E905">
            <v>1.8238525320000001</v>
          </cell>
          <cell r="F905">
            <v>1.833572848</v>
          </cell>
          <cell r="G905">
            <v>1.846895417</v>
          </cell>
          <cell r="H905">
            <v>1.87983268</v>
          </cell>
          <cell r="I905">
            <v>1.9018922279999999</v>
          </cell>
          <cell r="J905">
            <v>1.9165885279999999</v>
          </cell>
          <cell r="K905">
            <v>1.9249478870000001</v>
          </cell>
          <cell r="L905">
            <v>1.929409463</v>
          </cell>
          <cell r="M905">
            <v>1.9323853049999999</v>
          </cell>
          <cell r="N905">
            <v>1.9369104530000001</v>
          </cell>
          <cell r="O905">
            <v>1.9450966000000001</v>
          </cell>
          <cell r="P905">
            <v>1.95750951</v>
          </cell>
          <cell r="Q905">
            <v>1.9734326799999999</v>
          </cell>
          <cell r="R905">
            <v>1.9913321020000001</v>
          </cell>
          <cell r="S905">
            <v>2.009746705</v>
          </cell>
          <cell r="T905">
            <v>2.0277233959999998</v>
          </cell>
          <cell r="U905">
            <v>2.044960514</v>
          </cell>
          <cell r="V905">
            <v>2.0609433199999998</v>
          </cell>
          <cell r="W905">
            <v>2.077021019</v>
          </cell>
          <cell r="X905">
            <v>2.0936659679999998</v>
          </cell>
          <cell r="Y905">
            <v>2.1111061759999998</v>
          </cell>
          <cell r="Z905">
            <v>2.129419435</v>
          </cell>
          <cell r="AA905">
            <v>2.1460773789999998</v>
          </cell>
          <cell r="AB905">
            <v>2.1629794840000001</v>
          </cell>
          <cell r="AC905">
            <v>2.1797815210000002</v>
          </cell>
          <cell r="AD905">
            <v>2.1964094599999999</v>
          </cell>
          <cell r="AE905">
            <v>2.2131457719999998</v>
          </cell>
          <cell r="AF905">
            <v>2.230385627</v>
          </cell>
          <cell r="AG905">
            <v>2.248415354</v>
          </cell>
          <cell r="AH905">
            <v>2.2673142629999998</v>
          </cell>
          <cell r="AI905">
            <v>2.2869591210000002</v>
          </cell>
          <cell r="AJ905">
            <v>2.3071347979999999</v>
          </cell>
          <cell r="AK905">
            <v>2.3276397370000002</v>
          </cell>
        </row>
        <row r="906">
          <cell r="A906" t="str">
            <v>ems_y_co2_seot_2</v>
          </cell>
          <cell r="B906">
            <v>0</v>
          </cell>
          <cell r="C906">
            <v>0</v>
          </cell>
          <cell r="D906">
            <v>0</v>
          </cell>
          <cell r="E906">
            <v>0</v>
          </cell>
          <cell r="F906">
            <v>0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  <cell r="Z906">
            <v>0</v>
          </cell>
          <cell r="AA906">
            <v>0</v>
          </cell>
          <cell r="AB906">
            <v>0</v>
          </cell>
          <cell r="AC906">
            <v>0</v>
          </cell>
          <cell r="AD906">
            <v>0</v>
          </cell>
          <cell r="AE906">
            <v>0</v>
          </cell>
          <cell r="AF906">
            <v>0</v>
          </cell>
          <cell r="AG906">
            <v>0</v>
          </cell>
          <cell r="AH906">
            <v>0</v>
          </cell>
          <cell r="AI906">
            <v>0</v>
          </cell>
          <cell r="AJ906">
            <v>0</v>
          </cell>
          <cell r="AK906">
            <v>0</v>
          </cell>
        </row>
        <row r="907">
          <cell r="A907" t="str">
            <v>ems_mat_co2_seot_2</v>
          </cell>
          <cell r="B907">
            <v>0.1227500185</v>
          </cell>
          <cell r="C907">
            <v>0.123761224</v>
          </cell>
          <cell r="D907">
            <v>0.124393556</v>
          </cell>
          <cell r="E907">
            <v>0.12492237740000001</v>
          </cell>
          <cell r="F907">
            <v>0.12556352470000001</v>
          </cell>
          <cell r="G907">
            <v>0.12645665950000001</v>
          </cell>
          <cell r="H907">
            <v>0.1287057214</v>
          </cell>
          <cell r="I907">
            <v>0.1302129031</v>
          </cell>
          <cell r="J907">
            <v>0.13121430470000001</v>
          </cell>
          <cell r="K907">
            <v>0.13178793089999999</v>
          </cell>
          <cell r="L907">
            <v>0.13211043419999999</v>
          </cell>
          <cell r="M907">
            <v>0.13234819010000001</v>
          </cell>
          <cell r="N907">
            <v>0.13270420569999999</v>
          </cell>
          <cell r="O907">
            <v>0.13331460719999999</v>
          </cell>
          <cell r="P907">
            <v>0.1342096951</v>
          </cell>
          <cell r="Q907">
            <v>0.135334809</v>
          </cell>
          <cell r="R907">
            <v>0.13658337379999999</v>
          </cell>
          <cell r="S907">
            <v>0.137857492</v>
          </cell>
          <cell r="T907">
            <v>0.1390961601</v>
          </cell>
          <cell r="U907">
            <v>0.1402831651</v>
          </cell>
          <cell r="V907">
            <v>0.14138577899999999</v>
          </cell>
          <cell r="W907">
            <v>0.1424986147</v>
          </cell>
          <cell r="X907">
            <v>0.14365405519999999</v>
          </cell>
          <cell r="Y907">
            <v>0.1448664442</v>
          </cell>
          <cell r="Z907">
            <v>0.14613940210000001</v>
          </cell>
          <cell r="AA907">
            <v>0.14729661159999999</v>
          </cell>
          <cell r="AB907">
            <v>0.14846935089999999</v>
          </cell>
          <cell r="AC907">
            <v>0.14963537120000001</v>
          </cell>
          <cell r="AD907">
            <v>0.15079073100000001</v>
          </cell>
          <cell r="AE907">
            <v>0.1519550999</v>
          </cell>
          <cell r="AF907">
            <v>0.15315497589999999</v>
          </cell>
          <cell r="AG907">
            <v>0.15440886030000001</v>
          </cell>
          <cell r="AH907">
            <v>0.15572104989999999</v>
          </cell>
          <cell r="AI907">
            <v>0.15708236680000001</v>
          </cell>
          <cell r="AJ907">
            <v>0.15847792220000001</v>
          </cell>
          <cell r="AK907">
            <v>0.15989426300000001</v>
          </cell>
        </row>
        <row r="908">
          <cell r="A908" t="str">
            <v>ems_ci_co2_sagr_0</v>
          </cell>
          <cell r="B908">
            <v>11.901709650000001</v>
          </cell>
          <cell r="C908">
            <v>11.865325289999999</v>
          </cell>
          <cell r="D908">
            <v>11.775022570000001</v>
          </cell>
          <cell r="E908">
            <v>11.674868979999999</v>
          </cell>
          <cell r="F908">
            <v>11.61176485</v>
          </cell>
          <cell r="G908">
            <v>11.61844994</v>
          </cell>
          <cell r="H908">
            <v>11.70138088</v>
          </cell>
          <cell r="I908">
            <v>11.84960877</v>
          </cell>
          <cell r="J908">
            <v>12.033412670000001</v>
          </cell>
          <cell r="K908">
            <v>12.217083280000001</v>
          </cell>
          <cell r="L908">
            <v>12.375482549999999</v>
          </cell>
          <cell r="M908">
            <v>12.496077359999999</v>
          </cell>
          <cell r="N908">
            <v>12.57951196</v>
          </cell>
          <cell r="O908">
            <v>12.633327039999999</v>
          </cell>
          <cell r="P908">
            <v>12.667233189999999</v>
          </cell>
          <cell r="Q908">
            <v>12.689534310000001</v>
          </cell>
          <cell r="R908">
            <v>12.705884960000001</v>
          </cell>
          <cell r="S908">
            <v>12.719539360000001</v>
          </cell>
          <cell r="T908">
            <v>12.73233024</v>
          </cell>
          <cell r="U908">
            <v>12.745619339999999</v>
          </cell>
          <cell r="V908">
            <v>12.756664109999999</v>
          </cell>
          <cell r="W908">
            <v>12.76964845</v>
          </cell>
          <cell r="X908">
            <v>12.785827940000001</v>
          </cell>
          <cell r="Y908">
            <v>12.807509209999999</v>
          </cell>
          <cell r="Z908">
            <v>12.83598012</v>
          </cell>
          <cell r="AA908">
            <v>12.85761508</v>
          </cell>
          <cell r="AB908">
            <v>12.876516369999999</v>
          </cell>
          <cell r="AC908">
            <v>12.888646290000001</v>
          </cell>
          <cell r="AD908">
            <v>12.894795889999999</v>
          </cell>
          <cell r="AE908">
            <v>12.898167000000001</v>
          </cell>
          <cell r="AF908">
            <v>12.90274606</v>
          </cell>
          <cell r="AG908">
            <v>12.911539360000001</v>
          </cell>
          <cell r="AH908">
            <v>12.92561656</v>
          </cell>
          <cell r="AI908">
            <v>12.94416172</v>
          </cell>
          <cell r="AJ908">
            <v>12.9652531</v>
          </cell>
          <cell r="AK908">
            <v>12.98687528</v>
          </cell>
        </row>
        <row r="909">
          <cell r="A909" t="str">
            <v>ems_y_co2_sagr_0</v>
          </cell>
          <cell r="B909">
            <v>2.3491547580000001</v>
          </cell>
          <cell r="C909">
            <v>2.336805848</v>
          </cell>
          <cell r="D909">
            <v>2.3326691560000001</v>
          </cell>
          <cell r="E909">
            <v>2.3367146239999999</v>
          </cell>
          <cell r="F909">
            <v>2.3492396850000001</v>
          </cell>
          <cell r="G909">
            <v>2.3684399300000001</v>
          </cell>
          <cell r="H909">
            <v>2.390003117</v>
          </cell>
          <cell r="I909">
            <v>2.4118478250000002</v>
          </cell>
          <cell r="J909">
            <v>2.4320397649999999</v>
          </cell>
          <cell r="K909">
            <v>2.4495229799999998</v>
          </cell>
          <cell r="L909">
            <v>2.466533525</v>
          </cell>
          <cell r="M909">
            <v>2.4792889489999999</v>
          </cell>
          <cell r="N909">
            <v>2.4889003399999998</v>
          </cell>
          <cell r="O909">
            <v>2.4957620540000001</v>
          </cell>
          <cell r="P909">
            <v>2.5005774129999998</v>
          </cell>
          <cell r="Q909">
            <v>2.5041698000000001</v>
          </cell>
          <cell r="R909">
            <v>2.5073653500000002</v>
          </cell>
          <cell r="S909">
            <v>2.5108859130000001</v>
          </cell>
          <cell r="T909">
            <v>2.5152712840000002</v>
          </cell>
          <cell r="U909">
            <v>2.520839718</v>
          </cell>
          <cell r="V909">
            <v>2.5258730100000002</v>
          </cell>
          <cell r="W909">
            <v>2.5330974799999999</v>
          </cell>
          <cell r="X909">
            <v>2.541641002</v>
          </cell>
          <cell r="Y909">
            <v>2.5512397349999998</v>
          </cell>
          <cell r="Z909">
            <v>2.5614856270000002</v>
          </cell>
          <cell r="AA909">
            <v>2.566866643</v>
          </cell>
          <cell r="AB909">
            <v>2.5727681869999999</v>
          </cell>
          <cell r="AC909">
            <v>2.5783567770000002</v>
          </cell>
          <cell r="AD909">
            <v>2.5839722580000002</v>
          </cell>
          <cell r="AE909">
            <v>2.5897137059999999</v>
          </cell>
          <cell r="AF909">
            <v>2.5955542970000001</v>
          </cell>
          <cell r="AG909">
            <v>2.6014076369999999</v>
          </cell>
          <cell r="AH909">
            <v>2.6071882949999998</v>
          </cell>
          <cell r="AI909">
            <v>2.6128483240000002</v>
          </cell>
          <cell r="AJ909">
            <v>2.618385403</v>
          </cell>
          <cell r="AK909">
            <v>2.6238301399999999</v>
          </cell>
        </row>
        <row r="910">
          <cell r="A910" t="str">
            <v>ems_mat_co2_sagr_0</v>
          </cell>
          <cell r="B910">
            <v>0</v>
          </cell>
          <cell r="C910">
            <v>0</v>
          </cell>
          <cell r="D910">
            <v>0</v>
          </cell>
          <cell r="E910">
            <v>0</v>
          </cell>
          <cell r="F910">
            <v>0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0</v>
          </cell>
          <cell r="Y910">
            <v>0</v>
          </cell>
          <cell r="Z910">
            <v>0</v>
          </cell>
          <cell r="AA910">
            <v>0</v>
          </cell>
          <cell r="AB910">
            <v>0</v>
          </cell>
          <cell r="AC910">
            <v>0</v>
          </cell>
          <cell r="AD910">
            <v>0</v>
          </cell>
          <cell r="AE910">
            <v>0</v>
          </cell>
          <cell r="AF910">
            <v>0</v>
          </cell>
          <cell r="AG910">
            <v>0</v>
          </cell>
          <cell r="AH910">
            <v>0</v>
          </cell>
          <cell r="AI910">
            <v>0</v>
          </cell>
          <cell r="AJ910">
            <v>0</v>
          </cell>
          <cell r="AK910">
            <v>0</v>
          </cell>
        </row>
        <row r="911">
          <cell r="A911" t="str">
            <v>ems_ci_co2_sfor_0</v>
          </cell>
          <cell r="B911">
            <v>0.5205475946</v>
          </cell>
          <cell r="C911">
            <v>0.5105853186</v>
          </cell>
          <cell r="D911">
            <v>0.49800627060000002</v>
          </cell>
          <cell r="E911">
            <v>0.48586200089999998</v>
          </cell>
          <cell r="F911">
            <v>0.47599754500000002</v>
          </cell>
          <cell r="G911">
            <v>0.46976320570000002</v>
          </cell>
          <cell r="H911">
            <v>0.46714454649999998</v>
          </cell>
          <cell r="I911">
            <v>0.46824257060000002</v>
          </cell>
          <cell r="J911">
            <v>0.47190152790000001</v>
          </cell>
          <cell r="K911">
            <v>0.47665099929999999</v>
          </cell>
          <cell r="L911">
            <v>0.481923816</v>
          </cell>
          <cell r="M911">
            <v>0.4860565986</v>
          </cell>
          <cell r="N911">
            <v>0.48969838380000003</v>
          </cell>
          <cell r="O911">
            <v>0.49320160239999999</v>
          </cell>
          <cell r="P911">
            <v>0.49673144400000002</v>
          </cell>
          <cell r="Q911">
            <v>0.50035067860000004</v>
          </cell>
          <cell r="R911">
            <v>0.50404707069999999</v>
          </cell>
          <cell r="S911">
            <v>0.50776670940000002</v>
          </cell>
          <cell r="T911">
            <v>0.51145748049999995</v>
          </cell>
          <cell r="U911">
            <v>0.5151037329</v>
          </cell>
          <cell r="V911">
            <v>0.51824425929999995</v>
          </cell>
          <cell r="W911">
            <v>0.52187696589999999</v>
          </cell>
          <cell r="X911">
            <v>0.52564987200000002</v>
          </cell>
          <cell r="Y911">
            <v>0.52955858030000003</v>
          </cell>
          <cell r="Z911">
            <v>0.5337229617</v>
          </cell>
          <cell r="AA911">
            <v>0.53667118930000002</v>
          </cell>
          <cell r="AB911">
            <v>0.54070908230000003</v>
          </cell>
          <cell r="AC911">
            <v>0.54495206289999998</v>
          </cell>
          <cell r="AD911">
            <v>0.54908484489999998</v>
          </cell>
          <cell r="AE911">
            <v>0.55318048330000003</v>
          </cell>
          <cell r="AF911">
            <v>0.55741945989999997</v>
          </cell>
          <cell r="AG911">
            <v>0.56194768989999999</v>
          </cell>
          <cell r="AH911">
            <v>0.56682082170000003</v>
          </cell>
          <cell r="AI911">
            <v>0.57200568129999996</v>
          </cell>
          <cell r="AJ911">
            <v>0.57741657670000002</v>
          </cell>
          <cell r="AK911">
            <v>0.58296221589999997</v>
          </cell>
        </row>
        <row r="912">
          <cell r="A912" t="str">
            <v>ems_y_co2_sfor_0</v>
          </cell>
          <cell r="B912">
            <v>0</v>
          </cell>
          <cell r="C912">
            <v>0</v>
          </cell>
          <cell r="D912">
            <v>0</v>
          </cell>
          <cell r="E912">
            <v>0</v>
          </cell>
          <cell r="F912">
            <v>0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  <cell r="Z912">
            <v>0</v>
          </cell>
          <cell r="AA912">
            <v>0</v>
          </cell>
          <cell r="AB912">
            <v>0</v>
          </cell>
          <cell r="AC912">
            <v>0</v>
          </cell>
          <cell r="AD912">
            <v>0</v>
          </cell>
          <cell r="AE912">
            <v>0</v>
          </cell>
          <cell r="AF912">
            <v>0</v>
          </cell>
          <cell r="AG912">
            <v>0</v>
          </cell>
          <cell r="AH912">
            <v>0</v>
          </cell>
          <cell r="AI912">
            <v>0</v>
          </cell>
          <cell r="AJ912">
            <v>0</v>
          </cell>
          <cell r="AK912">
            <v>0</v>
          </cell>
        </row>
        <row r="913">
          <cell r="A913" t="str">
            <v>ems_mat_co2_sfor_0</v>
          </cell>
          <cell r="B913">
            <v>0</v>
          </cell>
          <cell r="C913">
            <v>0</v>
          </cell>
          <cell r="D913">
            <v>0</v>
          </cell>
          <cell r="E913">
            <v>0</v>
          </cell>
          <cell r="F913">
            <v>0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  <cell r="Z913">
            <v>0</v>
          </cell>
          <cell r="AA913">
            <v>0</v>
          </cell>
          <cell r="AB913">
            <v>0</v>
          </cell>
          <cell r="AC913">
            <v>0</v>
          </cell>
          <cell r="AD913">
            <v>0</v>
          </cell>
          <cell r="AE913">
            <v>0</v>
          </cell>
          <cell r="AF913">
            <v>0</v>
          </cell>
          <cell r="AG913">
            <v>0</v>
          </cell>
          <cell r="AH913">
            <v>0</v>
          </cell>
          <cell r="AI913">
            <v>0</v>
          </cell>
          <cell r="AJ913">
            <v>0</v>
          </cell>
          <cell r="AK913">
            <v>0</v>
          </cell>
        </row>
        <row r="914">
          <cell r="A914" t="str">
            <v>ems_ci_co2_sfoo_0</v>
          </cell>
          <cell r="B914">
            <v>9.8888167879999997</v>
          </cell>
          <cell r="C914">
            <v>9.9154227150000001</v>
          </cell>
          <cell r="D914">
            <v>9.9045798129999998</v>
          </cell>
          <cell r="E914">
            <v>9.8873288109999997</v>
          </cell>
          <cell r="F914">
            <v>9.8853138040000008</v>
          </cell>
          <cell r="G914">
            <v>9.9099053609999999</v>
          </cell>
          <cell r="H914">
            <v>9.9581084880000006</v>
          </cell>
          <cell r="I914">
            <v>10.02588139</v>
          </cell>
          <cell r="J914">
            <v>10.102638990000001</v>
          </cell>
          <cell r="K914">
            <v>10.17705533</v>
          </cell>
          <cell r="L914">
            <v>10.247827640000001</v>
          </cell>
          <cell r="M914">
            <v>10.305578799999999</v>
          </cell>
          <cell r="N914">
            <v>10.35274862</v>
          </cell>
          <cell r="O914">
            <v>10.392101719999999</v>
          </cell>
          <cell r="P914">
            <v>10.42677919</v>
          </cell>
          <cell r="Q914">
            <v>10.459155859999999</v>
          </cell>
          <cell r="R914">
            <v>10.490585189999999</v>
          </cell>
          <cell r="S914">
            <v>10.52162495</v>
          </cell>
          <cell r="T914">
            <v>10.552465160000001</v>
          </cell>
          <cell r="U914">
            <v>10.58328214</v>
          </cell>
          <cell r="V914">
            <v>10.609187820000001</v>
          </cell>
          <cell r="W914">
            <v>10.63674803</v>
          </cell>
          <cell r="X914">
            <v>10.66585793</v>
          </cell>
          <cell r="Y914">
            <v>10.697450140000001</v>
          </cell>
          <cell r="Z914">
            <v>10.731826099999999</v>
          </cell>
          <cell r="AA914">
            <v>10.753384580000001</v>
          </cell>
          <cell r="AB914">
            <v>10.773540669999999</v>
          </cell>
          <cell r="AC914">
            <v>10.79101313</v>
          </cell>
          <cell r="AD914">
            <v>10.807214650000001</v>
          </cell>
          <cell r="AE914">
            <v>10.82374776</v>
          </cell>
          <cell r="AF914">
            <v>10.84203597</v>
          </cell>
          <cell r="AG914">
            <v>10.86287939</v>
          </cell>
          <cell r="AH914">
            <v>10.886275700000001</v>
          </cell>
          <cell r="AI914">
            <v>10.91156339</v>
          </cell>
          <cell r="AJ914">
            <v>10.937772799999999</v>
          </cell>
          <cell r="AK914">
            <v>10.964007069999999</v>
          </cell>
        </row>
        <row r="915">
          <cell r="A915" t="str">
            <v>ems_y_co2_sfoo_0</v>
          </cell>
          <cell r="B915">
            <v>0</v>
          </cell>
          <cell r="C915">
            <v>0</v>
          </cell>
          <cell r="D915">
            <v>0</v>
          </cell>
          <cell r="E915">
            <v>0</v>
          </cell>
          <cell r="F915">
            <v>0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  <cell r="Z915">
            <v>0</v>
          </cell>
          <cell r="AA915">
            <v>0</v>
          </cell>
          <cell r="AB915">
            <v>0</v>
          </cell>
          <cell r="AC915">
            <v>0</v>
          </cell>
          <cell r="AD915">
            <v>0</v>
          </cell>
          <cell r="AE915">
            <v>0</v>
          </cell>
          <cell r="AF915">
            <v>0</v>
          </cell>
          <cell r="AG915">
            <v>0</v>
          </cell>
          <cell r="AH915">
            <v>0</v>
          </cell>
          <cell r="AI915">
            <v>0</v>
          </cell>
          <cell r="AJ915">
            <v>0</v>
          </cell>
          <cell r="AK915">
            <v>0</v>
          </cell>
        </row>
        <row r="916">
          <cell r="A916" t="str">
            <v>ems_mat_co2_sfoo_0</v>
          </cell>
          <cell r="B916">
            <v>0</v>
          </cell>
          <cell r="C916">
            <v>0</v>
          </cell>
          <cell r="D916">
            <v>0</v>
          </cell>
          <cell r="E916">
            <v>0</v>
          </cell>
          <cell r="F916">
            <v>0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  <cell r="Z916">
            <v>0</v>
          </cell>
          <cell r="AA916">
            <v>0</v>
          </cell>
          <cell r="AB916">
            <v>0</v>
          </cell>
          <cell r="AC916">
            <v>0</v>
          </cell>
          <cell r="AD916">
            <v>0</v>
          </cell>
          <cell r="AE916">
            <v>0</v>
          </cell>
          <cell r="AF916">
            <v>0</v>
          </cell>
          <cell r="AG916">
            <v>0</v>
          </cell>
          <cell r="AH916">
            <v>0</v>
          </cell>
          <cell r="AI916">
            <v>0</v>
          </cell>
          <cell r="AJ916">
            <v>0</v>
          </cell>
          <cell r="AK916">
            <v>0</v>
          </cell>
        </row>
        <row r="917">
          <cell r="A917" t="str">
            <v>ems_ci_co2_sveh_0</v>
          </cell>
          <cell r="B917">
            <v>1.2356966540000001</v>
          </cell>
          <cell r="C917">
            <v>1.2454449160000001</v>
          </cell>
          <cell r="D917">
            <v>1.2482506799999999</v>
          </cell>
          <cell r="E917">
            <v>1.2469868879999999</v>
          </cell>
          <cell r="F917">
            <v>1.247486088</v>
          </cell>
          <cell r="G917">
            <v>1.2550343340000001</v>
          </cell>
          <cell r="H917">
            <v>1.2715465399999999</v>
          </cell>
          <cell r="I917">
            <v>1.2967719790000001</v>
          </cell>
          <cell r="J917">
            <v>1.327296171</v>
          </cell>
          <cell r="K917">
            <v>1.3587408560000001</v>
          </cell>
          <cell r="L917">
            <v>1.388219597</v>
          </cell>
          <cell r="M917">
            <v>1.4141183180000001</v>
          </cell>
          <cell r="N917">
            <v>1.4374423279999999</v>
          </cell>
          <cell r="O917">
            <v>1.4593859549999999</v>
          </cell>
          <cell r="P917">
            <v>1.4808983490000001</v>
          </cell>
          <cell r="Q917">
            <v>1.5024712419999999</v>
          </cell>
          <cell r="R917">
            <v>1.524160076</v>
          </cell>
          <cell r="S917">
            <v>1.545770702</v>
          </cell>
          <cell r="T917">
            <v>1.5670973100000001</v>
          </cell>
          <cell r="U917">
            <v>1.5880951800000001</v>
          </cell>
          <cell r="V917">
            <v>1.608341552</v>
          </cell>
          <cell r="W917">
            <v>1.628820505</v>
          </cell>
          <cell r="X917">
            <v>1.6495585960000001</v>
          </cell>
          <cell r="Y917">
            <v>1.671048074</v>
          </cell>
          <cell r="Z917">
            <v>1.6937412199999999</v>
          </cell>
          <cell r="AA917">
            <v>1.7157919660000001</v>
          </cell>
          <cell r="AB917">
            <v>1.738734459</v>
          </cell>
          <cell r="AC917">
            <v>1.761292458</v>
          </cell>
          <cell r="AD917">
            <v>1.7832966539999999</v>
          </cell>
          <cell r="AE917">
            <v>1.805265887</v>
          </cell>
          <cell r="AF917">
            <v>1.8279271050000001</v>
          </cell>
          <cell r="AG917">
            <v>1.8518137750000001</v>
          </cell>
          <cell r="AH917">
            <v>1.877066047</v>
          </cell>
          <cell r="AI917">
            <v>1.903450922</v>
          </cell>
          <cell r="AJ917">
            <v>1.930533289</v>
          </cell>
          <cell r="AK917">
            <v>1.9578886200000001</v>
          </cell>
        </row>
        <row r="918">
          <cell r="A918" t="str">
            <v>ems_y_co2_sveh_0</v>
          </cell>
          <cell r="B918">
            <v>0</v>
          </cell>
          <cell r="C918">
            <v>0</v>
          </cell>
          <cell r="D918">
            <v>0</v>
          </cell>
          <cell r="E918">
            <v>0</v>
          </cell>
          <cell r="F918">
            <v>0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  <cell r="Z918">
            <v>0</v>
          </cell>
          <cell r="AA918">
            <v>0</v>
          </cell>
          <cell r="AB918">
            <v>0</v>
          </cell>
          <cell r="AC918">
            <v>0</v>
          </cell>
          <cell r="AD918">
            <v>0</v>
          </cell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>
            <v>0</v>
          </cell>
          <cell r="AJ918">
            <v>0</v>
          </cell>
          <cell r="AK918">
            <v>0</v>
          </cell>
        </row>
        <row r="919">
          <cell r="A919" t="str">
            <v>ems_mat_co2_sveh_0</v>
          </cell>
          <cell r="B919">
            <v>0</v>
          </cell>
          <cell r="C919">
            <v>0</v>
          </cell>
          <cell r="D919">
            <v>0</v>
          </cell>
          <cell r="E919">
            <v>0</v>
          </cell>
          <cell r="F919">
            <v>0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  <cell r="Z919">
            <v>0</v>
          </cell>
          <cell r="AA919">
            <v>0</v>
          </cell>
          <cell r="AB919">
            <v>0</v>
          </cell>
          <cell r="AC919">
            <v>0</v>
          </cell>
          <cell r="AD919">
            <v>0</v>
          </cell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>
            <v>0</v>
          </cell>
          <cell r="AJ919">
            <v>0</v>
          </cell>
          <cell r="AK919">
            <v>0</v>
          </cell>
        </row>
        <row r="920">
          <cell r="A920" t="str">
            <v>ems_ci_co2_sgla_0</v>
          </cell>
          <cell r="B920">
            <v>5.7362378749999996</v>
          </cell>
          <cell r="C920">
            <v>5.9142073079999999</v>
          </cell>
          <cell r="D920">
            <v>6.1227892500000003</v>
          </cell>
          <cell r="E920">
            <v>6.2858231580000004</v>
          </cell>
          <cell r="F920">
            <v>6.4081311630000002</v>
          </cell>
          <cell r="G920">
            <v>6.5125996129999999</v>
          </cell>
          <cell r="H920">
            <v>6.5631843400000003</v>
          </cell>
          <cell r="I920">
            <v>6.6308630280000003</v>
          </cell>
          <cell r="J920">
            <v>6.7145754860000002</v>
          </cell>
          <cell r="K920">
            <v>6.8061102489999996</v>
          </cell>
          <cell r="L920">
            <v>6.9739444739999996</v>
          </cell>
          <cell r="M920">
            <v>7.0514886609999996</v>
          </cell>
          <cell r="N920">
            <v>7.133755904</v>
          </cell>
          <cell r="O920">
            <v>7.232710054</v>
          </cell>
          <cell r="P920">
            <v>7.3428238849999996</v>
          </cell>
          <cell r="Q920">
            <v>7.4584807389999996</v>
          </cell>
          <cell r="R920">
            <v>7.5764938949999996</v>
          </cell>
          <cell r="S920">
            <v>7.6959881770000003</v>
          </cell>
          <cell r="T920">
            <v>7.8171446150000001</v>
          </cell>
          <cell r="U920">
            <v>7.9403959329999996</v>
          </cell>
          <cell r="V920">
            <v>8.0141100250000008</v>
          </cell>
          <cell r="W920">
            <v>8.1565533139999999</v>
          </cell>
          <cell r="X920">
            <v>8.3045478599999996</v>
          </cell>
          <cell r="Y920">
            <v>8.4472243749999993</v>
          </cell>
          <cell r="Z920">
            <v>8.5870070950000006</v>
          </cell>
          <cell r="AA920">
            <v>8.5728379889999999</v>
          </cell>
          <cell r="AB920">
            <v>8.6931164830000007</v>
          </cell>
          <cell r="AC920">
            <v>8.8389392210000004</v>
          </cell>
          <cell r="AD920">
            <v>8.9833612980000002</v>
          </cell>
          <cell r="AE920">
            <v>9.1251771579999996</v>
          </cell>
          <cell r="AF920">
            <v>9.2664124080000008</v>
          </cell>
          <cell r="AG920">
            <v>9.4082540629999993</v>
          </cell>
          <cell r="AH920">
            <v>9.5510726100000003</v>
          </cell>
          <cell r="AI920">
            <v>9.6949403430000007</v>
          </cell>
          <cell r="AJ920">
            <v>9.8399652020000001</v>
          </cell>
          <cell r="AK920">
            <v>9.9863851189999995</v>
          </cell>
        </row>
        <row r="921">
          <cell r="A921" t="str">
            <v>ems_y_co2_sgla_0</v>
          </cell>
          <cell r="B921">
            <v>0</v>
          </cell>
          <cell r="C921">
            <v>0</v>
          </cell>
          <cell r="D921">
            <v>0</v>
          </cell>
          <cell r="E921">
            <v>0</v>
          </cell>
          <cell r="F921">
            <v>0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  <cell r="Z921">
            <v>0</v>
          </cell>
          <cell r="AA921">
            <v>0</v>
          </cell>
          <cell r="AB921">
            <v>0</v>
          </cell>
          <cell r="AC921">
            <v>0</v>
          </cell>
          <cell r="AD921">
            <v>0</v>
          </cell>
          <cell r="AE921">
            <v>0</v>
          </cell>
          <cell r="AF921">
            <v>0</v>
          </cell>
          <cell r="AG921">
            <v>0</v>
          </cell>
          <cell r="AH921">
            <v>0</v>
          </cell>
          <cell r="AI921">
            <v>0</v>
          </cell>
          <cell r="AJ921">
            <v>0</v>
          </cell>
          <cell r="AK921">
            <v>0</v>
          </cell>
        </row>
        <row r="922">
          <cell r="A922" t="str">
            <v>ems_mat_co2_sgla_0</v>
          </cell>
          <cell r="B922">
            <v>13.794878300000001</v>
          </cell>
          <cell r="C922">
            <v>14.22168933</v>
          </cell>
          <cell r="D922">
            <v>14.7433982</v>
          </cell>
          <cell r="E922">
            <v>15.17198741</v>
          </cell>
          <cell r="F922">
            <v>15.506028909999999</v>
          </cell>
          <cell r="G922">
            <v>15.78745518</v>
          </cell>
          <cell r="H922">
            <v>15.919568249999999</v>
          </cell>
          <cell r="I922">
            <v>16.073849750000001</v>
          </cell>
          <cell r="J922">
            <v>16.253601199999999</v>
          </cell>
          <cell r="K922">
            <v>16.44761664</v>
          </cell>
          <cell r="L922">
            <v>16.831181130000001</v>
          </cell>
          <cell r="M922">
            <v>17.000556679999999</v>
          </cell>
          <cell r="N922">
            <v>17.186100410000002</v>
          </cell>
          <cell r="O922">
            <v>17.415107670000001</v>
          </cell>
          <cell r="P922">
            <v>17.672541580000001</v>
          </cell>
          <cell r="Q922">
            <v>17.94381637</v>
          </cell>
          <cell r="R922">
            <v>18.221022619999999</v>
          </cell>
          <cell r="S922">
            <v>18.502400430000002</v>
          </cell>
          <cell r="T922">
            <v>18.788892019999999</v>
          </cell>
          <cell r="U922">
            <v>19.081829490000001</v>
          </cell>
          <cell r="V922">
            <v>19.255589310000001</v>
          </cell>
          <cell r="W922">
            <v>19.59712897</v>
          </cell>
          <cell r="X922">
            <v>19.953353830000001</v>
          </cell>
          <cell r="Y922">
            <v>20.296889889999999</v>
          </cell>
          <cell r="Z922">
            <v>20.632413410000002</v>
          </cell>
          <cell r="AA922">
            <v>20.592714470000001</v>
          </cell>
          <cell r="AB922">
            <v>20.877342630000001</v>
          </cell>
          <cell r="AC922">
            <v>21.225545879999999</v>
          </cell>
          <cell r="AD922">
            <v>21.572890439999998</v>
          </cell>
          <cell r="AE922">
            <v>21.915593900000001</v>
          </cell>
          <cell r="AF922">
            <v>22.2570345</v>
          </cell>
          <cell r="AG922">
            <v>22.598741390000001</v>
          </cell>
          <cell r="AH922">
            <v>22.940958290000001</v>
          </cell>
          <cell r="AI922">
            <v>23.283996160000001</v>
          </cell>
          <cell r="AJ922">
            <v>23.628795660000002</v>
          </cell>
          <cell r="AK922">
            <v>23.976751830000001</v>
          </cell>
        </row>
        <row r="923">
          <cell r="A923" t="str">
            <v>ems_ci_co2_spap_0</v>
          </cell>
          <cell r="B923">
            <v>3.019823943</v>
          </cell>
          <cell r="C923">
            <v>3.0370934169999999</v>
          </cell>
          <cell r="D923">
            <v>3.0625783090000001</v>
          </cell>
          <cell r="E923">
            <v>3.1031887889999998</v>
          </cell>
          <cell r="F923">
            <v>3.1541549459999998</v>
          </cell>
          <cell r="G923">
            <v>3.210510829</v>
          </cell>
          <cell r="H923">
            <v>3.2698844170000001</v>
          </cell>
          <cell r="I923">
            <v>3.326341845</v>
          </cell>
          <cell r="J923">
            <v>3.3799938150000002</v>
          </cell>
          <cell r="K923">
            <v>3.4323938900000002</v>
          </cell>
          <cell r="L923">
            <v>3.4828149050000001</v>
          </cell>
          <cell r="M923">
            <v>3.541672766</v>
          </cell>
          <cell r="N923">
            <v>3.6015988729999999</v>
          </cell>
          <cell r="O923">
            <v>3.6620772069999998</v>
          </cell>
          <cell r="P923">
            <v>3.7231798949999999</v>
          </cell>
          <cell r="Q923">
            <v>3.7849059889999999</v>
          </cell>
          <cell r="R923">
            <v>3.8472248269999998</v>
          </cell>
          <cell r="S923">
            <v>3.910140889</v>
          </cell>
          <cell r="T923">
            <v>3.973750833</v>
          </cell>
          <cell r="U923">
            <v>4.0382069359999999</v>
          </cell>
          <cell r="V923">
            <v>4.104841145</v>
          </cell>
          <cell r="W923">
            <v>4.1684255800000001</v>
          </cell>
          <cell r="X923">
            <v>4.2341775420000003</v>
          </cell>
          <cell r="Y923">
            <v>4.3021167829999998</v>
          </cell>
          <cell r="Z923">
            <v>4.3716632769999997</v>
          </cell>
          <cell r="AA923">
            <v>4.4446692189999997</v>
          </cell>
          <cell r="AB923">
            <v>4.5098143740000003</v>
          </cell>
          <cell r="AC923">
            <v>4.5752393790000001</v>
          </cell>
          <cell r="AD923">
            <v>4.6423339879999999</v>
          </cell>
          <cell r="AE923">
            <v>4.7111929989999997</v>
          </cell>
          <cell r="AF923">
            <v>4.7815761810000001</v>
          </cell>
          <cell r="AG923">
            <v>4.8531461839999999</v>
          </cell>
          <cell r="AH923">
            <v>4.9256185779999999</v>
          </cell>
          <cell r="AI923">
            <v>4.9988531099999998</v>
          </cell>
          <cell r="AJ923">
            <v>5.072867177</v>
          </cell>
          <cell r="AK923">
            <v>5.1477836999999997</v>
          </cell>
        </row>
        <row r="924">
          <cell r="A924" t="str">
            <v>ems_y_co2_spap_0</v>
          </cell>
          <cell r="B924">
            <v>0</v>
          </cell>
          <cell r="C924">
            <v>0</v>
          </cell>
          <cell r="D924">
            <v>0</v>
          </cell>
          <cell r="E924">
            <v>0</v>
          </cell>
          <cell r="F924">
            <v>0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  <cell r="Z924">
            <v>0</v>
          </cell>
          <cell r="AA924">
            <v>0</v>
          </cell>
          <cell r="AB924">
            <v>0</v>
          </cell>
          <cell r="AC924">
            <v>0</v>
          </cell>
          <cell r="AD924">
            <v>0</v>
          </cell>
          <cell r="AE924">
            <v>0</v>
          </cell>
          <cell r="AF924">
            <v>0</v>
          </cell>
          <cell r="AG924">
            <v>0</v>
          </cell>
          <cell r="AH924">
            <v>0</v>
          </cell>
          <cell r="AI924">
            <v>0</v>
          </cell>
          <cell r="AJ924">
            <v>0</v>
          </cell>
          <cell r="AK924">
            <v>0</v>
          </cell>
        </row>
        <row r="925">
          <cell r="A925" t="str">
            <v>ems_mat_co2_spap_0</v>
          </cell>
          <cell r="B925">
            <v>0</v>
          </cell>
          <cell r="C925">
            <v>0</v>
          </cell>
          <cell r="D925">
            <v>0</v>
          </cell>
          <cell r="E925">
            <v>0</v>
          </cell>
          <cell r="F925">
            <v>0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  <cell r="Z925">
            <v>0</v>
          </cell>
          <cell r="AA925">
            <v>0</v>
          </cell>
          <cell r="AB925">
            <v>0</v>
          </cell>
          <cell r="AC925">
            <v>0</v>
          </cell>
          <cell r="AD925">
            <v>0</v>
          </cell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>
            <v>0</v>
          </cell>
          <cell r="AJ925">
            <v>0</v>
          </cell>
          <cell r="AK925">
            <v>0</v>
          </cell>
        </row>
        <row r="926">
          <cell r="A926" t="str">
            <v>ems_ci_co2_sche_0</v>
          </cell>
          <cell r="B926">
            <v>3.8354572290000002</v>
          </cell>
          <cell r="C926">
            <v>3.8344472760000001</v>
          </cell>
          <cell r="D926">
            <v>3.8453262760000002</v>
          </cell>
          <cell r="E926">
            <v>3.8701029330000001</v>
          </cell>
          <cell r="F926">
            <v>3.906545049</v>
          </cell>
          <cell r="G926">
            <v>3.9525100740000001</v>
          </cell>
          <cell r="H926">
            <v>4.0009303210000002</v>
          </cell>
          <cell r="I926">
            <v>4.0530100039999999</v>
          </cell>
          <cell r="J926">
            <v>4.1070965109999999</v>
          </cell>
          <cell r="K926">
            <v>4.1620150059999999</v>
          </cell>
          <cell r="L926">
            <v>4.2243300340000003</v>
          </cell>
          <cell r="M926">
            <v>4.2822315680000003</v>
          </cell>
          <cell r="N926">
            <v>4.3408668559999999</v>
          </cell>
          <cell r="O926">
            <v>4.4014132699999999</v>
          </cell>
          <cell r="P926">
            <v>4.4636914369999996</v>
          </cell>
          <cell r="Q926">
            <v>4.5273305600000002</v>
          </cell>
          <cell r="R926">
            <v>4.5920614960000004</v>
          </cell>
          <cell r="S926">
            <v>4.6577969660000003</v>
          </cell>
          <cell r="T926">
            <v>4.7246057730000004</v>
          </cell>
          <cell r="U926">
            <v>4.7926448840000004</v>
          </cell>
          <cell r="V926">
            <v>4.8570016750000002</v>
          </cell>
          <cell r="W926">
            <v>4.9271748579999999</v>
          </cell>
          <cell r="X926">
            <v>4.9999403190000002</v>
          </cell>
          <cell r="Y926">
            <v>5.0743803769999998</v>
          </cell>
          <cell r="Z926">
            <v>5.1503663719999997</v>
          </cell>
          <cell r="AA926">
            <v>5.2125039500000003</v>
          </cell>
          <cell r="AB926">
            <v>5.2827940499999997</v>
          </cell>
          <cell r="AC926">
            <v>5.3559870690000002</v>
          </cell>
          <cell r="AD926">
            <v>5.4306399369999996</v>
          </cell>
          <cell r="AE926">
            <v>5.5067760320000003</v>
          </cell>
          <cell r="AF926">
            <v>5.5845020950000004</v>
          </cell>
          <cell r="AG926">
            <v>5.6637478720000001</v>
          </cell>
          <cell r="AH926">
            <v>5.7443300930000003</v>
          </cell>
          <cell r="AI926">
            <v>5.8260682719999997</v>
          </cell>
          <cell r="AJ926">
            <v>5.9088636699999997</v>
          </cell>
          <cell r="AK926">
            <v>5.9927180350000002</v>
          </cell>
        </row>
        <row r="927">
          <cell r="A927" t="str">
            <v>ems_y_co2_sche_0</v>
          </cell>
          <cell r="B927">
            <v>0</v>
          </cell>
          <cell r="C927">
            <v>0</v>
          </cell>
          <cell r="D927">
            <v>0</v>
          </cell>
          <cell r="E927">
            <v>0</v>
          </cell>
          <cell r="F927">
            <v>0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  <cell r="Z927">
            <v>0</v>
          </cell>
          <cell r="AA927">
            <v>0</v>
          </cell>
          <cell r="AB927">
            <v>0</v>
          </cell>
          <cell r="AC927">
            <v>0</v>
          </cell>
          <cell r="AD927">
            <v>0</v>
          </cell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>
            <v>0</v>
          </cell>
          <cell r="AJ927">
            <v>0</v>
          </cell>
          <cell r="AK927">
            <v>0</v>
          </cell>
        </row>
        <row r="928">
          <cell r="A928" t="str">
            <v>ems_mat_co2_sche_0</v>
          </cell>
          <cell r="B928">
            <v>2.5948967509999998</v>
          </cell>
          <cell r="C928">
            <v>2.5942116820000001</v>
          </cell>
          <cell r="D928">
            <v>2.6043333030000002</v>
          </cell>
          <cell r="E928">
            <v>2.6259194130000001</v>
          </cell>
          <cell r="F928">
            <v>2.6559269080000001</v>
          </cell>
          <cell r="G928">
            <v>2.691380611</v>
          </cell>
          <cell r="H928">
            <v>2.726372681</v>
          </cell>
          <cell r="I928">
            <v>2.7615617129999999</v>
          </cell>
          <cell r="J928">
            <v>2.7964155509999999</v>
          </cell>
          <cell r="K928">
            <v>2.831109981</v>
          </cell>
          <cell r="L928">
            <v>2.8713052000000001</v>
          </cell>
          <cell r="M928">
            <v>2.908813318</v>
          </cell>
          <cell r="N928">
            <v>2.9472523719999999</v>
          </cell>
          <cell r="O928">
            <v>2.9872744510000002</v>
          </cell>
          <cell r="P928">
            <v>3.0285804860000001</v>
          </cell>
          <cell r="Q928">
            <v>3.0708083980000001</v>
          </cell>
          <cell r="R928">
            <v>3.113755775</v>
          </cell>
          <cell r="S928">
            <v>3.1574105509999999</v>
          </cell>
          <cell r="T928">
            <v>3.2018862440000002</v>
          </cell>
          <cell r="U928">
            <v>3.2473322480000002</v>
          </cell>
          <cell r="V928">
            <v>3.290234163</v>
          </cell>
          <cell r="W928">
            <v>3.337367564</v>
          </cell>
          <cell r="X928">
            <v>3.3864149989999999</v>
          </cell>
          <cell r="Y928">
            <v>3.4366159629999999</v>
          </cell>
          <cell r="Z928">
            <v>3.487750261</v>
          </cell>
          <cell r="AA928">
            <v>3.5288501289999998</v>
          </cell>
          <cell r="AB928">
            <v>3.575587836</v>
          </cell>
          <cell r="AC928">
            <v>3.6245396250000002</v>
          </cell>
          <cell r="AD928">
            <v>3.6747811939999999</v>
          </cell>
          <cell r="AE928">
            <v>3.726237824</v>
          </cell>
          <cell r="AF928">
            <v>3.778813865</v>
          </cell>
          <cell r="AG928">
            <v>3.8323057450000002</v>
          </cell>
          <cell r="AH928">
            <v>3.8865070739999998</v>
          </cell>
          <cell r="AI928">
            <v>3.941302903</v>
          </cell>
          <cell r="AJ928">
            <v>3.9966983969999998</v>
          </cell>
          <cell r="AK928">
            <v>4.0527865629999997</v>
          </cell>
        </row>
        <row r="929">
          <cell r="A929" t="str">
            <v>ems_ci_co2_spla_0</v>
          </cell>
          <cell r="B929">
            <v>1.29735004</v>
          </cell>
          <cell r="C929">
            <v>1.3029338989999999</v>
          </cell>
          <cell r="D929">
            <v>1.308897988</v>
          </cell>
          <cell r="E929">
            <v>1.3155670989999999</v>
          </cell>
          <cell r="F929">
            <v>1.3246463100000001</v>
          </cell>
          <cell r="G929">
            <v>1.3380620059999999</v>
          </cell>
          <cell r="H929">
            <v>1.3540554730000001</v>
          </cell>
          <cell r="I929">
            <v>1.3746307719999999</v>
          </cell>
          <cell r="J929">
            <v>1.398172923</v>
          </cell>
          <cell r="K929">
            <v>1.422630863</v>
          </cell>
          <cell r="L929">
            <v>1.4499905310000001</v>
          </cell>
          <cell r="M929">
            <v>1.4729860589999999</v>
          </cell>
          <cell r="N929">
            <v>1.4953964930000001</v>
          </cell>
          <cell r="O929">
            <v>1.5181448340000001</v>
          </cell>
          <cell r="P929">
            <v>1.54133385</v>
          </cell>
          <cell r="Q929">
            <v>1.5648887039999999</v>
          </cell>
          <cell r="R929">
            <v>1.5886859980000001</v>
          </cell>
          <cell r="S929">
            <v>1.6126224629999999</v>
          </cell>
          <cell r="T929">
            <v>1.6366512360000001</v>
          </cell>
          <cell r="U929">
            <v>1.6608038759999999</v>
          </cell>
          <cell r="V929">
            <v>1.682608616</v>
          </cell>
          <cell r="W929">
            <v>1.7073905709999999</v>
          </cell>
          <cell r="X929">
            <v>1.7328911170000001</v>
          </cell>
          <cell r="Y929">
            <v>1.758790649</v>
          </cell>
          <cell r="Z929">
            <v>1.7853009230000001</v>
          </cell>
          <cell r="AA929">
            <v>1.8047150110000001</v>
          </cell>
          <cell r="AB929">
            <v>1.829701638</v>
          </cell>
          <cell r="AC929">
            <v>1.855821561</v>
          </cell>
          <cell r="AD929">
            <v>1.8819389289999999</v>
          </cell>
          <cell r="AE929">
            <v>1.908212918</v>
          </cell>
          <cell r="AF929">
            <v>1.9349915499999999</v>
          </cell>
          <cell r="AG929">
            <v>1.9624965750000001</v>
          </cell>
          <cell r="AH929">
            <v>1.990764781</v>
          </cell>
          <cell r="AI929">
            <v>2.0196900740000001</v>
          </cell>
          <cell r="AJ929">
            <v>2.0491065179999999</v>
          </cell>
          <cell r="AK929">
            <v>2.0788692489999998</v>
          </cell>
        </row>
        <row r="930">
          <cell r="A930" t="str">
            <v>ems_y_co2_spla_0</v>
          </cell>
          <cell r="B930">
            <v>0</v>
          </cell>
          <cell r="C930">
            <v>0</v>
          </cell>
          <cell r="D930">
            <v>0</v>
          </cell>
          <cell r="E930">
            <v>0</v>
          </cell>
          <cell r="F930">
            <v>0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  <cell r="Z930">
            <v>0</v>
          </cell>
          <cell r="AA930">
            <v>0</v>
          </cell>
          <cell r="AB930">
            <v>0</v>
          </cell>
          <cell r="AC930">
            <v>0</v>
          </cell>
          <cell r="AD930">
            <v>0</v>
          </cell>
          <cell r="AE930">
            <v>0</v>
          </cell>
          <cell r="AF930">
            <v>0</v>
          </cell>
          <cell r="AG930">
            <v>0</v>
          </cell>
          <cell r="AH930">
            <v>0</v>
          </cell>
          <cell r="AI930">
            <v>0</v>
          </cell>
          <cell r="AJ930">
            <v>0</v>
          </cell>
          <cell r="AK930">
            <v>0</v>
          </cell>
        </row>
        <row r="931">
          <cell r="A931" t="str">
            <v>ems_mat_co2_spla_0</v>
          </cell>
          <cell r="B931">
            <v>0</v>
          </cell>
          <cell r="C931">
            <v>0</v>
          </cell>
          <cell r="D931">
            <v>0</v>
          </cell>
          <cell r="E931">
            <v>0</v>
          </cell>
          <cell r="F931">
            <v>0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  <cell r="Z931">
            <v>0</v>
          </cell>
          <cell r="AA931">
            <v>0</v>
          </cell>
          <cell r="AB931">
            <v>0</v>
          </cell>
          <cell r="AC931">
            <v>0</v>
          </cell>
          <cell r="AD931">
            <v>0</v>
          </cell>
          <cell r="AE931">
            <v>0</v>
          </cell>
          <cell r="AF931">
            <v>0</v>
          </cell>
          <cell r="AG931">
            <v>0</v>
          </cell>
          <cell r="AH931">
            <v>0</v>
          </cell>
          <cell r="AI931">
            <v>0</v>
          </cell>
          <cell r="AJ931">
            <v>0</v>
          </cell>
          <cell r="AK931">
            <v>0</v>
          </cell>
        </row>
        <row r="932">
          <cell r="A932" t="str">
            <v>ems_ci_co2_smet_0</v>
          </cell>
          <cell r="B932">
            <v>7.5653420369999997</v>
          </cell>
          <cell r="C932">
            <v>7.670200565</v>
          </cell>
          <cell r="D932">
            <v>7.7905426029999996</v>
          </cell>
          <cell r="E932">
            <v>7.9128633859999997</v>
          </cell>
          <cell r="F932">
            <v>8.0375349549999999</v>
          </cell>
          <cell r="G932">
            <v>8.1671483919999996</v>
          </cell>
          <cell r="H932">
            <v>8.2860695900000003</v>
          </cell>
          <cell r="I932">
            <v>8.4096606729999994</v>
          </cell>
          <cell r="J932">
            <v>8.5362029620000008</v>
          </cell>
          <cell r="K932">
            <v>8.66310994</v>
          </cell>
          <cell r="L932">
            <v>8.8138892470000005</v>
          </cell>
          <cell r="M932">
            <v>8.9391752689999997</v>
          </cell>
          <cell r="N932">
            <v>9.064834415</v>
          </cell>
          <cell r="O932">
            <v>9.1949595459999998</v>
          </cell>
          <cell r="P932">
            <v>9.3288484609999998</v>
          </cell>
          <cell r="Q932">
            <v>9.4653794149999992</v>
          </cell>
          <cell r="R932">
            <v>9.6038517829999996</v>
          </cell>
          <cell r="S932">
            <v>9.7441086779999999</v>
          </cell>
          <cell r="T932">
            <v>9.8863330989999998</v>
          </cell>
          <cell r="U932">
            <v>10.03085658</v>
          </cell>
          <cell r="V932">
            <v>10.160490469999999</v>
          </cell>
          <cell r="W932">
            <v>10.31178381</v>
          </cell>
          <cell r="X932">
            <v>10.46792147</v>
          </cell>
          <cell r="Y932">
            <v>10.62599511</v>
          </cell>
          <cell r="Z932">
            <v>10.7862746</v>
          </cell>
          <cell r="AA932">
            <v>10.89766373</v>
          </cell>
          <cell r="AB932">
            <v>11.044748419999999</v>
          </cell>
          <cell r="AC932">
            <v>11.200532340000001</v>
          </cell>
          <cell r="AD932">
            <v>11.358772610000001</v>
          </cell>
          <cell r="AE932">
            <v>11.519250420000001</v>
          </cell>
          <cell r="AF932">
            <v>11.682433899999999</v>
          </cell>
          <cell r="AG932">
            <v>11.848448469999999</v>
          </cell>
          <cell r="AH932">
            <v>12.01712221</v>
          </cell>
          <cell r="AI932">
            <v>12.1882091</v>
          </cell>
          <cell r="AJ932">
            <v>12.361557169999999</v>
          </cell>
          <cell r="AK932">
            <v>12.53716779</v>
          </cell>
        </row>
        <row r="933">
          <cell r="A933" t="str">
            <v>ems_y_co2_smet_0</v>
          </cell>
          <cell r="B933">
            <v>0</v>
          </cell>
          <cell r="C933">
            <v>0</v>
          </cell>
          <cell r="D933">
            <v>0</v>
          </cell>
          <cell r="E933">
            <v>0</v>
          </cell>
          <cell r="F933">
            <v>0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  <cell r="Z933">
            <v>0</v>
          </cell>
          <cell r="AA933">
            <v>0</v>
          </cell>
          <cell r="AB933">
            <v>0</v>
          </cell>
          <cell r="AC933">
            <v>0</v>
          </cell>
          <cell r="AD933">
            <v>0</v>
          </cell>
          <cell r="AE933">
            <v>0</v>
          </cell>
          <cell r="AF933">
            <v>0</v>
          </cell>
          <cell r="AG933">
            <v>0</v>
          </cell>
          <cell r="AH933">
            <v>0</v>
          </cell>
          <cell r="AI933">
            <v>0</v>
          </cell>
          <cell r="AJ933">
            <v>0</v>
          </cell>
          <cell r="AK933">
            <v>0</v>
          </cell>
        </row>
        <row r="934">
          <cell r="A934" t="str">
            <v>ems_mat_co2_smet_0</v>
          </cell>
          <cell r="B934">
            <v>12.8223094</v>
          </cell>
          <cell r="C934">
            <v>13.00204447</v>
          </cell>
          <cell r="D934">
            <v>13.220380049999999</v>
          </cell>
          <cell r="E934">
            <v>13.454561229999999</v>
          </cell>
          <cell r="F934">
            <v>13.700105799999999</v>
          </cell>
          <cell r="G934">
            <v>13.954016299999999</v>
          </cell>
          <cell r="H934">
            <v>14.182215080000001</v>
          </cell>
          <cell r="I934">
            <v>14.406984420000001</v>
          </cell>
          <cell r="J934">
            <v>14.62541409</v>
          </cell>
          <cell r="K934">
            <v>14.83622059</v>
          </cell>
          <cell r="L934">
            <v>15.08538036</v>
          </cell>
          <cell r="M934">
            <v>15.289322139999999</v>
          </cell>
          <cell r="N934">
            <v>15.493972960000001</v>
          </cell>
          <cell r="O934">
            <v>15.706591830000001</v>
          </cell>
          <cell r="P934">
            <v>15.92567642</v>
          </cell>
          <cell r="Q934">
            <v>16.148965390000001</v>
          </cell>
          <cell r="R934">
            <v>16.375161039999998</v>
          </cell>
          <cell r="S934">
            <v>16.604196219999999</v>
          </cell>
          <cell r="T934">
            <v>16.836764559999999</v>
          </cell>
          <cell r="U934">
            <v>17.073801710000001</v>
          </cell>
          <cell r="V934">
            <v>17.28543187</v>
          </cell>
          <cell r="W934">
            <v>17.535388600000001</v>
          </cell>
          <cell r="X934">
            <v>17.794839240000002</v>
          </cell>
          <cell r="Y934">
            <v>18.058354959999999</v>
          </cell>
          <cell r="Z934">
            <v>18.32572511</v>
          </cell>
          <cell r="AA934">
            <v>18.507496440000001</v>
          </cell>
          <cell r="AB934">
            <v>18.750096840000001</v>
          </cell>
          <cell r="AC934">
            <v>19.008537449999999</v>
          </cell>
          <cell r="AD934">
            <v>19.27284972</v>
          </cell>
          <cell r="AE934">
            <v>19.54260713</v>
          </cell>
          <cell r="AF934">
            <v>19.81798547</v>
          </cell>
          <cell r="AG934">
            <v>20.098372860000001</v>
          </cell>
          <cell r="AH934">
            <v>20.38280477</v>
          </cell>
          <cell r="AI934">
            <v>20.670553210000001</v>
          </cell>
          <cell r="AJ934">
            <v>20.96142622</v>
          </cell>
          <cell r="AK934">
            <v>21.25572919</v>
          </cell>
        </row>
        <row r="935">
          <cell r="A935" t="str">
            <v>ems_ci_co2_sigo_0</v>
          </cell>
          <cell r="B935">
            <v>3.0087871819999998</v>
          </cell>
          <cell r="C935">
            <v>3.0159860329999999</v>
          </cell>
          <cell r="D935">
            <v>3.0253728889999998</v>
          </cell>
          <cell r="E935">
            <v>3.0397772879999998</v>
          </cell>
          <cell r="F935">
            <v>3.0618592009999999</v>
          </cell>
          <cell r="G935">
            <v>3.09398178</v>
          </cell>
          <cell r="H935">
            <v>3.1321803460000002</v>
          </cell>
          <cell r="I935">
            <v>3.1781787480000001</v>
          </cell>
          <cell r="J935">
            <v>3.2286735819999999</v>
          </cell>
          <cell r="K935">
            <v>3.2800569880000001</v>
          </cell>
          <cell r="L935">
            <v>3.335772263</v>
          </cell>
          <cell r="M935">
            <v>3.3850821350000002</v>
          </cell>
          <cell r="N935">
            <v>3.433491622</v>
          </cell>
          <cell r="O935">
            <v>3.482768069</v>
          </cell>
          <cell r="P935">
            <v>3.533227788</v>
          </cell>
          <cell r="Q935">
            <v>3.5847646040000001</v>
          </cell>
          <cell r="R935">
            <v>3.6371334709999998</v>
          </cell>
          <cell r="S935">
            <v>3.6901198970000002</v>
          </cell>
          <cell r="T935">
            <v>3.743636242</v>
          </cell>
          <cell r="U935">
            <v>3.7977575520000002</v>
          </cell>
          <cell r="V935">
            <v>3.8483727679999999</v>
          </cell>
          <cell r="W935">
            <v>3.9038566349999999</v>
          </cell>
          <cell r="X935">
            <v>3.961212476</v>
          </cell>
          <cell r="Y935">
            <v>4.0198806070000002</v>
          </cell>
          <cell r="Z935">
            <v>4.0800879510000003</v>
          </cell>
          <cell r="AA935">
            <v>4.1286865949999996</v>
          </cell>
          <cell r="AB935">
            <v>4.1853422309999999</v>
          </cell>
          <cell r="AC935">
            <v>4.2440516190000004</v>
          </cell>
          <cell r="AD935">
            <v>4.3031567280000003</v>
          </cell>
          <cell r="AE935">
            <v>4.3629712600000001</v>
          </cell>
          <cell r="AF935">
            <v>4.4240632690000004</v>
          </cell>
          <cell r="AG935">
            <v>4.4867380749999999</v>
          </cell>
          <cell r="AH935">
            <v>4.5509652999999997</v>
          </cell>
          <cell r="AI935">
            <v>4.6164859409999996</v>
          </cell>
          <cell r="AJ935">
            <v>4.6829789259999997</v>
          </cell>
          <cell r="AK935">
            <v>4.7502038129999997</v>
          </cell>
        </row>
        <row r="936">
          <cell r="A936" t="str">
            <v>ems_y_co2_sigo_0</v>
          </cell>
          <cell r="B936">
            <v>0</v>
          </cell>
          <cell r="C936">
            <v>0</v>
          </cell>
          <cell r="D936">
            <v>0</v>
          </cell>
          <cell r="E936">
            <v>0</v>
          </cell>
          <cell r="F936">
            <v>0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  <cell r="Z936">
            <v>0</v>
          </cell>
          <cell r="AA936">
            <v>0</v>
          </cell>
          <cell r="AB936">
            <v>0</v>
          </cell>
          <cell r="AC936">
            <v>0</v>
          </cell>
          <cell r="AD936">
            <v>0</v>
          </cell>
          <cell r="AE936">
            <v>0</v>
          </cell>
          <cell r="AF936">
            <v>0</v>
          </cell>
          <cell r="AG936">
            <v>0</v>
          </cell>
          <cell r="AH936">
            <v>0</v>
          </cell>
          <cell r="AI936">
            <v>0</v>
          </cell>
          <cell r="AJ936">
            <v>0</v>
          </cell>
          <cell r="AK936">
            <v>0</v>
          </cell>
        </row>
        <row r="937">
          <cell r="A937" t="str">
            <v>ems_mat_co2_sigo_0</v>
          </cell>
          <cell r="B937">
            <v>0.47325563850000002</v>
          </cell>
          <cell r="C937">
            <v>0.47430302019999998</v>
          </cell>
          <cell r="D937">
            <v>0.47728667489999999</v>
          </cell>
          <cell r="E937">
            <v>0.48209038230000001</v>
          </cell>
          <cell r="F937">
            <v>0.4881689159</v>
          </cell>
          <cell r="G937">
            <v>0.49505129009999999</v>
          </cell>
          <cell r="H937">
            <v>0.50158711970000003</v>
          </cell>
          <cell r="I937">
            <v>0.50811161510000002</v>
          </cell>
          <cell r="J937">
            <v>0.51455885619999997</v>
          </cell>
          <cell r="K937">
            <v>0.52096695250000002</v>
          </cell>
          <cell r="L937">
            <v>0.52854773899999996</v>
          </cell>
          <cell r="M937">
            <v>0.53541492430000004</v>
          </cell>
          <cell r="N937">
            <v>0.54245365899999998</v>
          </cell>
          <cell r="O937">
            <v>0.54981219349999999</v>
          </cell>
          <cell r="P937">
            <v>0.55741628200000004</v>
          </cell>
          <cell r="Q937">
            <v>0.56518274729999995</v>
          </cell>
          <cell r="R937">
            <v>0.57306778589999996</v>
          </cell>
          <cell r="S937">
            <v>0.58107076520000001</v>
          </cell>
          <cell r="T937">
            <v>0.58921700160000001</v>
          </cell>
          <cell r="U937">
            <v>0.5975378751</v>
          </cell>
          <cell r="V937">
            <v>0.60527089229999997</v>
          </cell>
          <cell r="W937">
            <v>0.61393389860000003</v>
          </cell>
          <cell r="X937">
            <v>0.62295984900000001</v>
          </cell>
          <cell r="Y937">
            <v>0.63217494510000005</v>
          </cell>
          <cell r="Z937">
            <v>0.64154316249999999</v>
          </cell>
          <cell r="AA937">
            <v>0.64869441329999999</v>
          </cell>
          <cell r="AB937">
            <v>0.65720943040000002</v>
          </cell>
          <cell r="AC937">
            <v>0.66620274170000005</v>
          </cell>
          <cell r="AD937">
            <v>0.67542318079999997</v>
          </cell>
          <cell r="AE937">
            <v>0.6848497039</v>
          </cell>
          <cell r="AF937">
            <v>0.69446808670000004</v>
          </cell>
          <cell r="AG937">
            <v>0.70424311110000004</v>
          </cell>
          <cell r="AH937">
            <v>0.71413824299999995</v>
          </cell>
          <cell r="AI937">
            <v>0.72413421609999995</v>
          </cell>
          <cell r="AJ937">
            <v>0.73423446240000001</v>
          </cell>
          <cell r="AK937">
            <v>0.74445853259999994</v>
          </cell>
        </row>
        <row r="938">
          <cell r="A938" t="str">
            <v>ems_ci_co2_scgo_0</v>
          </cell>
          <cell r="B938">
            <v>0.69721547260000005</v>
          </cell>
          <cell r="C938">
            <v>0.68240888840000002</v>
          </cell>
          <cell r="D938">
            <v>0.67055571680000003</v>
          </cell>
          <cell r="E938">
            <v>0.66505604259999995</v>
          </cell>
          <cell r="F938">
            <v>0.66437732640000002</v>
          </cell>
          <cell r="G938">
            <v>0.66724080500000005</v>
          </cell>
          <cell r="H938">
            <v>0.67389296679999999</v>
          </cell>
          <cell r="I938">
            <v>0.68162191760000002</v>
          </cell>
          <cell r="J938">
            <v>0.69018626250000004</v>
          </cell>
          <cell r="K938">
            <v>0.69949073470000001</v>
          </cell>
          <cell r="L938">
            <v>0.70746648639999998</v>
          </cell>
          <cell r="M938">
            <v>0.71957158629999995</v>
          </cell>
          <cell r="N938">
            <v>0.73181200199999996</v>
          </cell>
          <cell r="O938">
            <v>0.74410403550000004</v>
          </cell>
          <cell r="P938">
            <v>0.75658181170000005</v>
          </cell>
          <cell r="Q938">
            <v>0.76931615689999999</v>
          </cell>
          <cell r="R938">
            <v>0.78231024169999996</v>
          </cell>
          <cell r="S938">
            <v>0.79552527750000002</v>
          </cell>
          <cell r="T938">
            <v>0.80892931140000002</v>
          </cell>
          <cell r="U938">
            <v>0.82251436600000005</v>
          </cell>
          <cell r="V938">
            <v>0.83752046989999995</v>
          </cell>
          <cell r="W938">
            <v>0.85045506400000004</v>
          </cell>
          <cell r="X938">
            <v>0.86398038420000001</v>
          </cell>
          <cell r="Y938">
            <v>0.87811661730000001</v>
          </cell>
          <cell r="Z938">
            <v>0.89272043720000005</v>
          </cell>
          <cell r="AA938">
            <v>0.91085827159999999</v>
          </cell>
          <cell r="AB938">
            <v>0.92478442199999999</v>
          </cell>
          <cell r="AC938">
            <v>0.93862342710000002</v>
          </cell>
          <cell r="AD938">
            <v>0.95278452260000002</v>
          </cell>
          <cell r="AE938">
            <v>0.9672882773</v>
          </cell>
          <cell r="AF938">
            <v>0.98212331559999999</v>
          </cell>
          <cell r="AG938">
            <v>0.99727171839999995</v>
          </cell>
          <cell r="AH938">
            <v>1.012709243</v>
          </cell>
          <cell r="AI938">
            <v>1.0284097670000001</v>
          </cell>
          <cell r="AJ938">
            <v>1.0443520399999999</v>
          </cell>
          <cell r="AK938">
            <v>1.06052434</v>
          </cell>
        </row>
        <row r="939">
          <cell r="A939" t="str">
            <v>ems_y_co2_scgo_0</v>
          </cell>
          <cell r="B939">
            <v>0</v>
          </cell>
          <cell r="C939">
            <v>0</v>
          </cell>
          <cell r="D939">
            <v>0</v>
          </cell>
          <cell r="E939">
            <v>0</v>
          </cell>
          <cell r="F939">
            <v>0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  <cell r="Z939">
            <v>0</v>
          </cell>
          <cell r="AA939">
            <v>0</v>
          </cell>
          <cell r="AB939">
            <v>0</v>
          </cell>
          <cell r="AC939">
            <v>0</v>
          </cell>
          <cell r="AD939">
            <v>0</v>
          </cell>
          <cell r="AE939">
            <v>0</v>
          </cell>
          <cell r="AF939">
            <v>0</v>
          </cell>
          <cell r="AG939">
            <v>0</v>
          </cell>
          <cell r="AH939">
            <v>0</v>
          </cell>
          <cell r="AI939">
            <v>0</v>
          </cell>
          <cell r="AJ939">
            <v>0</v>
          </cell>
          <cell r="AK939">
            <v>0</v>
          </cell>
        </row>
        <row r="940">
          <cell r="A940" t="str">
            <v>ems_mat_co2_scgo_0</v>
          </cell>
          <cell r="B940">
            <v>0</v>
          </cell>
          <cell r="C940">
            <v>0</v>
          </cell>
          <cell r="D940">
            <v>0</v>
          </cell>
          <cell r="E940">
            <v>0</v>
          </cell>
          <cell r="F940">
            <v>0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  <cell r="Z940">
            <v>0</v>
          </cell>
          <cell r="AA940">
            <v>0</v>
          </cell>
          <cell r="AB940">
            <v>0</v>
          </cell>
          <cell r="AC940">
            <v>0</v>
          </cell>
          <cell r="AD940">
            <v>0</v>
          </cell>
          <cell r="AE940">
            <v>0</v>
          </cell>
          <cell r="AF940">
            <v>0</v>
          </cell>
          <cell r="AG940">
            <v>0</v>
          </cell>
          <cell r="AH940">
            <v>0</v>
          </cell>
          <cell r="AI940">
            <v>0</v>
          </cell>
          <cell r="AJ940">
            <v>0</v>
          </cell>
          <cell r="AK940">
            <v>0</v>
          </cell>
        </row>
        <row r="941">
          <cell r="A941" t="str">
            <v>ems_ci_co2_scon_0</v>
          </cell>
          <cell r="B941">
            <v>7.5419030080000002</v>
          </cell>
          <cell r="C941">
            <v>7.9906949310000002</v>
          </cell>
          <cell r="D941">
            <v>8.4730006959999997</v>
          </cell>
          <cell r="E941">
            <v>8.7842847200000005</v>
          </cell>
          <cell r="F941">
            <v>8.9706400550000005</v>
          </cell>
          <cell r="G941">
            <v>9.1009686960000007</v>
          </cell>
          <cell r="H941">
            <v>9.0681040970000009</v>
          </cell>
          <cell r="I941">
            <v>9.1029121830000008</v>
          </cell>
          <cell r="J941">
            <v>9.1808228409999995</v>
          </cell>
          <cell r="K941">
            <v>9.2803559159999995</v>
          </cell>
          <cell r="L941">
            <v>9.6044295080000008</v>
          </cell>
          <cell r="M941">
            <v>9.6305589180000002</v>
          </cell>
          <cell r="N941">
            <v>9.7050996749999996</v>
          </cell>
          <cell r="O941">
            <v>9.8256076829999994</v>
          </cell>
          <cell r="P941">
            <v>9.9718295500000007</v>
          </cell>
          <cell r="Q941">
            <v>10.12976432</v>
          </cell>
          <cell r="R941">
            <v>10.292313679999999</v>
          </cell>
          <cell r="S941">
            <v>10.45797183</v>
          </cell>
          <cell r="T941">
            <v>10.627168040000001</v>
          </cell>
          <cell r="U941">
            <v>10.80049472</v>
          </cell>
          <cell r="V941">
            <v>10.82689946</v>
          </cell>
          <cell r="W941">
            <v>11.073660479999999</v>
          </cell>
          <cell r="X941">
            <v>11.30643652</v>
          </cell>
          <cell r="Y941">
            <v>11.517957389999999</v>
          </cell>
          <cell r="Z941">
            <v>11.71940305</v>
          </cell>
          <cell r="AA941">
            <v>11.47299067</v>
          </cell>
          <cell r="AB941">
            <v>11.680642069999999</v>
          </cell>
          <cell r="AC941">
            <v>11.911764489999999</v>
          </cell>
          <cell r="AD941">
            <v>12.12823504</v>
          </cell>
          <cell r="AE941">
            <v>12.335133389999999</v>
          </cell>
          <cell r="AF941">
            <v>12.537959559999999</v>
          </cell>
          <cell r="AG941">
            <v>12.73937228</v>
          </cell>
          <cell r="AH941">
            <v>12.94043913</v>
          </cell>
          <cell r="AI941">
            <v>13.141746360000001</v>
          </cell>
          <cell r="AJ941">
            <v>13.34391342</v>
          </cell>
          <cell r="AK941">
            <v>13.547660280000001</v>
          </cell>
        </row>
        <row r="942">
          <cell r="A942" t="str">
            <v>ems_y_co2_scon_0</v>
          </cell>
          <cell r="B942">
            <v>0</v>
          </cell>
          <cell r="C942">
            <v>0</v>
          </cell>
          <cell r="D942">
            <v>0</v>
          </cell>
          <cell r="E942">
            <v>0</v>
          </cell>
          <cell r="F942">
            <v>0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  <cell r="Z942">
            <v>0</v>
          </cell>
          <cell r="AA942">
            <v>0</v>
          </cell>
          <cell r="AB942">
            <v>0</v>
          </cell>
          <cell r="AC942">
            <v>0</v>
          </cell>
          <cell r="AD942">
            <v>0</v>
          </cell>
          <cell r="AE942">
            <v>0</v>
          </cell>
          <cell r="AF942">
            <v>0</v>
          </cell>
          <cell r="AG942">
            <v>0</v>
          </cell>
          <cell r="AH942">
            <v>0</v>
          </cell>
          <cell r="AI942">
            <v>0</v>
          </cell>
          <cell r="AJ942">
            <v>0</v>
          </cell>
          <cell r="AK942">
            <v>0</v>
          </cell>
        </row>
        <row r="943">
          <cell r="A943" t="str">
            <v>ems_mat_co2_scon_0</v>
          </cell>
          <cell r="B943">
            <v>0</v>
          </cell>
          <cell r="C943">
            <v>0</v>
          </cell>
          <cell r="D943">
            <v>0</v>
          </cell>
          <cell r="E943">
            <v>0</v>
          </cell>
          <cell r="F943">
            <v>0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  <cell r="Z943">
            <v>0</v>
          </cell>
          <cell r="AA943">
            <v>0</v>
          </cell>
          <cell r="AB943">
            <v>0</v>
          </cell>
          <cell r="AC943">
            <v>0</v>
          </cell>
          <cell r="AD943">
            <v>0</v>
          </cell>
          <cell r="AE943">
            <v>0</v>
          </cell>
          <cell r="AF943">
            <v>0</v>
          </cell>
          <cell r="AG943">
            <v>0</v>
          </cell>
          <cell r="AH943">
            <v>0</v>
          </cell>
          <cell r="AI943">
            <v>0</v>
          </cell>
          <cell r="AJ943">
            <v>0</v>
          </cell>
          <cell r="AK943">
            <v>0</v>
          </cell>
        </row>
        <row r="944">
          <cell r="A944" t="str">
            <v>ems_ci_co2_srai_0</v>
          </cell>
          <cell r="B944">
            <v>5.5899890560000003</v>
          </cell>
          <cell r="C944">
            <v>5.5787174689999999</v>
          </cell>
          <cell r="D944">
            <v>5.5794012459999998</v>
          </cell>
          <cell r="E944">
            <v>5.602385065</v>
          </cell>
          <cell r="F944">
            <v>5.6425312730000003</v>
          </cell>
          <cell r="G944">
            <v>5.6945774570000003</v>
          </cell>
          <cell r="H944">
            <v>5.7534343149999998</v>
          </cell>
          <cell r="I944">
            <v>5.8153066630000003</v>
          </cell>
          <cell r="J944">
            <v>5.8794961219999999</v>
          </cell>
          <cell r="K944">
            <v>5.9463106809999999</v>
          </cell>
          <cell r="L944">
            <v>6.0176134399999999</v>
          </cell>
          <cell r="M944">
            <v>6.0950114199999996</v>
          </cell>
          <cell r="N944">
            <v>6.1744347309999998</v>
          </cell>
          <cell r="O944">
            <v>6.2552089530000003</v>
          </cell>
          <cell r="P944">
            <v>6.3370606089999999</v>
          </cell>
          <cell r="Q944">
            <v>6.4198219070000002</v>
          </cell>
          <cell r="R944">
            <v>6.5034354150000002</v>
          </cell>
          <cell r="S944">
            <v>6.587947207</v>
          </cell>
          <cell r="T944">
            <v>6.6735007590000004</v>
          </cell>
          <cell r="U944">
            <v>6.7602814240000004</v>
          </cell>
          <cell r="V944">
            <v>6.8468979220000001</v>
          </cell>
          <cell r="W944">
            <v>6.9336792750000003</v>
          </cell>
          <cell r="X944">
            <v>7.0231797260000004</v>
          </cell>
          <cell r="Y944">
            <v>7.1152141230000003</v>
          </cell>
          <cell r="Z944">
            <v>7.2093182420000002</v>
          </cell>
          <cell r="AA944">
            <v>7.2994700979999996</v>
          </cell>
          <cell r="AB944">
            <v>7.3869091180000002</v>
          </cell>
          <cell r="AC944">
            <v>7.4755243069999997</v>
          </cell>
          <cell r="AD944">
            <v>7.566014579</v>
          </cell>
          <cell r="AE944">
            <v>7.6584528140000003</v>
          </cell>
          <cell r="AF944">
            <v>7.7526913860000004</v>
          </cell>
          <cell r="AG944">
            <v>7.8484977530000002</v>
          </cell>
          <cell r="AH944">
            <v>7.9456715290000002</v>
          </cell>
          <cell r="AI944">
            <v>8.0441163459999991</v>
          </cell>
          <cell r="AJ944">
            <v>8.143847762</v>
          </cell>
          <cell r="AK944">
            <v>8.2449508609999995</v>
          </cell>
        </row>
        <row r="945">
          <cell r="A945" t="str">
            <v>ems_y_co2_srai_0</v>
          </cell>
          <cell r="B945">
            <v>0</v>
          </cell>
          <cell r="C945">
            <v>0</v>
          </cell>
          <cell r="D945">
            <v>0</v>
          </cell>
          <cell r="E945">
            <v>0</v>
          </cell>
          <cell r="F945">
            <v>0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  <cell r="Z945">
            <v>0</v>
          </cell>
          <cell r="AA945">
            <v>0</v>
          </cell>
          <cell r="AB945">
            <v>0</v>
          </cell>
          <cell r="AC945">
            <v>0</v>
          </cell>
          <cell r="AD945">
            <v>0</v>
          </cell>
          <cell r="AE945">
            <v>0</v>
          </cell>
          <cell r="AF945">
            <v>0</v>
          </cell>
          <cell r="AG945">
            <v>0</v>
          </cell>
          <cell r="AH945">
            <v>0</v>
          </cell>
          <cell r="AI945">
            <v>0</v>
          </cell>
          <cell r="AJ945">
            <v>0</v>
          </cell>
          <cell r="AK945">
            <v>0</v>
          </cell>
        </row>
        <row r="946">
          <cell r="A946" t="str">
            <v>ems_mat_co2_srai_0</v>
          </cell>
          <cell r="B946">
            <v>0</v>
          </cell>
          <cell r="C946">
            <v>0</v>
          </cell>
          <cell r="D946">
            <v>0</v>
          </cell>
          <cell r="E946">
            <v>0</v>
          </cell>
          <cell r="F946">
            <v>0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  <cell r="Z946">
            <v>0</v>
          </cell>
          <cell r="AA946">
            <v>0</v>
          </cell>
          <cell r="AB946">
            <v>0</v>
          </cell>
          <cell r="AC946">
            <v>0</v>
          </cell>
          <cell r="AD946">
            <v>0</v>
          </cell>
          <cell r="AE946">
            <v>0</v>
          </cell>
          <cell r="AF946">
            <v>0</v>
          </cell>
          <cell r="AG946">
            <v>0</v>
          </cell>
          <cell r="AH946">
            <v>0</v>
          </cell>
          <cell r="AI946">
            <v>0</v>
          </cell>
          <cell r="AJ946">
            <v>0</v>
          </cell>
          <cell r="AK946">
            <v>0</v>
          </cell>
        </row>
        <row r="947">
          <cell r="A947" t="str">
            <v>ems_ci_co2_sroa_0</v>
          </cell>
          <cell r="B947">
            <v>16.043584360000001</v>
          </cell>
          <cell r="C947">
            <v>15.99709125</v>
          </cell>
          <cell r="D947">
            <v>15.973187149999999</v>
          </cell>
          <cell r="E947">
            <v>16.01090232</v>
          </cell>
          <cell r="F947">
            <v>16.101426109999998</v>
          </cell>
          <cell r="G947">
            <v>16.232448120000001</v>
          </cell>
          <cell r="H947">
            <v>16.39036917</v>
          </cell>
          <cell r="I947">
            <v>16.562353819999998</v>
          </cell>
          <cell r="J947">
            <v>16.743485660000001</v>
          </cell>
          <cell r="K947">
            <v>16.931894799999998</v>
          </cell>
          <cell r="L947">
            <v>17.129754680000001</v>
          </cell>
          <cell r="M947">
            <v>17.344212970000001</v>
          </cell>
          <cell r="N947">
            <v>17.563675480000001</v>
          </cell>
          <cell r="O947">
            <v>17.786796679999998</v>
          </cell>
          <cell r="P947">
            <v>18.01321403</v>
          </cell>
          <cell r="Q947">
            <v>18.24254607</v>
          </cell>
          <cell r="R947">
            <v>18.474468730000002</v>
          </cell>
          <cell r="S947">
            <v>18.708840739999999</v>
          </cell>
          <cell r="T947">
            <v>18.94583347</v>
          </cell>
          <cell r="U947">
            <v>19.185862369999999</v>
          </cell>
          <cell r="V947">
            <v>19.425937650000002</v>
          </cell>
          <cell r="W947">
            <v>19.665329570000001</v>
          </cell>
          <cell r="X947">
            <v>19.911904209999999</v>
          </cell>
          <cell r="Y947">
            <v>20.165534239999999</v>
          </cell>
          <cell r="Z947">
            <v>20.4251708</v>
          </cell>
          <cell r="AA947">
            <v>20.676342200000001</v>
          </cell>
          <cell r="AB947">
            <v>20.918837799999999</v>
          </cell>
          <cell r="AC947">
            <v>21.163710330000001</v>
          </cell>
          <cell r="AD947">
            <v>21.413132390000001</v>
          </cell>
          <cell r="AE947">
            <v>21.667727759999998</v>
          </cell>
          <cell r="AF947">
            <v>21.9275065</v>
          </cell>
          <cell r="AG947">
            <v>22.192067040000001</v>
          </cell>
          <cell r="AH947">
            <v>22.460865399999999</v>
          </cell>
          <cell r="AI947">
            <v>22.73346798</v>
          </cell>
          <cell r="AJ947">
            <v>23.009685560000001</v>
          </cell>
          <cell r="AK947">
            <v>23.289566059999999</v>
          </cell>
        </row>
        <row r="948">
          <cell r="A948" t="str">
            <v>ems_y_co2_sroa_0</v>
          </cell>
          <cell r="B948">
            <v>0</v>
          </cell>
          <cell r="C948">
            <v>0</v>
          </cell>
          <cell r="D948">
            <v>0</v>
          </cell>
          <cell r="E948">
            <v>0</v>
          </cell>
          <cell r="F948">
            <v>0</v>
          </cell>
          <cell r="G948">
            <v>0</v>
          </cell>
          <cell r="H948">
            <v>0</v>
          </cell>
          <cell r="I948">
            <v>0</v>
          </cell>
          <cell r="J948">
            <v>0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0</v>
          </cell>
          <cell r="Y948">
            <v>0</v>
          </cell>
          <cell r="Z948">
            <v>0</v>
          </cell>
          <cell r="AA948">
            <v>0</v>
          </cell>
          <cell r="AB948">
            <v>0</v>
          </cell>
          <cell r="AC948">
            <v>0</v>
          </cell>
          <cell r="AD948">
            <v>0</v>
          </cell>
          <cell r="AE948">
            <v>0</v>
          </cell>
          <cell r="AF948">
            <v>0</v>
          </cell>
          <cell r="AG948">
            <v>0</v>
          </cell>
          <cell r="AH948">
            <v>0</v>
          </cell>
          <cell r="AI948">
            <v>0</v>
          </cell>
          <cell r="AJ948">
            <v>0</v>
          </cell>
          <cell r="AK948">
            <v>0</v>
          </cell>
        </row>
        <row r="949">
          <cell r="A949" t="str">
            <v>ems_mat_co2_sroa_0</v>
          </cell>
          <cell r="B949">
            <v>0</v>
          </cell>
          <cell r="C949">
            <v>0</v>
          </cell>
          <cell r="D949">
            <v>0</v>
          </cell>
          <cell r="E949">
            <v>0</v>
          </cell>
          <cell r="F949">
            <v>0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  <cell r="Z949">
            <v>0</v>
          </cell>
          <cell r="AA949">
            <v>0</v>
          </cell>
          <cell r="AB949">
            <v>0</v>
          </cell>
          <cell r="AC949">
            <v>0</v>
          </cell>
          <cell r="AD949">
            <v>0</v>
          </cell>
          <cell r="AE949">
            <v>0</v>
          </cell>
          <cell r="AF949">
            <v>0</v>
          </cell>
          <cell r="AG949">
            <v>0</v>
          </cell>
          <cell r="AH949">
            <v>0</v>
          </cell>
          <cell r="AI949">
            <v>0</v>
          </cell>
          <cell r="AJ949">
            <v>0</v>
          </cell>
          <cell r="AK949">
            <v>0</v>
          </cell>
        </row>
        <row r="950">
          <cell r="A950" t="str">
            <v>ems_ci_co2_swat_0</v>
          </cell>
          <cell r="B950">
            <v>3.7871648360000001</v>
          </cell>
          <cell r="C950">
            <v>3.8471703490000002</v>
          </cell>
          <cell r="D950">
            <v>3.9120774780000001</v>
          </cell>
          <cell r="E950">
            <v>3.9815562880000002</v>
          </cell>
          <cell r="F950">
            <v>4.056939957</v>
          </cell>
          <cell r="G950">
            <v>4.1376657100000003</v>
          </cell>
          <cell r="H950">
            <v>4.2178628729999996</v>
          </cell>
          <cell r="I950">
            <v>4.2971261849999998</v>
          </cell>
          <cell r="J950">
            <v>4.3731784999999999</v>
          </cell>
          <cell r="K950">
            <v>4.4449250339999997</v>
          </cell>
          <cell r="L950">
            <v>4.5189693479999997</v>
          </cell>
          <cell r="M950">
            <v>4.5860567730000001</v>
          </cell>
          <cell r="N950">
            <v>4.6519397580000001</v>
          </cell>
          <cell r="O950">
            <v>4.718201734</v>
          </cell>
          <cell r="P950">
            <v>4.7854244530000001</v>
          </cell>
          <cell r="Q950">
            <v>4.8537150630000001</v>
          </cell>
          <cell r="R950">
            <v>4.9229763210000002</v>
          </cell>
          <cell r="S950">
            <v>4.9931143320000002</v>
          </cell>
          <cell r="T950">
            <v>5.0641562970000003</v>
          </cell>
          <cell r="U950">
            <v>5.1362613960000001</v>
          </cell>
          <cell r="V950">
            <v>5.2051416320000001</v>
          </cell>
          <cell r="W950">
            <v>5.279136651</v>
          </cell>
          <cell r="X950">
            <v>5.355359773</v>
          </cell>
          <cell r="Y950">
            <v>5.4335879970000001</v>
          </cell>
          <cell r="Z950">
            <v>5.5137197479999998</v>
          </cell>
          <cell r="AA950">
            <v>5.5824694040000002</v>
          </cell>
          <cell r="AB950">
            <v>5.6570109349999997</v>
          </cell>
          <cell r="AC950">
            <v>5.7332164250000002</v>
          </cell>
          <cell r="AD950">
            <v>5.8110367570000001</v>
          </cell>
          <cell r="AE950">
            <v>5.8908330490000003</v>
          </cell>
          <cell r="AF950">
            <v>5.9727718850000002</v>
          </cell>
          <cell r="AG950">
            <v>6.0567320809999998</v>
          </cell>
          <cell r="AH950">
            <v>6.142393942</v>
          </cell>
          <cell r="AI950">
            <v>6.2293975750000001</v>
          </cell>
          <cell r="AJ950">
            <v>6.3174834280000001</v>
          </cell>
          <cell r="AK950">
            <v>6.4065607440000001</v>
          </cell>
        </row>
        <row r="951">
          <cell r="A951" t="str">
            <v>ems_y_co2_swat_0</v>
          </cell>
          <cell r="B951">
            <v>0</v>
          </cell>
          <cell r="C951">
            <v>0</v>
          </cell>
          <cell r="D951">
            <v>0</v>
          </cell>
          <cell r="E951">
            <v>0</v>
          </cell>
          <cell r="F951">
            <v>0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  <cell r="Z951">
            <v>0</v>
          </cell>
          <cell r="AA951">
            <v>0</v>
          </cell>
          <cell r="AB951">
            <v>0</v>
          </cell>
          <cell r="AC951">
            <v>0</v>
          </cell>
          <cell r="AD951">
            <v>0</v>
          </cell>
          <cell r="AE951">
            <v>0</v>
          </cell>
          <cell r="AF951">
            <v>0</v>
          </cell>
          <cell r="AG951">
            <v>0</v>
          </cell>
          <cell r="AH951">
            <v>0</v>
          </cell>
          <cell r="AI951">
            <v>0</v>
          </cell>
          <cell r="AJ951">
            <v>0</v>
          </cell>
          <cell r="AK951">
            <v>0</v>
          </cell>
        </row>
        <row r="952">
          <cell r="A952" t="str">
            <v>ems_mat_co2_swat_0</v>
          </cell>
          <cell r="B952">
            <v>0</v>
          </cell>
          <cell r="C952">
            <v>0</v>
          </cell>
          <cell r="D952">
            <v>0</v>
          </cell>
          <cell r="E952">
            <v>0</v>
          </cell>
          <cell r="F952">
            <v>0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  <cell r="Z952">
            <v>0</v>
          </cell>
          <cell r="AA952">
            <v>0</v>
          </cell>
          <cell r="AB952">
            <v>0</v>
          </cell>
          <cell r="AC952">
            <v>0</v>
          </cell>
          <cell r="AD952">
            <v>0</v>
          </cell>
          <cell r="AE952">
            <v>0</v>
          </cell>
          <cell r="AF952">
            <v>0</v>
          </cell>
          <cell r="AG952">
            <v>0</v>
          </cell>
          <cell r="AH952">
            <v>0</v>
          </cell>
          <cell r="AI952">
            <v>0</v>
          </cell>
          <cell r="AJ952">
            <v>0</v>
          </cell>
          <cell r="AK952">
            <v>0</v>
          </cell>
        </row>
        <row r="953">
          <cell r="A953" t="str">
            <v>ems_ci_co2_sair_0</v>
          </cell>
          <cell r="B953">
            <v>19.865303740000002</v>
          </cell>
          <cell r="C953">
            <v>20.11204111</v>
          </cell>
          <cell r="D953">
            <v>20.407258670000001</v>
          </cell>
          <cell r="E953">
            <v>20.7519773</v>
          </cell>
          <cell r="F953">
            <v>21.133488</v>
          </cell>
          <cell r="G953">
            <v>21.536563260000001</v>
          </cell>
          <cell r="H953">
            <v>21.934165310000001</v>
          </cell>
          <cell r="I953">
            <v>22.325118589999999</v>
          </cell>
          <cell r="J953">
            <v>22.710785659999999</v>
          </cell>
          <cell r="K953">
            <v>23.096970290000002</v>
          </cell>
          <cell r="L953">
            <v>23.51403221</v>
          </cell>
          <cell r="M953">
            <v>23.932812569999999</v>
          </cell>
          <cell r="N953">
            <v>24.360831090000001</v>
          </cell>
          <cell r="O953">
            <v>24.797755179999999</v>
          </cell>
          <cell r="P953">
            <v>25.24162819</v>
          </cell>
          <cell r="Q953">
            <v>25.69058532</v>
          </cell>
          <cell r="R953">
            <v>26.143665599999999</v>
          </cell>
          <cell r="S953">
            <v>26.600964749999999</v>
          </cell>
          <cell r="T953">
            <v>27.063382430000001</v>
          </cell>
          <cell r="U953">
            <v>27.532144540000001</v>
          </cell>
          <cell r="V953">
            <v>27.989664919999999</v>
          </cell>
          <cell r="W953">
            <v>28.464658610000001</v>
          </cell>
          <cell r="X953">
            <v>28.95299284</v>
          </cell>
          <cell r="Y953">
            <v>29.45333003</v>
          </cell>
          <cell r="Z953">
            <v>29.964313310000001</v>
          </cell>
          <cell r="AA953">
            <v>30.427606650000001</v>
          </cell>
          <cell r="AB953">
            <v>30.904572229999999</v>
          </cell>
          <cell r="AC953">
            <v>31.392677750000001</v>
          </cell>
          <cell r="AD953">
            <v>31.893130729999999</v>
          </cell>
          <cell r="AE953">
            <v>32.405908119999999</v>
          </cell>
          <cell r="AF953">
            <v>32.929899460000001</v>
          </cell>
          <cell r="AG953">
            <v>33.463633160000001</v>
          </cell>
          <cell r="AH953">
            <v>34.006008180000002</v>
          </cell>
          <cell r="AI953">
            <v>34.556704799999999</v>
          </cell>
          <cell r="AJ953">
            <v>35.116168340000002</v>
          </cell>
          <cell r="AK953">
            <v>35.68526988</v>
          </cell>
        </row>
        <row r="954">
          <cell r="A954" t="str">
            <v>ems_y_co2_sair_0</v>
          </cell>
          <cell r="B954">
            <v>0</v>
          </cell>
          <cell r="C954">
            <v>0</v>
          </cell>
          <cell r="D954">
            <v>0</v>
          </cell>
          <cell r="E954">
            <v>0</v>
          </cell>
          <cell r="F954">
            <v>0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  <cell r="Z954">
            <v>0</v>
          </cell>
          <cell r="AA954">
            <v>0</v>
          </cell>
          <cell r="AB954">
            <v>0</v>
          </cell>
          <cell r="AC954">
            <v>0</v>
          </cell>
          <cell r="AD954">
            <v>0</v>
          </cell>
          <cell r="AE954">
            <v>0</v>
          </cell>
          <cell r="AF954">
            <v>0</v>
          </cell>
          <cell r="AG954">
            <v>0</v>
          </cell>
          <cell r="AH954">
            <v>0</v>
          </cell>
          <cell r="AI954">
            <v>0</v>
          </cell>
          <cell r="AJ954">
            <v>0</v>
          </cell>
          <cell r="AK954">
            <v>0</v>
          </cell>
        </row>
        <row r="955">
          <cell r="A955" t="str">
            <v>ems_mat_co2_sair_0</v>
          </cell>
          <cell r="B955">
            <v>0</v>
          </cell>
          <cell r="C955">
            <v>0</v>
          </cell>
          <cell r="D955">
            <v>0</v>
          </cell>
          <cell r="E955">
            <v>0</v>
          </cell>
          <cell r="F955">
            <v>0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  <cell r="Z955">
            <v>0</v>
          </cell>
          <cell r="AA955">
            <v>0</v>
          </cell>
          <cell r="AB955">
            <v>0</v>
          </cell>
          <cell r="AC955">
            <v>0</v>
          </cell>
          <cell r="AD955">
            <v>0</v>
          </cell>
          <cell r="AE955">
            <v>0</v>
          </cell>
          <cell r="AF955">
            <v>0</v>
          </cell>
          <cell r="AG955">
            <v>0</v>
          </cell>
          <cell r="AH955">
            <v>0</v>
          </cell>
          <cell r="AI955">
            <v>0</v>
          </cell>
          <cell r="AJ955">
            <v>0</v>
          </cell>
          <cell r="AK955">
            <v>0</v>
          </cell>
        </row>
        <row r="956">
          <cell r="A956" t="str">
            <v>ems_ci_co2_spri_0</v>
          </cell>
          <cell r="B956">
            <v>30.97960806</v>
          </cell>
          <cell r="C956">
            <v>31.13940354</v>
          </cell>
          <cell r="D956">
            <v>31.06235242</v>
          </cell>
          <cell r="E956">
            <v>30.924520130000001</v>
          </cell>
          <cell r="F956">
            <v>30.86930946</v>
          </cell>
          <cell r="G956">
            <v>31.03693144</v>
          </cell>
          <cell r="H956">
            <v>31.548742529999998</v>
          </cell>
          <cell r="I956">
            <v>32.325154410000003</v>
          </cell>
          <cell r="J956">
            <v>33.282035180000001</v>
          </cell>
          <cell r="K956">
            <v>34.299485730000001</v>
          </cell>
          <cell r="L956">
            <v>35.171333429999997</v>
          </cell>
          <cell r="M956">
            <v>36.106113309999998</v>
          </cell>
          <cell r="N956">
            <v>36.957063130000002</v>
          </cell>
          <cell r="O956">
            <v>37.743002560000001</v>
          </cell>
          <cell r="P956">
            <v>38.494494590000002</v>
          </cell>
          <cell r="Q956">
            <v>39.231156110000001</v>
          </cell>
          <cell r="R956">
            <v>39.958589089999997</v>
          </cell>
          <cell r="S956">
            <v>40.672663540000002</v>
          </cell>
          <cell r="T956">
            <v>41.367458210000002</v>
          </cell>
          <cell r="U956">
            <v>42.041311370000003</v>
          </cell>
          <cell r="V956">
            <v>42.759090020000002</v>
          </cell>
          <cell r="W956">
            <v>43.364103970000002</v>
          </cell>
          <cell r="X956">
            <v>43.973236300000003</v>
          </cell>
          <cell r="Y956">
            <v>44.607377130000003</v>
          </cell>
          <cell r="Z956">
            <v>45.278646739999999</v>
          </cell>
          <cell r="AA956">
            <v>46.139783999999999</v>
          </cell>
          <cell r="AB956">
            <v>46.839540620000001</v>
          </cell>
          <cell r="AC956">
            <v>47.506413369999997</v>
          </cell>
          <cell r="AD956">
            <v>48.151992309999997</v>
          </cell>
          <cell r="AE956">
            <v>48.792570449999999</v>
          </cell>
          <cell r="AF956">
            <v>49.451205000000002</v>
          </cell>
          <cell r="AG956">
            <v>50.146762950000003</v>
          </cell>
          <cell r="AH956">
            <v>50.886788119999999</v>
          </cell>
          <cell r="AI956">
            <v>51.666813670000003</v>
          </cell>
          <cell r="AJ956">
            <v>52.47473866</v>
          </cell>
          <cell r="AK956">
            <v>53.297213050000003</v>
          </cell>
        </row>
        <row r="957">
          <cell r="A957" t="str">
            <v>ems_y_co2_spri_0</v>
          </cell>
          <cell r="B957">
            <v>0.40384413009999998</v>
          </cell>
          <cell r="C957">
            <v>0.40504472159999999</v>
          </cell>
          <cell r="D957">
            <v>0.4085483466</v>
          </cell>
          <cell r="E957">
            <v>0.41462774460000001</v>
          </cell>
          <cell r="F957">
            <v>0.421970338</v>
          </cell>
          <cell r="G957">
            <v>0.4296396992</v>
          </cell>
          <cell r="H957">
            <v>0.4375031654</v>
          </cell>
          <cell r="I957">
            <v>0.44435510839999998</v>
          </cell>
          <cell r="J957">
            <v>0.4506036148</v>
          </cell>
          <cell r="K957">
            <v>0.45672950769999998</v>
          </cell>
          <cell r="L957">
            <v>0.4623522363</v>
          </cell>
          <cell r="M957">
            <v>0.47017405029999998</v>
          </cell>
          <cell r="N957">
            <v>0.47801498419999999</v>
          </cell>
          <cell r="O957">
            <v>0.48597791070000002</v>
          </cell>
          <cell r="P957">
            <v>0.49405358059999999</v>
          </cell>
          <cell r="Q957">
            <v>0.50222332879999998</v>
          </cell>
          <cell r="R957">
            <v>0.51048149509999996</v>
          </cell>
          <cell r="S957">
            <v>0.51883622829999998</v>
          </cell>
          <cell r="T957">
            <v>0.52731004780000001</v>
          </cell>
          <cell r="U957">
            <v>0.53592585309999996</v>
          </cell>
          <cell r="V957">
            <v>0.54514571970000003</v>
          </cell>
          <cell r="W957">
            <v>0.55343630070000005</v>
          </cell>
          <cell r="X957">
            <v>0.5622250754</v>
          </cell>
          <cell r="Y957">
            <v>0.57131770199999998</v>
          </cell>
          <cell r="Z957">
            <v>0.58058767960000002</v>
          </cell>
          <cell r="AA957">
            <v>0.59104236860000003</v>
          </cell>
          <cell r="AB957">
            <v>0.59940228849999999</v>
          </cell>
          <cell r="AC957">
            <v>0.60806031780000003</v>
          </cell>
          <cell r="AD957">
            <v>0.61701181549999995</v>
          </cell>
          <cell r="AE957">
            <v>0.62621311430000004</v>
          </cell>
          <cell r="AF957">
            <v>0.63559058049999995</v>
          </cell>
          <cell r="AG957">
            <v>0.64507223579999995</v>
          </cell>
          <cell r="AH957">
            <v>0.65461560870000002</v>
          </cell>
          <cell r="AI957">
            <v>0.66421782360000003</v>
          </cell>
          <cell r="AJ957">
            <v>0.67390722830000005</v>
          </cell>
          <cell r="AK957">
            <v>0.68372433649999997</v>
          </cell>
        </row>
        <row r="958">
          <cell r="A958" t="str">
            <v>ems_mat_co2_spri_0</v>
          </cell>
          <cell r="B958">
            <v>0.59216026710000003</v>
          </cell>
          <cell r="C958">
            <v>0.59441334440000004</v>
          </cell>
          <cell r="D958">
            <v>0.59921034230000003</v>
          </cell>
          <cell r="E958">
            <v>0.607778402</v>
          </cell>
          <cell r="F958">
            <v>0.61844975999999996</v>
          </cell>
          <cell r="G958">
            <v>0.62976052530000004</v>
          </cell>
          <cell r="H958">
            <v>0.64136943469999996</v>
          </cell>
          <cell r="I958">
            <v>0.65161835430000004</v>
          </cell>
          <cell r="J958">
            <v>0.66088831270000004</v>
          </cell>
          <cell r="K958">
            <v>0.66988422729999997</v>
          </cell>
          <cell r="L958">
            <v>0.6781752768</v>
          </cell>
          <cell r="M958">
            <v>0.68936338090000004</v>
          </cell>
          <cell r="N958">
            <v>0.7008892954</v>
          </cell>
          <cell r="O958">
            <v>0.71260042109999999</v>
          </cell>
          <cell r="P958">
            <v>0.72447002159999996</v>
          </cell>
          <cell r="Q958">
            <v>0.73647247849999997</v>
          </cell>
          <cell r="R958">
            <v>0.74859935619999995</v>
          </cell>
          <cell r="S958">
            <v>0.76086230749999995</v>
          </cell>
          <cell r="T958">
            <v>0.77329411150000005</v>
          </cell>
          <cell r="U958">
            <v>0.78592987010000004</v>
          </cell>
          <cell r="V958">
            <v>0.79939698420000005</v>
          </cell>
          <cell r="W958">
            <v>0.81169268510000003</v>
          </cell>
          <cell r="X958">
            <v>0.82452783039999999</v>
          </cell>
          <cell r="Y958">
            <v>0.83783109919999998</v>
          </cell>
          <cell r="Z958">
            <v>0.85142008049999995</v>
          </cell>
          <cell r="AA958">
            <v>0.86663205099999996</v>
          </cell>
          <cell r="AB958">
            <v>0.87918269169999996</v>
          </cell>
          <cell r="AC958">
            <v>0.89184001980000005</v>
          </cell>
          <cell r="AD958">
            <v>0.90491220630000002</v>
          </cell>
          <cell r="AE958">
            <v>0.91836972549999996</v>
          </cell>
          <cell r="AF958">
            <v>0.93210584190000001</v>
          </cell>
          <cell r="AG958">
            <v>0.94600937370000004</v>
          </cell>
          <cell r="AH958">
            <v>0.96001004710000004</v>
          </cell>
          <cell r="AI958">
            <v>0.97409646400000005</v>
          </cell>
          <cell r="AJ958">
            <v>0.98830607520000002</v>
          </cell>
          <cell r="AK958">
            <v>1.0026978419999999</v>
          </cell>
        </row>
        <row r="959">
          <cell r="A959" t="str">
            <v>ems_ci_co2_spub_0</v>
          </cell>
          <cell r="B959">
            <v>15.11717672</v>
          </cell>
          <cell r="C959">
            <v>15.27732808</v>
          </cell>
          <cell r="D959">
            <v>15.367111960000001</v>
          </cell>
          <cell r="E959">
            <v>15.4237044</v>
          </cell>
          <cell r="F959">
            <v>15.49506774</v>
          </cell>
          <cell r="G959">
            <v>15.63182419</v>
          </cell>
          <cell r="H959">
            <v>15.8711889</v>
          </cell>
          <cell r="I959">
            <v>16.200462330000001</v>
          </cell>
          <cell r="J959">
            <v>16.594574860000002</v>
          </cell>
          <cell r="K959">
            <v>17.01410177</v>
          </cell>
          <cell r="L959">
            <v>17.406770949999999</v>
          </cell>
          <cell r="M959">
            <v>17.804282100000002</v>
          </cell>
          <cell r="N959">
            <v>18.175576960000001</v>
          </cell>
          <cell r="O959">
            <v>18.528293219999998</v>
          </cell>
          <cell r="P959">
            <v>18.872366249999999</v>
          </cell>
          <cell r="Q959">
            <v>19.214238219999999</v>
          </cell>
          <cell r="R959">
            <v>19.555886130000001</v>
          </cell>
          <cell r="S959">
            <v>19.896060089999999</v>
          </cell>
          <cell r="T959">
            <v>20.232723570000001</v>
          </cell>
          <cell r="U959">
            <v>20.565020530000002</v>
          </cell>
          <cell r="V959">
            <v>20.901950500000002</v>
          </cell>
          <cell r="W959">
            <v>21.217575310000001</v>
          </cell>
          <cell r="X959">
            <v>21.53588555</v>
          </cell>
          <cell r="Y959">
            <v>21.862409660000001</v>
          </cell>
          <cell r="Z959">
            <v>22.201420779999999</v>
          </cell>
          <cell r="AA959">
            <v>22.571260720000001</v>
          </cell>
          <cell r="AB959">
            <v>22.910764610000001</v>
          </cell>
          <cell r="AC959">
            <v>23.243453460000001</v>
          </cell>
          <cell r="AD959">
            <v>23.570399470000002</v>
          </cell>
          <cell r="AE959">
            <v>23.896123079999999</v>
          </cell>
          <cell r="AF959">
            <v>24.227923260000001</v>
          </cell>
          <cell r="AG959">
            <v>24.572173500000002</v>
          </cell>
          <cell r="AH959">
            <v>24.93181075</v>
          </cell>
          <cell r="AI959">
            <v>25.305880550000001</v>
          </cell>
          <cell r="AJ959">
            <v>25.69079284</v>
          </cell>
          <cell r="AK959">
            <v>26.08234113</v>
          </cell>
        </row>
        <row r="960">
          <cell r="A960" t="str">
            <v>ems_y_co2_spub_0</v>
          </cell>
          <cell r="B960">
            <v>0</v>
          </cell>
          <cell r="C960">
            <v>0</v>
          </cell>
          <cell r="D960">
            <v>0</v>
          </cell>
          <cell r="E960">
            <v>0</v>
          </cell>
          <cell r="F960">
            <v>0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  <cell r="Z960">
            <v>0</v>
          </cell>
          <cell r="AA960">
            <v>0</v>
          </cell>
          <cell r="AB960">
            <v>0</v>
          </cell>
          <cell r="AC960">
            <v>0</v>
          </cell>
          <cell r="AD960">
            <v>0</v>
          </cell>
          <cell r="AE960">
            <v>0</v>
          </cell>
          <cell r="AF960">
            <v>0</v>
          </cell>
          <cell r="AG960">
            <v>0</v>
          </cell>
          <cell r="AH960">
            <v>0</v>
          </cell>
          <cell r="AI960">
            <v>0</v>
          </cell>
          <cell r="AJ960">
            <v>0</v>
          </cell>
          <cell r="AK960">
            <v>0</v>
          </cell>
        </row>
        <row r="961">
          <cell r="A961" t="str">
            <v>ems_mat_co2_spub_0</v>
          </cell>
          <cell r="B961">
            <v>9.7331678910000008</v>
          </cell>
          <cell r="C961">
            <v>9.8300874199999999</v>
          </cell>
          <cell r="D961">
            <v>9.9526635030000001</v>
          </cell>
          <cell r="E961">
            <v>10.104516759999999</v>
          </cell>
          <cell r="F961">
            <v>10.272628409999999</v>
          </cell>
          <cell r="G961">
            <v>10.447433889999999</v>
          </cell>
          <cell r="H961">
            <v>10.624948720000001</v>
          </cell>
          <cell r="I961">
            <v>10.795565910000001</v>
          </cell>
          <cell r="J961">
            <v>10.96291834</v>
          </cell>
          <cell r="K961">
            <v>11.131518489999999</v>
          </cell>
          <cell r="L961">
            <v>11.30272652</v>
          </cell>
          <cell r="M961">
            <v>11.492882720000001</v>
          </cell>
          <cell r="N961">
            <v>11.68471606</v>
          </cell>
          <cell r="O961">
            <v>11.87812982</v>
          </cell>
          <cell r="P961">
            <v>12.073570589999999</v>
          </cell>
          <cell r="Q961">
            <v>12.27131142</v>
          </cell>
          <cell r="R961">
            <v>12.47154538</v>
          </cell>
          <cell r="S961">
            <v>12.67441131</v>
          </cell>
          <cell r="T961">
            <v>12.88009628</v>
          </cell>
          <cell r="U961">
            <v>13.088786560000001</v>
          </cell>
          <cell r="V961">
            <v>13.300501069999999</v>
          </cell>
          <cell r="W961">
            <v>13.507959250000001</v>
          </cell>
          <cell r="X961">
            <v>13.72184116</v>
          </cell>
          <cell r="Y961">
            <v>13.941139229999999</v>
          </cell>
          <cell r="Z961">
            <v>14.16452539</v>
          </cell>
          <cell r="AA961">
            <v>14.388523510000001</v>
          </cell>
          <cell r="AB961">
            <v>14.59694724</v>
          </cell>
          <cell r="AC961">
            <v>14.808305470000001</v>
          </cell>
          <cell r="AD961">
            <v>15.02422735</v>
          </cell>
          <cell r="AE961">
            <v>15.244338190000001</v>
          </cell>
          <cell r="AF961">
            <v>15.46798843</v>
          </cell>
          <cell r="AG961">
            <v>15.694627540000001</v>
          </cell>
          <cell r="AH961">
            <v>15.923984300000001</v>
          </cell>
          <cell r="AI961">
            <v>16.156103470000001</v>
          </cell>
          <cell r="AJ961">
            <v>16.39125516</v>
          </cell>
          <cell r="AK961">
            <v>16.629778890000001</v>
          </cell>
        </row>
        <row r="962">
          <cell r="A962" t="str">
            <v>ems_ci_co2_smin_0</v>
          </cell>
          <cell r="B962">
            <v>1.7686087939999999</v>
          </cell>
          <cell r="C962">
            <v>1.963015811</v>
          </cell>
          <cell r="D962">
            <v>2.1500834580000001</v>
          </cell>
          <cell r="E962">
            <v>2.3054855409999999</v>
          </cell>
          <cell r="F962">
            <v>2.4343909400000001</v>
          </cell>
          <cell r="G962">
            <v>2.5451716160000002</v>
          </cell>
          <cell r="H962">
            <v>2.6343936710000002</v>
          </cell>
          <cell r="I962">
            <v>2.7157281229999999</v>
          </cell>
          <cell r="J962">
            <v>2.7906477060000001</v>
          </cell>
          <cell r="K962">
            <v>2.859201632</v>
          </cell>
          <cell r="L962">
            <v>2.935271717</v>
          </cell>
          <cell r="M962">
            <v>2.9915409340000001</v>
          </cell>
          <cell r="N962">
            <v>3.0447700740000001</v>
          </cell>
          <cell r="O962">
            <v>3.0980257789999999</v>
          </cell>
          <cell r="P962">
            <v>3.1512044499999998</v>
          </cell>
          <cell r="Q962">
            <v>3.203906972</v>
          </cell>
          <cell r="R962">
            <v>3.2559629430000001</v>
          </cell>
          <cell r="S962">
            <v>3.3074891960000001</v>
          </cell>
          <cell r="T962">
            <v>3.358748018</v>
          </cell>
          <cell r="U962">
            <v>3.4100415630000001</v>
          </cell>
          <cell r="V962">
            <v>3.4521448189999999</v>
          </cell>
          <cell r="W962">
            <v>3.5058904530000001</v>
          </cell>
          <cell r="X962">
            <v>3.5610853659999999</v>
          </cell>
          <cell r="Y962">
            <v>3.6160093369999999</v>
          </cell>
          <cell r="Z962">
            <v>3.6710260090000002</v>
          </cell>
          <cell r="AA962">
            <v>3.6983907569999999</v>
          </cell>
          <cell r="AB962">
            <v>3.7476686570000002</v>
          </cell>
          <cell r="AC962">
            <v>3.8014525909999999</v>
          </cell>
          <cell r="AD962">
            <v>3.8555129450000001</v>
          </cell>
          <cell r="AE962">
            <v>3.9097650650000002</v>
          </cell>
          <cell r="AF962">
            <v>3.9646184830000002</v>
          </cell>
          <cell r="AG962">
            <v>4.0202623439999998</v>
          </cell>
          <cell r="AH962">
            <v>4.0766751220000002</v>
          </cell>
          <cell r="AI962">
            <v>4.1337558530000003</v>
          </cell>
          <cell r="AJ962">
            <v>4.1914294749999996</v>
          </cell>
          <cell r="AK962">
            <v>4.2496939960000004</v>
          </cell>
        </row>
        <row r="963">
          <cell r="A963" t="str">
            <v>ems_y_co2_smin_0</v>
          </cell>
          <cell r="B963">
            <v>0</v>
          </cell>
          <cell r="C963">
            <v>0</v>
          </cell>
          <cell r="D963">
            <v>0</v>
          </cell>
          <cell r="E963">
            <v>0</v>
          </cell>
          <cell r="F963">
            <v>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  <cell r="Z963">
            <v>0</v>
          </cell>
          <cell r="AA963">
            <v>0</v>
          </cell>
          <cell r="AB963">
            <v>0</v>
          </cell>
          <cell r="AC963">
            <v>0</v>
          </cell>
          <cell r="AD963">
            <v>0</v>
          </cell>
          <cell r="AE963">
            <v>0</v>
          </cell>
          <cell r="AF963">
            <v>0</v>
          </cell>
          <cell r="AG963">
            <v>0</v>
          </cell>
          <cell r="AH963">
            <v>0</v>
          </cell>
          <cell r="AI963">
            <v>0</v>
          </cell>
          <cell r="AJ963">
            <v>0</v>
          </cell>
          <cell r="AK963">
            <v>0</v>
          </cell>
        </row>
        <row r="964">
          <cell r="A964" t="str">
            <v>ems_mat_co2_smin_0</v>
          </cell>
          <cell r="B964">
            <v>9.7397463099999998E-2</v>
          </cell>
          <cell r="C964">
            <v>0.1080876554</v>
          </cell>
          <cell r="D964">
            <v>0.1184919532</v>
          </cell>
          <cell r="E964">
            <v>0.1272592813</v>
          </cell>
          <cell r="F964">
            <v>0.1345957964</v>
          </cell>
          <cell r="G964">
            <v>0.14086860339999999</v>
          </cell>
          <cell r="H964">
            <v>0.14581395159999999</v>
          </cell>
          <cell r="I964">
            <v>0.1501748899</v>
          </cell>
          <cell r="J964">
            <v>0.15407061799999999</v>
          </cell>
          <cell r="K964">
            <v>0.15756951960000001</v>
          </cell>
          <cell r="L964">
            <v>0.16151646189999999</v>
          </cell>
          <cell r="M964">
            <v>0.16440416059999999</v>
          </cell>
          <cell r="N964">
            <v>0.16716634089999999</v>
          </cell>
          <cell r="O964">
            <v>0.16996254429999999</v>
          </cell>
          <cell r="P964">
            <v>0.1727748919</v>
          </cell>
          <cell r="Q964">
            <v>0.17557322920000001</v>
          </cell>
          <cell r="R964">
            <v>0.17834584840000001</v>
          </cell>
          <cell r="S964">
            <v>0.18110124720000001</v>
          </cell>
          <cell r="T964">
            <v>0.183857203</v>
          </cell>
          <cell r="U964">
            <v>0.18663203019999999</v>
          </cell>
          <cell r="V964">
            <v>0.1889080792</v>
          </cell>
          <cell r="W964">
            <v>0.19184615390000001</v>
          </cell>
          <cell r="X964">
            <v>0.1948782158</v>
          </cell>
          <cell r="Y964">
            <v>0.19789967889999999</v>
          </cell>
          <cell r="Z964">
            <v>0.20092075600000001</v>
          </cell>
          <cell r="AA964">
            <v>0.2023882793</v>
          </cell>
          <cell r="AB964">
            <v>0.2050656938</v>
          </cell>
          <cell r="AC964">
            <v>0.208008583</v>
          </cell>
          <cell r="AD964">
            <v>0.21098819520000001</v>
          </cell>
          <cell r="AE964">
            <v>0.21399282680000001</v>
          </cell>
          <cell r="AF964">
            <v>0.2170327185</v>
          </cell>
          <cell r="AG964">
            <v>0.2201072379</v>
          </cell>
          <cell r="AH964">
            <v>0.2232096875</v>
          </cell>
          <cell r="AI964">
            <v>0.22633546460000001</v>
          </cell>
          <cell r="AJ964">
            <v>0.2294859407</v>
          </cell>
          <cell r="AK964">
            <v>0.23266778639999999</v>
          </cell>
        </row>
        <row r="965">
          <cell r="A965" t="str">
            <v>ems_ci_co2_soil_0</v>
          </cell>
          <cell r="B965">
            <v>16.64052448</v>
          </cell>
          <cell r="C965">
            <v>16.880246199999998</v>
          </cell>
          <cell r="D965">
            <v>17.087361949999998</v>
          </cell>
          <cell r="E965">
            <v>17.280278769999999</v>
          </cell>
          <cell r="F965">
            <v>17.476143879999999</v>
          </cell>
          <cell r="G965">
            <v>17.684277550000001</v>
          </cell>
          <cell r="H965">
            <v>17.896648840000001</v>
          </cell>
          <cell r="I965">
            <v>18.121696199999999</v>
          </cell>
          <cell r="J965">
            <v>18.356370510000001</v>
          </cell>
          <cell r="K965">
            <v>18.595601909999999</v>
          </cell>
          <cell r="L965">
            <v>18.852789260000002</v>
          </cell>
          <cell r="M965">
            <v>19.094947390000002</v>
          </cell>
          <cell r="N965">
            <v>19.334949460000001</v>
          </cell>
          <cell r="O965">
            <v>19.575387710000001</v>
          </cell>
          <cell r="P965">
            <v>19.816913159999999</v>
          </cell>
          <cell r="Q965">
            <v>20.059759629999999</v>
          </cell>
          <cell r="R965">
            <v>20.303972519999999</v>
          </cell>
          <cell r="S965">
            <v>20.54946906</v>
          </cell>
          <cell r="T965">
            <v>20.796177369999999</v>
          </cell>
          <cell r="U965">
            <v>21.0441796</v>
          </cell>
          <cell r="V965">
            <v>21.280383530000002</v>
          </cell>
          <cell r="W965">
            <v>21.5290119</v>
          </cell>
          <cell r="X965">
            <v>21.781552019999999</v>
          </cell>
          <cell r="Y965">
            <v>22.037152420000002</v>
          </cell>
          <cell r="Z965">
            <v>22.296326499999999</v>
          </cell>
          <cell r="AA965">
            <v>22.519486300000001</v>
          </cell>
          <cell r="AB965">
            <v>22.76045074</v>
          </cell>
          <cell r="AC965">
            <v>23.00525305</v>
          </cell>
          <cell r="AD965">
            <v>23.25137058</v>
          </cell>
          <cell r="AE965">
            <v>23.49924364</v>
          </cell>
          <cell r="AF965">
            <v>23.749866969999999</v>
          </cell>
          <cell r="AG965">
            <v>24.00402206</v>
          </cell>
          <cell r="AH965">
            <v>24.262044960000001</v>
          </cell>
          <cell r="AI965">
            <v>24.523855560000001</v>
          </cell>
          <cell r="AJ965">
            <v>24.78912979</v>
          </cell>
          <cell r="AK965">
            <v>25.057510829999998</v>
          </cell>
        </row>
        <row r="966">
          <cell r="A966" t="str">
            <v>ems_y_co2_soil_0</v>
          </cell>
          <cell r="B966">
            <v>0</v>
          </cell>
          <cell r="C966">
            <v>0</v>
          </cell>
          <cell r="D966">
            <v>0</v>
          </cell>
          <cell r="E966">
            <v>0</v>
          </cell>
          <cell r="F966">
            <v>0</v>
          </cell>
          <cell r="G966">
            <v>0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>
            <v>0</v>
          </cell>
          <cell r="AB966">
            <v>0</v>
          </cell>
          <cell r="AC966">
            <v>0</v>
          </cell>
          <cell r="AD966">
            <v>0</v>
          </cell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>
            <v>0</v>
          </cell>
          <cell r="AJ966">
            <v>0</v>
          </cell>
          <cell r="AK966">
            <v>0</v>
          </cell>
        </row>
        <row r="967">
          <cell r="A967" t="str">
            <v>ems_mat_co2_soil_0</v>
          </cell>
          <cell r="B967">
            <v>4.789896691</v>
          </cell>
          <cell r="C967">
            <v>4.8588881910000001</v>
          </cell>
          <cell r="D967">
            <v>4.9184610449999999</v>
          </cell>
          <cell r="E967">
            <v>4.9738965610000001</v>
          </cell>
          <cell r="F967">
            <v>5.0301347449999998</v>
          </cell>
          <cell r="G967">
            <v>5.0898804310000001</v>
          </cell>
          <cell r="H967">
            <v>5.150853594</v>
          </cell>
          <cell r="I967">
            <v>5.2155104569999997</v>
          </cell>
          <cell r="J967">
            <v>5.2829879880000004</v>
          </cell>
          <cell r="K967">
            <v>5.3518262889999999</v>
          </cell>
          <cell r="L967">
            <v>5.4258660399999998</v>
          </cell>
          <cell r="M967">
            <v>5.4956025070000001</v>
          </cell>
          <cell r="N967">
            <v>5.5647302400000003</v>
          </cell>
          <cell r="O967">
            <v>5.6339892479999998</v>
          </cell>
          <cell r="P967">
            <v>5.703564504</v>
          </cell>
          <cell r="Q967">
            <v>5.773522958</v>
          </cell>
          <cell r="R967">
            <v>5.8438777220000002</v>
          </cell>
          <cell r="S967">
            <v>5.9146043690000001</v>
          </cell>
          <cell r="T967">
            <v>5.9856806950000001</v>
          </cell>
          <cell r="U967">
            <v>6.0571283390000001</v>
          </cell>
          <cell r="V967">
            <v>6.1251789829999996</v>
          </cell>
          <cell r="W967">
            <v>6.1968010229999999</v>
          </cell>
          <cell r="X967">
            <v>6.2695425980000001</v>
          </cell>
          <cell r="Y967">
            <v>6.3431587809999996</v>
          </cell>
          <cell r="Z967">
            <v>6.417799123</v>
          </cell>
          <cell r="AA967">
            <v>6.4820753440000001</v>
          </cell>
          <cell r="AB967">
            <v>6.5514767340000004</v>
          </cell>
          <cell r="AC967">
            <v>6.6219797370000002</v>
          </cell>
          <cell r="AD967">
            <v>6.6928546170000001</v>
          </cell>
          <cell r="AE967">
            <v>6.7642262710000001</v>
          </cell>
          <cell r="AF967">
            <v>6.8363816579999996</v>
          </cell>
          <cell r="AG967">
            <v>6.9095482260000001</v>
          </cell>
          <cell r="AH967">
            <v>6.983825843</v>
          </cell>
          <cell r="AI967">
            <v>7.059193992</v>
          </cell>
          <cell r="AJ967">
            <v>7.1355606590000002</v>
          </cell>
          <cell r="AK967">
            <v>7.2128230919999998</v>
          </cell>
        </row>
        <row r="968">
          <cell r="A968" t="str">
            <v>ems_ci_co2_sbfu_0</v>
          </cell>
          <cell r="B968">
            <v>3.9556864699999998</v>
          </cell>
          <cell r="C968">
            <v>4.0494378559999999</v>
          </cell>
          <cell r="D968">
            <v>4.1327122239999996</v>
          </cell>
          <cell r="E968">
            <v>4.2073790249999998</v>
          </cell>
          <cell r="F968">
            <v>4.2781223580000001</v>
          </cell>
          <cell r="G968">
            <v>4.3476347740000003</v>
          </cell>
          <cell r="H968">
            <v>4.4142995740000002</v>
          </cell>
          <cell r="I968">
            <v>4.4808329950000001</v>
          </cell>
          <cell r="J968">
            <v>4.5472792530000001</v>
          </cell>
          <cell r="K968">
            <v>4.6132098299999997</v>
          </cell>
          <cell r="L968">
            <v>4.6827457680000002</v>
          </cell>
          <cell r="M968">
            <v>4.7478226289999998</v>
          </cell>
          <cell r="N968">
            <v>4.8119743799999997</v>
          </cell>
          <cell r="O968">
            <v>4.8759183530000003</v>
          </cell>
          <cell r="P968">
            <v>4.9398399409999998</v>
          </cell>
          <cell r="Q968">
            <v>5.0038059500000003</v>
          </cell>
          <cell r="R968">
            <v>5.0678430739999998</v>
          </cell>
          <cell r="S968">
            <v>5.1319703040000002</v>
          </cell>
          <cell r="T968">
            <v>5.1962200679999997</v>
          </cell>
          <cell r="U968">
            <v>5.2606533860000004</v>
          </cell>
          <cell r="V968">
            <v>5.3219755099999997</v>
          </cell>
          <cell r="W968">
            <v>5.3863943729999999</v>
          </cell>
          <cell r="X968">
            <v>5.4516690419999998</v>
          </cell>
          <cell r="Y968">
            <v>5.5175616420000004</v>
          </cell>
          <cell r="Z968">
            <v>5.5841800319999999</v>
          </cell>
          <cell r="AA968">
            <v>5.6415516630000004</v>
          </cell>
          <cell r="AB968">
            <v>5.7034074730000004</v>
          </cell>
          <cell r="AC968">
            <v>5.7662161770000004</v>
          </cell>
          <cell r="AD968">
            <v>5.8293705820000001</v>
          </cell>
          <cell r="AE968">
            <v>5.8929485379999997</v>
          </cell>
          <cell r="AF968">
            <v>5.9571365719999996</v>
          </cell>
          <cell r="AG968">
            <v>6.0220772809999996</v>
          </cell>
          <cell r="AH968">
            <v>6.0878350550000002</v>
          </cell>
          <cell r="AI968">
            <v>6.1544064250000003</v>
          </cell>
          <cell r="AJ968">
            <v>6.2217500609999998</v>
          </cell>
          <cell r="AK968">
            <v>6.2898199869999996</v>
          </cell>
        </row>
        <row r="969">
          <cell r="A969" t="str">
            <v>ems_y_co2_sbfu_0</v>
          </cell>
          <cell r="B969">
            <v>0</v>
          </cell>
          <cell r="C969">
            <v>0</v>
          </cell>
          <cell r="D969">
            <v>0</v>
          </cell>
          <cell r="E969">
            <v>0</v>
          </cell>
          <cell r="F969">
            <v>0</v>
          </cell>
          <cell r="G969">
            <v>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>
            <v>0</v>
          </cell>
          <cell r="AB969">
            <v>0</v>
          </cell>
          <cell r="AC969">
            <v>0</v>
          </cell>
          <cell r="AD969">
            <v>0</v>
          </cell>
          <cell r="AE969">
            <v>0</v>
          </cell>
          <cell r="AF969">
            <v>0</v>
          </cell>
          <cell r="AG969">
            <v>0</v>
          </cell>
          <cell r="AH969">
            <v>0</v>
          </cell>
          <cell r="AI969">
            <v>0</v>
          </cell>
          <cell r="AJ969">
            <v>0</v>
          </cell>
          <cell r="AK969">
            <v>0</v>
          </cell>
        </row>
        <row r="970">
          <cell r="A970" t="str">
            <v>ems_mat_co2_sbfu_0</v>
          </cell>
          <cell r="B970">
            <v>3.2993264390000001</v>
          </cell>
          <cell r="C970">
            <v>3.3775218229999999</v>
          </cell>
          <cell r="D970">
            <v>3.4469786199999999</v>
          </cell>
          <cell r="E970">
            <v>3.5092560879999999</v>
          </cell>
          <cell r="F970">
            <v>3.5682611020000001</v>
          </cell>
          <cell r="G970">
            <v>3.6262394410000001</v>
          </cell>
          <cell r="H970">
            <v>3.681842665</v>
          </cell>
          <cell r="I970">
            <v>3.7373363089999998</v>
          </cell>
          <cell r="J970">
            <v>3.792757253</v>
          </cell>
          <cell r="K970">
            <v>3.8477480819999998</v>
          </cell>
          <cell r="L970">
            <v>3.9057460399999999</v>
          </cell>
          <cell r="M970">
            <v>3.9600248090000001</v>
          </cell>
          <cell r="N970">
            <v>4.0135319709999999</v>
          </cell>
          <cell r="O970">
            <v>4.0668658320000004</v>
          </cell>
          <cell r="P970">
            <v>4.1201810229999998</v>
          </cell>
          <cell r="Q970">
            <v>4.1735332649999997</v>
          </cell>
          <cell r="R970">
            <v>4.2269448230000002</v>
          </cell>
          <cell r="S970">
            <v>4.280431536</v>
          </cell>
          <cell r="T970">
            <v>4.3340204519999999</v>
          </cell>
          <cell r="U970">
            <v>4.3877624649999998</v>
          </cell>
          <cell r="V970">
            <v>4.4389095200000002</v>
          </cell>
          <cell r="W970">
            <v>4.4926394759999999</v>
          </cell>
          <cell r="X970">
            <v>4.5470832369999998</v>
          </cell>
          <cell r="Y970">
            <v>4.602042397</v>
          </cell>
          <cell r="Z970">
            <v>4.6576069169999998</v>
          </cell>
          <cell r="AA970">
            <v>4.7054589770000002</v>
          </cell>
          <cell r="AB970">
            <v>4.7570511629999999</v>
          </cell>
          <cell r="AC970">
            <v>4.8094381310000003</v>
          </cell>
          <cell r="AD970">
            <v>4.8621134389999998</v>
          </cell>
          <cell r="AE970">
            <v>4.9151420190000001</v>
          </cell>
          <cell r="AF970">
            <v>4.9686794479999996</v>
          </cell>
          <cell r="AG970">
            <v>5.0228446619999998</v>
          </cell>
          <cell r="AH970">
            <v>5.0776913659999998</v>
          </cell>
          <cell r="AI970">
            <v>5.1332166680000002</v>
          </cell>
          <cell r="AJ970">
            <v>5.1893860949999997</v>
          </cell>
          <cell r="AK970">
            <v>5.2461612999999998</v>
          </cell>
        </row>
        <row r="971">
          <cell r="A971" t="str">
            <v>ems_ci_co2_seoi_0</v>
          </cell>
          <cell r="B971">
            <v>1.79697964</v>
          </cell>
          <cell r="C971">
            <v>1.8117830239999999</v>
          </cell>
          <cell r="D971">
            <v>1.8210399500000001</v>
          </cell>
          <cell r="E971">
            <v>1.828781547</v>
          </cell>
          <cell r="F971">
            <v>1.8381675230000001</v>
          </cell>
          <cell r="G971">
            <v>1.851242429</v>
          </cell>
          <cell r="H971">
            <v>1.8678421869999999</v>
          </cell>
          <cell r="I971">
            <v>1.8874072740000001</v>
          </cell>
          <cell r="J971">
            <v>1.9083791400000001</v>
          </cell>
          <cell r="K971">
            <v>1.9290839900000001</v>
          </cell>
          <cell r="L971">
            <v>1.9492693320000001</v>
          </cell>
          <cell r="M971">
            <v>1.967891029</v>
          </cell>
          <cell r="N971">
            <v>1.9853364979999999</v>
          </cell>
          <cell r="O971">
            <v>2.0022024539999999</v>
          </cell>
          <cell r="P971">
            <v>2.0188602530000002</v>
          </cell>
          <cell r="Q971">
            <v>2.0355091160000001</v>
          </cell>
          <cell r="R971">
            <v>2.0522221049999998</v>
          </cell>
          <cell r="S971">
            <v>2.0689784680000001</v>
          </cell>
          <cell r="T971">
            <v>2.085745245</v>
          </cell>
          <cell r="U971">
            <v>2.102545332</v>
          </cell>
          <cell r="V971">
            <v>2.1187329629999998</v>
          </cell>
          <cell r="W971">
            <v>2.1353033880000001</v>
          </cell>
          <cell r="X971">
            <v>2.1524401160000002</v>
          </cell>
          <cell r="Y971">
            <v>2.170244442</v>
          </cell>
          <cell r="Z971">
            <v>2.188825204</v>
          </cell>
          <cell r="AA971">
            <v>2.205762971</v>
          </cell>
          <cell r="AB971">
            <v>2.2231409599999998</v>
          </cell>
          <cell r="AC971">
            <v>2.2407037889999999</v>
          </cell>
          <cell r="AD971">
            <v>2.2583635709999998</v>
          </cell>
          <cell r="AE971">
            <v>2.2763461280000001</v>
          </cell>
          <cell r="AF971">
            <v>2.2949546550000002</v>
          </cell>
          <cell r="AG971">
            <v>2.314388095</v>
          </cell>
          <cell r="AH971">
            <v>2.3346738459999998</v>
          </cell>
          <cell r="AI971">
            <v>2.3556943060000002</v>
          </cell>
          <cell r="AJ971">
            <v>2.377261844</v>
          </cell>
          <cell r="AK971">
            <v>2.3992141949999999</v>
          </cell>
        </row>
        <row r="972">
          <cell r="A972" t="str">
            <v>ems_y_co2_seoi_0</v>
          </cell>
          <cell r="B972">
            <v>0</v>
          </cell>
          <cell r="C972">
            <v>0</v>
          </cell>
          <cell r="D972">
            <v>0</v>
          </cell>
          <cell r="E972">
            <v>0</v>
          </cell>
          <cell r="F972">
            <v>0</v>
          </cell>
          <cell r="G972">
            <v>0</v>
          </cell>
          <cell r="H972">
            <v>0</v>
          </cell>
          <cell r="I972">
            <v>0</v>
          </cell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0</v>
          </cell>
          <cell r="Y972">
            <v>0</v>
          </cell>
          <cell r="Z972">
            <v>0</v>
          </cell>
          <cell r="AA972">
            <v>0</v>
          </cell>
          <cell r="AB972">
            <v>0</v>
          </cell>
          <cell r="AC972">
            <v>0</v>
          </cell>
          <cell r="AD972">
            <v>0</v>
          </cell>
          <cell r="AE972">
            <v>0</v>
          </cell>
          <cell r="AF972">
            <v>0</v>
          </cell>
          <cell r="AG972">
            <v>0</v>
          </cell>
          <cell r="AH972">
            <v>0</v>
          </cell>
          <cell r="AI972">
            <v>0</v>
          </cell>
          <cell r="AJ972">
            <v>0</v>
          </cell>
          <cell r="AK972">
            <v>0</v>
          </cell>
        </row>
        <row r="973">
          <cell r="A973" t="str">
            <v>ems_mat_co2_seoi_0</v>
          </cell>
          <cell r="B973">
            <v>0.1231599526</v>
          </cell>
          <cell r="C973">
            <v>0.1241745351</v>
          </cell>
          <cell r="D973">
            <v>0.12480897890000001</v>
          </cell>
          <cell r="E973">
            <v>0.1253395662</v>
          </cell>
          <cell r="F973">
            <v>0.12598285479999999</v>
          </cell>
          <cell r="G973">
            <v>0.1268789722</v>
          </cell>
          <cell r="H973">
            <v>0.12801667310000001</v>
          </cell>
          <cell r="I973">
            <v>0.12935760939999999</v>
          </cell>
          <cell r="J973">
            <v>0.13079496239999999</v>
          </cell>
          <cell r="K973">
            <v>0.1322140148</v>
          </cell>
          <cell r="L973">
            <v>0.1335974617</v>
          </cell>
          <cell r="M973">
            <v>0.13487374060000001</v>
          </cell>
          <cell r="N973">
            <v>0.13606940419999999</v>
          </cell>
          <cell r="O973">
            <v>0.13722534959999999</v>
          </cell>
          <cell r="P973">
            <v>0.13836702849999999</v>
          </cell>
          <cell r="Q973">
            <v>0.139508095</v>
          </cell>
          <cell r="R973">
            <v>0.14065355639999999</v>
          </cell>
          <cell r="S973">
            <v>0.14180199060000001</v>
          </cell>
          <cell r="T973">
            <v>0.1429511386</v>
          </cell>
          <cell r="U973">
            <v>0.1441025695</v>
          </cell>
          <cell r="V973">
            <v>0.1452120244</v>
          </cell>
          <cell r="W973">
            <v>0.14634771490000001</v>
          </cell>
          <cell r="X973">
            <v>0.14752221830000001</v>
          </cell>
          <cell r="Y973">
            <v>0.1487424769</v>
          </cell>
          <cell r="Z973">
            <v>0.15001595030000001</v>
          </cell>
          <cell r="AA973">
            <v>0.1511768175</v>
          </cell>
          <cell r="AB973">
            <v>0.1523678561</v>
          </cell>
          <cell r="AC973">
            <v>0.15357156329999999</v>
          </cell>
          <cell r="AD973">
            <v>0.15478191520000001</v>
          </cell>
          <cell r="AE973">
            <v>0.1560143893</v>
          </cell>
          <cell r="AF973">
            <v>0.1572897657</v>
          </cell>
          <cell r="AG973">
            <v>0.15862167930000001</v>
          </cell>
          <cell r="AH973">
            <v>0.16001200779999999</v>
          </cell>
          <cell r="AI973">
            <v>0.16145269130000001</v>
          </cell>
          <cell r="AJ973">
            <v>0.16293087000000001</v>
          </cell>
          <cell r="AK973">
            <v>0.16443542259999999</v>
          </cell>
        </row>
        <row r="974">
          <cell r="A974" t="str">
            <v>ems_ci_co2_sega_0</v>
          </cell>
          <cell r="B974">
            <v>4.5529256260000004</v>
          </cell>
          <cell r="C974">
            <v>4.5904322860000004</v>
          </cell>
          <cell r="D974">
            <v>4.6138861369999997</v>
          </cell>
          <cell r="E974">
            <v>4.6335006700000001</v>
          </cell>
          <cell r="F974">
            <v>4.6572814920000001</v>
          </cell>
          <cell r="G974">
            <v>4.6904087880000001</v>
          </cell>
          <cell r="H974">
            <v>4.732466842</v>
          </cell>
          <cell r="I974">
            <v>4.7820380150000004</v>
          </cell>
          <cell r="J974">
            <v>4.8351734799999999</v>
          </cell>
          <cell r="K974">
            <v>4.8876324149999997</v>
          </cell>
          <cell r="L974">
            <v>4.9387750979999998</v>
          </cell>
          <cell r="M974">
            <v>4.9859560429999998</v>
          </cell>
          <cell r="N974">
            <v>5.0301568330000004</v>
          </cell>
          <cell r="O974">
            <v>5.0728893389999996</v>
          </cell>
          <cell r="P974">
            <v>5.1150944479999998</v>
          </cell>
          <cell r="Q974">
            <v>5.1572769149999997</v>
          </cell>
          <cell r="R974">
            <v>5.1996218540000001</v>
          </cell>
          <cell r="S974">
            <v>5.2420766890000001</v>
          </cell>
          <cell r="T974">
            <v>5.2845579110000003</v>
          </cell>
          <cell r="U974">
            <v>5.3271235270000004</v>
          </cell>
          <cell r="V974">
            <v>5.3681373920000004</v>
          </cell>
          <cell r="W974">
            <v>5.4101211249999999</v>
          </cell>
          <cell r="X974">
            <v>5.4535396739999999</v>
          </cell>
          <cell r="Y974">
            <v>5.4986496850000002</v>
          </cell>
          <cell r="Z974">
            <v>5.5457269189999998</v>
          </cell>
          <cell r="AA974">
            <v>5.5886413700000004</v>
          </cell>
          <cell r="AB974">
            <v>5.6326711889999999</v>
          </cell>
          <cell r="AC974">
            <v>5.6771693330000002</v>
          </cell>
          <cell r="AD974">
            <v>5.7219131179999998</v>
          </cell>
          <cell r="AE974">
            <v>5.7674747059999998</v>
          </cell>
          <cell r="AF974">
            <v>5.8146222849999996</v>
          </cell>
          <cell r="AG974">
            <v>5.8638599109999996</v>
          </cell>
          <cell r="AH974">
            <v>5.9152569960000001</v>
          </cell>
          <cell r="AI974">
            <v>5.9685155810000001</v>
          </cell>
          <cell r="AJ974">
            <v>6.0231602710000001</v>
          </cell>
          <cell r="AK974">
            <v>6.078779945</v>
          </cell>
        </row>
        <row r="975">
          <cell r="A975" t="str">
            <v>ems_y_co2_sega_0</v>
          </cell>
          <cell r="B975">
            <v>0</v>
          </cell>
          <cell r="C975">
            <v>0</v>
          </cell>
          <cell r="D975">
            <v>0</v>
          </cell>
          <cell r="E975">
            <v>0</v>
          </cell>
          <cell r="F975">
            <v>0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0</v>
          </cell>
          <cell r="L975">
            <v>0</v>
          </cell>
          <cell r="M975">
            <v>0</v>
          </cell>
          <cell r="N975">
            <v>0</v>
          </cell>
          <cell r="O975">
            <v>0</v>
          </cell>
          <cell r="P975">
            <v>0</v>
          </cell>
          <cell r="Q975">
            <v>0</v>
          </cell>
          <cell r="R975">
            <v>0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B975">
            <v>0</v>
          </cell>
          <cell r="AC975">
            <v>0</v>
          </cell>
          <cell r="AD975">
            <v>0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>
            <v>0</v>
          </cell>
          <cell r="AJ975">
            <v>0</v>
          </cell>
          <cell r="AK975">
            <v>0</v>
          </cell>
        </row>
        <row r="976">
          <cell r="A976" t="str">
            <v>ems_mat_co2_sega_0</v>
          </cell>
          <cell r="B976">
            <v>0.31204477320000001</v>
          </cell>
          <cell r="C976">
            <v>0.31461537480000001</v>
          </cell>
          <cell r="D976">
            <v>0.31622283610000002</v>
          </cell>
          <cell r="E976">
            <v>0.3175671612</v>
          </cell>
          <cell r="F976">
            <v>0.3191970321</v>
          </cell>
          <cell r="G976">
            <v>0.32146748400000003</v>
          </cell>
          <cell r="H976">
            <v>0.3243500252</v>
          </cell>
          <cell r="I976">
            <v>0.32774749450000001</v>
          </cell>
          <cell r="J976">
            <v>0.33138925050000001</v>
          </cell>
          <cell r="K976">
            <v>0.33498463899999997</v>
          </cell>
          <cell r="L976">
            <v>0.3384898154</v>
          </cell>
          <cell r="M976">
            <v>0.34172346539999998</v>
          </cell>
          <cell r="N976">
            <v>0.34475286379999998</v>
          </cell>
          <cell r="O976">
            <v>0.34768163019999998</v>
          </cell>
          <cell r="P976">
            <v>0.35057425019999999</v>
          </cell>
          <cell r="Q976">
            <v>0.35346531840000001</v>
          </cell>
          <cell r="R976">
            <v>0.35636752199999999</v>
          </cell>
          <cell r="S976">
            <v>0.35927725739999999</v>
          </cell>
          <cell r="T976">
            <v>0.36218880149999999</v>
          </cell>
          <cell r="U976">
            <v>0.36510612949999999</v>
          </cell>
          <cell r="V976">
            <v>0.36791710500000002</v>
          </cell>
          <cell r="W976">
            <v>0.37079455249999999</v>
          </cell>
          <cell r="X976">
            <v>0.3737703383</v>
          </cell>
          <cell r="Y976">
            <v>0.376862052</v>
          </cell>
          <cell r="Z976">
            <v>0.38008859379999999</v>
          </cell>
          <cell r="AA976">
            <v>0.38302983010000002</v>
          </cell>
          <cell r="AB976">
            <v>0.38604751059999998</v>
          </cell>
          <cell r="AC976">
            <v>0.38909728869999999</v>
          </cell>
          <cell r="AD976">
            <v>0.39216390239999999</v>
          </cell>
          <cell r="AE976">
            <v>0.39528656600000001</v>
          </cell>
          <cell r="AF976">
            <v>0.39851792899999999</v>
          </cell>
          <cell r="AG976">
            <v>0.40189253800000002</v>
          </cell>
          <cell r="AH976">
            <v>0.40541515030000003</v>
          </cell>
          <cell r="AI976">
            <v>0.40906534449999998</v>
          </cell>
          <cell r="AJ976">
            <v>0.4128105386</v>
          </cell>
          <cell r="AK976">
            <v>0.41662255520000002</v>
          </cell>
        </row>
        <row r="977">
          <cell r="A977" t="str">
            <v>ems_ci_co2_seco_0</v>
          </cell>
          <cell r="B977">
            <v>4.5415965390000004</v>
          </cell>
          <cell r="C977">
            <v>4.5790098720000003</v>
          </cell>
          <cell r="D977">
            <v>4.6024053609999998</v>
          </cell>
          <cell r="E977">
            <v>4.621971083</v>
          </cell>
          <cell r="F977">
            <v>4.6456927260000001</v>
          </cell>
          <cell r="G977">
            <v>4.6787375840000003</v>
          </cell>
          <cell r="H977">
            <v>4.7206909789999996</v>
          </cell>
          <cell r="I977">
            <v>4.7701387989999997</v>
          </cell>
          <cell r="J977">
            <v>4.823142045</v>
          </cell>
          <cell r="K977">
            <v>4.8754704459999996</v>
          </cell>
          <cell r="L977">
            <v>4.9264858719999998</v>
          </cell>
          <cell r="M977">
            <v>4.9735494200000003</v>
          </cell>
          <cell r="N977">
            <v>5.0176402270000002</v>
          </cell>
          <cell r="O977">
            <v>5.060266403</v>
          </cell>
          <cell r="P977">
            <v>5.1023664950000001</v>
          </cell>
          <cell r="Q977">
            <v>5.1444440010000001</v>
          </cell>
          <cell r="R977">
            <v>5.186683575</v>
          </cell>
          <cell r="S977">
            <v>5.2290327699999999</v>
          </cell>
          <cell r="T977">
            <v>5.2714082879999999</v>
          </cell>
          <cell r="U977">
            <v>5.3138679890000002</v>
          </cell>
          <cell r="V977">
            <v>5.3547798010000003</v>
          </cell>
          <cell r="W977">
            <v>5.3966590659999998</v>
          </cell>
          <cell r="X977">
            <v>5.4399695780000004</v>
          </cell>
          <cell r="Y977">
            <v>5.4849673409999999</v>
          </cell>
          <cell r="Z977">
            <v>5.531927434</v>
          </cell>
          <cell r="AA977">
            <v>5.5747351009999999</v>
          </cell>
          <cell r="AB977">
            <v>5.6186553610000001</v>
          </cell>
          <cell r="AC977">
            <v>5.6630427799999996</v>
          </cell>
          <cell r="AD977">
            <v>5.7076752300000004</v>
          </cell>
          <cell r="AE977">
            <v>5.753123446</v>
          </cell>
          <cell r="AF977">
            <v>5.8001537069999998</v>
          </cell>
          <cell r="AG977">
            <v>5.8492688150000003</v>
          </cell>
          <cell r="AH977">
            <v>5.9005380079999998</v>
          </cell>
          <cell r="AI977">
            <v>5.9536640690000002</v>
          </cell>
          <cell r="AJ977">
            <v>6.0081727860000003</v>
          </cell>
          <cell r="AK977">
            <v>6.0636540610000003</v>
          </cell>
        </row>
        <row r="978">
          <cell r="A978" t="str">
            <v>ems_y_co2_seco_0</v>
          </cell>
          <cell r="B978">
            <v>0</v>
          </cell>
          <cell r="C978">
            <v>0</v>
          </cell>
          <cell r="D978">
            <v>0</v>
          </cell>
          <cell r="E978">
            <v>0</v>
          </cell>
          <cell r="F978">
            <v>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0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B978">
            <v>0</v>
          </cell>
          <cell r="AC978">
            <v>0</v>
          </cell>
          <cell r="AD978">
            <v>0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>
            <v>0</v>
          </cell>
          <cell r="AJ978">
            <v>0</v>
          </cell>
          <cell r="AK978">
            <v>0</v>
          </cell>
        </row>
        <row r="979">
          <cell r="A979" t="str">
            <v>ems_mat_co2_seco_0</v>
          </cell>
          <cell r="B979">
            <v>0.3112683094</v>
          </cell>
          <cell r="C979">
            <v>0.31383251449999999</v>
          </cell>
          <cell r="D979">
            <v>0.3154359759</v>
          </cell>
          <cell r="E979">
            <v>0.316776956</v>
          </cell>
          <cell r="F979">
            <v>0.31840277119999999</v>
          </cell>
          <cell r="G979">
            <v>0.32066757359999998</v>
          </cell>
          <cell r="H979">
            <v>0.32354294210000001</v>
          </cell>
          <cell r="I979">
            <v>0.32693195749999998</v>
          </cell>
          <cell r="J979">
            <v>0.33056465159999998</v>
          </cell>
          <cell r="K979">
            <v>0.33415109370000001</v>
          </cell>
          <cell r="L979">
            <v>0.33764754809999997</v>
          </cell>
          <cell r="M979">
            <v>0.3408731518</v>
          </cell>
          <cell r="N979">
            <v>0.34389501220000002</v>
          </cell>
          <cell r="O979">
            <v>0.34681649079999999</v>
          </cell>
          <cell r="P979">
            <v>0.34970191309999998</v>
          </cell>
          <cell r="Q979">
            <v>0.35258578740000002</v>
          </cell>
          <cell r="R979">
            <v>0.35548076940000001</v>
          </cell>
          <cell r="S979">
            <v>0.35838326459999997</v>
          </cell>
          <cell r="T979">
            <v>0.36128756379999999</v>
          </cell>
          <cell r="U979">
            <v>0.3641976327</v>
          </cell>
          <cell r="V979">
            <v>0.3670016136</v>
          </cell>
          <cell r="W979">
            <v>0.36987190110000001</v>
          </cell>
          <cell r="X979">
            <v>0.37284028219999998</v>
          </cell>
          <cell r="Y979">
            <v>0.3759243028</v>
          </cell>
          <cell r="Z979">
            <v>0.37914281589999999</v>
          </cell>
          <cell r="AA979">
            <v>0.38207673349999999</v>
          </cell>
          <cell r="AB979">
            <v>0.38508690509999999</v>
          </cell>
          <cell r="AC979">
            <v>0.38812909439999999</v>
          </cell>
          <cell r="AD979">
            <v>0.3911880774</v>
          </cell>
          <cell r="AE979">
            <v>0.39430297089999999</v>
          </cell>
          <cell r="AF979">
            <v>0.3975262933</v>
          </cell>
          <cell r="AG979">
            <v>0.40089250520000003</v>
          </cell>
          <cell r="AH979">
            <v>0.40440635209999998</v>
          </cell>
          <cell r="AI979">
            <v>0.40804746349999999</v>
          </cell>
          <cell r="AJ979">
            <v>0.41178333839999998</v>
          </cell>
          <cell r="AK979">
            <v>0.41558586959999999</v>
          </cell>
        </row>
        <row r="980">
          <cell r="A980" t="str">
            <v>ems_ci_co2_sech_0</v>
          </cell>
          <cell r="B980">
            <v>2.6053370220000001</v>
          </cell>
          <cell r="C980">
            <v>2.6330751829999999</v>
          </cell>
          <cell r="D980">
            <v>2.6553026380000002</v>
          </cell>
          <cell r="E980">
            <v>2.6753419979999999</v>
          </cell>
          <cell r="F980">
            <v>2.696717177</v>
          </cell>
          <cell r="G980">
            <v>2.7220123850000002</v>
          </cell>
          <cell r="H980">
            <v>2.7507026630000002</v>
          </cell>
          <cell r="I980">
            <v>2.7826076679999998</v>
          </cell>
          <cell r="J980">
            <v>2.8161987430000002</v>
          </cell>
          <cell r="K980">
            <v>2.8495678789999999</v>
          </cell>
          <cell r="L980">
            <v>2.8833145519999999</v>
          </cell>
          <cell r="M980">
            <v>2.9149855260000002</v>
          </cell>
          <cell r="N980">
            <v>2.9449222590000002</v>
          </cell>
          <cell r="O980">
            <v>2.9740184539999999</v>
          </cell>
          <cell r="P980">
            <v>3.0027652480000002</v>
          </cell>
          <cell r="Q980">
            <v>3.0314007780000001</v>
          </cell>
          <cell r="R980">
            <v>3.060006284</v>
          </cell>
          <cell r="S980">
            <v>3.0885668310000001</v>
          </cell>
          <cell r="T980">
            <v>3.1170607449999999</v>
          </cell>
          <cell r="U980">
            <v>3.1455314649999999</v>
          </cell>
          <cell r="V980">
            <v>3.1725810729999999</v>
          </cell>
          <cell r="W980">
            <v>3.2002255970000002</v>
          </cell>
          <cell r="X980">
            <v>3.2287609549999998</v>
          </cell>
          <cell r="Y980">
            <v>3.258178075</v>
          </cell>
          <cell r="Z980">
            <v>3.2885455659999998</v>
          </cell>
          <cell r="AA980">
            <v>3.3151578079999999</v>
          </cell>
          <cell r="AB980">
            <v>3.3420337959999999</v>
          </cell>
          <cell r="AC980">
            <v>3.369260599</v>
          </cell>
          <cell r="AD980">
            <v>3.3966588820000001</v>
          </cell>
          <cell r="AE980">
            <v>3.4244394329999999</v>
          </cell>
          <cell r="AF980">
            <v>3.4529474640000002</v>
          </cell>
          <cell r="AG980">
            <v>3.4824273099999998</v>
          </cell>
          <cell r="AH980">
            <v>3.5129264230000001</v>
          </cell>
          <cell r="AI980">
            <v>3.544316319</v>
          </cell>
          <cell r="AJ980">
            <v>3.576378966</v>
          </cell>
          <cell r="AK980">
            <v>3.608915756</v>
          </cell>
        </row>
        <row r="981">
          <cell r="A981" t="str">
            <v>ems_y_co2_sech_0</v>
          </cell>
          <cell r="B981">
            <v>0</v>
          </cell>
          <cell r="C981">
            <v>0</v>
          </cell>
          <cell r="D981">
            <v>0</v>
          </cell>
          <cell r="E981">
            <v>0</v>
          </cell>
          <cell r="F981">
            <v>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B981">
            <v>0</v>
          </cell>
          <cell r="AC981">
            <v>0</v>
          </cell>
          <cell r="AD981">
            <v>0</v>
          </cell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>
            <v>0</v>
          </cell>
          <cell r="AJ981">
            <v>0</v>
          </cell>
          <cell r="AK981">
            <v>0</v>
          </cell>
        </row>
        <row r="982">
          <cell r="A982" t="str">
            <v>ems_mat_co2_sech_0</v>
          </cell>
          <cell r="B982">
            <v>0.17856109919999999</v>
          </cell>
          <cell r="C982">
            <v>0.18044749199999999</v>
          </cell>
          <cell r="D982">
            <v>0.1819392118</v>
          </cell>
          <cell r="E982">
            <v>0.1832688676</v>
          </cell>
          <cell r="F982">
            <v>0.18468443740000001</v>
          </cell>
          <cell r="G982">
            <v>0.18636816449999999</v>
          </cell>
          <cell r="H982">
            <v>0.18828745690000001</v>
          </cell>
          <cell r="I982">
            <v>0.19043181479999999</v>
          </cell>
          <cell r="J982">
            <v>0.19269747509999999</v>
          </cell>
          <cell r="K982">
            <v>0.1949542008</v>
          </cell>
          <cell r="L982">
            <v>0.1972430654</v>
          </cell>
          <cell r="M982">
            <v>0.19939649270000001</v>
          </cell>
          <cell r="N982">
            <v>0.2014376611</v>
          </cell>
          <cell r="O982">
            <v>0.2034274117</v>
          </cell>
          <cell r="P982">
            <v>0.20539885199999999</v>
          </cell>
          <cell r="Q982">
            <v>0.20736757189999999</v>
          </cell>
          <cell r="R982">
            <v>0.2093382798</v>
          </cell>
          <cell r="S982">
            <v>0.21130905890000001</v>
          </cell>
          <cell r="T982">
            <v>0.21327757959999999</v>
          </cell>
          <cell r="U982">
            <v>0.2152460739</v>
          </cell>
          <cell r="V982">
            <v>0.21711822010000001</v>
          </cell>
          <cell r="W982">
            <v>0.21903142410000001</v>
          </cell>
          <cell r="X982">
            <v>0.22100569580000001</v>
          </cell>
          <cell r="Y982">
            <v>0.22304016539999999</v>
          </cell>
          <cell r="Z982">
            <v>0.22513930469999999</v>
          </cell>
          <cell r="AA982">
            <v>0.22698055780000001</v>
          </cell>
          <cell r="AB982">
            <v>0.22883886680000001</v>
          </cell>
          <cell r="AC982">
            <v>0.2307204517</v>
          </cell>
          <cell r="AD982">
            <v>0.23261317240000001</v>
          </cell>
          <cell r="AE982">
            <v>0.2345314744</v>
          </cell>
          <cell r="AF982">
            <v>0.23649893850000001</v>
          </cell>
          <cell r="AG982">
            <v>0.2385322198</v>
          </cell>
          <cell r="AH982">
            <v>0.24063450880000001</v>
          </cell>
          <cell r="AI982">
            <v>0.2427969861</v>
          </cell>
          <cell r="AJ982">
            <v>0.24500474689999999</v>
          </cell>
          <cell r="AK982">
            <v>0.2472442581</v>
          </cell>
        </row>
        <row r="983">
          <cell r="A983" t="str">
            <v>ems_ci_co2_seot_0</v>
          </cell>
          <cell r="B983">
            <v>1.79097061</v>
          </cell>
          <cell r="C983">
            <v>1.805997879</v>
          </cell>
          <cell r="D983">
            <v>1.8156797520000001</v>
          </cell>
          <cell r="E983">
            <v>1.8238525320000001</v>
          </cell>
          <cell r="F983">
            <v>1.833572848</v>
          </cell>
          <cell r="G983">
            <v>1.846895417</v>
          </cell>
          <cell r="H983">
            <v>1.8637367570000001</v>
          </cell>
          <cell r="I983">
            <v>1.8836120199999999</v>
          </cell>
          <cell r="J983">
            <v>1.904988535</v>
          </cell>
          <cell r="K983">
            <v>1.926158788</v>
          </cell>
          <cell r="L983">
            <v>1.946782797</v>
          </cell>
          <cell r="M983">
            <v>1.9657645290000001</v>
          </cell>
          <cell r="N983">
            <v>1.9834554390000001</v>
          </cell>
          <cell r="O983">
            <v>2.0004433850000001</v>
          </cell>
          <cell r="P983">
            <v>2.0171110840000002</v>
          </cell>
          <cell r="Q983">
            <v>2.033678729</v>
          </cell>
          <cell r="R983">
            <v>2.0502408729999999</v>
          </cell>
          <cell r="S983">
            <v>2.0667934520000002</v>
          </cell>
          <cell r="T983">
            <v>2.083314347</v>
          </cell>
          <cell r="U983">
            <v>2.0998334710000002</v>
          </cell>
          <cell r="V983">
            <v>2.1157206560000001</v>
          </cell>
          <cell r="W983">
            <v>2.1319647499999999</v>
          </cell>
          <cell r="X983">
            <v>2.148752199</v>
          </cell>
          <cell r="Y983">
            <v>2.1661942380000001</v>
          </cell>
          <cell r="Z983">
            <v>2.1844137699999999</v>
          </cell>
          <cell r="AA983">
            <v>2.2010309459999999</v>
          </cell>
          <cell r="AB983">
            <v>2.2181106669999999</v>
          </cell>
          <cell r="AC983">
            <v>2.2353795540000001</v>
          </cell>
          <cell r="AD983">
            <v>2.2527350909999999</v>
          </cell>
          <cell r="AE983">
            <v>2.2703987450000001</v>
          </cell>
          <cell r="AF983">
            <v>2.2886803389999999</v>
          </cell>
          <cell r="AG983">
            <v>2.3077919530000002</v>
          </cell>
          <cell r="AH983">
            <v>2.3277742840000002</v>
          </cell>
          <cell r="AI983">
            <v>2.3485181399999999</v>
          </cell>
          <cell r="AJ983">
            <v>2.3698373909999999</v>
          </cell>
          <cell r="AK983">
            <v>2.3915654430000002</v>
          </cell>
        </row>
        <row r="984">
          <cell r="A984" t="str">
            <v>ems_y_co2_seot_0</v>
          </cell>
          <cell r="B984">
            <v>0</v>
          </cell>
          <cell r="C984">
            <v>0</v>
          </cell>
          <cell r="D984">
            <v>0</v>
          </cell>
          <cell r="E984">
            <v>0</v>
          </cell>
          <cell r="F984">
            <v>0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B984">
            <v>0</v>
          </cell>
          <cell r="AC984">
            <v>0</v>
          </cell>
          <cell r="AD984">
            <v>0</v>
          </cell>
          <cell r="AE984">
            <v>0</v>
          </cell>
          <cell r="AF984">
            <v>0</v>
          </cell>
          <cell r="AG984">
            <v>0</v>
          </cell>
          <cell r="AH984">
            <v>0</v>
          </cell>
          <cell r="AI984">
            <v>0</v>
          </cell>
          <cell r="AJ984">
            <v>0</v>
          </cell>
          <cell r="AK984">
            <v>0</v>
          </cell>
        </row>
        <row r="985">
          <cell r="A985" t="str">
            <v>ems_mat_co2_seot_0</v>
          </cell>
          <cell r="B985">
            <v>0.1227500185</v>
          </cell>
          <cell r="C985">
            <v>0.123761224</v>
          </cell>
          <cell r="D985">
            <v>0.124393556</v>
          </cell>
          <cell r="E985">
            <v>0.12492237740000001</v>
          </cell>
          <cell r="F985">
            <v>0.12556352470000001</v>
          </cell>
          <cell r="G985">
            <v>0.12645665950000001</v>
          </cell>
          <cell r="H985">
            <v>0.12759057360000001</v>
          </cell>
          <cell r="I985">
            <v>0.12892704660000001</v>
          </cell>
          <cell r="J985">
            <v>0.13035961539999999</v>
          </cell>
          <cell r="K985">
            <v>0.1317739446</v>
          </cell>
          <cell r="L985">
            <v>0.13315278659999999</v>
          </cell>
          <cell r="M985">
            <v>0.13442481749999999</v>
          </cell>
          <cell r="N985">
            <v>0.13561650140000001</v>
          </cell>
          <cell r="O985">
            <v>0.13676859929999999</v>
          </cell>
          <cell r="P985">
            <v>0.13790647819999999</v>
          </cell>
          <cell r="Q985">
            <v>0.13904374659999999</v>
          </cell>
          <cell r="R985">
            <v>0.1401853954</v>
          </cell>
          <cell r="S985">
            <v>0.14133000709999999</v>
          </cell>
          <cell r="T985">
            <v>0.1424753302</v>
          </cell>
          <cell r="U985">
            <v>0.1436229285</v>
          </cell>
          <cell r="V985">
            <v>0.1447286907</v>
          </cell>
          <cell r="W985">
            <v>0.14586060109999999</v>
          </cell>
          <cell r="X985">
            <v>0.14703119510000001</v>
          </cell>
          <cell r="Y985">
            <v>0.14824739219999999</v>
          </cell>
          <cell r="Z985">
            <v>0.1495166269</v>
          </cell>
          <cell r="AA985">
            <v>0.15067363010000001</v>
          </cell>
          <cell r="AB985">
            <v>0.15186070439999999</v>
          </cell>
          <cell r="AC985">
            <v>0.15306040509999999</v>
          </cell>
          <cell r="AD985">
            <v>0.1542667284</v>
          </cell>
          <cell r="AE985">
            <v>0.15549510029999999</v>
          </cell>
          <cell r="AF985">
            <v>0.1567662316</v>
          </cell>
          <cell r="AG985">
            <v>0.15809371189999999</v>
          </cell>
          <cell r="AH985">
            <v>0.1594794128</v>
          </cell>
          <cell r="AI985">
            <v>0.16091530100000001</v>
          </cell>
          <cell r="AJ985">
            <v>0.16238855960000001</v>
          </cell>
          <cell r="AK985">
            <v>0.16388810440000001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8">
          <cell r="A18" t="str">
            <v>auto_ca_cfut_2</v>
          </cell>
          <cell r="B18">
            <v>7095.7005250000002</v>
          </cell>
          <cell r="C18">
            <v>7152.3233749999999</v>
          </cell>
          <cell r="D18">
            <v>7260.9426700000004</v>
          </cell>
          <cell r="E18">
            <v>7402.0124539999997</v>
          </cell>
          <cell r="F18">
            <v>7560.4145399999998</v>
          </cell>
          <cell r="G18">
            <v>7727.2612019999997</v>
          </cell>
          <cell r="H18">
            <v>7893.950229</v>
          </cell>
          <cell r="I18">
            <v>8071.4872379999997</v>
          </cell>
          <cell r="J18">
            <v>8273.1090220000006</v>
          </cell>
          <cell r="K18">
            <v>8490.8867129999999</v>
          </cell>
          <cell r="L18">
            <v>8721.4177830000008</v>
          </cell>
          <cell r="M18">
            <v>8954.7588450000003</v>
          </cell>
          <cell r="N18">
            <v>9184.3607709999997</v>
          </cell>
          <cell r="O18">
            <v>9406.7346219999999</v>
          </cell>
          <cell r="P18">
            <v>9621.0681480000003</v>
          </cell>
          <cell r="Q18">
            <v>9828.8901619999997</v>
          </cell>
          <cell r="R18">
            <v>10032.977360000001</v>
          </cell>
          <cell r="S18">
            <v>10236.18491</v>
          </cell>
          <cell r="T18">
            <v>10440.5676</v>
          </cell>
          <cell r="U18">
            <v>10647.014450000001</v>
          </cell>
          <cell r="V18">
            <v>10853.65552</v>
          </cell>
          <cell r="W18">
            <v>11061.947700000001</v>
          </cell>
          <cell r="X18">
            <v>11271.261549999999</v>
          </cell>
          <cell r="Y18">
            <v>11480.790639999999</v>
          </cell>
          <cell r="Z18">
            <v>11690.249750000001</v>
          </cell>
          <cell r="AA18">
            <v>11894.22481</v>
          </cell>
          <cell r="AB18">
            <v>12097.66714</v>
          </cell>
          <cell r="AC18">
            <v>12301.745559999999</v>
          </cell>
          <cell r="AD18">
            <v>12506.241459999999</v>
          </cell>
          <cell r="AE18">
            <v>12710.728950000001</v>
          </cell>
          <cell r="AF18">
            <v>12914.741770000001</v>
          </cell>
          <cell r="AG18">
            <v>13118.05393</v>
          </cell>
          <cell r="AH18">
            <v>13320.798510000001</v>
          </cell>
          <cell r="AI18">
            <v>13523.41473</v>
          </cell>
          <cell r="AJ18">
            <v>13726.484909999999</v>
          </cell>
          <cell r="AK18">
            <v>13930.550080000001</v>
          </cell>
        </row>
        <row r="19">
          <cell r="A19" t="str">
            <v>auto_ca_cfut_0</v>
          </cell>
          <cell r="B19">
            <v>7095.7005250000002</v>
          </cell>
          <cell r="C19">
            <v>7152.3233749999999</v>
          </cell>
          <cell r="D19">
            <v>7260.9426700000004</v>
          </cell>
          <cell r="E19">
            <v>7402.0124539999997</v>
          </cell>
          <cell r="F19">
            <v>7560.4145399999998</v>
          </cell>
          <cell r="G19">
            <v>7727.2612019999997</v>
          </cell>
          <cell r="H19">
            <v>7897.3453689999997</v>
          </cell>
          <cell r="I19">
            <v>8070.5328570000001</v>
          </cell>
          <cell r="J19">
            <v>8248.4776999999995</v>
          </cell>
          <cell r="K19">
            <v>8433.0300719999996</v>
          </cell>
          <cell r="L19">
            <v>8627.1095939999996</v>
          </cell>
          <cell r="M19">
            <v>8827.8061359999992</v>
          </cell>
          <cell r="N19">
            <v>9033.6216889999996</v>
          </cell>
          <cell r="O19">
            <v>9243.1282410000003</v>
          </cell>
          <cell r="P19">
            <v>9454.8262770000001</v>
          </cell>
          <cell r="Q19">
            <v>9667.5956549999992</v>
          </cell>
          <cell r="R19">
            <v>9880.7192759999998</v>
          </cell>
          <cell r="S19">
            <v>10093.769480000001</v>
          </cell>
          <cell r="T19">
            <v>10306.463089999999</v>
          </cell>
          <cell r="U19">
            <v>10518.555609999999</v>
          </cell>
          <cell r="V19">
            <v>10728.09036</v>
          </cell>
          <cell r="W19">
            <v>10936.95253</v>
          </cell>
          <cell r="X19">
            <v>11145.11609</v>
          </cell>
          <cell r="Y19">
            <v>11352.21579</v>
          </cell>
          <cell r="Z19">
            <v>11558.14249</v>
          </cell>
          <cell r="AA19">
            <v>11757.56993</v>
          </cell>
          <cell r="AB19">
            <v>11955.26404</v>
          </cell>
          <cell r="AC19">
            <v>12152.37133</v>
          </cell>
          <cell r="AD19">
            <v>12348.816339999999</v>
          </cell>
          <cell r="AE19">
            <v>12544.3606</v>
          </cell>
          <cell r="AF19">
            <v>12738.716280000001</v>
          </cell>
          <cell r="AG19">
            <v>12931.762989999999</v>
          </cell>
          <cell r="AH19">
            <v>13123.633</v>
          </cell>
          <cell r="AI19">
            <v>13314.663060000001</v>
          </cell>
          <cell r="AJ19">
            <v>13505.26599</v>
          </cell>
          <cell r="AK19">
            <v>13695.792799999999</v>
          </cell>
        </row>
        <row r="20">
          <cell r="A20" t="str">
            <v>auto_cb_cfut_2</v>
          </cell>
          <cell r="B20">
            <v>8251.256421</v>
          </cell>
          <cell r="C20">
            <v>8192.9547430000002</v>
          </cell>
          <cell r="D20">
            <v>8192.1601879999998</v>
          </cell>
          <cell r="E20">
            <v>8229.3540109999994</v>
          </cell>
          <cell r="F20">
            <v>8289.3841329999996</v>
          </cell>
          <cell r="G20">
            <v>8363.0822530000005</v>
          </cell>
          <cell r="H20">
            <v>8441.1491819999992</v>
          </cell>
          <cell r="I20">
            <v>8532.6269670000001</v>
          </cell>
          <cell r="J20">
            <v>8649.911016</v>
          </cell>
          <cell r="K20">
            <v>8785.2564610000009</v>
          </cell>
          <cell r="L20">
            <v>8935.3907550000004</v>
          </cell>
          <cell r="M20">
            <v>9090.9559079999999</v>
          </cell>
          <cell r="N20">
            <v>9245.6555619999999</v>
          </cell>
          <cell r="O20">
            <v>9395.9406620000009</v>
          </cell>
          <cell r="P20">
            <v>9540.6544849999991</v>
          </cell>
          <cell r="Q20">
            <v>9680.7748759999995</v>
          </cell>
          <cell r="R20">
            <v>9818.4587699999993</v>
          </cell>
          <cell r="S20">
            <v>9956.0023239999991</v>
          </cell>
          <cell r="T20">
            <v>10095.04602</v>
          </cell>
          <cell r="U20">
            <v>10236.229300000001</v>
          </cell>
          <cell r="V20">
            <v>10377.71521</v>
          </cell>
          <cell r="W20">
            <v>10520.696550000001</v>
          </cell>
          <cell r="X20">
            <v>10664.486860000001</v>
          </cell>
          <cell r="Y20">
            <v>10808.21113</v>
          </cell>
          <cell r="Z20">
            <v>10951.445820000001</v>
          </cell>
          <cell r="AA20">
            <v>11089.18383</v>
          </cell>
          <cell r="AB20">
            <v>11225.6662</v>
          </cell>
          <cell r="AC20">
            <v>11361.849679999999</v>
          </cell>
          <cell r="AD20">
            <v>11497.475409999999</v>
          </cell>
          <cell r="AE20">
            <v>11632.107529999999</v>
          </cell>
          <cell r="AF20">
            <v>11765.259690000001</v>
          </cell>
          <cell r="AG20">
            <v>11896.632030000001</v>
          </cell>
          <cell r="AH20">
            <v>12026.21759</v>
          </cell>
          <cell r="AI20">
            <v>12154.26669</v>
          </cell>
          <cell r="AJ20">
            <v>12281.15776</v>
          </cell>
          <cell r="AK20">
            <v>12407.246580000001</v>
          </cell>
        </row>
        <row r="21">
          <cell r="A21" t="str">
            <v>auto_cb_cfut_0</v>
          </cell>
          <cell r="B21">
            <v>8251.256421</v>
          </cell>
          <cell r="C21">
            <v>8192.9547430000002</v>
          </cell>
          <cell r="D21">
            <v>8192.1601879999998</v>
          </cell>
          <cell r="E21">
            <v>8229.3540109999994</v>
          </cell>
          <cell r="F21">
            <v>8289.3841329999996</v>
          </cell>
          <cell r="G21">
            <v>8363.0822530000005</v>
          </cell>
          <cell r="H21">
            <v>8444.7885370000004</v>
          </cell>
          <cell r="I21">
            <v>8533.6819820000001</v>
          </cell>
          <cell r="J21">
            <v>8630.6939189999994</v>
          </cell>
          <cell r="K21">
            <v>8737.0310379999992</v>
          </cell>
          <cell r="L21">
            <v>8855.0128160000004</v>
          </cell>
          <cell r="M21">
            <v>8981.5663120000008</v>
          </cell>
          <cell r="N21">
            <v>9114.9663770000006</v>
          </cell>
          <cell r="O21">
            <v>9253.5892440000007</v>
          </cell>
          <cell r="P21">
            <v>9395.7577039999996</v>
          </cell>
          <cell r="Q21">
            <v>9540.1599289999995</v>
          </cell>
          <cell r="R21">
            <v>9685.8747789999998</v>
          </cell>
          <cell r="S21">
            <v>9832.2711820000004</v>
          </cell>
          <cell r="T21">
            <v>9978.8766589999996</v>
          </cell>
          <cell r="U21">
            <v>10125.27836</v>
          </cell>
          <cell r="V21">
            <v>10269.522199999999</v>
          </cell>
          <cell r="W21">
            <v>10413.157929999999</v>
          </cell>
          <cell r="X21">
            <v>10556.031419999999</v>
          </cell>
          <cell r="Y21">
            <v>10697.672989999999</v>
          </cell>
          <cell r="Z21">
            <v>10837.837670000001</v>
          </cell>
          <cell r="AA21">
            <v>10971.61687</v>
          </cell>
          <cell r="AB21">
            <v>11103.101269999999</v>
          </cell>
          <cell r="AC21">
            <v>11233.226280000001</v>
          </cell>
          <cell r="AD21">
            <v>11361.85154</v>
          </cell>
          <cell r="AE21">
            <v>11488.696459999999</v>
          </cell>
          <cell r="AF21">
            <v>11613.425139999999</v>
          </cell>
          <cell r="AG21">
            <v>11735.83052</v>
          </cell>
          <cell r="AH21">
            <v>11855.911889999999</v>
          </cell>
          <cell r="AI21">
            <v>11973.841420000001</v>
          </cell>
          <cell r="AJ21">
            <v>12089.86226</v>
          </cell>
          <cell r="AK21">
            <v>12204.17562</v>
          </cell>
        </row>
        <row r="22">
          <cell r="A22" t="str">
            <v>auto_cc_cfut_2</v>
          </cell>
          <cell r="B22">
            <v>6777.6024520000001</v>
          </cell>
          <cell r="C22">
            <v>6653.8121849999998</v>
          </cell>
          <cell r="D22">
            <v>6575.5134900000003</v>
          </cell>
          <cell r="E22">
            <v>6528.6449640000001</v>
          </cell>
          <cell r="F22">
            <v>6502.2511020000002</v>
          </cell>
          <cell r="G22">
            <v>6489.5238650000001</v>
          </cell>
          <cell r="H22">
            <v>6483.2986700000001</v>
          </cell>
          <cell r="I22">
            <v>6488.7937419999998</v>
          </cell>
          <cell r="J22">
            <v>6514.356084</v>
          </cell>
          <cell r="K22">
            <v>6554.5171899999996</v>
          </cell>
          <cell r="L22">
            <v>6606.9860790000002</v>
          </cell>
          <cell r="M22">
            <v>6665.3883390000001</v>
          </cell>
          <cell r="N22">
            <v>6725.3403639999997</v>
          </cell>
          <cell r="O22">
            <v>6784.2373950000001</v>
          </cell>
          <cell r="P22">
            <v>6841.0180650000002</v>
          </cell>
          <cell r="Q22">
            <v>6896.0285759999997</v>
          </cell>
          <cell r="R22">
            <v>6950.4223979999997</v>
          </cell>
          <cell r="S22">
            <v>7005.4934309999999</v>
          </cell>
          <cell r="T22">
            <v>7062.1563740000001</v>
          </cell>
          <cell r="U22">
            <v>7120.7103989999996</v>
          </cell>
          <cell r="V22">
            <v>7179.853239</v>
          </cell>
          <cell r="W22">
            <v>7240.2748979999997</v>
          </cell>
          <cell r="X22">
            <v>7301.4456339999997</v>
          </cell>
          <cell r="Y22">
            <v>7362.6963770000002</v>
          </cell>
          <cell r="Z22">
            <v>7423.6421829999999</v>
          </cell>
          <cell r="AA22">
            <v>7480.944896</v>
          </cell>
          <cell r="AB22">
            <v>7537.2229100000004</v>
          </cell>
          <cell r="AC22">
            <v>7593.0386859999999</v>
          </cell>
          <cell r="AD22">
            <v>7648.1873999999998</v>
          </cell>
          <cell r="AE22">
            <v>7702.3564699999997</v>
          </cell>
          <cell r="AF22">
            <v>7755.1933429999999</v>
          </cell>
          <cell r="AG22">
            <v>7806.4501899999996</v>
          </cell>
          <cell r="AH22">
            <v>7856.0531019999999</v>
          </cell>
          <cell r="AI22">
            <v>7904.0863959999997</v>
          </cell>
          <cell r="AJ22">
            <v>7950.7192100000002</v>
          </cell>
          <cell r="AK22">
            <v>7996.1165959999998</v>
          </cell>
        </row>
        <row r="23">
          <cell r="A23" t="str">
            <v>auto_cc_cfut_0</v>
          </cell>
          <cell r="B23">
            <v>6777.6024520000001</v>
          </cell>
          <cell r="C23">
            <v>6653.8121849999998</v>
          </cell>
          <cell r="D23">
            <v>6575.5134900000003</v>
          </cell>
          <cell r="E23">
            <v>6528.6449640000001</v>
          </cell>
          <cell r="F23">
            <v>6502.2511020000002</v>
          </cell>
          <cell r="G23">
            <v>6489.5238650000001</v>
          </cell>
          <cell r="H23">
            <v>6486.070882</v>
          </cell>
          <cell r="I23">
            <v>6490.8323540000001</v>
          </cell>
          <cell r="J23">
            <v>6503.989732</v>
          </cell>
          <cell r="K23">
            <v>6525.9772869999997</v>
          </cell>
          <cell r="L23">
            <v>6558.0597610000004</v>
          </cell>
          <cell r="M23">
            <v>6597.9079949999996</v>
          </cell>
          <cell r="N23">
            <v>6644.1228170000004</v>
          </cell>
          <cell r="O23">
            <v>6695.3998179999999</v>
          </cell>
          <cell r="P23">
            <v>6750.4099429999997</v>
          </cell>
          <cell r="Q23">
            <v>6808.0800799999997</v>
          </cell>
          <cell r="R23">
            <v>6867.6121720000001</v>
          </cell>
          <cell r="S23">
            <v>6928.4188469999999</v>
          </cell>
          <cell r="T23">
            <v>6990.0371940000005</v>
          </cell>
          <cell r="U23">
            <v>7052.0617410000004</v>
          </cell>
          <cell r="V23">
            <v>7113.0883690000001</v>
          </cell>
          <cell r="W23">
            <v>7174.0204389999999</v>
          </cell>
          <cell r="X23">
            <v>7234.6671450000003</v>
          </cell>
          <cell r="Y23">
            <v>7294.6281870000003</v>
          </cell>
          <cell r="Z23">
            <v>7353.6475549999996</v>
          </cell>
          <cell r="AA23">
            <v>7408.4633219999996</v>
          </cell>
          <cell r="AB23">
            <v>7461.6068509999996</v>
          </cell>
          <cell r="AC23">
            <v>7513.6262340000003</v>
          </cell>
          <cell r="AD23">
            <v>7564.3875639999997</v>
          </cell>
          <cell r="AE23">
            <v>7613.6712960000004</v>
          </cell>
          <cell r="AF23">
            <v>7661.2169329999997</v>
          </cell>
          <cell r="AG23">
            <v>7706.8362440000001</v>
          </cell>
          <cell r="AH23">
            <v>7750.4642670000003</v>
          </cell>
          <cell r="AI23">
            <v>7792.1438049999997</v>
          </cell>
          <cell r="AJ23">
            <v>7831.9673190000003</v>
          </cell>
          <cell r="AK23">
            <v>7870.0102020000004</v>
          </cell>
        </row>
        <row r="24">
          <cell r="A24" t="str">
            <v>auto_cd_cfut_2</v>
          </cell>
          <cell r="B24">
            <v>4159.6639080000004</v>
          </cell>
          <cell r="C24">
            <v>4058.5300339999999</v>
          </cell>
          <cell r="D24">
            <v>3983.1642830000001</v>
          </cell>
          <cell r="E24">
            <v>3925.5117650000002</v>
          </cell>
          <cell r="F24">
            <v>3879.369897</v>
          </cell>
          <cell r="G24">
            <v>3840.7758170000002</v>
          </cell>
          <cell r="H24">
            <v>3804.8449329999999</v>
          </cell>
          <cell r="I24">
            <v>3772.7394749999999</v>
          </cell>
          <cell r="J24">
            <v>3749.2717360000001</v>
          </cell>
          <cell r="K24">
            <v>3731.815384</v>
          </cell>
          <cell r="L24">
            <v>3719.636677</v>
          </cell>
          <cell r="M24">
            <v>3709.9881260000002</v>
          </cell>
          <cell r="N24">
            <v>3700.8971080000001</v>
          </cell>
          <cell r="O24">
            <v>3691.0706740000001</v>
          </cell>
          <cell r="P24">
            <v>3679.7935779999998</v>
          </cell>
          <cell r="Q24">
            <v>3666.9507899999999</v>
          </cell>
          <cell r="R24">
            <v>3652.8305519999999</v>
          </cell>
          <cell r="S24">
            <v>3637.8692599999999</v>
          </cell>
          <cell r="T24">
            <v>3622.4274700000001</v>
          </cell>
          <cell r="U24">
            <v>3606.6641129999998</v>
          </cell>
          <cell r="V24">
            <v>3590.0673790000001</v>
          </cell>
          <cell r="W24">
            <v>3572.9901380000001</v>
          </cell>
          <cell r="X24">
            <v>3555.2644220000002</v>
          </cell>
          <cell r="Y24">
            <v>3536.6199369999999</v>
          </cell>
          <cell r="Z24">
            <v>3516.8795770000002</v>
          </cell>
          <cell r="AA24">
            <v>3494.666236</v>
          </cell>
          <cell r="AB24">
            <v>3470.9990739999998</v>
          </cell>
          <cell r="AC24">
            <v>3446.1681060000001</v>
          </cell>
          <cell r="AD24">
            <v>3420.1719979999998</v>
          </cell>
          <cell r="AE24">
            <v>3392.9685479999998</v>
          </cell>
          <cell r="AF24">
            <v>3364.4806589999998</v>
          </cell>
          <cell r="AG24">
            <v>3334.644053</v>
          </cell>
          <cell r="AH24">
            <v>3303.4384</v>
          </cell>
          <cell r="AI24">
            <v>3270.8938440000002</v>
          </cell>
          <cell r="AJ24">
            <v>3237.0769540000001</v>
          </cell>
          <cell r="AK24">
            <v>3202.0668479999999</v>
          </cell>
        </row>
        <row r="25">
          <cell r="A25" t="str">
            <v>auto_cd_cfut_0</v>
          </cell>
          <cell r="B25">
            <v>4159.6639080000004</v>
          </cell>
          <cell r="C25">
            <v>4058.5300339999999</v>
          </cell>
          <cell r="D25">
            <v>3983.1642830000001</v>
          </cell>
          <cell r="E25">
            <v>3925.5117650000002</v>
          </cell>
          <cell r="F25">
            <v>3879.369897</v>
          </cell>
          <cell r="G25">
            <v>3840.7758170000002</v>
          </cell>
          <cell r="H25">
            <v>3807.004981</v>
          </cell>
          <cell r="I25">
            <v>3777.077949</v>
          </cell>
          <cell r="J25">
            <v>3750.7181310000001</v>
          </cell>
          <cell r="K25">
            <v>3727.889338</v>
          </cell>
          <cell r="L25">
            <v>3709.1143520000001</v>
          </cell>
          <cell r="M25">
            <v>3693.2001869999999</v>
          </cell>
          <cell r="N25">
            <v>3679.4237659999999</v>
          </cell>
          <cell r="O25">
            <v>3667.1359480000001</v>
          </cell>
          <cell r="P25">
            <v>3655.6706450000001</v>
          </cell>
          <cell r="Q25">
            <v>3644.4826419999999</v>
          </cell>
          <cell r="R25">
            <v>3633.1639449999998</v>
          </cell>
          <cell r="S25">
            <v>3621.4211230000001</v>
          </cell>
          <cell r="T25">
            <v>3609.0388210000001</v>
          </cell>
          <cell r="U25">
            <v>3595.8468790000002</v>
          </cell>
          <cell r="V25">
            <v>3581.2440550000001</v>
          </cell>
          <cell r="W25">
            <v>3565.6477629999999</v>
          </cell>
          <cell r="X25">
            <v>3549.0273280000001</v>
          </cell>
          <cell r="Y25">
            <v>3531.2422670000001</v>
          </cell>
          <cell r="Z25">
            <v>3512.1997200000001</v>
          </cell>
          <cell r="AA25">
            <v>3490.5678170000001</v>
          </cell>
          <cell r="AB25">
            <v>3467.3640070000001</v>
          </cell>
          <cell r="AC25">
            <v>3442.8804730000002</v>
          </cell>
          <cell r="AD25">
            <v>3417.1417620000002</v>
          </cell>
          <cell r="AE25">
            <v>3390.1381059999999</v>
          </cell>
          <cell r="AF25">
            <v>3361.8280159999999</v>
          </cell>
          <cell r="AG25">
            <v>3332.1775830000001</v>
          </cell>
          <cell r="AH25">
            <v>3301.1851489999999</v>
          </cell>
          <cell r="AI25">
            <v>3268.8857600000001</v>
          </cell>
          <cell r="AJ25">
            <v>3235.3395559999999</v>
          </cell>
          <cell r="AK25">
            <v>3200.6131999999998</v>
          </cell>
        </row>
        <row r="26">
          <cell r="A26" t="str">
            <v>auto_ce_cfut_2</v>
          </cell>
          <cell r="B26">
            <v>2503.7292430000002</v>
          </cell>
          <cell r="C26">
            <v>2445.168909</v>
          </cell>
          <cell r="D26">
            <v>2401.094321</v>
          </cell>
          <cell r="E26">
            <v>2366.542046</v>
          </cell>
          <cell r="F26">
            <v>2337.747762</v>
          </cell>
          <cell r="G26">
            <v>2312.2899480000001</v>
          </cell>
          <cell r="H26">
            <v>2286.8398820000002</v>
          </cell>
          <cell r="I26">
            <v>2261.446183</v>
          </cell>
          <cell r="J26">
            <v>2239.3014189999999</v>
          </cell>
          <cell r="K26">
            <v>2219.1307240000001</v>
          </cell>
          <cell r="L26">
            <v>2200.8412910000002</v>
          </cell>
          <cell r="M26">
            <v>2183.1938599999999</v>
          </cell>
          <cell r="N26">
            <v>2165.257208</v>
          </cell>
          <cell r="O26">
            <v>2146.373728</v>
          </cell>
          <cell r="P26">
            <v>2126.1218600000002</v>
          </cell>
          <cell r="Q26">
            <v>2104.3770330000002</v>
          </cell>
          <cell r="R26">
            <v>2081.2484129999998</v>
          </cell>
          <cell r="S26">
            <v>2056.9664120000002</v>
          </cell>
          <cell r="T26">
            <v>2031.766903</v>
          </cell>
          <cell r="U26">
            <v>2005.8128850000001</v>
          </cell>
          <cell r="V26">
            <v>1978.9419109999999</v>
          </cell>
          <cell r="W26">
            <v>1951.411926</v>
          </cell>
          <cell r="X26">
            <v>1923.221849</v>
          </cell>
          <cell r="Y26">
            <v>1894.299395</v>
          </cell>
          <cell r="Z26">
            <v>1864.6042649999999</v>
          </cell>
          <cell r="AA26">
            <v>1833.5391609999999</v>
          </cell>
          <cell r="AB26">
            <v>1801.60934</v>
          </cell>
          <cell r="AC26">
            <v>1769.0189680000001</v>
          </cell>
          <cell r="AD26">
            <v>1735.8405379999999</v>
          </cell>
          <cell r="AE26">
            <v>1702.124247</v>
          </cell>
          <cell r="AF26">
            <v>1667.894182</v>
          </cell>
          <cell r="AG26">
            <v>1633.168083</v>
          </cell>
          <cell r="AH26">
            <v>1597.974003</v>
          </cell>
          <cell r="AI26">
            <v>1562.3580489999999</v>
          </cell>
          <cell r="AJ26">
            <v>1526.382703</v>
          </cell>
          <cell r="AK26">
            <v>1490.1189690000001</v>
          </cell>
        </row>
        <row r="27">
          <cell r="A27" t="str">
            <v>auto_ce_cfut_0</v>
          </cell>
          <cell r="B27">
            <v>2503.7292430000002</v>
          </cell>
          <cell r="C27">
            <v>2445.168909</v>
          </cell>
          <cell r="D27">
            <v>2401.094321</v>
          </cell>
          <cell r="E27">
            <v>2366.542046</v>
          </cell>
          <cell r="F27">
            <v>2337.747762</v>
          </cell>
          <cell r="G27">
            <v>2312.2899480000001</v>
          </cell>
          <cell r="H27">
            <v>2288.4604009999998</v>
          </cell>
          <cell r="I27">
            <v>2265.5792630000001</v>
          </cell>
          <cell r="J27">
            <v>2243.4131990000001</v>
          </cell>
          <cell r="K27">
            <v>2221.9282840000001</v>
          </cell>
          <cell r="L27">
            <v>2201.4752119999998</v>
          </cell>
          <cell r="M27">
            <v>2181.4779170000002</v>
          </cell>
          <cell r="N27">
            <v>2161.6185009999999</v>
          </cell>
          <cell r="O27">
            <v>2141.6258659999999</v>
          </cell>
          <cell r="P27">
            <v>2121.2114029999998</v>
          </cell>
          <cell r="Q27">
            <v>2100.1462849999998</v>
          </cell>
          <cell r="R27">
            <v>2078.2744520000001</v>
          </cell>
          <cell r="S27">
            <v>2055.5042360000002</v>
          </cell>
          <cell r="T27">
            <v>2031.7904510000001</v>
          </cell>
          <cell r="U27">
            <v>2007.115857</v>
          </cell>
          <cell r="V27">
            <v>1981.249305</v>
          </cell>
          <cell r="W27">
            <v>1954.4635659999999</v>
          </cell>
          <cell r="X27">
            <v>1926.8183489999999</v>
          </cell>
          <cell r="Y27">
            <v>1898.3080970000001</v>
          </cell>
          <cell r="Z27">
            <v>1868.9418479999999</v>
          </cell>
          <cell r="AA27">
            <v>1838.1494439999999</v>
          </cell>
          <cell r="AB27">
            <v>1806.441012</v>
          </cell>
          <cell r="AC27">
            <v>1774.019918</v>
          </cell>
          <cell r="AD27">
            <v>1740.965825</v>
          </cell>
          <cell r="AE27">
            <v>1707.338688</v>
          </cell>
          <cell r="AF27">
            <v>1673.175217</v>
          </cell>
          <cell r="AG27">
            <v>1638.5057200000001</v>
          </cell>
          <cell r="AH27">
            <v>1603.3676459999999</v>
          </cell>
          <cell r="AI27">
            <v>1567.8115009999999</v>
          </cell>
          <cell r="AJ27">
            <v>1531.8991960000001</v>
          </cell>
          <cell r="AK27">
            <v>1495.6977670000001</v>
          </cell>
        </row>
        <row r="28">
          <cell r="A28" t="str">
            <v>auto_cf_cfut_2</v>
          </cell>
          <cell r="B28">
            <v>1243.6668460000001</v>
          </cell>
          <cell r="C28">
            <v>1211.7160160000001</v>
          </cell>
          <cell r="D28">
            <v>1185.2758690000001</v>
          </cell>
          <cell r="E28">
            <v>1161.9256499999999</v>
          </cell>
          <cell r="F28">
            <v>1139.9346290000001</v>
          </cell>
          <cell r="G28">
            <v>1118.183338</v>
          </cell>
          <cell r="H28">
            <v>1094.686655</v>
          </cell>
          <cell r="I28">
            <v>1068.7417089999999</v>
          </cell>
          <cell r="J28">
            <v>1042.2839799999999</v>
          </cell>
          <cell r="K28">
            <v>1015.259023</v>
          </cell>
          <cell r="L28">
            <v>988.12620330000004</v>
          </cell>
          <cell r="M28">
            <v>960.87781949999999</v>
          </cell>
          <cell r="N28">
            <v>933.44176689999995</v>
          </cell>
          <cell r="O28">
            <v>905.71106769999994</v>
          </cell>
          <cell r="P28">
            <v>877.5693066</v>
          </cell>
          <cell r="Q28">
            <v>848.97066819999998</v>
          </cell>
          <cell r="R28">
            <v>819.96431789999997</v>
          </cell>
          <cell r="S28">
            <v>790.67721400000005</v>
          </cell>
          <cell r="T28">
            <v>761.27419910000003</v>
          </cell>
          <cell r="U28">
            <v>731.91832390000002</v>
          </cell>
          <cell r="V28">
            <v>702.69396270000004</v>
          </cell>
          <cell r="W28">
            <v>673.76227979999999</v>
          </cell>
          <cell r="X28">
            <v>645.21455760000003</v>
          </cell>
          <cell r="Y28">
            <v>617.10411290000002</v>
          </cell>
          <cell r="Z28">
            <v>589.47590439999999</v>
          </cell>
          <cell r="AA28">
            <v>562.27099639999994</v>
          </cell>
          <cell r="AB28">
            <v>535.61557470000002</v>
          </cell>
          <cell r="AC28">
            <v>509.59434570000002</v>
          </cell>
          <cell r="AD28">
            <v>484.26269580000002</v>
          </cell>
          <cell r="AE28">
            <v>459.66306429999997</v>
          </cell>
          <cell r="AF28">
            <v>435.82284170000003</v>
          </cell>
          <cell r="AG28">
            <v>412.75844740000002</v>
          </cell>
          <cell r="AH28">
            <v>390.4802689</v>
          </cell>
          <cell r="AI28">
            <v>368.99629019999998</v>
          </cell>
          <cell r="AJ28">
            <v>348.31355550000001</v>
          </cell>
          <cell r="AK28">
            <v>328.43779990000002</v>
          </cell>
        </row>
        <row r="29">
          <cell r="A29" t="str">
            <v>auto_cf_cfut_0</v>
          </cell>
          <cell r="B29">
            <v>1243.6668460000001</v>
          </cell>
          <cell r="C29">
            <v>1211.7160160000001</v>
          </cell>
          <cell r="D29">
            <v>1185.2758690000001</v>
          </cell>
          <cell r="E29">
            <v>1161.9256499999999</v>
          </cell>
          <cell r="F29">
            <v>1139.9346290000001</v>
          </cell>
          <cell r="G29">
            <v>1118.183338</v>
          </cell>
          <cell r="H29">
            <v>1095.846935</v>
          </cell>
          <cell r="I29">
            <v>1072.5563279999999</v>
          </cell>
          <cell r="J29">
            <v>1048.1997570000001</v>
          </cell>
          <cell r="K29">
            <v>1022.84196</v>
          </cell>
          <cell r="L29">
            <v>996.77853619999996</v>
          </cell>
          <cell r="M29">
            <v>970.01810139999998</v>
          </cell>
          <cell r="N29">
            <v>942.64344270000004</v>
          </cell>
          <cell r="O29">
            <v>914.74838880000004</v>
          </cell>
          <cell r="P29">
            <v>886.40193369999997</v>
          </cell>
          <cell r="Q29">
            <v>857.67652290000001</v>
          </cell>
          <cell r="R29">
            <v>828.65695010000002</v>
          </cell>
          <cell r="S29">
            <v>799.4412122</v>
          </cell>
          <cell r="T29">
            <v>770.13588049999998</v>
          </cell>
          <cell r="U29">
            <v>740.8490984</v>
          </cell>
          <cell r="V29">
            <v>711.63134170000001</v>
          </cell>
          <cell r="W29">
            <v>682.63645469999994</v>
          </cell>
          <cell r="X29">
            <v>653.96677439999996</v>
          </cell>
          <cell r="Y29">
            <v>625.69402260000004</v>
          </cell>
          <cell r="Z29">
            <v>597.87999179999997</v>
          </cell>
          <cell r="AA29">
            <v>570.47479190000001</v>
          </cell>
          <cell r="AB29">
            <v>543.60951379999995</v>
          </cell>
          <cell r="AC29">
            <v>517.36898919999999</v>
          </cell>
          <cell r="AD29">
            <v>491.80880359999998</v>
          </cell>
          <cell r="AE29">
            <v>466.97211049999999</v>
          </cell>
          <cell r="AF29">
            <v>442.8881768</v>
          </cell>
          <cell r="AG29">
            <v>419.57612330000001</v>
          </cell>
          <cell r="AH29">
            <v>397.04913099999999</v>
          </cell>
          <cell r="AI29">
            <v>375.31741349999999</v>
          </cell>
          <cell r="AJ29">
            <v>354.38937600000003</v>
          </cell>
          <cell r="AK29">
            <v>334.27132180000001</v>
          </cell>
        </row>
        <row r="30">
          <cell r="A30" t="str">
            <v>auto_cg_cfut_2</v>
          </cell>
          <cell r="B30">
            <v>2239.620606</v>
          </cell>
          <cell r="C30">
            <v>2185.306388</v>
          </cell>
          <cell r="D30">
            <v>2138.1351690000001</v>
          </cell>
          <cell r="E30">
            <v>2093.714845</v>
          </cell>
          <cell r="F30">
            <v>2049.1259100000002</v>
          </cell>
          <cell r="G30">
            <v>2002.556482</v>
          </cell>
          <cell r="H30">
            <v>1950.150484</v>
          </cell>
          <cell r="I30">
            <v>1890.2664970000001</v>
          </cell>
          <cell r="J30">
            <v>1827.194735</v>
          </cell>
          <cell r="K30">
            <v>1761.7255560000001</v>
          </cell>
          <cell r="L30">
            <v>1695.375894</v>
          </cell>
          <cell r="M30">
            <v>1628.814482</v>
          </cell>
          <cell r="N30">
            <v>1562.36157</v>
          </cell>
          <cell r="O30">
            <v>1496.113065</v>
          </cell>
          <cell r="P30">
            <v>1430.04574</v>
          </cell>
          <cell r="Q30">
            <v>1364.1982949999999</v>
          </cell>
          <cell r="R30">
            <v>1298.744402</v>
          </cell>
          <cell r="S30">
            <v>1233.9761579999999</v>
          </cell>
          <cell r="T30">
            <v>1170.238724</v>
          </cell>
          <cell r="U30">
            <v>1107.8624179999999</v>
          </cell>
          <cell r="V30">
            <v>1047.0697740000001</v>
          </cell>
          <cell r="W30">
            <v>988.11680509999997</v>
          </cell>
          <cell r="X30">
            <v>931.16091180000001</v>
          </cell>
          <cell r="Y30">
            <v>876.29087379999999</v>
          </cell>
          <cell r="Z30">
            <v>823.56336020000003</v>
          </cell>
          <cell r="AA30">
            <v>772.93891399999995</v>
          </cell>
          <cell r="AB30">
            <v>724.50361439999995</v>
          </cell>
          <cell r="AC30">
            <v>678.30508550000002</v>
          </cell>
          <cell r="AD30">
            <v>634.35501150000005</v>
          </cell>
          <cell r="AE30">
            <v>592.64244810000002</v>
          </cell>
          <cell r="AF30">
            <v>553.13444419999996</v>
          </cell>
          <cell r="AG30">
            <v>515.78177600000004</v>
          </cell>
          <cell r="AH30">
            <v>480.5250853</v>
          </cell>
          <cell r="AI30">
            <v>447.29940699999997</v>
          </cell>
          <cell r="AJ30">
            <v>416.03651939999997</v>
          </cell>
          <cell r="AK30">
            <v>386.66563619999999</v>
          </cell>
        </row>
        <row r="31">
          <cell r="A31" t="str">
            <v>auto_cg_cfut_0</v>
          </cell>
          <cell r="B31">
            <v>2239.620606</v>
          </cell>
          <cell r="C31">
            <v>2185.306388</v>
          </cell>
          <cell r="D31">
            <v>2138.1351690000001</v>
          </cell>
          <cell r="E31">
            <v>2093.714845</v>
          </cell>
          <cell r="F31">
            <v>2049.1259100000002</v>
          </cell>
          <cell r="G31">
            <v>2002.556482</v>
          </cell>
          <cell r="H31">
            <v>1952.7054539999999</v>
          </cell>
          <cell r="I31">
            <v>1899.0984599999999</v>
          </cell>
          <cell r="J31">
            <v>1841.8079740000001</v>
          </cell>
          <cell r="K31">
            <v>1781.3165690000001</v>
          </cell>
          <cell r="L31">
            <v>1718.539049</v>
          </cell>
          <cell r="M31">
            <v>1653.987633</v>
          </cell>
          <cell r="N31">
            <v>1588.2168939999999</v>
          </cell>
          <cell r="O31">
            <v>1521.7456689999999</v>
          </cell>
          <cell r="P31">
            <v>1454.99829</v>
          </cell>
          <cell r="Q31">
            <v>1388.350815</v>
          </cell>
          <cell r="R31">
            <v>1322.1511310000001</v>
          </cell>
          <cell r="S31">
            <v>1256.7257059999999</v>
          </cell>
          <cell r="T31">
            <v>1192.376444</v>
          </cell>
          <cell r="U31">
            <v>1129.3731720000001</v>
          </cell>
          <cell r="V31">
            <v>1067.8957800000001</v>
          </cell>
          <cell r="W31">
            <v>1008.190526</v>
          </cell>
          <cell r="X31">
            <v>950.42859209999995</v>
          </cell>
          <cell r="Y31">
            <v>894.72229400000003</v>
          </cell>
          <cell r="Z31">
            <v>841.15027650000002</v>
          </cell>
          <cell r="AA31">
            <v>789.68531470000005</v>
          </cell>
          <cell r="AB31">
            <v>740.42153670000005</v>
          </cell>
          <cell r="AC31">
            <v>693.40884249999999</v>
          </cell>
          <cell r="AD31">
            <v>648.66039190000004</v>
          </cell>
          <cell r="AE31">
            <v>606.16692799999998</v>
          </cell>
          <cell r="AF31">
            <v>565.89797699999997</v>
          </cell>
          <cell r="AG31">
            <v>527.80726979999997</v>
          </cell>
          <cell r="AH31">
            <v>491.83824449999997</v>
          </cell>
          <cell r="AI31">
            <v>457.92804719999998</v>
          </cell>
          <cell r="AJ31">
            <v>426.00967709999998</v>
          </cell>
          <cell r="AK31">
            <v>396.01277720000002</v>
          </cell>
        </row>
        <row r="32">
          <cell r="A32" t="str">
            <v>auto_ca_cele_2</v>
          </cell>
          <cell r="B32">
            <v>9.8427898650000003</v>
          </cell>
          <cell r="C32">
            <v>15.096532099999999</v>
          </cell>
          <cell r="D32">
            <v>20.694101230000001</v>
          </cell>
          <cell r="E32">
            <v>26.56306378</v>
          </cell>
          <cell r="F32">
            <v>32.686350930000003</v>
          </cell>
          <cell r="G32">
            <v>39.081691839999998</v>
          </cell>
          <cell r="H32">
            <v>45.610782780000001</v>
          </cell>
          <cell r="I32">
            <v>52.039906190000004</v>
          </cell>
          <cell r="J32">
            <v>58.389602050000001</v>
          </cell>
          <cell r="K32">
            <v>64.513917789999994</v>
          </cell>
          <cell r="L32">
            <v>70.419293600000003</v>
          </cell>
          <cell r="M32">
            <v>76.140145239999995</v>
          </cell>
          <cell r="N32">
            <v>81.76636628</v>
          </cell>
          <cell r="O32">
            <v>87.393910140000003</v>
          </cell>
          <cell r="P32">
            <v>93.088096770000007</v>
          </cell>
          <cell r="Q32">
            <v>98.876916710000003</v>
          </cell>
          <cell r="R32">
            <v>104.7578594</v>
          </cell>
          <cell r="S32">
            <v>110.7113901</v>
          </cell>
          <cell r="T32">
            <v>116.7139006</v>
          </cell>
          <cell r="U32">
            <v>122.7467302</v>
          </cell>
          <cell r="V32">
            <v>128.78063940000001</v>
          </cell>
          <cell r="W32">
            <v>134.83354890000001</v>
          </cell>
          <cell r="X32">
            <v>140.91575359999999</v>
          </cell>
          <cell r="Y32">
            <v>147.03587110000001</v>
          </cell>
          <cell r="Z32">
            <v>153.202583</v>
          </cell>
          <cell r="AA32">
            <v>159.35738789999999</v>
          </cell>
          <cell r="AB32">
            <v>165.54172610000001</v>
          </cell>
          <cell r="AC32">
            <v>171.7721956</v>
          </cell>
          <cell r="AD32">
            <v>178.06109219999999</v>
          </cell>
          <cell r="AE32">
            <v>184.4277218</v>
          </cell>
          <cell r="AF32">
            <v>190.8944171</v>
          </cell>
          <cell r="AG32">
            <v>197.48365380000001</v>
          </cell>
          <cell r="AH32">
            <v>204.21593329999999</v>
          </cell>
          <cell r="AI32">
            <v>211.1091911</v>
          </cell>
          <cell r="AJ32">
            <v>218.1796109</v>
          </cell>
          <cell r="AK32">
            <v>225.443163</v>
          </cell>
        </row>
        <row r="33">
          <cell r="A33" t="str">
            <v>auto_ca_cele_0</v>
          </cell>
          <cell r="B33">
            <v>9.8427898650000003</v>
          </cell>
          <cell r="C33">
            <v>15.096532099999999</v>
          </cell>
          <cell r="D33">
            <v>20.694101230000001</v>
          </cell>
          <cell r="E33">
            <v>26.56306378</v>
          </cell>
          <cell r="F33">
            <v>32.686350930000003</v>
          </cell>
          <cell r="G33">
            <v>39.081691839999998</v>
          </cell>
          <cell r="H33">
            <v>45.75147217</v>
          </cell>
          <cell r="I33">
            <v>52.693778350000002</v>
          </cell>
          <cell r="J33">
            <v>59.88855951</v>
          </cell>
          <cell r="K33">
            <v>67.305921260000005</v>
          </cell>
          <cell r="L33">
            <v>74.942732309999997</v>
          </cell>
          <cell r="M33">
            <v>82.754687450000006</v>
          </cell>
          <cell r="N33">
            <v>90.726789490000002</v>
          </cell>
          <cell r="O33">
            <v>98.859125879999993</v>
          </cell>
          <cell r="P33">
            <v>107.15700080000001</v>
          </cell>
          <cell r="Q33">
            <v>115.631576</v>
          </cell>
          <cell r="R33">
            <v>124.29855209999999</v>
          </cell>
          <cell r="S33">
            <v>133.17765829999999</v>
          </cell>
          <cell r="T33">
            <v>142.29283040000001</v>
          </cell>
          <cell r="U33">
            <v>151.67254879999999</v>
          </cell>
          <cell r="V33">
            <v>161.32241020000001</v>
          </cell>
          <cell r="W33">
            <v>171.30704460000001</v>
          </cell>
          <cell r="X33">
            <v>181.67407270000001</v>
          </cell>
          <cell r="Y33">
            <v>192.46855500000001</v>
          </cell>
          <cell r="Z33">
            <v>203.7396698</v>
          </cell>
          <cell r="AA33">
            <v>215.4373003</v>
          </cell>
          <cell r="AB33">
            <v>227.67780669999999</v>
          </cell>
          <cell r="AC33">
            <v>240.53519600000001</v>
          </cell>
          <cell r="AD33">
            <v>254.0737895</v>
          </cell>
          <cell r="AE33">
            <v>268.36553379999998</v>
          </cell>
          <cell r="AF33">
            <v>283.48761250000001</v>
          </cell>
          <cell r="AG33">
            <v>299.52284780000002</v>
          </cell>
          <cell r="AH33">
            <v>316.56023449999998</v>
          </cell>
          <cell r="AI33">
            <v>334.69553869999999</v>
          </cell>
          <cell r="AJ33">
            <v>354.03179720000003</v>
          </cell>
          <cell r="AK33">
            <v>374.67962290000003</v>
          </cell>
        </row>
        <row r="34">
          <cell r="A34" t="str">
            <v>auto_cb_cele_2</v>
          </cell>
          <cell r="B34">
            <v>11.44571741</v>
          </cell>
          <cell r="C34">
            <v>16.40505563</v>
          </cell>
          <cell r="D34">
            <v>21.689893999999999</v>
          </cell>
          <cell r="E34">
            <v>27.234514709999999</v>
          </cell>
          <cell r="F34">
            <v>33.027823429999998</v>
          </cell>
          <cell r="G34">
            <v>39.090260639999997</v>
          </cell>
          <cell r="H34">
            <v>45.275960679999997</v>
          </cell>
          <cell r="I34">
            <v>51.335236999999999</v>
          </cell>
          <cell r="J34">
            <v>57.283341999999998</v>
          </cell>
          <cell r="K34">
            <v>62.979537020000002</v>
          </cell>
          <cell r="L34">
            <v>68.435096819999998</v>
          </cell>
          <cell r="M34">
            <v>73.691865449999995</v>
          </cell>
          <cell r="N34">
            <v>78.843201960000002</v>
          </cell>
          <cell r="O34">
            <v>83.985013949999995</v>
          </cell>
          <cell r="P34">
            <v>89.179891310000002</v>
          </cell>
          <cell r="Q34">
            <v>94.451449319999995</v>
          </cell>
          <cell r="R34">
            <v>99.792534040000007</v>
          </cell>
          <cell r="S34">
            <v>105.17981829999999</v>
          </cell>
          <cell r="T34">
            <v>110.58727949999999</v>
          </cell>
          <cell r="U34">
            <v>115.9950822</v>
          </cell>
          <cell r="V34">
            <v>121.3749418</v>
          </cell>
          <cell r="W34">
            <v>126.7425932</v>
          </cell>
          <cell r="X34">
            <v>132.1072983</v>
          </cell>
          <cell r="Y34">
            <v>137.476282</v>
          </cell>
          <cell r="Z34">
            <v>142.85615089999999</v>
          </cell>
          <cell r="AA34">
            <v>148.1919594</v>
          </cell>
          <cell r="AB34">
            <v>153.51860379999999</v>
          </cell>
          <cell r="AC34">
            <v>158.84989809999999</v>
          </cell>
          <cell r="AD34">
            <v>164.196257</v>
          </cell>
          <cell r="AE34">
            <v>169.57455049999999</v>
          </cell>
          <cell r="AF34">
            <v>175.00398139999999</v>
          </cell>
          <cell r="AG34">
            <v>180.50313009999999</v>
          </cell>
          <cell r="AH34">
            <v>186.0879851</v>
          </cell>
          <cell r="AI34">
            <v>191.7715901</v>
          </cell>
          <cell r="AJ34">
            <v>197.5650589</v>
          </cell>
          <cell r="AK34">
            <v>203.4791889</v>
          </cell>
        </row>
        <row r="35">
          <cell r="A35" t="str">
            <v>auto_cb_cele_0</v>
          </cell>
          <cell r="B35">
            <v>11.44571741</v>
          </cell>
          <cell r="C35">
            <v>16.40505563</v>
          </cell>
          <cell r="D35">
            <v>21.689893999999999</v>
          </cell>
          <cell r="E35">
            <v>27.234514709999999</v>
          </cell>
          <cell r="F35">
            <v>33.027823429999998</v>
          </cell>
          <cell r="G35">
            <v>39.090260639999997</v>
          </cell>
          <cell r="H35">
            <v>45.423771479999999</v>
          </cell>
          <cell r="I35">
            <v>52.022441229999998</v>
          </cell>
          <cell r="J35">
            <v>58.860959110000003</v>
          </cell>
          <cell r="K35">
            <v>65.90460315</v>
          </cell>
          <cell r="L35">
            <v>73.146057540000001</v>
          </cell>
          <cell r="M35">
            <v>80.54049551</v>
          </cell>
          <cell r="N35">
            <v>88.071765670000005</v>
          </cell>
          <cell r="O35">
            <v>95.738734440000002</v>
          </cell>
          <cell r="P35">
            <v>103.5451997</v>
          </cell>
          <cell r="Q35">
            <v>111.5002477</v>
          </cell>
          <cell r="R35">
            <v>119.6169718</v>
          </cell>
          <cell r="S35">
            <v>127.912088</v>
          </cell>
          <cell r="T35">
            <v>136.40620279999999</v>
          </cell>
          <cell r="U35">
            <v>145.12414559999999</v>
          </cell>
          <cell r="V35">
            <v>154.06893600000001</v>
          </cell>
          <cell r="W35">
            <v>163.29884419999999</v>
          </cell>
          <cell r="X35">
            <v>172.85622520000001</v>
          </cell>
          <cell r="Y35">
            <v>182.7802696</v>
          </cell>
          <cell r="Z35">
            <v>193.11314189999999</v>
          </cell>
          <cell r="AA35">
            <v>203.80338850000001</v>
          </cell>
          <cell r="AB35">
            <v>214.95352009999999</v>
          </cell>
          <cell r="AC35">
            <v>226.62744839999999</v>
          </cell>
          <cell r="AD35">
            <v>238.87962429999999</v>
          </cell>
          <cell r="AE35">
            <v>251.77075249999999</v>
          </cell>
          <cell r="AF35">
            <v>265.36501470000002</v>
          </cell>
          <cell r="AG35">
            <v>279.7300692</v>
          </cell>
          <cell r="AH35">
            <v>294.93742989999998</v>
          </cell>
          <cell r="AI35">
            <v>311.06309340000001</v>
          </cell>
          <cell r="AJ35">
            <v>328.1881242</v>
          </cell>
          <cell r="AK35">
            <v>346.39897250000001</v>
          </cell>
        </row>
        <row r="36">
          <cell r="A36" t="str">
            <v>auto_cc_cele_2</v>
          </cell>
          <cell r="B36">
            <v>9.4015406210000005</v>
          </cell>
          <cell r="C36">
            <v>12.7719118</v>
          </cell>
          <cell r="D36">
            <v>16.36451271</v>
          </cell>
          <cell r="E36">
            <v>20.136260459999999</v>
          </cell>
          <cell r="F36">
            <v>24.082802340000001</v>
          </cell>
          <cell r="G36">
            <v>28.220331699999999</v>
          </cell>
          <cell r="H36">
            <v>32.439058430000003</v>
          </cell>
          <cell r="I36">
            <v>36.549849420000001</v>
          </cell>
          <cell r="J36">
            <v>40.560680380000001</v>
          </cell>
          <cell r="K36">
            <v>44.37415</v>
          </cell>
          <cell r="L36">
            <v>48.001544529999997</v>
          </cell>
          <cell r="M36">
            <v>51.477457770000001</v>
          </cell>
          <cell r="N36">
            <v>54.870818389999997</v>
          </cell>
          <cell r="O36">
            <v>58.250157889999997</v>
          </cell>
          <cell r="P36">
            <v>61.658504819999997</v>
          </cell>
          <cell r="Q36">
            <v>65.110027639999998</v>
          </cell>
          <cell r="R36">
            <v>68.596779400000003</v>
          </cell>
          <cell r="S36">
            <v>72.099826699999994</v>
          </cell>
          <cell r="T36">
            <v>75.599190190000002</v>
          </cell>
          <cell r="U36">
            <v>79.080080649999999</v>
          </cell>
          <cell r="V36">
            <v>82.522949199999999</v>
          </cell>
          <cell r="W36">
            <v>85.937813989999995</v>
          </cell>
          <cell r="X36">
            <v>89.330737600000006</v>
          </cell>
          <cell r="Y36">
            <v>92.706116370000004</v>
          </cell>
          <cell r="Z36">
            <v>96.067519430000004</v>
          </cell>
          <cell r="AA36">
            <v>99.377977689999994</v>
          </cell>
          <cell r="AB36">
            <v>102.65867919999999</v>
          </cell>
          <cell r="AC36">
            <v>105.9179685</v>
          </cell>
          <cell r="AD36">
            <v>109.1622843</v>
          </cell>
          <cell r="AE36">
            <v>112.4023294</v>
          </cell>
          <cell r="AF36">
            <v>115.6500688</v>
          </cell>
          <cell r="AG36">
            <v>118.91660450000001</v>
          </cell>
          <cell r="AH36">
            <v>122.21087420000001</v>
          </cell>
          <cell r="AI36">
            <v>125.5395437</v>
          </cell>
          <cell r="AJ36">
            <v>128.90784020000001</v>
          </cell>
          <cell r="AK36">
            <v>132.32073700000001</v>
          </cell>
        </row>
        <row r="37">
          <cell r="A37" t="str">
            <v>auto_cc_cele_0</v>
          </cell>
          <cell r="B37">
            <v>9.4015406210000005</v>
          </cell>
          <cell r="C37">
            <v>12.7719118</v>
          </cell>
          <cell r="D37">
            <v>16.36451271</v>
          </cell>
          <cell r="E37">
            <v>20.136260459999999</v>
          </cell>
          <cell r="F37">
            <v>24.082802340000001</v>
          </cell>
          <cell r="G37">
            <v>28.220331699999999</v>
          </cell>
          <cell r="H37">
            <v>32.549748000000001</v>
          </cell>
          <cell r="I37">
            <v>37.064075389999999</v>
          </cell>
          <cell r="J37">
            <v>41.741667710000002</v>
          </cell>
          <cell r="K37">
            <v>46.554461439999997</v>
          </cell>
          <cell r="L37">
            <v>51.494513359999999</v>
          </cell>
          <cell r="M37">
            <v>56.529281179999998</v>
          </cell>
          <cell r="N37">
            <v>61.646392140000003</v>
          </cell>
          <cell r="O37">
            <v>66.844187419999997</v>
          </cell>
          <cell r="P37">
            <v>72.12435164</v>
          </cell>
          <cell r="Q37">
            <v>77.49199763</v>
          </cell>
          <cell r="R37">
            <v>82.954778059999995</v>
          </cell>
          <cell r="S37">
            <v>88.522689029999995</v>
          </cell>
          <cell r="T37">
            <v>94.208316310000001</v>
          </cell>
          <cell r="U37">
            <v>100.0270663</v>
          </cell>
          <cell r="V37">
            <v>105.9794059</v>
          </cell>
          <cell r="W37">
            <v>112.10298779999999</v>
          </cell>
          <cell r="X37">
            <v>118.4247421</v>
          </cell>
          <cell r="Y37">
            <v>124.9689608</v>
          </cell>
          <cell r="Z37">
            <v>131.76136700000001</v>
          </cell>
          <cell r="AA37">
            <v>138.7643309</v>
          </cell>
          <cell r="AB37">
            <v>146.0425583</v>
          </cell>
          <cell r="AC37">
            <v>153.63547980000001</v>
          </cell>
          <cell r="AD37">
            <v>161.57592099999999</v>
          </cell>
          <cell r="AE37">
            <v>169.90035750000001</v>
          </cell>
          <cell r="AF37">
            <v>178.64671899999999</v>
          </cell>
          <cell r="AG37">
            <v>187.8541693</v>
          </cell>
          <cell r="AH37">
            <v>197.56330589999999</v>
          </cell>
          <cell r="AI37">
            <v>207.81664280000001</v>
          </cell>
          <cell r="AJ37">
            <v>218.6590965</v>
          </cell>
          <cell r="AK37">
            <v>230.1382385</v>
          </cell>
        </row>
        <row r="38">
          <cell r="A38" t="str">
            <v>auto_cd_cele_2</v>
          </cell>
          <cell r="B38">
            <v>5.770071272</v>
          </cell>
          <cell r="C38">
            <v>7.5984369310000002</v>
          </cell>
          <cell r="D38">
            <v>9.5221054049999996</v>
          </cell>
          <cell r="E38">
            <v>11.49101042</v>
          </cell>
          <cell r="F38">
            <v>13.4708313</v>
          </cell>
          <cell r="G38">
            <v>15.44264072</v>
          </cell>
          <cell r="H38">
            <v>17.36127578</v>
          </cell>
          <cell r="I38">
            <v>19.19928384</v>
          </cell>
          <cell r="J38">
            <v>20.996163889999998</v>
          </cell>
          <cell r="K38">
            <v>22.727049780000002</v>
          </cell>
          <cell r="L38">
            <v>24.396197040000001</v>
          </cell>
          <cell r="M38">
            <v>25.998070500000001</v>
          </cell>
          <cell r="N38">
            <v>27.534663609999999</v>
          </cell>
          <cell r="O38">
            <v>29.0101601</v>
          </cell>
          <cell r="P38">
            <v>30.42713578</v>
          </cell>
          <cell r="Q38">
            <v>31.787079120000001</v>
          </cell>
          <cell r="R38">
            <v>33.09089032</v>
          </cell>
          <cell r="S38">
            <v>34.339332939999998</v>
          </cell>
          <cell r="T38">
            <v>35.533156329999997</v>
          </cell>
          <cell r="U38">
            <v>36.673024120000001</v>
          </cell>
          <cell r="V38">
            <v>37.754946519999997</v>
          </cell>
          <cell r="W38">
            <v>38.784112989999997</v>
          </cell>
          <cell r="X38">
            <v>39.761936540000001</v>
          </cell>
          <cell r="Y38">
            <v>40.688622080000002</v>
          </cell>
          <cell r="Z38">
            <v>41.564595689999997</v>
          </cell>
          <cell r="AA38">
            <v>42.377529850000002</v>
          </cell>
          <cell r="AB38">
            <v>43.137061359999997</v>
          </cell>
          <cell r="AC38">
            <v>43.847259100000002</v>
          </cell>
          <cell r="AD38">
            <v>44.51010814</v>
          </cell>
          <cell r="AE38">
            <v>45.127711120000001</v>
          </cell>
          <cell r="AF38">
            <v>45.701860349999997</v>
          </cell>
          <cell r="AG38">
            <v>46.234073299999999</v>
          </cell>
          <cell r="AH38">
            <v>46.725705499999997</v>
          </cell>
          <cell r="AI38">
            <v>47.178081720000002</v>
          </cell>
          <cell r="AJ38">
            <v>47.59258895</v>
          </cell>
          <cell r="AK38">
            <v>47.97069947</v>
          </cell>
        </row>
        <row r="39">
          <cell r="A39" t="str">
            <v>auto_cd_cele_0</v>
          </cell>
          <cell r="B39">
            <v>5.770071272</v>
          </cell>
          <cell r="C39">
            <v>7.5984369310000002</v>
          </cell>
          <cell r="D39">
            <v>9.5221054049999996</v>
          </cell>
          <cell r="E39">
            <v>11.49101042</v>
          </cell>
          <cell r="F39">
            <v>13.4708313</v>
          </cell>
          <cell r="G39">
            <v>15.44264072</v>
          </cell>
          <cell r="H39">
            <v>17.3913935</v>
          </cell>
          <cell r="I39">
            <v>19.311033699999999</v>
          </cell>
          <cell r="J39">
            <v>21.197606990000001</v>
          </cell>
          <cell r="K39">
            <v>23.048089239999999</v>
          </cell>
          <cell r="L39">
            <v>24.866601119999999</v>
          </cell>
          <cell r="M39">
            <v>26.643429319999999</v>
          </cell>
          <cell r="N39">
            <v>28.374490590000001</v>
          </cell>
          <cell r="O39">
            <v>30.057639900000002</v>
          </cell>
          <cell r="P39">
            <v>31.690796460000001</v>
          </cell>
          <cell r="Q39">
            <v>33.272787700000002</v>
          </cell>
          <cell r="R39">
            <v>34.803372850000002</v>
          </cell>
          <cell r="S39">
            <v>36.283138510000001</v>
          </cell>
          <cell r="T39">
            <v>37.713345689999997</v>
          </cell>
          <cell r="U39">
            <v>39.095755019999999</v>
          </cell>
          <cell r="V39">
            <v>40.427387289999999</v>
          </cell>
          <cell r="W39">
            <v>41.715887639999998</v>
          </cell>
          <cell r="X39">
            <v>42.964842150000003</v>
          </cell>
          <cell r="Y39">
            <v>44.176454069999998</v>
          </cell>
          <cell r="Z39">
            <v>45.353022420000002</v>
          </cell>
          <cell r="AA39">
            <v>46.481605889999997</v>
          </cell>
          <cell r="AB39">
            <v>47.574772170000003</v>
          </cell>
          <cell r="AC39">
            <v>48.638294019999996</v>
          </cell>
          <cell r="AD39">
            <v>49.675428680000003</v>
          </cell>
          <cell r="AE39">
            <v>50.689394370000002</v>
          </cell>
          <cell r="AF39">
            <v>51.682993320000001</v>
          </cell>
          <cell r="AG39">
            <v>52.658751590000001</v>
          </cell>
          <cell r="AH39">
            <v>53.619106670000001</v>
          </cell>
          <cell r="AI39">
            <v>54.566562400000002</v>
          </cell>
          <cell r="AJ39">
            <v>55.503758609999998</v>
          </cell>
          <cell r="AK39">
            <v>56.433444700000003</v>
          </cell>
        </row>
        <row r="40">
          <cell r="A40" t="str">
            <v>auto_ce_cele_2</v>
          </cell>
          <cell r="B40">
            <v>3.4730440960000002</v>
          </cell>
          <cell r="C40">
            <v>4.5950069029999998</v>
          </cell>
          <cell r="D40">
            <v>5.7658269249999998</v>
          </cell>
          <cell r="E40">
            <v>6.954075317</v>
          </cell>
          <cell r="F40">
            <v>8.1384560599999993</v>
          </cell>
          <cell r="G40">
            <v>9.3066986400000005</v>
          </cell>
          <cell r="H40">
            <v>10.426852670000001</v>
          </cell>
          <cell r="I40">
            <v>11.47581085</v>
          </cell>
          <cell r="J40">
            <v>12.47973681</v>
          </cell>
          <cell r="K40">
            <v>13.426459769999999</v>
          </cell>
          <cell r="L40">
            <v>14.32159774</v>
          </cell>
          <cell r="M40">
            <v>15.165068120000001</v>
          </cell>
          <cell r="N40">
            <v>15.959677449999999</v>
          </cell>
          <cell r="O40">
            <v>16.708293959999999</v>
          </cell>
          <cell r="P40">
            <v>17.411974900000001</v>
          </cell>
          <cell r="Q40">
            <v>18.070787859999999</v>
          </cell>
          <cell r="R40">
            <v>18.684596290000002</v>
          </cell>
          <cell r="S40">
            <v>19.253628259999999</v>
          </cell>
          <cell r="T40">
            <v>19.778620950000001</v>
          </cell>
          <cell r="U40">
            <v>20.260662880000002</v>
          </cell>
          <cell r="V40">
            <v>20.698699659999999</v>
          </cell>
          <cell r="W40">
            <v>21.09621241</v>
          </cell>
          <cell r="X40">
            <v>21.45481217</v>
          </cell>
          <cell r="Y40">
            <v>21.77531565</v>
          </cell>
          <cell r="Z40">
            <v>22.058513869999999</v>
          </cell>
          <cell r="AA40">
            <v>22.299259459999998</v>
          </cell>
          <cell r="AB40">
            <v>22.502533530000001</v>
          </cell>
          <cell r="AC40">
            <v>22.671097790000001</v>
          </cell>
          <cell r="AD40">
            <v>22.8067837</v>
          </cell>
          <cell r="AE40">
            <v>22.911430060000001</v>
          </cell>
          <cell r="AF40">
            <v>22.986617030000001</v>
          </cell>
          <cell r="AG40">
            <v>23.033667869999999</v>
          </cell>
          <cell r="AH40">
            <v>23.053735110000002</v>
          </cell>
          <cell r="AI40">
            <v>23.04791569</v>
          </cell>
          <cell r="AJ40">
            <v>23.017341200000001</v>
          </cell>
          <cell r="AK40">
            <v>22.963212779999999</v>
          </cell>
        </row>
        <row r="41">
          <cell r="A41" t="str">
            <v>auto_ce_cele_0</v>
          </cell>
          <cell r="B41">
            <v>3.4730440960000002</v>
          </cell>
          <cell r="C41">
            <v>4.5950069029999998</v>
          </cell>
          <cell r="D41">
            <v>5.7658269249999998</v>
          </cell>
          <cell r="E41">
            <v>6.954075317</v>
          </cell>
          <cell r="F41">
            <v>8.1384560599999993</v>
          </cell>
          <cell r="G41">
            <v>9.3066986400000005</v>
          </cell>
          <cell r="H41">
            <v>10.448371570000001</v>
          </cell>
          <cell r="I41">
            <v>11.5581294</v>
          </cell>
          <cell r="J41">
            <v>12.63210829</v>
          </cell>
          <cell r="K41">
            <v>13.667619759999999</v>
          </cell>
          <cell r="L41">
            <v>14.66686683</v>
          </cell>
          <cell r="M41">
            <v>15.62477955</v>
          </cell>
          <cell r="N41">
            <v>16.539511170000001</v>
          </cell>
          <cell r="O41">
            <v>17.41040945</v>
          </cell>
          <cell r="P41">
            <v>18.23679697</v>
          </cell>
          <cell r="Q41">
            <v>19.01843362</v>
          </cell>
          <cell r="R41">
            <v>19.75556679</v>
          </cell>
          <cell r="S41">
            <v>20.448915960000001</v>
          </cell>
          <cell r="T41">
            <v>21.099608409999998</v>
          </cell>
          <cell r="U41">
            <v>21.709072330000001</v>
          </cell>
          <cell r="V41">
            <v>22.27634879</v>
          </cell>
          <cell r="W41">
            <v>22.8057716</v>
          </cell>
          <cell r="X41">
            <v>23.299721689999998</v>
          </cell>
          <cell r="Y41">
            <v>23.759746509999999</v>
          </cell>
          <cell r="Z41">
            <v>24.187315259999998</v>
          </cell>
          <cell r="AA41">
            <v>24.576648909999999</v>
          </cell>
          <cell r="AB41">
            <v>24.933818120000002</v>
          </cell>
          <cell r="AC41">
            <v>25.26202936</v>
          </cell>
          <cell r="AD41">
            <v>25.563297729999999</v>
          </cell>
          <cell r="AE41">
            <v>25.83954537</v>
          </cell>
          <cell r="AF41">
            <v>26.092361669999999</v>
          </cell>
          <cell r="AG41">
            <v>26.323052730000001</v>
          </cell>
          <cell r="AH41">
            <v>26.532758730000001</v>
          </cell>
          <cell r="AI41">
            <v>26.722576759999999</v>
          </cell>
          <cell r="AJ41">
            <v>26.893639180000001</v>
          </cell>
          <cell r="AK41">
            <v>27.047126810000002</v>
          </cell>
        </row>
        <row r="42">
          <cell r="A42" t="str">
            <v>auto_cf_cele_2</v>
          </cell>
          <cell r="B42">
            <v>1.7251505170000001</v>
          </cell>
          <cell r="C42">
            <v>2.2554786930000001</v>
          </cell>
          <cell r="D42">
            <v>2.7927323309999998</v>
          </cell>
          <cell r="E42">
            <v>3.3191987529999998</v>
          </cell>
          <cell r="F42">
            <v>3.8226534509999999</v>
          </cell>
          <cell r="G42">
            <v>4.2953913909999999</v>
          </cell>
          <cell r="H42">
            <v>4.7198612369999999</v>
          </cell>
          <cell r="I42">
            <v>5.0856082069999999</v>
          </cell>
          <cell r="J42">
            <v>5.4105059710000001</v>
          </cell>
          <cell r="K42">
            <v>5.6950049280000004</v>
          </cell>
          <cell r="L42">
            <v>5.9452808590000004</v>
          </cell>
          <cell r="M42">
            <v>6.1638772189999997</v>
          </cell>
          <cell r="N42">
            <v>6.3525676149999999</v>
          </cell>
          <cell r="O42">
            <v>6.5123207259999996</v>
          </cell>
          <cell r="P42">
            <v>6.6433866889999997</v>
          </cell>
          <cell r="Q42">
            <v>6.7461275909999996</v>
          </cell>
          <cell r="R42">
            <v>6.8214791019999996</v>
          </cell>
          <cell r="S42">
            <v>6.87103646</v>
          </cell>
          <cell r="T42">
            <v>6.8968489020000003</v>
          </cell>
          <cell r="U42">
            <v>6.901110181</v>
          </cell>
          <cell r="V42">
            <v>6.8854150939999998</v>
          </cell>
          <cell r="W42">
            <v>6.8521293109999997</v>
          </cell>
          <cell r="X42">
            <v>6.8030358069999997</v>
          </cell>
          <cell r="Y42">
            <v>6.7395471469999997</v>
          </cell>
          <cell r="Z42">
            <v>6.6629572990000003</v>
          </cell>
          <cell r="AA42">
            <v>6.5735318190000003</v>
          </cell>
          <cell r="AB42">
            <v>6.4732040270000004</v>
          </cell>
          <cell r="AC42">
            <v>6.3635743500000004</v>
          </cell>
          <cell r="AD42">
            <v>6.2459837489999996</v>
          </cell>
          <cell r="AE42">
            <v>6.1216500070000004</v>
          </cell>
          <cell r="AF42">
            <v>5.9916294189999997</v>
          </cell>
          <cell r="AG42">
            <v>5.8568419409999999</v>
          </cell>
          <cell r="AH42">
            <v>5.718113883</v>
          </cell>
          <cell r="AI42">
            <v>5.5762158169999996</v>
          </cell>
          <cell r="AJ42">
            <v>5.4318832199999996</v>
          </cell>
          <cell r="AK42">
            <v>5.2858188369999999</v>
          </cell>
        </row>
        <row r="43">
          <cell r="A43" t="str">
            <v>auto_cf_cele_0</v>
          </cell>
          <cell r="B43">
            <v>1.7251505170000001</v>
          </cell>
          <cell r="C43">
            <v>2.2554786930000001</v>
          </cell>
          <cell r="D43">
            <v>2.7927323309999998</v>
          </cell>
          <cell r="E43">
            <v>3.3191987529999998</v>
          </cell>
          <cell r="F43">
            <v>3.8226534509999999</v>
          </cell>
          <cell r="G43">
            <v>4.2953913909999999</v>
          </cell>
          <cell r="H43">
            <v>4.7312684110000003</v>
          </cell>
          <cell r="I43">
            <v>5.1273855319999999</v>
          </cell>
          <cell r="J43">
            <v>5.4827396879999997</v>
          </cell>
          <cell r="K43">
            <v>5.797915186</v>
          </cell>
          <cell r="L43">
            <v>6.0759331159999999</v>
          </cell>
          <cell r="M43">
            <v>6.3175361270000003</v>
          </cell>
          <cell r="N43">
            <v>6.5242988139999998</v>
          </cell>
          <cell r="O43">
            <v>6.6980357699999997</v>
          </cell>
          <cell r="P43">
            <v>6.8403661949999996</v>
          </cell>
          <cell r="Q43">
            <v>6.9529270749999998</v>
          </cell>
          <cell r="R43">
            <v>7.0374452180000002</v>
          </cell>
          <cell r="S43">
            <v>7.0957551519999997</v>
          </cell>
          <cell r="T43">
            <v>7.1297699379999999</v>
          </cell>
          <cell r="U43">
            <v>7.1414231600000004</v>
          </cell>
          <cell r="V43">
            <v>7.1320916729999997</v>
          </cell>
          <cell r="W43">
            <v>7.1041213250000004</v>
          </cell>
          <cell r="X43">
            <v>7.0594034409999997</v>
          </cell>
          <cell r="Y43">
            <v>6.9995203139999997</v>
          </cell>
          <cell r="Z43">
            <v>6.9259302079999996</v>
          </cell>
          <cell r="AA43">
            <v>6.8389486030000004</v>
          </cell>
          <cell r="AB43">
            <v>6.7405955110000004</v>
          </cell>
          <cell r="AC43">
            <v>6.6324928160000001</v>
          </cell>
          <cell r="AD43">
            <v>6.5159882729999996</v>
          </cell>
          <cell r="AE43">
            <v>6.3923055489999996</v>
          </cell>
          <cell r="AF43">
            <v>6.262513781</v>
          </cell>
          <cell r="AG43">
            <v>6.1275533820000003</v>
          </cell>
          <cell r="AH43">
            <v>5.9882748469999996</v>
          </cell>
          <cell r="AI43">
            <v>5.8454717780000003</v>
          </cell>
          <cell r="AJ43">
            <v>5.6998982859999998</v>
          </cell>
          <cell r="AK43">
            <v>5.5522707020000004</v>
          </cell>
        </row>
        <row r="44">
          <cell r="A44" t="str">
            <v>auto_cg_cele_2</v>
          </cell>
          <cell r="B44">
            <v>3.1066862139999998</v>
          </cell>
          <cell r="C44">
            <v>4.0915232660000003</v>
          </cell>
          <cell r="D44">
            <v>5.0643021109999999</v>
          </cell>
          <cell r="E44">
            <v>5.9917753869999997</v>
          </cell>
          <cell r="F44">
            <v>6.8526129139999998</v>
          </cell>
          <cell r="G44">
            <v>7.6336913989999999</v>
          </cell>
          <cell r="H44">
            <v>8.2996542729999998</v>
          </cell>
          <cell r="I44">
            <v>8.8281182149999999</v>
          </cell>
          <cell r="J44">
            <v>9.2582543820000005</v>
          </cell>
          <cell r="K44">
            <v>9.5989218479999998</v>
          </cell>
          <cell r="L44">
            <v>9.8673415349999996</v>
          </cell>
          <cell r="M44">
            <v>10.07392033</v>
          </cell>
          <cell r="N44">
            <v>10.22563018</v>
          </cell>
          <cell r="O44">
            <v>10.326723579999999</v>
          </cell>
          <cell r="P44">
            <v>10.379529610000001</v>
          </cell>
          <cell r="Q44">
            <v>10.3862728</v>
          </cell>
          <cell r="R44">
            <v>10.35008127</v>
          </cell>
          <cell r="S44">
            <v>10.27515767</v>
          </cell>
          <cell r="T44">
            <v>10.16636856</v>
          </cell>
          <cell r="U44">
            <v>10.028662089999999</v>
          </cell>
          <cell r="V44">
            <v>9.8661468689999996</v>
          </cell>
          <cell r="W44">
            <v>9.6833053339999999</v>
          </cell>
          <cell r="X44">
            <v>9.4837508889999995</v>
          </cell>
          <cell r="Y44">
            <v>9.2704167819999999</v>
          </cell>
          <cell r="Z44">
            <v>9.0458664379999991</v>
          </cell>
          <cell r="AA44">
            <v>8.8116783590000001</v>
          </cell>
          <cell r="AB44">
            <v>8.5705131290000001</v>
          </cell>
          <cell r="AC44">
            <v>8.3246629429999999</v>
          </cell>
          <cell r="AD44">
            <v>8.0760412309999996</v>
          </cell>
          <cell r="AE44">
            <v>7.8262898730000003</v>
          </cell>
          <cell r="AF44">
            <v>7.5767697050000002</v>
          </cell>
          <cell r="AG44">
            <v>7.3286050219999996</v>
          </cell>
          <cell r="AH44">
            <v>7.0827393929999998</v>
          </cell>
          <cell r="AI44">
            <v>6.8399814660000002</v>
          </cell>
          <cell r="AJ44">
            <v>6.6010320309999999</v>
          </cell>
          <cell r="AK44">
            <v>6.3664946489999998</v>
          </cell>
        </row>
        <row r="45">
          <cell r="A45" t="str">
            <v>auto_cg_cele_0</v>
          </cell>
          <cell r="B45">
            <v>3.1066862139999998</v>
          </cell>
          <cell r="C45">
            <v>4.0915232660000003</v>
          </cell>
          <cell r="D45">
            <v>5.0643021109999999</v>
          </cell>
          <cell r="E45">
            <v>5.9917753869999997</v>
          </cell>
          <cell r="F45">
            <v>6.8526129139999998</v>
          </cell>
          <cell r="G45">
            <v>7.6336913989999999</v>
          </cell>
          <cell r="H45">
            <v>8.3245961269999995</v>
          </cell>
          <cell r="I45">
            <v>8.9209828210000008</v>
          </cell>
          <cell r="J45">
            <v>9.4229322389999997</v>
          </cell>
          <cell r="K45">
            <v>9.8345035969999994</v>
          </cell>
          <cell r="L45">
            <v>10.16451159</v>
          </cell>
          <cell r="M45">
            <v>10.418854830000001</v>
          </cell>
          <cell r="N45">
            <v>10.60423428</v>
          </cell>
          <cell r="O45">
            <v>10.72735525</v>
          </cell>
          <cell r="P45">
            <v>10.79419961</v>
          </cell>
          <cell r="Q45">
            <v>10.810362789999999</v>
          </cell>
          <cell r="R45">
            <v>10.78120897</v>
          </cell>
          <cell r="S45">
            <v>10.71193162</v>
          </cell>
          <cell r="T45">
            <v>10.607526679999999</v>
          </cell>
          <cell r="U45">
            <v>10.472716399999999</v>
          </cell>
          <cell r="V45">
            <v>10.311369640000001</v>
          </cell>
          <cell r="W45">
            <v>10.12797679</v>
          </cell>
          <cell r="X45">
            <v>9.9263335860000002</v>
          </cell>
          <cell r="Y45">
            <v>9.7096364400000006</v>
          </cell>
          <cell r="Z45">
            <v>9.4807041650000006</v>
          </cell>
          <cell r="AA45">
            <v>9.2412432629999994</v>
          </cell>
          <cell r="AB45">
            <v>8.9940674890000007</v>
          </cell>
          <cell r="AC45">
            <v>8.7415555289999993</v>
          </cell>
          <cell r="AD45">
            <v>8.4856875679999995</v>
          </cell>
          <cell r="AE45">
            <v>8.2281693239999996</v>
          </cell>
          <cell r="AF45">
            <v>7.9704285710000002</v>
          </cell>
          <cell r="AG45">
            <v>7.7136592640000003</v>
          </cell>
          <cell r="AH45">
            <v>7.4588736090000003</v>
          </cell>
          <cell r="AI45">
            <v>7.2069439839999996</v>
          </cell>
          <cell r="AJ45">
            <v>6.9586278879999997</v>
          </cell>
          <cell r="AK45">
            <v>6.7145785069999997</v>
          </cell>
        </row>
        <row r="46">
          <cell r="A46" t="str">
            <v>auto_ca_cgas_2</v>
          </cell>
          <cell r="B46">
            <v>0.42568169729999999</v>
          </cell>
          <cell r="C46">
            <v>0.45022395059999998</v>
          </cell>
          <cell r="D46">
            <v>0.47797077609999999</v>
          </cell>
          <cell r="E46">
            <v>0.50741975650000004</v>
          </cell>
          <cell r="F46">
            <v>0.53740656840000001</v>
          </cell>
          <cell r="G46">
            <v>0.56726424630000005</v>
          </cell>
          <cell r="H46">
            <v>0.59633338970000005</v>
          </cell>
          <cell r="I46">
            <v>0.62558684450000002</v>
          </cell>
          <cell r="J46">
            <v>0.65619604929999997</v>
          </cell>
          <cell r="K46">
            <v>0.68756761980000003</v>
          </cell>
          <cell r="L46">
            <v>0.7194736826</v>
          </cell>
          <cell r="M46">
            <v>0.75112885750000002</v>
          </cell>
          <cell r="N46">
            <v>0.78201699749999998</v>
          </cell>
          <cell r="O46">
            <v>0.81186848710000004</v>
          </cell>
          <cell r="P46">
            <v>0.84063262329999999</v>
          </cell>
          <cell r="Q46">
            <v>0.86845323659999996</v>
          </cell>
          <cell r="R46">
            <v>0.89557999909999997</v>
          </cell>
          <cell r="S46">
            <v>0.92227172430000004</v>
          </cell>
          <cell r="T46">
            <v>0.94872247570000001</v>
          </cell>
          <cell r="U46">
            <v>0.97502968459999995</v>
          </cell>
          <cell r="V46">
            <v>1.001058722</v>
          </cell>
          <cell r="W46">
            <v>1.026950638</v>
          </cell>
          <cell r="X46">
            <v>1.0526719179999999</v>
          </cell>
          <cell r="Y46">
            <v>1.0781721580000001</v>
          </cell>
          <cell r="Z46">
            <v>1.1034426159999999</v>
          </cell>
          <cell r="AA46">
            <v>1.128042357</v>
          </cell>
          <cell r="AB46">
            <v>1.15239341</v>
          </cell>
          <cell r="AC46">
            <v>1.1766060309999999</v>
          </cell>
          <cell r="AD46">
            <v>1.200674665</v>
          </cell>
          <cell r="AE46">
            <v>1.2245752590000001</v>
          </cell>
          <cell r="AF46">
            <v>1.248279092</v>
          </cell>
          <cell r="AG46">
            <v>1.2717763710000001</v>
          </cell>
          <cell r="AH46">
            <v>1.2950866050000001</v>
          </cell>
          <cell r="AI46">
            <v>1.3182546740000001</v>
          </cell>
          <cell r="AJ46">
            <v>1.341337545</v>
          </cell>
          <cell r="AK46">
            <v>1.3643889629999999</v>
          </cell>
        </row>
        <row r="47">
          <cell r="A47" t="str">
            <v>auto_ca_cgas_0</v>
          </cell>
          <cell r="B47">
            <v>0.42568169729999999</v>
          </cell>
          <cell r="C47">
            <v>0.45022395059999998</v>
          </cell>
          <cell r="D47">
            <v>0.47797077609999999</v>
          </cell>
          <cell r="E47">
            <v>0.50741975650000004</v>
          </cell>
          <cell r="F47">
            <v>0.53740656840000001</v>
          </cell>
          <cell r="G47">
            <v>0.56726424630000005</v>
          </cell>
          <cell r="H47">
            <v>0.59661861890000001</v>
          </cell>
          <cell r="I47">
            <v>0.62551103590000001</v>
          </cell>
          <cell r="J47">
            <v>0.65412961589999996</v>
          </cell>
          <cell r="K47">
            <v>0.68267801110000004</v>
          </cell>
          <cell r="L47">
            <v>0.71144908740000001</v>
          </cell>
          <cell r="M47">
            <v>0.74024673080000003</v>
          </cell>
          <cell r="N47">
            <v>0.76898669279999998</v>
          </cell>
          <cell r="O47">
            <v>0.79758607680000004</v>
          </cell>
          <cell r="P47">
            <v>0.82595182430000003</v>
          </cell>
          <cell r="Q47">
            <v>0.85401876089999995</v>
          </cell>
          <cell r="R47">
            <v>0.88175232240000001</v>
          </cell>
          <cell r="S47">
            <v>0.90913973250000002</v>
          </cell>
          <cell r="T47">
            <v>0.93617835510000003</v>
          </cell>
          <cell r="U47">
            <v>0.96286711879999998</v>
          </cell>
          <cell r="V47">
            <v>0.98905957730000005</v>
          </cell>
          <cell r="W47">
            <v>1.0149284030000001</v>
          </cell>
          <cell r="X47">
            <v>1.04048724</v>
          </cell>
          <cell r="Y47">
            <v>1.065720209</v>
          </cell>
          <cell r="Z47">
            <v>1.090631554</v>
          </cell>
          <cell r="AA47">
            <v>1.1147862420000001</v>
          </cell>
          <cell r="AB47">
            <v>1.1385894640000001</v>
          </cell>
          <cell r="AC47">
            <v>1.162148175</v>
          </cell>
          <cell r="AD47">
            <v>1.1854674780000001</v>
          </cell>
          <cell r="AE47">
            <v>1.208537975</v>
          </cell>
          <cell r="AF47">
            <v>1.2313451449999999</v>
          </cell>
          <cell r="AG47">
            <v>1.2538875629999999</v>
          </cell>
          <cell r="AH47">
            <v>1.276184327</v>
          </cell>
          <cell r="AI47">
            <v>1.2982713910000001</v>
          </cell>
          <cell r="AJ47">
            <v>1.32019105</v>
          </cell>
          <cell r="AK47">
            <v>1.3419804630000001</v>
          </cell>
        </row>
        <row r="48">
          <cell r="A48" t="str">
            <v>auto_cb_cgas_2</v>
          </cell>
          <cell r="B48">
            <v>0.49500522540000003</v>
          </cell>
          <cell r="C48">
            <v>0.51311465150000002</v>
          </cell>
          <cell r="D48">
            <v>0.53454230300000005</v>
          </cell>
          <cell r="E48">
            <v>0.5578169731</v>
          </cell>
          <cell r="F48">
            <v>0.58179864309999996</v>
          </cell>
          <cell r="G48">
            <v>0.60582218710000002</v>
          </cell>
          <cell r="H48">
            <v>0.62919311259999999</v>
          </cell>
          <cell r="I48">
            <v>0.65274040219999996</v>
          </cell>
          <cell r="J48">
            <v>0.6775820615</v>
          </cell>
          <cell r="K48">
            <v>0.70315525499999998</v>
          </cell>
          <cell r="L48">
            <v>0.7292574141</v>
          </cell>
          <cell r="M48">
            <v>0.75516599110000004</v>
          </cell>
          <cell r="N48">
            <v>0.78039962780000005</v>
          </cell>
          <cell r="O48">
            <v>0.80469668969999997</v>
          </cell>
          <cell r="P48">
            <v>0.82798967379999999</v>
          </cell>
          <cell r="Q48">
            <v>0.85038706040000001</v>
          </cell>
          <cell r="R48">
            <v>0.87209599999999998</v>
          </cell>
          <cell r="S48">
            <v>0.89333649329999998</v>
          </cell>
          <cell r="T48">
            <v>0.91427471940000005</v>
          </cell>
          <cell r="U48">
            <v>0.93499309730000002</v>
          </cell>
          <cell r="V48">
            <v>0.95536503210000001</v>
          </cell>
          <cell r="W48">
            <v>0.97551436329999996</v>
          </cell>
          <cell r="X48">
            <v>0.99540710990000003</v>
          </cell>
          <cell r="Y48">
            <v>1.0149910870000001</v>
          </cell>
          <cell r="Z48">
            <v>1.0342495789999999</v>
          </cell>
          <cell r="AA48">
            <v>1.052779076</v>
          </cell>
          <cell r="AB48">
            <v>1.0709454979999999</v>
          </cell>
          <cell r="AC48">
            <v>1.088843706</v>
          </cell>
          <cell r="AD48">
            <v>1.1064667619999999</v>
          </cell>
          <cell r="AE48">
            <v>1.1237915999999999</v>
          </cell>
          <cell r="AF48">
            <v>1.140789504</v>
          </cell>
          <cell r="AG48">
            <v>1.157446038</v>
          </cell>
          <cell r="AH48">
            <v>1.173770319</v>
          </cell>
          <cell r="AI48">
            <v>1.1897924609999999</v>
          </cell>
          <cell r="AJ48">
            <v>1.2055530919999999</v>
          </cell>
          <cell r="AK48">
            <v>1.221090878</v>
          </cell>
        </row>
        <row r="49">
          <cell r="A49" t="str">
            <v>auto_cb_cgas_0</v>
          </cell>
          <cell r="B49">
            <v>0.49500522540000003</v>
          </cell>
          <cell r="C49">
            <v>0.51311465150000002</v>
          </cell>
          <cell r="D49">
            <v>0.53454230300000005</v>
          </cell>
          <cell r="E49">
            <v>0.5578169731</v>
          </cell>
          <cell r="F49">
            <v>0.58179864309999996</v>
          </cell>
          <cell r="G49">
            <v>0.60582218710000002</v>
          </cell>
          <cell r="H49">
            <v>0.62949885839999997</v>
          </cell>
          <cell r="I49">
            <v>0.65283371940000001</v>
          </cell>
          <cell r="J49">
            <v>0.67597336350000004</v>
          </cell>
          <cell r="K49">
            <v>0.69908444439999995</v>
          </cell>
          <cell r="L49">
            <v>0.72242457510000002</v>
          </cell>
          <cell r="M49">
            <v>0.74579740989999999</v>
          </cell>
          <cell r="N49">
            <v>0.76911201360000003</v>
          </cell>
          <cell r="O49">
            <v>0.79228037309999999</v>
          </cell>
          <cell r="P49">
            <v>0.81520487050000001</v>
          </cell>
          <cell r="Q49">
            <v>0.83781371940000005</v>
          </cell>
          <cell r="R49">
            <v>0.86006386599999995</v>
          </cell>
          <cell r="S49">
            <v>0.88193329399999998</v>
          </cell>
          <cell r="T49">
            <v>0.90341056060000002</v>
          </cell>
          <cell r="U49">
            <v>0.92448685919999996</v>
          </cell>
          <cell r="V49">
            <v>0.94502175249999998</v>
          </cell>
          <cell r="W49">
            <v>0.9651651684</v>
          </cell>
          <cell r="X49">
            <v>0.98492464810000002</v>
          </cell>
          <cell r="Y49">
            <v>1.004279747</v>
          </cell>
          <cell r="Z49">
            <v>1.0232271040000001</v>
          </cell>
          <cell r="AA49">
            <v>1.041370173</v>
          </cell>
          <cell r="AB49">
            <v>1.0590611350000001</v>
          </cell>
          <cell r="AC49">
            <v>1.076391831</v>
          </cell>
          <cell r="AD49">
            <v>1.093364096</v>
          </cell>
          <cell r="AE49">
            <v>1.1099669560000001</v>
          </cell>
          <cell r="AF49">
            <v>1.1261836380000001</v>
          </cell>
          <cell r="AG49">
            <v>1.1420070499999999</v>
          </cell>
          <cell r="AH49">
            <v>1.1574465190000001</v>
          </cell>
          <cell r="AI49">
            <v>1.1725253149999999</v>
          </cell>
          <cell r="AJ49">
            <v>1.187272337</v>
          </cell>
          <cell r="AK49">
            <v>1.2017127460000001</v>
          </cell>
        </row>
        <row r="50">
          <cell r="A50" t="str">
            <v>auto_cc_cgas_2</v>
          </cell>
          <cell r="B50">
            <v>0.40659851759999999</v>
          </cell>
          <cell r="C50">
            <v>0.41509711599999999</v>
          </cell>
          <cell r="D50">
            <v>0.42607702559999999</v>
          </cell>
          <cell r="E50">
            <v>0.43849926779999998</v>
          </cell>
          <cell r="F50">
            <v>0.45155879879999999</v>
          </cell>
          <cell r="G50">
            <v>0.46477769749999998</v>
          </cell>
          <cell r="H50">
            <v>0.47763344969999999</v>
          </cell>
          <cell r="I50">
            <v>0.49062964939999998</v>
          </cell>
          <cell r="J50">
            <v>0.50453538379999996</v>
          </cell>
          <cell r="K50">
            <v>0.51896558849999996</v>
          </cell>
          <cell r="L50">
            <v>0.53379046060000002</v>
          </cell>
          <cell r="M50">
            <v>0.54853027880000005</v>
          </cell>
          <cell r="N50">
            <v>0.56286087910000004</v>
          </cell>
          <cell r="O50">
            <v>0.57659914140000001</v>
          </cell>
          <cell r="P50">
            <v>0.58968602299999995</v>
          </cell>
          <cell r="Q50">
            <v>0.6021774835</v>
          </cell>
          <cell r="R50">
            <v>0.61419606790000003</v>
          </cell>
          <cell r="S50">
            <v>0.62587600089999995</v>
          </cell>
          <cell r="T50">
            <v>0.63731972069999998</v>
          </cell>
          <cell r="U50">
            <v>0.6485775318</v>
          </cell>
          <cell r="V50">
            <v>0.65956401239999995</v>
          </cell>
          <cell r="W50">
            <v>0.67035793809999999</v>
          </cell>
          <cell r="X50">
            <v>0.68093519999999996</v>
          </cell>
          <cell r="Y50">
            <v>0.69125802790000002</v>
          </cell>
          <cell r="Z50">
            <v>0.7013105073</v>
          </cell>
          <cell r="AA50">
            <v>0.71082709970000002</v>
          </cell>
          <cell r="AB50">
            <v>0.72003745389999996</v>
          </cell>
          <cell r="AC50">
            <v>0.72900126350000005</v>
          </cell>
          <cell r="AD50">
            <v>0.73771370790000002</v>
          </cell>
          <cell r="AE50">
            <v>0.74615987620000002</v>
          </cell>
          <cell r="AF50">
            <v>0.75432038729999995</v>
          </cell>
          <cell r="AG50">
            <v>0.76218356490000005</v>
          </cell>
          <cell r="AH50">
            <v>0.76975145339999995</v>
          </cell>
          <cell r="AI50">
            <v>0.77703877850000003</v>
          </cell>
          <cell r="AJ50">
            <v>0.78406702319999999</v>
          </cell>
          <cell r="AK50">
            <v>0.79085709000000004</v>
          </cell>
        </row>
        <row r="51">
          <cell r="A51" t="str">
            <v>auto_cc_cgas_0</v>
          </cell>
          <cell r="B51">
            <v>0.40659851759999999</v>
          </cell>
          <cell r="C51">
            <v>0.41509711599999999</v>
          </cell>
          <cell r="D51">
            <v>0.42607702559999999</v>
          </cell>
          <cell r="E51">
            <v>0.43849926779999998</v>
          </cell>
          <cell r="F51">
            <v>0.45155879879999999</v>
          </cell>
          <cell r="G51">
            <v>0.46477769749999998</v>
          </cell>
          <cell r="H51">
            <v>0.477866346</v>
          </cell>
          <cell r="I51">
            <v>0.4908044835</v>
          </cell>
          <cell r="J51">
            <v>0.50367046540000004</v>
          </cell>
          <cell r="K51">
            <v>0.51656017610000005</v>
          </cell>
          <cell r="L51">
            <v>0.52963611460000004</v>
          </cell>
          <cell r="M51">
            <v>0.54275696579999999</v>
          </cell>
          <cell r="N51">
            <v>0.55585314770000005</v>
          </cell>
          <cell r="O51">
            <v>0.56885824119999995</v>
          </cell>
          <cell r="P51">
            <v>0.58169937959999996</v>
          </cell>
          <cell r="Q51">
            <v>0.59432106350000002</v>
          </cell>
          <cell r="R51">
            <v>0.60668735380000005</v>
          </cell>
          <cell r="S51">
            <v>0.61877704010000001</v>
          </cell>
          <cell r="T51">
            <v>0.63057685350000003</v>
          </cell>
          <cell r="U51">
            <v>0.64207615360000003</v>
          </cell>
          <cell r="V51">
            <v>0.65317841659999998</v>
          </cell>
          <cell r="W51">
            <v>0.66397782530000005</v>
          </cell>
          <cell r="X51">
            <v>0.67447666039999998</v>
          </cell>
          <cell r="Y51">
            <v>0.6846582121</v>
          </cell>
          <cell r="Z51">
            <v>0.6945163204</v>
          </cell>
          <cell r="AA51">
            <v>0.70379100630000002</v>
          </cell>
          <cell r="AB51">
            <v>0.71270391359999996</v>
          </cell>
          <cell r="AC51">
            <v>0.72131276649999998</v>
          </cell>
          <cell r="AD51">
            <v>0.72961796919999999</v>
          </cell>
          <cell r="AE51">
            <v>0.73761183060000002</v>
          </cell>
          <cell r="AF51">
            <v>0.74528226490000005</v>
          </cell>
          <cell r="AG51">
            <v>0.75262230919999995</v>
          </cell>
          <cell r="AH51">
            <v>0.75963456159999998</v>
          </cell>
          <cell r="AI51">
            <v>0.76633008629999999</v>
          </cell>
          <cell r="AJ51">
            <v>0.77272370759999998</v>
          </cell>
          <cell r="AK51">
            <v>0.77882849389999997</v>
          </cell>
        </row>
        <row r="52">
          <cell r="A52" t="str">
            <v>auto_cd_cgas_2</v>
          </cell>
          <cell r="B52">
            <v>0.2495444651</v>
          </cell>
          <cell r="C52">
            <v>0.25264671529999999</v>
          </cell>
          <cell r="D52">
            <v>0.25705868520000003</v>
          </cell>
          <cell r="E52">
            <v>0.26219028570000003</v>
          </cell>
          <cell r="F52">
            <v>0.26759126039999998</v>
          </cell>
          <cell r="G52">
            <v>0.2729871042</v>
          </cell>
          <cell r="H52">
            <v>0.27801712420000002</v>
          </cell>
          <cell r="I52">
            <v>0.28281923619999999</v>
          </cell>
          <cell r="J52">
            <v>0.28783697990000001</v>
          </cell>
          <cell r="K52">
            <v>0.2928927093</v>
          </cell>
          <cell r="L52">
            <v>0.29796170929999999</v>
          </cell>
          <cell r="M52">
            <v>0.30284683559999998</v>
          </cell>
          <cell r="N52">
            <v>0.30741039980000001</v>
          </cell>
          <cell r="O52">
            <v>0.3115675229</v>
          </cell>
          <cell r="P52">
            <v>0.31527871070000002</v>
          </cell>
          <cell r="Q52">
            <v>0.31855268619999999</v>
          </cell>
          <cell r="R52">
            <v>0.3214307548</v>
          </cell>
          <cell r="S52">
            <v>0.32396597049999998</v>
          </cell>
          <cell r="T52">
            <v>0.32620455390000003</v>
          </cell>
          <cell r="U52">
            <v>0.32817525510000001</v>
          </cell>
          <cell r="V52">
            <v>0.32984971660000001</v>
          </cell>
          <cell r="W52">
            <v>0.33127065</v>
          </cell>
          <cell r="X52">
            <v>0.33243664789999999</v>
          </cell>
          <cell r="Y52">
            <v>0.3333366968</v>
          </cell>
          <cell r="Z52">
            <v>0.33396653279999999</v>
          </cell>
          <cell r="AA52">
            <v>0.3342201876</v>
          </cell>
          <cell r="AB52">
            <v>0.33419062510000003</v>
          </cell>
          <cell r="AC52">
            <v>0.3339104061</v>
          </cell>
          <cell r="AD52">
            <v>0.3333874758</v>
          </cell>
          <cell r="AE52">
            <v>0.33262584070000001</v>
          </cell>
          <cell r="AF52">
            <v>0.33162604959999997</v>
          </cell>
          <cell r="AG52">
            <v>0.33038918960000002</v>
          </cell>
          <cell r="AH52">
            <v>0.328919552</v>
          </cell>
          <cell r="AI52">
            <v>0.3272252672</v>
          </cell>
          <cell r="AJ52">
            <v>0.32531721470000002</v>
          </cell>
          <cell r="AK52">
            <v>0.32320708349999999</v>
          </cell>
        </row>
        <row r="53">
          <cell r="A53" t="str">
            <v>auto_cd_cgas_0</v>
          </cell>
          <cell r="B53">
            <v>0.2495444651</v>
          </cell>
          <cell r="C53">
            <v>0.25264671529999999</v>
          </cell>
          <cell r="D53">
            <v>0.25705868520000003</v>
          </cell>
          <cell r="E53">
            <v>0.26219028570000003</v>
          </cell>
          <cell r="F53">
            <v>0.26759126039999998</v>
          </cell>
          <cell r="G53">
            <v>0.2729871042</v>
          </cell>
          <cell r="H53">
            <v>0.27819859200000002</v>
          </cell>
          <cell r="I53">
            <v>0.28318649600000001</v>
          </cell>
          <cell r="J53">
            <v>0.2879666837</v>
          </cell>
          <cell r="K53">
            <v>0.29257241880000001</v>
          </cell>
          <cell r="L53">
            <v>0.29708160919999999</v>
          </cell>
          <cell r="M53">
            <v>0.30142656820000002</v>
          </cell>
          <cell r="N53">
            <v>0.30557551719999998</v>
          </cell>
          <cell r="O53">
            <v>0.3095001483</v>
          </cell>
          <cell r="P53">
            <v>0.31316825459999997</v>
          </cell>
          <cell r="Q53">
            <v>0.3165554424</v>
          </cell>
          <cell r="R53">
            <v>0.31964680610000001</v>
          </cell>
          <cell r="S53">
            <v>0.32243532879999998</v>
          </cell>
          <cell r="T53">
            <v>0.32491907310000001</v>
          </cell>
          <cell r="U53">
            <v>0.32709861130000001</v>
          </cell>
          <cell r="V53">
            <v>0.32893715220000003</v>
          </cell>
          <cell r="W53">
            <v>0.33048185149999998</v>
          </cell>
          <cell r="X53">
            <v>0.33174200209999999</v>
          </cell>
          <cell r="Y53">
            <v>0.33271689040000002</v>
          </cell>
          <cell r="Z53">
            <v>0.33340892999999999</v>
          </cell>
          <cell r="AA53">
            <v>0.33371568600000001</v>
          </cell>
          <cell r="AB53">
            <v>0.33372978679999998</v>
          </cell>
          <cell r="AC53">
            <v>0.33348379309999998</v>
          </cell>
          <cell r="AD53">
            <v>0.33298765629999999</v>
          </cell>
          <cell r="AE53">
            <v>0.33224798370000003</v>
          </cell>
          <cell r="AF53">
            <v>0.3312682408</v>
          </cell>
          <cell r="AG53">
            <v>0.33005204199999999</v>
          </cell>
          <cell r="AH53">
            <v>0.32860526350000002</v>
          </cell>
          <cell r="AI53">
            <v>0.32693648710000001</v>
          </cell>
          <cell r="AJ53">
            <v>0.32505609549999998</v>
          </cell>
          <cell r="AK53">
            <v>0.32297476349999998</v>
          </cell>
        </row>
        <row r="54">
          <cell r="A54" t="str">
            <v>auto_ce_cgas_2</v>
          </cell>
          <cell r="B54">
            <v>0.15020246549999999</v>
          </cell>
          <cell r="C54">
            <v>0.15226403220000001</v>
          </cell>
          <cell r="D54">
            <v>0.15503085599999999</v>
          </cell>
          <cell r="E54">
            <v>0.15813658050000001</v>
          </cell>
          <cell r="F54">
            <v>0.1613060352</v>
          </cell>
          <cell r="G54">
            <v>0.1643694473</v>
          </cell>
          <cell r="H54">
            <v>0.16707560839999999</v>
          </cell>
          <cell r="I54">
            <v>0.169450982</v>
          </cell>
          <cell r="J54">
            <v>0.17178482149999999</v>
          </cell>
          <cell r="K54">
            <v>0.173993861</v>
          </cell>
          <cell r="L54">
            <v>0.17609100990000001</v>
          </cell>
          <cell r="M54">
            <v>0.17799144920000001</v>
          </cell>
          <cell r="N54">
            <v>0.17963343749999999</v>
          </cell>
          <cell r="O54">
            <v>0.180975991</v>
          </cell>
          <cell r="P54">
            <v>0.18199621839999999</v>
          </cell>
          <cell r="Q54">
            <v>0.18269485360000001</v>
          </cell>
          <cell r="R54">
            <v>0.18309140639999999</v>
          </cell>
          <cell r="S54">
            <v>0.18321506730000001</v>
          </cell>
          <cell r="T54">
            <v>0.18309516719999999</v>
          </cell>
          <cell r="U54">
            <v>0.182754624</v>
          </cell>
          <cell r="V54">
            <v>0.1821886476</v>
          </cell>
          <cell r="W54">
            <v>0.181427003</v>
          </cell>
          <cell r="X54">
            <v>0.18047752010000001</v>
          </cell>
          <cell r="Y54">
            <v>0.17934155039999999</v>
          </cell>
          <cell r="Z54">
            <v>0.1780225758</v>
          </cell>
          <cell r="AA54">
            <v>0.1764768028</v>
          </cell>
          <cell r="AB54">
            <v>0.17475189669999999</v>
          </cell>
          <cell r="AC54">
            <v>0.17287055230000001</v>
          </cell>
          <cell r="AD54">
            <v>0.17084431859999999</v>
          </cell>
          <cell r="AE54">
            <v>0.1686826236</v>
          </cell>
          <cell r="AF54">
            <v>0.16639244080000001</v>
          </cell>
          <cell r="AG54">
            <v>0.16397993220000001</v>
          </cell>
          <cell r="AH54">
            <v>0.16145185679999999</v>
          </cell>
          <cell r="AI54">
            <v>0.1588162514</v>
          </cell>
          <cell r="AJ54">
            <v>0.1560823278</v>
          </cell>
          <cell r="AK54">
            <v>0.15325984619999999</v>
          </cell>
        </row>
        <row r="55">
          <cell r="A55" t="str">
            <v>auto_ce_cgas_0</v>
          </cell>
          <cell r="B55">
            <v>0.15020246549999999</v>
          </cell>
          <cell r="C55">
            <v>0.15226403220000001</v>
          </cell>
          <cell r="D55">
            <v>0.15503085599999999</v>
          </cell>
          <cell r="E55">
            <v>0.15813658050000001</v>
          </cell>
          <cell r="F55">
            <v>0.1613060352</v>
          </cell>
          <cell r="G55">
            <v>0.1643694473</v>
          </cell>
          <cell r="H55">
            <v>0.16721174990000001</v>
          </cell>
          <cell r="I55">
            <v>0.16980029199999999</v>
          </cell>
          <cell r="J55">
            <v>0.1721375315</v>
          </cell>
          <cell r="K55">
            <v>0.17424099979999999</v>
          </cell>
          <cell r="L55">
            <v>0.1761592229</v>
          </cell>
          <cell r="M55">
            <v>0.1778621289</v>
          </cell>
          <cell r="N55">
            <v>0.17933944800000001</v>
          </cell>
          <cell r="O55">
            <v>0.1805834053</v>
          </cell>
          <cell r="P55">
            <v>0.181583469</v>
          </cell>
          <cell r="Q55">
            <v>0.18233290029999999</v>
          </cell>
          <cell r="R55">
            <v>0.18282999929999999</v>
          </cell>
          <cell r="S55">
            <v>0.18307756150000001</v>
          </cell>
          <cell r="T55">
            <v>0.18308151319999999</v>
          </cell>
          <cell r="U55">
            <v>0.18284946299999999</v>
          </cell>
          <cell r="V55">
            <v>0.18237046030000001</v>
          </cell>
          <cell r="W55">
            <v>0.18167506250000001</v>
          </cell>
          <cell r="X55">
            <v>0.1807758012</v>
          </cell>
          <cell r="Y55">
            <v>0.17967933180000001</v>
          </cell>
          <cell r="Z55">
            <v>0.1783930836</v>
          </cell>
          <cell r="AA55">
            <v>0.176875422</v>
          </cell>
          <cell r="AB55">
            <v>0.1751743425</v>
          </cell>
          <cell r="AC55">
            <v>0.17331240510000001</v>
          </cell>
          <cell r="AD55">
            <v>0.17130169649999999</v>
          </cell>
          <cell r="AE55">
            <v>0.1691524136</v>
          </cell>
          <cell r="AF55">
            <v>0.1668725546</v>
          </cell>
          <cell r="AG55">
            <v>0.16446932049999999</v>
          </cell>
          <cell r="AH55">
            <v>0.1619502599</v>
          </cell>
          <cell r="AI55">
            <v>0.15932379159999999</v>
          </cell>
          <cell r="AJ55">
            <v>0.15659909659999999</v>
          </cell>
          <cell r="AK55">
            <v>0.1537856172</v>
          </cell>
        </row>
        <row r="56">
          <cell r="A56" t="str">
            <v>auto_cf_cgas_2</v>
          </cell>
          <cell r="B56">
            <v>7.4609436000000001E-2</v>
          </cell>
          <cell r="C56">
            <v>7.5392995899999996E-2</v>
          </cell>
          <cell r="D56">
            <v>7.6381652600000002E-2</v>
          </cell>
          <cell r="E56">
            <v>7.7395245299999998E-2</v>
          </cell>
          <cell r="F56">
            <v>7.8307016300000004E-2</v>
          </cell>
          <cell r="G56">
            <v>7.9038168399999997E-2</v>
          </cell>
          <cell r="H56">
            <v>7.9434785199999997E-2</v>
          </cell>
          <cell r="I56">
            <v>7.9447315399999996E-2</v>
          </cell>
          <cell r="J56">
            <v>7.9246359700000005E-2</v>
          </cell>
          <cell r="K56">
            <v>7.88373344E-2</v>
          </cell>
          <cell r="L56">
            <v>7.8268127199999996E-2</v>
          </cell>
          <cell r="M56">
            <v>7.7547397300000001E-2</v>
          </cell>
          <cell r="N56">
            <v>7.6677801700000006E-2</v>
          </cell>
          <cell r="O56">
            <v>7.5658430299999996E-2</v>
          </cell>
          <cell r="P56">
            <v>7.4486937599999997E-2</v>
          </cell>
          <cell r="Q56">
            <v>7.3166294600000001E-2</v>
          </cell>
          <cell r="R56">
            <v>7.1706966799999994E-2</v>
          </cell>
          <cell r="S56">
            <v>7.0125622299999996E-2</v>
          </cell>
          <cell r="T56">
            <v>6.8441900200000003E-2</v>
          </cell>
          <cell r="U56">
            <v>6.6675139300000005E-2</v>
          </cell>
          <cell r="V56">
            <v>6.4837926099999998E-2</v>
          </cell>
          <cell r="W56">
            <v>6.2949063400000005E-2</v>
          </cell>
          <cell r="X56">
            <v>6.10213613E-2</v>
          </cell>
          <cell r="Y56">
            <v>5.9064236800000003E-2</v>
          </cell>
          <cell r="Z56">
            <v>5.7086164799999999E-2</v>
          </cell>
          <cell r="AA56">
            <v>5.5086655800000002E-2</v>
          </cell>
          <cell r="AB56">
            <v>5.30804182E-2</v>
          </cell>
          <cell r="AC56">
            <v>5.1078581300000002E-2</v>
          </cell>
          <cell r="AD56">
            <v>4.90896693E-2</v>
          </cell>
          <cell r="AE56">
            <v>4.7120948099999997E-2</v>
          </cell>
          <cell r="AF56">
            <v>4.5178242700000003E-2</v>
          </cell>
          <cell r="AG56">
            <v>4.32662714E-2</v>
          </cell>
          <cell r="AH56">
            <v>4.1389058100000001E-2</v>
          </cell>
          <cell r="AI56">
            <v>3.95502415E-2</v>
          </cell>
          <cell r="AJ56">
            <v>3.7753205900000003E-2</v>
          </cell>
          <cell r="AK56">
            <v>3.6001060100000003E-2</v>
          </cell>
        </row>
        <row r="57">
          <cell r="A57" t="str">
            <v>auto_cf_cgas_0</v>
          </cell>
          <cell r="B57">
            <v>7.4609436000000001E-2</v>
          </cell>
          <cell r="C57">
            <v>7.5392995899999996E-2</v>
          </cell>
          <cell r="D57">
            <v>7.6381652600000002E-2</v>
          </cell>
          <cell r="E57">
            <v>7.7395245299999998E-2</v>
          </cell>
          <cell r="F57">
            <v>7.8307016300000004E-2</v>
          </cell>
          <cell r="G57">
            <v>7.9038168399999997E-2</v>
          </cell>
          <cell r="H57">
            <v>7.9532261500000007E-2</v>
          </cell>
          <cell r="I57">
            <v>7.9769278799999996E-2</v>
          </cell>
          <cell r="J57">
            <v>7.974966E-2</v>
          </cell>
          <cell r="K57">
            <v>7.9487914500000006E-2</v>
          </cell>
          <cell r="L57">
            <v>7.9017462999999996E-2</v>
          </cell>
          <cell r="M57">
            <v>7.8347460100000002E-2</v>
          </cell>
          <cell r="N57">
            <v>7.7492775799999997E-2</v>
          </cell>
          <cell r="O57">
            <v>7.6468819899999999E-2</v>
          </cell>
          <cell r="P57">
            <v>7.5288565599999996E-2</v>
          </cell>
          <cell r="Q57">
            <v>7.3964916800000002E-2</v>
          </cell>
          <cell r="R57">
            <v>7.2511481599999997E-2</v>
          </cell>
          <cell r="S57">
            <v>7.0942681300000004E-2</v>
          </cell>
          <cell r="T57">
            <v>6.9273396900000006E-2</v>
          </cell>
          <cell r="U57">
            <v>6.7518408099999996E-2</v>
          </cell>
          <cell r="V57">
            <v>6.56874333E-2</v>
          </cell>
          <cell r="W57">
            <v>6.3798597499999998E-2</v>
          </cell>
          <cell r="X57">
            <v>6.1865571500000001E-2</v>
          </cell>
          <cell r="Y57">
            <v>5.9899268700000001E-2</v>
          </cell>
          <cell r="Z57">
            <v>5.7909555299999999E-2</v>
          </cell>
          <cell r="AA57">
            <v>5.5896702100000001E-2</v>
          </cell>
          <cell r="AB57">
            <v>5.3875841399999999E-2</v>
          </cell>
          <cell r="AC57">
            <v>5.1858130199999998E-2</v>
          </cell>
          <cell r="AD57">
            <v>4.9852126099999998E-2</v>
          </cell>
          <cell r="AE57">
            <v>4.7865170700000001E-2</v>
          </cell>
          <cell r="AF57">
            <v>4.5903262200000003E-2</v>
          </cell>
          <cell r="AG57">
            <v>4.3971362899999998E-2</v>
          </cell>
          <cell r="AH57">
            <v>4.2073751100000001E-2</v>
          </cell>
          <cell r="AI57">
            <v>4.0214274500000001E-2</v>
          </cell>
          <cell r="AJ57">
            <v>3.8396455000000003E-2</v>
          </cell>
          <cell r="AK57">
            <v>3.6623472999999997E-2</v>
          </cell>
        </row>
        <row r="58">
          <cell r="A58" t="str">
            <v>auto_cg_cgas_2</v>
          </cell>
          <cell r="B58">
            <v>0.13435819299999999</v>
          </cell>
          <cell r="C58">
            <v>0.13604005229999999</v>
          </cell>
          <cell r="D58">
            <v>0.1378617892</v>
          </cell>
          <cell r="E58">
            <v>0.139492376</v>
          </cell>
          <cell r="F58">
            <v>0.14071647379999999</v>
          </cell>
          <cell r="G58">
            <v>0.14140616789999999</v>
          </cell>
          <cell r="H58">
            <v>0.14125795739999999</v>
          </cell>
          <cell r="I58">
            <v>0.14014815589999999</v>
          </cell>
          <cell r="J58">
            <v>0.13844839789999999</v>
          </cell>
          <cell r="K58">
            <v>0.13624111359999999</v>
          </cell>
          <cell r="L58">
            <v>0.13366978860000001</v>
          </cell>
          <cell r="M58">
            <v>0.13080759989999999</v>
          </cell>
          <cell r="N58">
            <v>0.12769824660000001</v>
          </cell>
          <cell r="O58">
            <v>0.1243659431</v>
          </cell>
          <cell r="P58">
            <v>0.1208240087</v>
          </cell>
          <cell r="Q58">
            <v>0.1170899814</v>
          </cell>
          <cell r="R58">
            <v>0.1131918946</v>
          </cell>
          <cell r="S58">
            <v>0.1091671145</v>
          </cell>
          <cell r="T58">
            <v>0.1050570394</v>
          </cell>
          <cell r="U58">
            <v>0.10090148979999999</v>
          </cell>
          <cell r="V58">
            <v>9.6730901899999999E-2</v>
          </cell>
          <cell r="W58">
            <v>9.2578077300000006E-2</v>
          </cell>
          <cell r="X58">
            <v>8.8467156699999994E-2</v>
          </cell>
          <cell r="Y58">
            <v>8.4416035900000005E-2</v>
          </cell>
          <cell r="Z58">
            <v>8.0439375300000004E-2</v>
          </cell>
          <cell r="AA58">
            <v>7.6543213799999996E-2</v>
          </cell>
          <cell r="AB58">
            <v>7.2743501200000005E-2</v>
          </cell>
          <cell r="AC58">
            <v>6.9052522699999994E-2</v>
          </cell>
          <cell r="AD58">
            <v>6.5479087500000005E-2</v>
          </cell>
          <cell r="AE58">
            <v>6.2029629900000001E-2</v>
          </cell>
          <cell r="AF58">
            <v>5.8708261300000002E-2</v>
          </cell>
          <cell r="AG58">
            <v>5.5517253900000001E-2</v>
          </cell>
          <cell r="AH58">
            <v>5.2457564599999999E-2</v>
          </cell>
          <cell r="AI58">
            <v>4.9529231399999998E-2</v>
          </cell>
          <cell r="AJ58">
            <v>4.6731591400000001E-2</v>
          </cell>
          <cell r="AK58">
            <v>4.4063362000000002E-2</v>
          </cell>
        </row>
        <row r="59">
          <cell r="A59" t="str">
            <v>auto_cg_cgas_0</v>
          </cell>
          <cell r="B59">
            <v>0.13435819299999999</v>
          </cell>
          <cell r="C59">
            <v>0.13604005229999999</v>
          </cell>
          <cell r="D59">
            <v>0.1378617892</v>
          </cell>
          <cell r="E59">
            <v>0.139492376</v>
          </cell>
          <cell r="F59">
            <v>0.14071647379999999</v>
          </cell>
          <cell r="G59">
            <v>0.14140616789999999</v>
          </cell>
          <cell r="H59">
            <v>0.141472603</v>
          </cell>
          <cell r="I59">
            <v>0.1408934265</v>
          </cell>
          <cell r="J59">
            <v>0.13969052169999999</v>
          </cell>
          <cell r="K59">
            <v>0.13791933109999999</v>
          </cell>
          <cell r="L59">
            <v>0.13567129920000001</v>
          </cell>
          <cell r="M59">
            <v>0.13300431430000001</v>
          </cell>
          <cell r="N59">
            <v>0.12997955389999999</v>
          </cell>
          <cell r="O59">
            <v>0.12665499529999999</v>
          </cell>
          <cell r="P59">
            <v>0.12308044460000001</v>
          </cell>
          <cell r="Q59">
            <v>0.1193013139</v>
          </cell>
          <cell r="R59">
            <v>0.1153602691</v>
          </cell>
          <cell r="S59">
            <v>0.1112977842</v>
          </cell>
          <cell r="T59">
            <v>0.1071518744</v>
          </cell>
          <cell r="U59">
            <v>0.102957458</v>
          </cell>
          <cell r="V59">
            <v>9.8741479199999996E-2</v>
          </cell>
          <cell r="W59">
            <v>9.4535950100000002E-2</v>
          </cell>
          <cell r="X59">
            <v>9.0366184399999994E-2</v>
          </cell>
          <cell r="Y59">
            <v>8.6252088000000005E-2</v>
          </cell>
          <cell r="Z59">
            <v>8.2210227900000002E-2</v>
          </cell>
          <cell r="AA59">
            <v>7.8247755599999996E-2</v>
          </cell>
          <cell r="AB59">
            <v>7.4381392800000001E-2</v>
          </cell>
          <cell r="AC59">
            <v>7.06237158E-2</v>
          </cell>
          <cell r="AD59">
            <v>6.6983754300000004E-2</v>
          </cell>
          <cell r="AE59">
            <v>6.3468176799999998E-2</v>
          </cell>
          <cell r="AF59">
            <v>6.00813917E-2</v>
          </cell>
          <cell r="AG59">
            <v>5.6826005999999998E-2</v>
          </cell>
          <cell r="AH59">
            <v>5.3703296300000002E-2</v>
          </cell>
          <cell r="AI59">
            <v>5.0713561099999999E-2</v>
          </cell>
          <cell r="AJ59">
            <v>4.7856320899999999E-2</v>
          </cell>
          <cell r="AK59">
            <v>4.5130406300000002E-2</v>
          </cell>
        </row>
      </sheetData>
      <sheetData sheetId="18"/>
      <sheetData sheetId="19"/>
      <sheetData sheetId="20">
        <row r="100">
          <cell r="A100" t="str">
            <v>y_toe_2</v>
          </cell>
          <cell r="B100">
            <v>136.4561362</v>
          </cell>
          <cell r="C100">
            <v>138.7981724</v>
          </cell>
          <cell r="D100">
            <v>140.57108500000001</v>
          </cell>
          <cell r="E100">
            <v>142.15085780000001</v>
          </cell>
          <cell r="F100">
            <v>143.74577450000001</v>
          </cell>
          <cell r="G100">
            <v>145.48493680000001</v>
          </cell>
          <cell r="H100">
            <v>148.48297700000001</v>
          </cell>
          <cell r="I100">
            <v>150.62865909999999</v>
          </cell>
          <cell r="J100">
            <v>152.4117066</v>
          </cell>
          <cell r="K100">
            <v>153.85366920000001</v>
          </cell>
          <cell r="L100">
            <v>155.149473</v>
          </cell>
          <cell r="M100">
            <v>156.28060579999999</v>
          </cell>
          <cell r="N100">
            <v>157.47631050000001</v>
          </cell>
          <cell r="O100">
            <v>158.8475104</v>
          </cell>
          <cell r="P100">
            <v>160.42447110000001</v>
          </cell>
          <cell r="Q100">
            <v>162.17381180000001</v>
          </cell>
          <cell r="R100">
            <v>164.0238086</v>
          </cell>
          <cell r="S100">
            <v>165.90428080000001</v>
          </cell>
          <cell r="T100">
            <v>167.76929390000001</v>
          </cell>
          <cell r="U100">
            <v>169.60507820000001</v>
          </cell>
          <cell r="V100">
            <v>171.32860460000001</v>
          </cell>
          <cell r="W100">
            <v>173.12191429999999</v>
          </cell>
          <cell r="X100">
            <v>174.9538302</v>
          </cell>
          <cell r="Y100">
            <v>176.83555050000001</v>
          </cell>
          <cell r="Z100">
            <v>178.77228030000001</v>
          </cell>
          <cell r="AA100">
            <v>180.4648473</v>
          </cell>
          <cell r="AB100">
            <v>182.2711687</v>
          </cell>
          <cell r="AC100">
            <v>184.0767304</v>
          </cell>
          <cell r="AD100">
            <v>185.87693400000001</v>
          </cell>
          <cell r="AE100">
            <v>187.6891214</v>
          </cell>
          <cell r="AF100">
            <v>189.5350339</v>
          </cell>
          <cell r="AG100">
            <v>191.42983889999999</v>
          </cell>
          <cell r="AH100">
            <v>193.37771739999999</v>
          </cell>
          <cell r="AI100">
            <v>195.3728308</v>
          </cell>
          <cell r="AJ100">
            <v>197.4046027</v>
          </cell>
          <cell r="AK100">
            <v>199.46305100000001</v>
          </cell>
        </row>
        <row r="101">
          <cell r="A101" t="str">
            <v>m_toe_2</v>
          </cell>
          <cell r="B101">
            <v>152.7936014</v>
          </cell>
          <cell r="C101">
            <v>153.2497161</v>
          </cell>
          <cell r="D101">
            <v>153.75154240000001</v>
          </cell>
          <cell r="E101">
            <v>154.3134791</v>
          </cell>
          <cell r="F101">
            <v>155.06737770000001</v>
          </cell>
          <cell r="G101">
            <v>156.10721140000001</v>
          </cell>
          <cell r="H101">
            <v>158.26969819999999</v>
          </cell>
          <cell r="I101">
            <v>159.99861960000001</v>
          </cell>
          <cell r="J101">
            <v>161.56432459999999</v>
          </cell>
          <cell r="K101">
            <v>162.97056850000001</v>
          </cell>
          <cell r="L101">
            <v>164.42743949999999</v>
          </cell>
          <cell r="M101">
            <v>165.69898699999999</v>
          </cell>
          <cell r="N101">
            <v>167.04174520000001</v>
          </cell>
          <cell r="O101">
            <v>168.5490126</v>
          </cell>
          <cell r="P101">
            <v>170.2387607</v>
          </cell>
          <cell r="Q101">
            <v>172.08346750000001</v>
          </cell>
          <cell r="R101">
            <v>174.03018030000001</v>
          </cell>
          <cell r="S101">
            <v>176.02521039999999</v>
          </cell>
          <cell r="T101">
            <v>178.03091950000001</v>
          </cell>
          <cell r="U101">
            <v>180.03263340000001</v>
          </cell>
          <cell r="V101">
            <v>181.89739950000001</v>
          </cell>
          <cell r="W101">
            <v>183.89696359999999</v>
          </cell>
          <cell r="X101">
            <v>185.94180019999999</v>
          </cell>
          <cell r="Y101">
            <v>188.0259915</v>
          </cell>
          <cell r="Z101">
            <v>190.15569550000001</v>
          </cell>
          <cell r="AA101">
            <v>191.91370620000001</v>
          </cell>
          <cell r="AB101">
            <v>193.89602060000001</v>
          </cell>
          <cell r="AC101">
            <v>195.91376650000001</v>
          </cell>
          <cell r="AD101">
            <v>197.92924450000001</v>
          </cell>
          <cell r="AE101">
            <v>199.9515389</v>
          </cell>
          <cell r="AF101">
            <v>201.99866800000001</v>
          </cell>
          <cell r="AG101">
            <v>204.08437140000001</v>
          </cell>
          <cell r="AH101">
            <v>206.21384180000001</v>
          </cell>
          <cell r="AI101">
            <v>208.3844847</v>
          </cell>
          <cell r="AJ101">
            <v>210.58946700000001</v>
          </cell>
          <cell r="AK101">
            <v>212.82171600000001</v>
          </cell>
        </row>
        <row r="102">
          <cell r="A102" t="str">
            <v>ci_toe_2</v>
          </cell>
          <cell r="B102">
            <v>172.37207649999999</v>
          </cell>
          <cell r="C102">
            <v>174.6298046</v>
          </cell>
          <cell r="D102">
            <v>176.5279189</v>
          </cell>
          <cell r="E102">
            <v>178.2284751</v>
          </cell>
          <cell r="F102">
            <v>180.00866060000001</v>
          </cell>
          <cell r="G102">
            <v>182.10570530000001</v>
          </cell>
          <cell r="H102">
            <v>186.5973401</v>
          </cell>
          <cell r="I102">
            <v>189.8130108</v>
          </cell>
          <cell r="J102">
            <v>192.42579929999999</v>
          </cell>
          <cell r="K102">
            <v>194.44952839999999</v>
          </cell>
          <cell r="L102">
            <v>196.1885671</v>
          </cell>
          <cell r="M102">
            <v>197.60244539999999</v>
          </cell>
          <cell r="N102">
            <v>199.11887519999999</v>
          </cell>
          <cell r="O102">
            <v>200.9620591</v>
          </cell>
          <cell r="P102">
            <v>203.19656430000001</v>
          </cell>
          <cell r="Q102">
            <v>205.76926850000001</v>
          </cell>
          <cell r="R102">
            <v>208.55844519999999</v>
          </cell>
          <cell r="S102">
            <v>211.43233509999999</v>
          </cell>
          <cell r="T102">
            <v>214.29469409999999</v>
          </cell>
          <cell r="U102">
            <v>217.1058597</v>
          </cell>
          <cell r="V102">
            <v>219.72094720000001</v>
          </cell>
          <cell r="W102">
            <v>222.45021919999999</v>
          </cell>
          <cell r="X102">
            <v>225.2353234</v>
          </cell>
          <cell r="Y102">
            <v>228.08734770000001</v>
          </cell>
          <cell r="Z102">
            <v>231.0219893</v>
          </cell>
          <cell r="AA102">
            <v>233.5470881</v>
          </cell>
          <cell r="AB102">
            <v>236.3110111</v>
          </cell>
          <cell r="AC102">
            <v>239.09400539999999</v>
          </cell>
          <cell r="AD102">
            <v>241.85134919999999</v>
          </cell>
          <cell r="AE102">
            <v>244.6097283</v>
          </cell>
          <cell r="AF102">
            <v>247.41055919999999</v>
          </cell>
          <cell r="AG102">
            <v>250.28481110000001</v>
          </cell>
          <cell r="AH102">
            <v>253.2434791</v>
          </cell>
          <cell r="AI102">
            <v>256.27884749999998</v>
          </cell>
          <cell r="AJ102">
            <v>259.37273290000002</v>
          </cell>
          <cell r="AK102">
            <v>262.50636429999997</v>
          </cell>
        </row>
        <row r="103">
          <cell r="A103" t="str">
            <v>ch_toe_2</v>
          </cell>
          <cell r="B103">
            <v>73.965462770000002</v>
          </cell>
          <cell r="C103">
            <v>73.842180020000001</v>
          </cell>
          <cell r="D103">
            <v>73.490459200000004</v>
          </cell>
          <cell r="E103">
            <v>73.177508209999999</v>
          </cell>
          <cell r="F103">
            <v>72.968287029999999</v>
          </cell>
          <cell r="G103">
            <v>72.855573890000002</v>
          </cell>
          <cell r="H103">
            <v>72.821308139999999</v>
          </cell>
          <cell r="I103">
            <v>72.793937959999994</v>
          </cell>
          <cell r="J103">
            <v>72.844391569999999</v>
          </cell>
          <cell r="K103">
            <v>72.966365550000006</v>
          </cell>
          <cell r="L103">
            <v>73.16795132</v>
          </cell>
          <cell r="M103">
            <v>73.387464539999996</v>
          </cell>
          <cell r="N103">
            <v>73.609132290000005</v>
          </cell>
          <cell r="O103">
            <v>73.821218950000002</v>
          </cell>
          <cell r="P103">
            <v>74.016816640000002</v>
          </cell>
          <cell r="Q103">
            <v>74.195477249999996</v>
          </cell>
          <cell r="R103">
            <v>74.357614190000007</v>
          </cell>
          <cell r="S103">
            <v>74.510472210000003</v>
          </cell>
          <cell r="T103">
            <v>74.663460819999997</v>
          </cell>
          <cell r="U103">
            <v>74.823816820000005</v>
          </cell>
          <cell r="V103">
            <v>74.976433479999997</v>
          </cell>
          <cell r="W103">
            <v>75.146036859999995</v>
          </cell>
          <cell r="X103">
            <v>75.327335980000001</v>
          </cell>
          <cell r="Y103">
            <v>75.515145759999996</v>
          </cell>
          <cell r="Z103">
            <v>75.706235969999994</v>
          </cell>
          <cell r="AA103">
            <v>75.848342740000007</v>
          </cell>
          <cell r="AB103">
            <v>75.989549679999996</v>
          </cell>
          <cell r="AC103">
            <v>76.133143649999994</v>
          </cell>
          <cell r="AD103">
            <v>76.279919359999994</v>
          </cell>
          <cell r="AE103">
            <v>76.42883114</v>
          </cell>
          <cell r="AF103">
            <v>76.578431539999997</v>
          </cell>
          <cell r="AG103">
            <v>76.727544750000007</v>
          </cell>
          <cell r="AH103">
            <v>76.875574659999998</v>
          </cell>
          <cell r="AI103">
            <v>77.022485639999999</v>
          </cell>
          <cell r="AJ103">
            <v>77.169151290000002</v>
          </cell>
          <cell r="AK103">
            <v>77.316849129999994</v>
          </cell>
        </row>
        <row r="104">
          <cell r="A104" t="str">
            <v>x_toe_2</v>
          </cell>
          <cell r="B104">
            <v>42.9121983</v>
          </cell>
          <cell r="C104">
            <v>43.575903940000003</v>
          </cell>
          <cell r="D104">
            <v>44.304249200000001</v>
          </cell>
          <cell r="E104">
            <v>45.058353590000003</v>
          </cell>
          <cell r="F104">
            <v>45.836204479999999</v>
          </cell>
          <cell r="G104">
            <v>46.630868960000001</v>
          </cell>
          <cell r="H104">
            <v>47.33402693</v>
          </cell>
          <cell r="I104">
            <v>48.020329940000003</v>
          </cell>
          <cell r="J104">
            <v>48.705840289999998</v>
          </cell>
          <cell r="K104">
            <v>49.40834375</v>
          </cell>
          <cell r="L104">
            <v>50.220394059999997</v>
          </cell>
          <cell r="M104">
            <v>50.989682850000001</v>
          </cell>
          <cell r="N104">
            <v>51.790048140000003</v>
          </cell>
          <cell r="O104">
            <v>52.613244909999999</v>
          </cell>
          <cell r="P104">
            <v>53.449850859999998</v>
          </cell>
          <cell r="Q104">
            <v>54.29253353</v>
          </cell>
          <cell r="R104">
            <v>55.137929530000001</v>
          </cell>
          <cell r="S104">
            <v>55.986683900000003</v>
          </cell>
          <cell r="T104">
            <v>56.842058489999999</v>
          </cell>
          <cell r="U104">
            <v>57.70803506</v>
          </cell>
          <cell r="V104">
            <v>58.528623459999999</v>
          </cell>
          <cell r="W104">
            <v>59.42262186</v>
          </cell>
          <cell r="X104">
            <v>60.332970940000003</v>
          </cell>
          <cell r="Y104">
            <v>61.259048479999997</v>
          </cell>
          <cell r="Z104">
            <v>62.199750469999998</v>
          </cell>
          <cell r="AA104">
            <v>62.983122659999999</v>
          </cell>
          <cell r="AB104">
            <v>63.86662845</v>
          </cell>
          <cell r="AC104">
            <v>64.763347789999997</v>
          </cell>
          <cell r="AD104">
            <v>65.674909929999998</v>
          </cell>
          <cell r="AE104">
            <v>66.602100910000004</v>
          </cell>
          <cell r="AF104">
            <v>67.544711140000004</v>
          </cell>
          <cell r="AG104">
            <v>68.501854350000002</v>
          </cell>
          <cell r="AH104">
            <v>69.472505369999993</v>
          </cell>
          <cell r="AI104">
            <v>70.455982320000004</v>
          </cell>
          <cell r="AJ104">
            <v>71.452185540000002</v>
          </cell>
          <cell r="AK104">
            <v>72.461553550000005</v>
          </cell>
        </row>
        <row r="105">
          <cell r="A105" t="str">
            <v>y_toe_0</v>
          </cell>
          <cell r="B105">
            <v>136.4561362</v>
          </cell>
          <cell r="C105">
            <v>138.7981724</v>
          </cell>
          <cell r="D105">
            <v>140.57108500000001</v>
          </cell>
          <cell r="E105">
            <v>142.15085780000001</v>
          </cell>
          <cell r="F105">
            <v>143.74577450000001</v>
          </cell>
          <cell r="G105">
            <v>145.48493680000001</v>
          </cell>
          <cell r="H105">
            <v>147.32974659999999</v>
          </cell>
          <cell r="I105">
            <v>149.3160834</v>
          </cell>
          <cell r="J105">
            <v>151.36953249999999</v>
          </cell>
          <cell r="K105">
            <v>153.4046677</v>
          </cell>
          <cell r="L105">
            <v>155.48049760000001</v>
          </cell>
          <cell r="M105">
            <v>157.3974911</v>
          </cell>
          <cell r="N105">
            <v>159.2489243</v>
          </cell>
          <cell r="O105">
            <v>161.06598690000001</v>
          </cell>
          <cell r="P105">
            <v>162.867773</v>
          </cell>
          <cell r="Q105">
            <v>164.66605569999999</v>
          </cell>
          <cell r="R105">
            <v>166.46612490000001</v>
          </cell>
          <cell r="S105">
            <v>168.26798249999999</v>
          </cell>
          <cell r="T105">
            <v>170.0709512</v>
          </cell>
          <cell r="U105">
            <v>171.87726480000001</v>
          </cell>
          <cell r="V105">
            <v>173.5984259</v>
          </cell>
          <cell r="W105">
            <v>175.3974231</v>
          </cell>
          <cell r="X105">
            <v>177.2296699</v>
          </cell>
          <cell r="Y105">
            <v>179.1005821</v>
          </cell>
          <cell r="Z105">
            <v>181.01810090000001</v>
          </cell>
          <cell r="AA105">
            <v>182.6918297</v>
          </cell>
          <cell r="AB105">
            <v>184.4866581</v>
          </cell>
          <cell r="AC105">
            <v>186.2924423</v>
          </cell>
          <cell r="AD105">
            <v>188.10367099999999</v>
          </cell>
          <cell r="AE105">
            <v>189.9345883</v>
          </cell>
          <cell r="AF105">
            <v>191.80257879999999</v>
          </cell>
          <cell r="AG105">
            <v>193.71906129999999</v>
          </cell>
          <cell r="AH105">
            <v>195.68634280000001</v>
          </cell>
          <cell r="AI105">
            <v>197.69904009999999</v>
          </cell>
          <cell r="AJ105">
            <v>199.74803990000001</v>
          </cell>
          <cell r="AK105">
            <v>201.8251707</v>
          </cell>
        </row>
        <row r="106">
          <cell r="A106" t="str">
            <v>m_toe_0</v>
          </cell>
          <cell r="B106">
            <v>152.7936014</v>
          </cell>
          <cell r="C106">
            <v>153.2497161</v>
          </cell>
          <cell r="D106">
            <v>153.75154240000001</v>
          </cell>
          <cell r="E106">
            <v>154.3134791</v>
          </cell>
          <cell r="F106">
            <v>155.06737770000001</v>
          </cell>
          <cell r="G106">
            <v>156.10721140000001</v>
          </cell>
          <cell r="H106">
            <v>157.33242759999999</v>
          </cell>
          <cell r="I106">
            <v>158.82641129999999</v>
          </cell>
          <cell r="J106">
            <v>160.51668530000001</v>
          </cell>
          <cell r="K106">
            <v>162.30971389999999</v>
          </cell>
          <cell r="L106">
            <v>164.3137978</v>
          </cell>
          <cell r="M106">
            <v>166.1619331</v>
          </cell>
          <cell r="N106">
            <v>168.0060895</v>
          </cell>
          <cell r="O106">
            <v>169.8740081</v>
          </cell>
          <cell r="P106">
            <v>171.76769519999999</v>
          </cell>
          <cell r="Q106">
            <v>173.68520789999999</v>
          </cell>
          <cell r="R106">
            <v>175.6235978</v>
          </cell>
          <cell r="S106">
            <v>177.5789618</v>
          </cell>
          <cell r="T106">
            <v>179.54803039999999</v>
          </cell>
          <cell r="U106">
            <v>181.5301456</v>
          </cell>
          <cell r="V106">
            <v>183.39039500000001</v>
          </cell>
          <cell r="W106">
            <v>185.38819140000001</v>
          </cell>
          <cell r="X106">
            <v>187.42427749999999</v>
          </cell>
          <cell r="Y106">
            <v>189.48817600000001</v>
          </cell>
          <cell r="Z106">
            <v>191.5878774</v>
          </cell>
          <cell r="AA106">
            <v>193.3123751</v>
          </cell>
          <cell r="AB106">
            <v>195.26336570000001</v>
          </cell>
          <cell r="AC106">
            <v>197.2555854</v>
          </cell>
          <cell r="AD106">
            <v>199.25146240000001</v>
          </cell>
          <cell r="AE106">
            <v>201.2582141</v>
          </cell>
          <cell r="AF106">
            <v>203.29087720000001</v>
          </cell>
          <cell r="AG106">
            <v>205.36037529999999</v>
          </cell>
          <cell r="AH106">
            <v>207.47036320000001</v>
          </cell>
          <cell r="AI106">
            <v>209.6181704</v>
          </cell>
          <cell r="AJ106">
            <v>211.79778210000001</v>
          </cell>
          <cell r="AK106">
            <v>214.0032214</v>
          </cell>
        </row>
        <row r="107">
          <cell r="A107" t="str">
            <v>ci_toe_0</v>
          </cell>
          <cell r="B107">
            <v>172.37207649999999</v>
          </cell>
          <cell r="C107">
            <v>174.6298046</v>
          </cell>
          <cell r="D107">
            <v>176.5279189</v>
          </cell>
          <cell r="E107">
            <v>178.2284751</v>
          </cell>
          <cell r="F107">
            <v>180.00866060000001</v>
          </cell>
          <cell r="G107">
            <v>182.10570530000001</v>
          </cell>
          <cell r="H107">
            <v>184.47450269999999</v>
          </cell>
          <cell r="I107">
            <v>187.2133714</v>
          </cell>
          <cell r="J107">
            <v>190.1872568</v>
          </cell>
          <cell r="K107">
            <v>193.21604980000001</v>
          </cell>
          <cell r="L107">
            <v>196.35357239999999</v>
          </cell>
          <cell r="M107">
            <v>199.2218226</v>
          </cell>
          <cell r="N107">
            <v>201.98593650000001</v>
          </cell>
          <cell r="O107">
            <v>204.70883330000001</v>
          </cell>
          <cell r="P107">
            <v>207.42045379999999</v>
          </cell>
          <cell r="Q107">
            <v>210.13514599999999</v>
          </cell>
          <cell r="R107">
            <v>212.8554297</v>
          </cell>
          <cell r="S107">
            <v>215.57733300000001</v>
          </cell>
          <cell r="T107">
            <v>218.297279</v>
          </cell>
          <cell r="U107">
            <v>221.01746610000001</v>
          </cell>
          <cell r="V107">
            <v>223.59259729999999</v>
          </cell>
          <cell r="W107">
            <v>226.30288530000001</v>
          </cell>
          <cell r="X107">
            <v>229.06547749999999</v>
          </cell>
          <cell r="Y107">
            <v>231.8780659</v>
          </cell>
          <cell r="Z107">
            <v>234.75863720000001</v>
          </cell>
          <cell r="AA107">
            <v>237.2286264</v>
          </cell>
          <cell r="AB107">
            <v>239.94842389999999</v>
          </cell>
          <cell r="AC107">
            <v>242.7071564</v>
          </cell>
          <cell r="AD107">
            <v>245.45983219999999</v>
          </cell>
          <cell r="AE107">
            <v>248.2277139</v>
          </cell>
          <cell r="AF107">
            <v>251.0443702</v>
          </cell>
          <cell r="AG107">
            <v>253.93373339999999</v>
          </cell>
          <cell r="AH107">
            <v>256.90290169999997</v>
          </cell>
          <cell r="AI107">
            <v>259.94400830000001</v>
          </cell>
          <cell r="AJ107">
            <v>263.0412705</v>
          </cell>
          <cell r="AK107">
            <v>266.17924399999998</v>
          </cell>
        </row>
        <row r="108">
          <cell r="A108" t="str">
            <v>ch_toe_0</v>
          </cell>
          <cell r="B108">
            <v>73.965462770000002</v>
          </cell>
          <cell r="C108">
            <v>73.842180020000001</v>
          </cell>
          <cell r="D108">
            <v>73.490459200000004</v>
          </cell>
          <cell r="E108">
            <v>73.177508209999999</v>
          </cell>
          <cell r="F108">
            <v>72.968287029999999</v>
          </cell>
          <cell r="G108">
            <v>72.855573890000002</v>
          </cell>
          <cell r="H108">
            <v>72.799636480000004</v>
          </cell>
          <cell r="I108">
            <v>72.78482151</v>
          </cell>
          <cell r="J108">
            <v>72.802000120000002</v>
          </cell>
          <cell r="K108">
            <v>72.850342130000001</v>
          </cell>
          <cell r="L108">
            <v>72.958415200000005</v>
          </cell>
          <cell r="M108">
            <v>73.090435780000007</v>
          </cell>
          <cell r="N108">
            <v>73.245755160000002</v>
          </cell>
          <cell r="O108">
            <v>73.418847330000006</v>
          </cell>
          <cell r="P108">
            <v>73.6005045</v>
          </cell>
          <cell r="Q108">
            <v>73.786387340000005</v>
          </cell>
          <cell r="R108">
            <v>73.976500340000001</v>
          </cell>
          <cell r="S108">
            <v>74.170801679999997</v>
          </cell>
          <cell r="T108">
            <v>74.368490789999996</v>
          </cell>
          <cell r="U108">
            <v>74.568359819999998</v>
          </cell>
          <cell r="V108">
            <v>74.751074619999997</v>
          </cell>
          <cell r="W108">
            <v>74.941112320000002</v>
          </cell>
          <cell r="X108">
            <v>75.134776810000005</v>
          </cell>
          <cell r="Y108">
            <v>75.329407799999998</v>
          </cell>
          <cell r="Z108">
            <v>75.523452989999996</v>
          </cell>
          <cell r="AA108">
            <v>75.666081309999996</v>
          </cell>
          <cell r="AB108">
            <v>75.805707200000001</v>
          </cell>
          <cell r="AC108">
            <v>75.945248620000001</v>
          </cell>
          <cell r="AD108">
            <v>76.085341349999993</v>
          </cell>
          <cell r="AE108">
            <v>76.225605580000007</v>
          </cell>
          <cell r="AF108">
            <v>76.365103869999999</v>
          </cell>
          <cell r="AG108">
            <v>76.502965799999998</v>
          </cell>
          <cell r="AH108">
            <v>76.638844770000006</v>
          </cell>
          <cell r="AI108">
            <v>76.773040510000001</v>
          </cell>
          <cell r="AJ108">
            <v>76.906221869999996</v>
          </cell>
          <cell r="AK108">
            <v>77.039284159999994</v>
          </cell>
        </row>
        <row r="109">
          <cell r="A109" t="str">
            <v>x_toe_0</v>
          </cell>
          <cell r="B109">
            <v>42.9121983</v>
          </cell>
          <cell r="C109">
            <v>43.575903940000003</v>
          </cell>
          <cell r="D109">
            <v>44.304249200000001</v>
          </cell>
          <cell r="E109">
            <v>45.058353590000003</v>
          </cell>
          <cell r="F109">
            <v>45.836204479999999</v>
          </cell>
          <cell r="G109">
            <v>46.630868960000001</v>
          </cell>
          <cell r="H109">
            <v>47.388035039999998</v>
          </cell>
          <cell r="I109">
            <v>48.144301779999999</v>
          </cell>
          <cell r="J109">
            <v>48.896960890000003</v>
          </cell>
          <cell r="K109">
            <v>49.647989629999998</v>
          </cell>
          <cell r="L109">
            <v>50.48230787</v>
          </cell>
          <cell r="M109">
            <v>51.247165789999997</v>
          </cell>
          <cell r="N109">
            <v>52.023322200000003</v>
          </cell>
          <cell r="O109">
            <v>52.812314399999998</v>
          </cell>
          <cell r="P109">
            <v>53.614509929999997</v>
          </cell>
          <cell r="Q109">
            <v>54.429730190000001</v>
          </cell>
          <cell r="R109">
            <v>55.257792680000001</v>
          </cell>
          <cell r="S109">
            <v>56.098809639999999</v>
          </cell>
          <cell r="T109">
            <v>56.953211899999999</v>
          </cell>
          <cell r="U109">
            <v>57.8215845</v>
          </cell>
          <cell r="V109">
            <v>58.645148980000002</v>
          </cell>
          <cell r="W109">
            <v>59.541616830000002</v>
          </cell>
          <cell r="X109">
            <v>60.453693199999996</v>
          </cell>
          <cell r="Y109">
            <v>61.381284489999999</v>
          </cell>
          <cell r="Z109">
            <v>62.323888150000002</v>
          </cell>
          <cell r="AA109">
            <v>63.10949711</v>
          </cell>
          <cell r="AB109">
            <v>63.995892699999999</v>
          </cell>
          <cell r="AC109">
            <v>64.895622709999998</v>
          </cell>
          <cell r="AD109">
            <v>65.809959840000005</v>
          </cell>
          <cell r="AE109">
            <v>66.739482980000005</v>
          </cell>
          <cell r="AF109">
            <v>67.683981970000005</v>
          </cell>
          <cell r="AG109">
            <v>68.642737429999997</v>
          </cell>
          <cell r="AH109">
            <v>69.614959510000006</v>
          </cell>
          <cell r="AI109">
            <v>70.600161670000006</v>
          </cell>
          <cell r="AJ109">
            <v>71.598329629999995</v>
          </cell>
          <cell r="AK109">
            <v>72.609863880000006</v>
          </cell>
        </row>
      </sheetData>
      <sheetData sheetId="21"/>
      <sheetData sheetId="22"/>
      <sheetData sheetId="2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lorian Jacquetin" id="{699B898A-57CD-4032-AE92-F76E6BE2A5E0}" userId="12c657cf18380207" providerId="Windows Live"/>
</personList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91" dT="2022-12-11T00:44:55.85" personId="{699B898A-57CD-4032-AE92-F76E6BE2A5E0}" id="{8B17D36B-81D2-4EE5-A719-89E9DB4D4DB2}">
    <text>Attention léger écart sur somme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83"/>
  <sheetViews>
    <sheetView zoomScale="77" workbookViewId="0">
      <pane xSplit="2" ySplit="4" topLeftCell="C580" activePane="bottomRight" state="frozen"/>
      <selection pane="topRight" activeCell="C1" sqref="C1"/>
      <selection pane="bottomLeft" activeCell="A4" sqref="A4"/>
      <selection pane="bottomRight" activeCell="C597" sqref="C597"/>
    </sheetView>
  </sheetViews>
  <sheetFormatPr baseColWidth="10" defaultRowHeight="14.4" x14ac:dyDescent="0.3"/>
  <cols>
    <col min="1" max="1" width="26.88671875" customWidth="1"/>
    <col min="2" max="2" width="43.109375" customWidth="1"/>
    <col min="3" max="13" width="13.109375" bestFit="1" customWidth="1"/>
    <col min="14" max="38" width="14.21875" bestFit="1" customWidth="1"/>
  </cols>
  <sheetData>
    <row r="1" spans="1:38" x14ac:dyDescent="0.3">
      <c r="A1" t="s">
        <v>5</v>
      </c>
      <c r="B1" t="s">
        <v>6</v>
      </c>
    </row>
    <row r="4" spans="1:38" x14ac:dyDescent="0.3">
      <c r="A4" s="12" t="s">
        <v>0</v>
      </c>
      <c r="C4" s="2">
        <v>42005</v>
      </c>
      <c r="D4" s="2">
        <v>42370</v>
      </c>
      <c r="E4" s="2">
        <v>42736</v>
      </c>
      <c r="F4" s="2">
        <v>43101</v>
      </c>
      <c r="G4" s="2">
        <v>43466</v>
      </c>
      <c r="H4" s="2">
        <v>43831</v>
      </c>
      <c r="I4" s="2">
        <v>44197</v>
      </c>
      <c r="J4" s="2">
        <v>44562</v>
      </c>
      <c r="K4" s="2">
        <v>44927</v>
      </c>
      <c r="L4" s="2">
        <v>45292</v>
      </c>
      <c r="M4" s="2">
        <v>45658</v>
      </c>
      <c r="N4" s="2">
        <v>46023</v>
      </c>
      <c r="O4" s="2">
        <v>46388</v>
      </c>
      <c r="P4" s="2">
        <v>46753</v>
      </c>
      <c r="Q4" s="2">
        <v>47119</v>
      </c>
      <c r="R4" s="2">
        <v>47484</v>
      </c>
      <c r="S4" s="2">
        <v>47849</v>
      </c>
      <c r="T4" s="2">
        <v>48214</v>
      </c>
      <c r="U4" s="2">
        <v>48580</v>
      </c>
      <c r="V4" s="2">
        <v>48945</v>
      </c>
      <c r="W4" s="2">
        <v>49310</v>
      </c>
      <c r="X4" s="2">
        <v>49675</v>
      </c>
      <c r="Y4" s="2">
        <v>50041</v>
      </c>
      <c r="Z4" s="2">
        <v>50406</v>
      </c>
      <c r="AA4" s="2">
        <v>50771</v>
      </c>
      <c r="AB4" s="2">
        <v>51136</v>
      </c>
      <c r="AC4" s="2">
        <v>51502</v>
      </c>
      <c r="AD4" s="2">
        <v>51867</v>
      </c>
      <c r="AE4" s="2">
        <v>52232</v>
      </c>
      <c r="AF4" s="2">
        <v>52597</v>
      </c>
      <c r="AG4" s="2">
        <v>52963</v>
      </c>
      <c r="AH4" s="2">
        <v>53328</v>
      </c>
      <c r="AI4" s="2">
        <v>53693</v>
      </c>
      <c r="AJ4" s="2">
        <v>54058</v>
      </c>
      <c r="AK4" s="2">
        <v>54424</v>
      </c>
      <c r="AL4" s="2">
        <v>54789</v>
      </c>
    </row>
    <row r="5" spans="1:38" x14ac:dyDescent="0.3">
      <c r="A5" s="3" t="str">
        <f>[1]Results!E1365</f>
        <v>100*(GDP_2/GDP_0-1)</v>
      </c>
      <c r="B5" t="s">
        <v>77</v>
      </c>
      <c r="C5" s="1">
        <f>[1]Results!F1365</f>
        <v>0</v>
      </c>
      <c r="D5" s="1">
        <f>[1]Results!G1365</f>
        <v>0</v>
      </c>
      <c r="E5" s="1">
        <f>[1]Results!H1365</f>
        <v>0</v>
      </c>
      <c r="F5" s="1">
        <f>[1]Results!I1365</f>
        <v>0</v>
      </c>
      <c r="G5" s="1">
        <f>[1]Results!J1365</f>
        <v>0</v>
      </c>
      <c r="H5" s="1">
        <f>[1]Results!K1365</f>
        <v>0</v>
      </c>
      <c r="I5" s="1">
        <f>[1]Results!L1365</f>
        <v>-1.1849551980458783</v>
      </c>
      <c r="J5" s="1">
        <f>[1]Results!M1365</f>
        <v>-1.9187579346455097</v>
      </c>
      <c r="K5" s="1">
        <f>[1]Results!N1365</f>
        <v>-2.373159536043612</v>
      </c>
      <c r="L5" s="1">
        <f>[1]Results!O1365</f>
        <v>-2.483047654266024</v>
      </c>
      <c r="M5" s="1">
        <f>[1]Results!P1365</f>
        <v>-2.2965698221518172</v>
      </c>
      <c r="N5" s="1">
        <f>[1]Results!Q1365</f>
        <v>-1.9449731346725452</v>
      </c>
      <c r="O5" s="1">
        <f>[1]Results!R1365</f>
        <v>-1.5507098140532305</v>
      </c>
      <c r="P5" s="1">
        <f>[1]Results!S1365</f>
        <v>-1.2251128584772175</v>
      </c>
      <c r="Q5" s="1">
        <f>[1]Results!T1365</f>
        <v>-1.0283629047670662</v>
      </c>
      <c r="R5" s="1">
        <f>[1]Results!U1365</f>
        <v>-0.96547794572903189</v>
      </c>
      <c r="S5" s="1">
        <f>[1]Results!V1365</f>
        <v>-1.0008130427488937</v>
      </c>
      <c r="T5" s="1">
        <f>[1]Results!W1365</f>
        <v>-1.0824859521044172</v>
      </c>
      <c r="U5" s="1">
        <f>[1]Results!X1365</f>
        <v>-1.1650549576948444</v>
      </c>
      <c r="V5" s="1">
        <f>[1]Results!Y1365</f>
        <v>-1.2222783859513253</v>
      </c>
      <c r="W5" s="1">
        <f>[1]Results!Z1365</f>
        <v>-1.2483276360008011</v>
      </c>
      <c r="X5" s="1">
        <f>[1]Results!AA1365</f>
        <v>-1.2511672892521086</v>
      </c>
      <c r="Y5" s="1">
        <f>[1]Results!AB1365</f>
        <v>-1.2441517350475384</v>
      </c>
      <c r="Z5" s="1">
        <f>[1]Results!AC1365</f>
        <v>-1.2376173117131462</v>
      </c>
      <c r="AA5" s="1">
        <f>[1]Results!AD1365</f>
        <v>-1.235613844475747</v>
      </c>
      <c r="AB5" s="1">
        <f>[1]Results!AE1365</f>
        <v>-1.2378975762579181</v>
      </c>
      <c r="AC5" s="1">
        <f>[1]Results!AF1365</f>
        <v>-1.2354093691682833</v>
      </c>
      <c r="AD5" s="1">
        <f>[1]Results!AG1365</f>
        <v>-1.2275317663725138</v>
      </c>
      <c r="AE5" s="1">
        <f>[1]Results!AH1365</f>
        <v>-1.2132076358144728</v>
      </c>
      <c r="AF5" s="1">
        <f>[1]Results!AI1365</f>
        <v>-1.1940074650522936</v>
      </c>
      <c r="AG5" s="1">
        <f>[1]Results!AJ1365</f>
        <v>-1.1729858459879172</v>
      </c>
      <c r="AH5" s="1">
        <f>[1]Results!AK1365</f>
        <v>-1.15327612743229</v>
      </c>
      <c r="AI5" s="1">
        <f>[1]Results!AL1365</f>
        <v>-1.1369586308023871</v>
      </c>
      <c r="AJ5" s="1">
        <f>[1]Results!AM1365</f>
        <v>-1.1245719897675754</v>
      </c>
      <c r="AK5" s="1">
        <f>[1]Results!AN1365</f>
        <v>-1.1153030541444009</v>
      </c>
      <c r="AL5" s="1">
        <f>[1]Results!AO1365</f>
        <v>-1.1076229259576298</v>
      </c>
    </row>
    <row r="6" spans="1:38" x14ac:dyDescent="0.3">
      <c r="A6" s="3" t="str">
        <f>[1]Results!E1366</f>
        <v>100*((VA_2-VA_spub_2)/(VA_0-VA_spub_0)-1)</v>
      </c>
      <c r="B6" t="str">
        <f>[1]Results!C1366</f>
        <v>VA du secteur marchand</v>
      </c>
      <c r="C6" s="1">
        <f>[1]Results!F1366</f>
        <v>0</v>
      </c>
      <c r="D6" s="1">
        <f>[1]Results!G1366</f>
        <v>0</v>
      </c>
      <c r="E6" s="1">
        <f>[1]Results!H1366</f>
        <v>0</v>
      </c>
      <c r="F6" s="1">
        <f>[1]Results!I1366</f>
        <v>0</v>
      </c>
      <c r="G6" s="1">
        <f>[1]Results!J1366</f>
        <v>0</v>
      </c>
      <c r="H6" s="1">
        <f>[1]Results!K1366</f>
        <v>0</v>
      </c>
      <c r="I6" s="1">
        <f>[1]Results!L1366</f>
        <v>-1.3979385265201927</v>
      </c>
      <c r="J6" s="1">
        <f>[1]Results!M1366</f>
        <v>-2.303401518978343</v>
      </c>
      <c r="K6" s="1">
        <f>[1]Results!N1366</f>
        <v>-2.8972995723217099</v>
      </c>
      <c r="L6" s="1">
        <f>[1]Results!O1366</f>
        <v>-3.0893049439357667</v>
      </c>
      <c r="M6" s="1">
        <f>[1]Results!P1366</f>
        <v>-2.9221003026079106</v>
      </c>
      <c r="N6" s="1">
        <f>[1]Results!Q1366</f>
        <v>-2.5415285664556975</v>
      </c>
      <c r="O6" s="1">
        <f>[1]Results!R1366</f>
        <v>-2.0879225079814434</v>
      </c>
      <c r="P6" s="1">
        <f>[1]Results!S1366</f>
        <v>-1.6958738776570059</v>
      </c>
      <c r="Q6" s="1">
        <f>[1]Results!T1366</f>
        <v>-1.4430500276965574</v>
      </c>
      <c r="R6" s="1">
        <f>[1]Results!U1366</f>
        <v>-1.3427019431412002</v>
      </c>
      <c r="S6" s="1">
        <f>[1]Results!V1366</f>
        <v>-1.3589858249026587</v>
      </c>
      <c r="T6" s="1">
        <f>[1]Results!W1366</f>
        <v>-1.4345888907214666</v>
      </c>
      <c r="U6" s="1">
        <f>[1]Results!X1366</f>
        <v>-1.517206826760209</v>
      </c>
      <c r="V6" s="1">
        <f>[1]Results!Y1366</f>
        <v>-1.5752792231596202</v>
      </c>
      <c r="W6" s="1">
        <f>[1]Results!Z1366</f>
        <v>-1.6005949551921805</v>
      </c>
      <c r="X6" s="1">
        <f>[1]Results!AA1366</f>
        <v>-1.600597606164389</v>
      </c>
      <c r="Y6" s="1">
        <f>[1]Results!AB1366</f>
        <v>-1.5904091892120165</v>
      </c>
      <c r="Z6" s="1">
        <f>[1]Results!AC1366</f>
        <v>-1.5816361823640768</v>
      </c>
      <c r="AA6" s="1">
        <f>[1]Results!AD1366</f>
        <v>-1.5789277836471105</v>
      </c>
      <c r="AB6" s="1">
        <f>[1]Results!AE1366</f>
        <v>-1.5824496554551426</v>
      </c>
      <c r="AC6" s="1">
        <f>[1]Results!AF1366</f>
        <v>-1.580218878596007</v>
      </c>
      <c r="AD6" s="1">
        <f>[1]Results!AG1366</f>
        <v>-1.5720938229950465</v>
      </c>
      <c r="AE6" s="1">
        <f>[1]Results!AH1366</f>
        <v>-1.5562742078323533</v>
      </c>
      <c r="AF6" s="1">
        <f>[1]Results!AI1366</f>
        <v>-1.5343024102432268</v>
      </c>
      <c r="AG6" s="1">
        <f>[1]Results!AJ1366</f>
        <v>-1.5096502004602774</v>
      </c>
      <c r="AH6" s="1">
        <f>[1]Results!AK1366</f>
        <v>-1.4860441720180306</v>
      </c>
      <c r="AI6" s="1">
        <f>[1]Results!AL1366</f>
        <v>-1.4660795949278271</v>
      </c>
      <c r="AJ6" s="1">
        <f>[1]Results!AM1366</f>
        <v>-1.4505765359670186</v>
      </c>
      <c r="AK6" s="1">
        <f>[1]Results!AN1366</f>
        <v>-1.438734088851612</v>
      </c>
      <c r="AL6" s="1">
        <f>[1]Results!AO1366</f>
        <v>-1.4288443813958884</v>
      </c>
    </row>
    <row r="7" spans="1:38" x14ac:dyDescent="0.3">
      <c r="A7" s="3" t="str">
        <f>[1]Results!E1367</f>
        <v>100*((CH_2-CH_0)/GDP_0)</v>
      </c>
      <c r="B7" t="s">
        <v>35</v>
      </c>
      <c r="C7" s="1">
        <f>[1]Results!F1367</f>
        <v>0</v>
      </c>
      <c r="D7" s="1">
        <f>[1]Results!G1367</f>
        <v>0</v>
      </c>
      <c r="E7" s="1">
        <f>[1]Results!H1367</f>
        <v>0</v>
      </c>
      <c r="F7" s="1">
        <f>[1]Results!I1367</f>
        <v>0</v>
      </c>
      <c r="G7" s="1">
        <f>[1]Results!J1367</f>
        <v>0</v>
      </c>
      <c r="H7" s="1">
        <f>[1]Results!K1367</f>
        <v>0</v>
      </c>
      <c r="I7" s="1">
        <f>[1]Results!L1367</f>
        <v>-0.88094295591521488</v>
      </c>
      <c r="J7" s="1">
        <f>[1]Results!M1367</f>
        <v>-1.2082094697719892</v>
      </c>
      <c r="K7" s="1">
        <f>[1]Results!N1367</f>
        <v>-1.2695504379892579</v>
      </c>
      <c r="L7" s="1">
        <f>[1]Results!O1367</f>
        <v>-1.0900690537343156</v>
      </c>
      <c r="M7" s="1">
        <f>[1]Results!P1367</f>
        <v>-0.75580148440371386</v>
      </c>
      <c r="N7" s="1">
        <f>[1]Results!Q1367</f>
        <v>-0.39305745274157233</v>
      </c>
      <c r="O7" s="1">
        <f>[1]Results!R1367</f>
        <v>-9.2152011860056587E-2</v>
      </c>
      <c r="P7" s="1">
        <f>[1]Results!S1367</f>
        <v>8.5777428006126727E-2</v>
      </c>
      <c r="Q7" s="1">
        <f>[1]Results!T1367</f>
        <v>0.12842137395367578</v>
      </c>
      <c r="R7" s="1">
        <f>[1]Results!U1367</f>
        <v>6.3065921449753232E-2</v>
      </c>
      <c r="S7" s="1">
        <f>[1]Results!V1367</f>
        <v>-6.192695289936892E-2</v>
      </c>
      <c r="T7" s="1">
        <f>[1]Results!W1367</f>
        <v>-0.19771576746935812</v>
      </c>
      <c r="U7" s="1">
        <f>[1]Results!X1367</f>
        <v>-0.31009391192684183</v>
      </c>
      <c r="V7" s="1">
        <f>[1]Results!Y1367</f>
        <v>-0.38491273211001631</v>
      </c>
      <c r="W7" s="1">
        <f>[1]Results!Z1367</f>
        <v>-0.42458021339618113</v>
      </c>
      <c r="X7" s="1">
        <f>[1]Results!AA1367</f>
        <v>-0.44087849282340968</v>
      </c>
      <c r="Y7" s="1">
        <f>[1]Results!AB1367</f>
        <v>-0.44606175186063929</v>
      </c>
      <c r="Z7" s="1">
        <f>[1]Results!AC1367</f>
        <v>-0.44851823252843559</v>
      </c>
      <c r="AA7" s="1">
        <f>[1]Results!AD1367</f>
        <v>-0.45095263904280047</v>
      </c>
      <c r="AB7" s="1">
        <f>[1]Results!AE1367</f>
        <v>-0.45266355355724458</v>
      </c>
      <c r="AC7" s="1">
        <f>[1]Results!AF1367</f>
        <v>-0.44864328863912922</v>
      </c>
      <c r="AD7" s="1">
        <f>[1]Results!AG1367</f>
        <v>-0.43916652946583057</v>
      </c>
      <c r="AE7" s="1">
        <f>[1]Results!AH1367</f>
        <v>-0.42510249814339851</v>
      </c>
      <c r="AF7" s="1">
        <f>[1]Results!AI1367</f>
        <v>-0.40882314351004784</v>
      </c>
      <c r="AG7" s="1">
        <f>[1]Results!AJ1367</f>
        <v>-0.39312965915146575</v>
      </c>
      <c r="AH7" s="1">
        <f>[1]Results!AK1367</f>
        <v>-0.38021483423006835</v>
      </c>
      <c r="AI7" s="1">
        <f>[1]Results!AL1367</f>
        <v>-0.37104868999111779</v>
      </c>
      <c r="AJ7" s="1">
        <f>[1]Results!AM1367</f>
        <v>-0.36532716739927062</v>
      </c>
      <c r="AK7" s="1">
        <f>[1]Results!AN1367</f>
        <v>-0.36188258398148476</v>
      </c>
      <c r="AL7" s="1">
        <f>[1]Results!AO1367</f>
        <v>-0.3592983929989621</v>
      </c>
    </row>
    <row r="8" spans="1:38" x14ac:dyDescent="0.3">
      <c r="A8" s="3" t="str">
        <f>[1]Results!E1368</f>
        <v>100*((CH_cveh_2-CH_cveh_0)/GDP_0)</v>
      </c>
      <c r="B8" t="str">
        <f>[1]Results!C1368</f>
        <v>Consommation des ménages automobile</v>
      </c>
      <c r="C8" s="1">
        <f>[1]Results!F1368</f>
        <v>0</v>
      </c>
      <c r="D8" s="1">
        <f>[1]Results!G1368</f>
        <v>0</v>
      </c>
      <c r="E8" s="1">
        <f>[1]Results!H1368</f>
        <v>0</v>
      </c>
      <c r="F8" s="1">
        <f>[1]Results!I1368</f>
        <v>0</v>
      </c>
      <c r="G8" s="1">
        <f>[1]Results!J1368</f>
        <v>0</v>
      </c>
      <c r="H8" s="1">
        <f>[1]Results!K1368</f>
        <v>0</v>
      </c>
      <c r="I8" s="1">
        <f>[1]Results!L1368</f>
        <v>-1.3145538015097718E-2</v>
      </c>
      <c r="J8" s="1">
        <f>[1]Results!M1368</f>
        <v>-1.2183890457783161E-2</v>
      </c>
      <c r="K8" s="1">
        <f>[1]Results!N1368</f>
        <v>2.7036533101034738E-2</v>
      </c>
      <c r="L8" s="1">
        <f>[1]Results!O1368</f>
        <v>6.4942704831409404E-2</v>
      </c>
      <c r="M8" s="1">
        <f>[1]Results!P1368</f>
        <v>9.1555559551182705E-2</v>
      </c>
      <c r="N8" s="1">
        <f>[1]Results!Q1368</f>
        <v>0.10073107494794958</v>
      </c>
      <c r="O8" s="1">
        <f>[1]Results!R1368</f>
        <v>9.2508030104185485E-2</v>
      </c>
      <c r="P8" s="1">
        <f>[1]Results!S1368</f>
        <v>7.2097656241742844E-2</v>
      </c>
      <c r="Q8" s="1">
        <f>[1]Results!T1368</f>
        <v>4.6574543769345146E-2</v>
      </c>
      <c r="R8" s="1">
        <f>[1]Results!U1368</f>
        <v>2.253587307441161E-2</v>
      </c>
      <c r="S8" s="1">
        <f>[1]Results!V1368</f>
        <v>4.4877931703870928E-3</v>
      </c>
      <c r="T8" s="1">
        <f>[1]Results!W1368</f>
        <v>-5.7633735930232395E-3</v>
      </c>
      <c r="U8" s="1">
        <f>[1]Results!X1368</f>
        <v>-8.8464789943624514E-3</v>
      </c>
      <c r="V8" s="1">
        <f>[1]Results!Y1368</f>
        <v>-6.9274099907220997E-3</v>
      </c>
      <c r="W8" s="1">
        <f>[1]Results!Z1368</f>
        <v>-2.6084957900249098E-3</v>
      </c>
      <c r="X8" s="1">
        <f>[1]Results!AA1368</f>
        <v>2.072713656670536E-3</v>
      </c>
      <c r="Y8" s="1">
        <f>[1]Results!AB1368</f>
        <v>5.9248913673062495E-3</v>
      </c>
      <c r="Z8" s="1">
        <f>[1]Results!AC1368</f>
        <v>8.654651102089005E-3</v>
      </c>
      <c r="AA8" s="1">
        <f>[1]Results!AD1368</f>
        <v>1.0536119562384719E-2</v>
      </c>
      <c r="AB8" s="1">
        <f>[1]Results!AE1368</f>
        <v>1.1956490744046819E-2</v>
      </c>
      <c r="AC8" s="1">
        <f>[1]Results!AF1368</f>
        <v>1.3323980806573857E-2</v>
      </c>
      <c r="AD8" s="1">
        <f>[1]Results!AG1368</f>
        <v>1.4718291153136182E-2</v>
      </c>
      <c r="AE8" s="1">
        <f>[1]Results!AH1368</f>
        <v>1.5949595285768635E-2</v>
      </c>
      <c r="AF8" s="1">
        <f>[1]Results!AI1368</f>
        <v>1.686975034081099E-2</v>
      </c>
      <c r="AG8" s="1">
        <f>[1]Results!AJ1368</f>
        <v>1.7408575127358775E-2</v>
      </c>
      <c r="AH8" s="1">
        <f>[1]Results!AK1368</f>
        <v>1.7605282751865705E-2</v>
      </c>
      <c r="AI8" s="1">
        <f>[1]Results!AL1368</f>
        <v>1.7588107676180801E-2</v>
      </c>
      <c r="AJ8" s="1">
        <f>[1]Results!AM1368</f>
        <v>1.752138946054551E-2</v>
      </c>
      <c r="AK8" s="1">
        <f>[1]Results!AN1368</f>
        <v>1.7548332940865038E-2</v>
      </c>
      <c r="AL8" s="1">
        <f>[1]Results!AO1368</f>
        <v>1.7752242667454513E-2</v>
      </c>
    </row>
    <row r="9" spans="1:38" x14ac:dyDescent="0.3">
      <c r="A9" s="3" t="str">
        <f>[1]Results!E1369</f>
        <v>100*((G_2-G_0)/GDP_0)</v>
      </c>
      <c r="B9" t="str">
        <f>[1]Results!C1369</f>
        <v>Dépenses publiques</v>
      </c>
      <c r="C9" s="1">
        <f>[1]Results!F1369</f>
        <v>0</v>
      </c>
      <c r="D9" s="1">
        <f>[1]Results!G1369</f>
        <v>0</v>
      </c>
      <c r="E9" s="1">
        <f>[1]Results!H1369</f>
        <v>0</v>
      </c>
      <c r="F9" s="1">
        <f>[1]Results!I1369</f>
        <v>0</v>
      </c>
      <c r="G9" s="1">
        <f>[1]Results!J1369</f>
        <v>0</v>
      </c>
      <c r="H9" s="1">
        <f>[1]Results!K1369</f>
        <v>0</v>
      </c>
      <c r="I9" s="1">
        <f>[1]Results!L1369</f>
        <v>0</v>
      </c>
      <c r="J9" s="1">
        <f>[1]Results!M1369</f>
        <v>0</v>
      </c>
      <c r="K9" s="1">
        <f>[1]Results!N1369</f>
        <v>0</v>
      </c>
      <c r="L9" s="1">
        <f>[1]Results!O1369</f>
        <v>0</v>
      </c>
      <c r="M9" s="1">
        <f>[1]Results!P1369</f>
        <v>0</v>
      </c>
      <c r="N9" s="1">
        <f>[1]Results!Q1369</f>
        <v>0</v>
      </c>
      <c r="O9" s="1">
        <f>[1]Results!R1369</f>
        <v>0</v>
      </c>
      <c r="P9" s="1">
        <f>[1]Results!S1369</f>
        <v>0</v>
      </c>
      <c r="Q9" s="1">
        <f>[1]Results!T1369</f>
        <v>0</v>
      </c>
      <c r="R9" s="1">
        <f>[1]Results!U1369</f>
        <v>0</v>
      </c>
      <c r="S9" s="1">
        <f>[1]Results!V1369</f>
        <v>0</v>
      </c>
      <c r="T9" s="1">
        <f>[1]Results!W1369</f>
        <v>0</v>
      </c>
      <c r="U9" s="1">
        <f>[1]Results!X1369</f>
        <v>0</v>
      </c>
      <c r="V9" s="1">
        <f>[1]Results!Y1369</f>
        <v>0</v>
      </c>
      <c r="W9" s="1">
        <f>[1]Results!Z1369</f>
        <v>0</v>
      </c>
      <c r="X9" s="1">
        <f>[1]Results!AA1369</f>
        <v>0</v>
      </c>
      <c r="Y9" s="1">
        <f>[1]Results!AB1369</f>
        <v>0</v>
      </c>
      <c r="Z9" s="1">
        <f>[1]Results!AC1369</f>
        <v>0</v>
      </c>
      <c r="AA9" s="1">
        <f>[1]Results!AD1369</f>
        <v>0</v>
      </c>
      <c r="AB9" s="1">
        <f>[1]Results!AE1369</f>
        <v>0</v>
      </c>
      <c r="AC9" s="1">
        <f>[1]Results!AF1369</f>
        <v>0</v>
      </c>
      <c r="AD9" s="1">
        <f>[1]Results!AG1369</f>
        <v>0</v>
      </c>
      <c r="AE9" s="1">
        <f>[1]Results!AH1369</f>
        <v>0</v>
      </c>
      <c r="AF9" s="1">
        <f>[1]Results!AI1369</f>
        <v>0</v>
      </c>
      <c r="AG9" s="1">
        <f>[1]Results!AJ1369</f>
        <v>0</v>
      </c>
      <c r="AH9" s="1">
        <f>[1]Results!AK1369</f>
        <v>0</v>
      </c>
      <c r="AI9" s="1">
        <f>[1]Results!AL1369</f>
        <v>0</v>
      </c>
      <c r="AJ9" s="1">
        <f>[1]Results!AM1369</f>
        <v>0</v>
      </c>
      <c r="AK9" s="1">
        <f>[1]Results!AN1369</f>
        <v>0</v>
      </c>
      <c r="AL9" s="1">
        <f>[1]Results!AO1369</f>
        <v>0</v>
      </c>
    </row>
    <row r="10" spans="1:38" x14ac:dyDescent="0.3">
      <c r="A10" s="3" t="str">
        <f>[1]Results!E1370</f>
        <v>100*((I_2-I_0)/GDP_0)</v>
      </c>
      <c r="B10" t="s">
        <v>78</v>
      </c>
      <c r="C10" s="1">
        <f>[1]Results!F1370</f>
        <v>0</v>
      </c>
      <c r="D10" s="1">
        <f>[1]Results!G1370</f>
        <v>0</v>
      </c>
      <c r="E10" s="1">
        <f>[1]Results!H1370</f>
        <v>0</v>
      </c>
      <c r="F10" s="1">
        <f>[1]Results!I1370</f>
        <v>0</v>
      </c>
      <c r="G10" s="1">
        <f>[1]Results!J1370</f>
        <v>0</v>
      </c>
      <c r="H10" s="1">
        <f>[1]Results!K1370</f>
        <v>0</v>
      </c>
      <c r="I10" s="1">
        <f>[1]Results!L1370</f>
        <v>-0.35498919410040886</v>
      </c>
      <c r="J10" s="1">
        <f>[1]Results!M1370</f>
        <v>-0.6292517394092525</v>
      </c>
      <c r="K10" s="1">
        <f>[1]Results!N1370</f>
        <v>-0.82585440615135575</v>
      </c>
      <c r="L10" s="1">
        <f>[1]Results!O1370</f>
        <v>-0.91032323294220741</v>
      </c>
      <c r="M10" s="1">
        <f>[1]Results!P1370</f>
        <v>-0.88339427195776798</v>
      </c>
      <c r="N10" s="1">
        <f>[1]Results!Q1370</f>
        <v>-0.77753157350140212</v>
      </c>
      <c r="O10" s="1">
        <f>[1]Results!R1370</f>
        <v>-0.63285080409840511</v>
      </c>
      <c r="P10" s="1">
        <f>[1]Results!S1370</f>
        <v>-0.49250019953523683</v>
      </c>
      <c r="Q10" s="1">
        <f>[1]Results!T1370</f>
        <v>-0.38707207066212268</v>
      </c>
      <c r="R10" s="1">
        <f>[1]Results!U1370</f>
        <v>-0.32816829030196898</v>
      </c>
      <c r="S10" s="1">
        <f>[1]Results!V1370</f>
        <v>-0.31025450901871288</v>
      </c>
      <c r="T10" s="1">
        <f>[1]Results!W1370</f>
        <v>-0.31823958793232127</v>
      </c>
      <c r="U10" s="1">
        <f>[1]Results!X1370</f>
        <v>-0.33600442434068301</v>
      </c>
      <c r="V10" s="1">
        <f>[1]Results!Y1370</f>
        <v>-0.35207393761947287</v>
      </c>
      <c r="W10" s="1">
        <f>[1]Results!Z1370</f>
        <v>-0.36157048678933568</v>
      </c>
      <c r="X10" s="1">
        <f>[1]Results!AA1370</f>
        <v>-0.36445875779067799</v>
      </c>
      <c r="Y10" s="1">
        <f>[1]Results!AB1370</f>
        <v>-0.36420993920776523</v>
      </c>
      <c r="Z10" s="1">
        <f>[1]Results!AC1370</f>
        <v>-0.36394283740687211</v>
      </c>
      <c r="AA10" s="1">
        <f>[1]Results!AD1370</f>
        <v>-0.36515200624939809</v>
      </c>
      <c r="AB10" s="1">
        <f>[1]Results!AE1370</f>
        <v>-0.36819507322734096</v>
      </c>
      <c r="AC10" s="1">
        <f>[1]Results!AF1370</f>
        <v>-0.36947079389494386</v>
      </c>
      <c r="AD10" s="1">
        <f>[1]Results!AG1370</f>
        <v>-0.36857556162631672</v>
      </c>
      <c r="AE10" s="1">
        <f>[1]Results!AH1370</f>
        <v>-0.36482915510991176</v>
      </c>
      <c r="AF10" s="1">
        <f>[1]Results!AI1370</f>
        <v>-0.35847791758373204</v>
      </c>
      <c r="AG10" s="1">
        <f>[1]Results!AJ1370</f>
        <v>-0.35046074730585142</v>
      </c>
      <c r="AH10" s="1">
        <f>[1]Results!AK1370</f>
        <v>-0.34195713217316209</v>
      </c>
      <c r="AI10" s="1">
        <f>[1]Results!AL1370</f>
        <v>-0.33393477546361211</v>
      </c>
      <c r="AJ10" s="1">
        <f>[1]Results!AM1370</f>
        <v>-0.3268769785117952</v>
      </c>
      <c r="AK10" s="1">
        <f>[1]Results!AN1370</f>
        <v>-0.32075384880466129</v>
      </c>
      <c r="AL10" s="1">
        <f>[1]Results!AO1370</f>
        <v>-0.31518850564040041</v>
      </c>
    </row>
    <row r="11" spans="1:38" x14ac:dyDescent="0.3">
      <c r="A11" s="3" t="str">
        <f>[1]Results!E1371</f>
        <v>100*((DS_2-DS_0)/GDP_0)</v>
      </c>
      <c r="B11" t="str">
        <f>[1]Results!C1371</f>
        <v>Variations de stocks</v>
      </c>
      <c r="C11" s="1">
        <f>[1]Results!F1371</f>
        <v>0</v>
      </c>
      <c r="D11" s="1">
        <f>[1]Results!G1371</f>
        <v>0</v>
      </c>
      <c r="E11" s="1">
        <f>[1]Results!H1371</f>
        <v>0</v>
      </c>
      <c r="F11" s="1">
        <f>[1]Results!I1371</f>
        <v>0</v>
      </c>
      <c r="G11" s="1">
        <f>[1]Results!J1371</f>
        <v>0</v>
      </c>
      <c r="H11" s="1">
        <f>[1]Results!K1371</f>
        <v>0</v>
      </c>
      <c r="I11" s="1">
        <f>[1]Results!L1371</f>
        <v>0</v>
      </c>
      <c r="J11" s="1">
        <f>[1]Results!M1371</f>
        <v>0</v>
      </c>
      <c r="K11" s="1">
        <f>[1]Results!N1371</f>
        <v>0</v>
      </c>
      <c r="L11" s="1">
        <f>[1]Results!O1371</f>
        <v>0</v>
      </c>
      <c r="M11" s="1">
        <f>[1]Results!P1371</f>
        <v>0</v>
      </c>
      <c r="N11" s="1">
        <f>[1]Results!Q1371</f>
        <v>0</v>
      </c>
      <c r="O11" s="1">
        <f>[1]Results!R1371</f>
        <v>0</v>
      </c>
      <c r="P11" s="1">
        <f>[1]Results!S1371</f>
        <v>0</v>
      </c>
      <c r="Q11" s="1">
        <f>[1]Results!T1371</f>
        <v>0</v>
      </c>
      <c r="R11" s="1">
        <f>[1]Results!U1371</f>
        <v>0</v>
      </c>
      <c r="S11" s="1">
        <f>[1]Results!V1371</f>
        <v>0</v>
      </c>
      <c r="T11" s="1">
        <f>[1]Results!W1371</f>
        <v>0</v>
      </c>
      <c r="U11" s="1">
        <f>[1]Results!X1371</f>
        <v>0</v>
      </c>
      <c r="V11" s="1">
        <f>[1]Results!Y1371</f>
        <v>0</v>
      </c>
      <c r="W11" s="1">
        <f>[1]Results!Z1371</f>
        <v>0</v>
      </c>
      <c r="X11" s="1">
        <f>[1]Results!AA1371</f>
        <v>0</v>
      </c>
      <c r="Y11" s="1">
        <f>[1]Results!AB1371</f>
        <v>0</v>
      </c>
      <c r="Z11" s="1">
        <f>[1]Results!AC1371</f>
        <v>0</v>
      </c>
      <c r="AA11" s="1">
        <f>[1]Results!AD1371</f>
        <v>0</v>
      </c>
      <c r="AB11" s="1">
        <f>[1]Results!AE1371</f>
        <v>0</v>
      </c>
      <c r="AC11" s="1">
        <f>[1]Results!AF1371</f>
        <v>0</v>
      </c>
      <c r="AD11" s="1">
        <f>[1]Results!AG1371</f>
        <v>0</v>
      </c>
      <c r="AE11" s="1">
        <f>[1]Results!AH1371</f>
        <v>0</v>
      </c>
      <c r="AF11" s="1">
        <f>[1]Results!AI1371</f>
        <v>0</v>
      </c>
      <c r="AG11" s="1">
        <f>[1]Results!AJ1371</f>
        <v>0</v>
      </c>
      <c r="AH11" s="1">
        <f>[1]Results!AK1371</f>
        <v>0</v>
      </c>
      <c r="AI11" s="1">
        <f>[1]Results!AL1371</f>
        <v>0</v>
      </c>
      <c r="AJ11" s="1">
        <f>[1]Results!AM1371</f>
        <v>0</v>
      </c>
      <c r="AK11" s="1">
        <f>[1]Results!AN1371</f>
        <v>0</v>
      </c>
      <c r="AL11" s="1">
        <f>[1]Results!AO1371</f>
        <v>0</v>
      </c>
    </row>
    <row r="12" spans="1:38" x14ac:dyDescent="0.3">
      <c r="A12" s="3" t="str">
        <f>[1]Results!E1372</f>
        <v>100*((X_2-X_0)/GDP_0)-100*((M_2-M_0)/GDP_0)</v>
      </c>
      <c r="B12" t="s">
        <v>79</v>
      </c>
      <c r="C12" s="1">
        <f>[1]Results!F1372</f>
        <v>0</v>
      </c>
      <c r="D12" s="1">
        <f>[1]Results!G1372</f>
        <v>0</v>
      </c>
      <c r="E12" s="1">
        <f>[1]Results!H1372</f>
        <v>0</v>
      </c>
      <c r="F12" s="1">
        <f>[1]Results!I1372</f>
        <v>0</v>
      </c>
      <c r="G12" s="1">
        <f>[1]Results!J1372</f>
        <v>0</v>
      </c>
      <c r="H12" s="1">
        <f>[1]Results!K1372</f>
        <v>0</v>
      </c>
      <c r="I12" s="1">
        <f>[1]Results!L1372</f>
        <v>5.0976947787155391E-2</v>
      </c>
      <c r="J12" s="1">
        <f>[1]Results!M1372</f>
        <v>-8.1296713087846306E-2</v>
      </c>
      <c r="K12" s="1">
        <f>[1]Results!N1372</f>
        <v>-0.27775471226459336</v>
      </c>
      <c r="L12" s="1">
        <f>[1]Results!O1372</f>
        <v>-0.48265537563003102</v>
      </c>
      <c r="M12" s="1">
        <f>[1]Results!P1372</f>
        <v>-0.65737406579033941</v>
      </c>
      <c r="N12" s="1">
        <f>[1]Results!Q1372</f>
        <v>-0.77438409280547316</v>
      </c>
      <c r="O12" s="1">
        <f>[1]Results!R1372</f>
        <v>-0.82570702118120254</v>
      </c>
      <c r="P12" s="1">
        <f>[1]Results!S1372</f>
        <v>-0.81839006042435758</v>
      </c>
      <c r="Q12" s="1">
        <f>[1]Results!T1372</f>
        <v>-0.76971218940381381</v>
      </c>
      <c r="R12" s="1">
        <f>[1]Results!U1372</f>
        <v>-0.70037558789807908</v>
      </c>
      <c r="S12" s="1">
        <f>[1]Results!V1372</f>
        <v>-0.62863157721319762</v>
      </c>
      <c r="T12" s="1">
        <f>[1]Results!W1372</f>
        <v>-0.56653060382762921</v>
      </c>
      <c r="U12" s="1">
        <f>[1]Results!X1372</f>
        <v>-0.51895661791922798</v>
      </c>
      <c r="V12" s="1">
        <f>[1]Results!Y1372</f>
        <v>-0.48529174731146274</v>
      </c>
      <c r="W12" s="1">
        <f>[1]Results!Z1372</f>
        <v>-0.46217691538897809</v>
      </c>
      <c r="X12" s="1">
        <f>[1]Results!AA1372</f>
        <v>-0.44583004199030696</v>
      </c>
      <c r="Y12" s="1">
        <f>[1]Results!AB1372</f>
        <v>-0.43388005718217532</v>
      </c>
      <c r="Z12" s="1">
        <f>[1]Results!AC1372</f>
        <v>-0.42515622552809884</v>
      </c>
      <c r="AA12" s="1">
        <f>[1]Results!AD1372</f>
        <v>-0.41950920238358397</v>
      </c>
      <c r="AB12" s="1">
        <f>[1]Results!AE1372</f>
        <v>-0.41703897159182007</v>
      </c>
      <c r="AC12" s="1">
        <f>[1]Results!AF1372</f>
        <v>-0.41729530532257808</v>
      </c>
      <c r="AD12" s="1">
        <f>[1]Results!AG1372</f>
        <v>-0.41978969984751024</v>
      </c>
      <c r="AE12" s="1">
        <f>[1]Results!AH1372</f>
        <v>-0.42327597347865298</v>
      </c>
      <c r="AF12" s="1">
        <f>[1]Results!AI1372</f>
        <v>-0.42670637709803094</v>
      </c>
      <c r="AG12" s="1">
        <f>[1]Results!AJ1372</f>
        <v>-0.42939542776224487</v>
      </c>
      <c r="AH12" s="1">
        <f>[1]Results!AK1372</f>
        <v>-0.43110415522809475</v>
      </c>
      <c r="AI12" s="1">
        <f>[1]Results!AL1372</f>
        <v>-0.43197517106724909</v>
      </c>
      <c r="AJ12" s="1">
        <f>[1]Results!AM1372</f>
        <v>-0.4323678551363464</v>
      </c>
      <c r="AK12" s="1">
        <f>[1]Results!AN1372</f>
        <v>-0.43266659076889219</v>
      </c>
      <c r="AL12" s="1">
        <f>[1]Results!AO1372</f>
        <v>-0.43313603280288016</v>
      </c>
    </row>
    <row r="13" spans="1:38" x14ac:dyDescent="0.3">
      <c r="A13" s="3" t="str">
        <f>[1]Results!E1373</f>
        <v>100*((CH_2-CH_ccon_2-(CH_0-CH_ccon_0))/GDP_0)</v>
      </c>
      <c r="B13" t="str">
        <f>[1]Results!C1373</f>
        <v>Consommation des ménages</v>
      </c>
      <c r="C13" s="1">
        <f>[1]Results!F1373</f>
        <v>0</v>
      </c>
      <c r="D13" s="1">
        <f>[1]Results!G1373</f>
        <v>0</v>
      </c>
      <c r="E13" s="1">
        <f>[1]Results!H1373</f>
        <v>0</v>
      </c>
      <c r="F13" s="1">
        <f>[1]Results!I1373</f>
        <v>0</v>
      </c>
      <c r="G13" s="1">
        <f>[1]Results!J1373</f>
        <v>0</v>
      </c>
      <c r="H13" s="1">
        <f>[1]Results!K1373</f>
        <v>0</v>
      </c>
      <c r="I13" s="1">
        <f>[1]Results!L1373</f>
        <v>-0.87554748439558605</v>
      </c>
      <c r="J13" s="1">
        <f>[1]Results!M1373</f>
        <v>-1.2013945054179458</v>
      </c>
      <c r="K13" s="1">
        <f>[1]Results!N1373</f>
        <v>-1.2629153528047345</v>
      </c>
      <c r="L13" s="1">
        <f>[1]Results!O1373</f>
        <v>-1.085013470216232</v>
      </c>
      <c r="M13" s="1">
        <f>[1]Results!P1373</f>
        <v>-0.75264967707271657</v>
      </c>
      <c r="N13" s="1">
        <f>[1]Results!Q1373</f>
        <v>-0.3918103605511784</v>
      </c>
      <c r="O13" s="1">
        <f>[1]Results!R1373</f>
        <v>-9.1188107737664281E-2</v>
      </c>
      <c r="P13" s="1">
        <f>[1]Results!S1373</f>
        <v>8.8849543003202261E-2</v>
      </c>
      <c r="Q13" s="1">
        <f>[1]Results!T1373</f>
        <v>0.13640913449324585</v>
      </c>
      <c r="R13" s="1">
        <f>[1]Results!U1373</f>
        <v>7.4830758900078551E-2</v>
      </c>
      <c r="S13" s="1">
        <f>[1]Results!V1373</f>
        <v>-4.9706707902855085E-2</v>
      </c>
      <c r="T13" s="1">
        <f>[1]Results!W1373</f>
        <v>-0.18694418933876886</v>
      </c>
      <c r="U13" s="1">
        <f>[1]Results!X1373</f>
        <v>-0.30119066124196187</v>
      </c>
      <c r="V13" s="1">
        <f>[1]Results!Y1373</f>
        <v>-0.37760768567398362</v>
      </c>
      <c r="W13" s="1">
        <f>[1]Results!Z1373</f>
        <v>-0.41821783792192668</v>
      </c>
      <c r="X13" s="1">
        <f>[1]Results!AA1373</f>
        <v>-0.43526578080906864</v>
      </c>
      <c r="Y13" s="1">
        <f>[1]Results!AB1373</f>
        <v>-0.44112164836208784</v>
      </c>
      <c r="Z13" s="1">
        <f>[1]Results!AC1373</f>
        <v>-0.44414695858753844</v>
      </c>
      <c r="AA13" s="1">
        <f>[1]Results!AD1373</f>
        <v>-0.447037329945008</v>
      </c>
      <c r="AB13" s="1">
        <f>[1]Results!AE1373</f>
        <v>-0.44877565365024691</v>
      </c>
      <c r="AC13" s="1">
        <f>[1]Results!AF1373</f>
        <v>-0.44506189545163627</v>
      </c>
      <c r="AD13" s="1">
        <f>[1]Results!AG1373</f>
        <v>-0.43586068762628088</v>
      </c>
      <c r="AE13" s="1">
        <f>[1]Results!AH1373</f>
        <v>-0.42203932711163156</v>
      </c>
      <c r="AF13" s="1">
        <f>[1]Results!AI1373</f>
        <v>-0.40597322381394818</v>
      </c>
      <c r="AG13" s="1">
        <f>[1]Results!AJ1373</f>
        <v>-0.3904592203738172</v>
      </c>
      <c r="AH13" s="1">
        <f>[1]Results!AK1373</f>
        <v>-0.37768340181252819</v>
      </c>
      <c r="AI13" s="1">
        <f>[1]Results!AL1373</f>
        <v>-0.36861345443870103</v>
      </c>
      <c r="AJ13" s="1">
        <f>[1]Results!AM1373</f>
        <v>-0.36294985347268294</v>
      </c>
      <c r="AK13" s="1">
        <f>[1]Results!AN1373</f>
        <v>-0.35953403007530271</v>
      </c>
      <c r="AL13" s="1">
        <f>[1]Results!AO1373</f>
        <v>-0.35696028005031932</v>
      </c>
    </row>
    <row r="14" spans="1:38" x14ac:dyDescent="0.3">
      <c r="A14" s="3" t="str">
        <f>[1]Results!E1374</f>
        <v>100*((I_2+CH_ccon_2-(I_0+CH_ccon_0))/GDP_0)</v>
      </c>
      <c r="B14" t="s">
        <v>78</v>
      </c>
      <c r="C14" s="1">
        <f>[1]Results!F1374</f>
        <v>0</v>
      </c>
      <c r="D14" s="1">
        <f>[1]Results!G1374</f>
        <v>0</v>
      </c>
      <c r="E14" s="1">
        <f>[1]Results!H1374</f>
        <v>0</v>
      </c>
      <c r="F14" s="1">
        <f>[1]Results!I1374</f>
        <v>0</v>
      </c>
      <c r="G14" s="1">
        <f>[1]Results!J1374</f>
        <v>0</v>
      </c>
      <c r="H14" s="1">
        <f>[1]Results!K1374</f>
        <v>0</v>
      </c>
      <c r="I14" s="1">
        <f>[1]Results!L1374</f>
        <v>-0.36038466562003268</v>
      </c>
      <c r="J14" s="1">
        <f>[1]Results!M1374</f>
        <v>-0.63606670376329821</v>
      </c>
      <c r="K14" s="1">
        <f>[1]Results!N1374</f>
        <v>-0.83248949133587913</v>
      </c>
      <c r="L14" s="1">
        <f>[1]Results!O1374</f>
        <v>-0.91537881646029329</v>
      </c>
      <c r="M14" s="1">
        <f>[1]Results!P1374</f>
        <v>-0.88654607928876539</v>
      </c>
      <c r="N14" s="1">
        <f>[1]Results!Q1374</f>
        <v>-0.77877866569180521</v>
      </c>
      <c r="O14" s="1">
        <f>[1]Results!R1374</f>
        <v>-0.63381470822078845</v>
      </c>
      <c r="P14" s="1">
        <f>[1]Results!S1374</f>
        <v>-0.4955723145323212</v>
      </c>
      <c r="Q14" s="1">
        <f>[1]Results!T1374</f>
        <v>-0.39505983120168842</v>
      </c>
      <c r="R14" s="1">
        <f>[1]Results!U1374</f>
        <v>-0.33993312775229428</v>
      </c>
      <c r="S14" s="1">
        <f>[1]Results!V1374</f>
        <v>-0.3224747540152309</v>
      </c>
      <c r="T14" s="1">
        <f>[1]Results!W1374</f>
        <v>-0.32901116606291464</v>
      </c>
      <c r="U14" s="1">
        <f>[1]Results!X1374</f>
        <v>-0.34490767502557113</v>
      </c>
      <c r="V14" s="1">
        <f>[1]Results!Y1374</f>
        <v>-0.35937898405550556</v>
      </c>
      <c r="W14" s="1">
        <f>[1]Results!Z1374</f>
        <v>-0.36793286226359395</v>
      </c>
      <c r="X14" s="1">
        <f>[1]Results!AA1374</f>
        <v>-0.37007146980501898</v>
      </c>
      <c r="Y14" s="1">
        <f>[1]Results!AB1374</f>
        <v>-0.36915004270631668</v>
      </c>
      <c r="Z14" s="1">
        <f>[1]Results!AC1374</f>
        <v>-0.36831411134776915</v>
      </c>
      <c r="AA14" s="1">
        <f>[1]Results!AD1374</f>
        <v>-0.369067315347198</v>
      </c>
      <c r="AB14" s="1">
        <f>[1]Results!AE1374</f>
        <v>-0.37208297313433497</v>
      </c>
      <c r="AC14" s="1">
        <f>[1]Results!AF1374</f>
        <v>-0.37305218708243315</v>
      </c>
      <c r="AD14" s="1">
        <f>[1]Results!AG1374</f>
        <v>-0.3718814034658664</v>
      </c>
      <c r="AE14" s="1">
        <f>[1]Results!AH1374</f>
        <v>-0.36789232614167877</v>
      </c>
      <c r="AF14" s="1">
        <f>[1]Results!AI1374</f>
        <v>-0.36132783727983164</v>
      </c>
      <c r="AG14" s="1">
        <f>[1]Results!AJ1374</f>
        <v>-0.35313118608350341</v>
      </c>
      <c r="AH14" s="1">
        <f>[1]Results!AK1374</f>
        <v>-0.34448856459069888</v>
      </c>
      <c r="AI14" s="1">
        <f>[1]Results!AL1374</f>
        <v>-0.33637001101602881</v>
      </c>
      <c r="AJ14" s="1">
        <f>[1]Results!AM1374</f>
        <v>-0.32925429243838616</v>
      </c>
      <c r="AK14" s="1">
        <f>[1]Results!AN1374</f>
        <v>-0.32310240271084328</v>
      </c>
      <c r="AL14" s="1">
        <f>[1]Results!AO1374</f>
        <v>-0.31752661858904319</v>
      </c>
    </row>
    <row r="15" spans="1:38" x14ac:dyDescent="0.3">
      <c r="A15" s="3" t="str">
        <f>[1]Results!E1375</f>
        <v>100*((I_2-IA_spub_2-(I_0-IA_spub_0))/GDP_0)</v>
      </c>
      <c r="B15" t="str">
        <f>[1]Results!C1375</f>
        <v>Investissement entreprises</v>
      </c>
      <c r="C15" s="1">
        <f>[1]Results!F1375</f>
        <v>0</v>
      </c>
      <c r="D15" s="1">
        <f>[1]Results!G1375</f>
        <v>0</v>
      </c>
      <c r="E15" s="1">
        <f>[1]Results!H1375</f>
        <v>0</v>
      </c>
      <c r="F15" s="1">
        <f>[1]Results!I1375</f>
        <v>0</v>
      </c>
      <c r="G15" s="1">
        <f>[1]Results!J1375</f>
        <v>0</v>
      </c>
      <c r="H15" s="1">
        <f>[1]Results!K1375</f>
        <v>0</v>
      </c>
      <c r="I15" s="1">
        <f>[1]Results!L1375</f>
        <v>-0.28583244973329891</v>
      </c>
      <c r="J15" s="1">
        <f>[1]Results!M1375</f>
        <v>-0.51989644209971619</v>
      </c>
      <c r="K15" s="1">
        <f>[1]Results!N1375</f>
        <v>-0.69423769176693417</v>
      </c>
      <c r="L15" s="1">
        <f>[1]Results!O1375</f>
        <v>-0.77692351921989267</v>
      </c>
      <c r="M15" s="1">
        <f>[1]Results!P1375</f>
        <v>-0.76611485866500539</v>
      </c>
      <c r="N15" s="1">
        <f>[1]Results!Q1375</f>
        <v>-0.68756990278793806</v>
      </c>
      <c r="O15" s="1">
        <f>[1]Results!R1375</f>
        <v>-0.57396188792348579</v>
      </c>
      <c r="P15" s="1">
        <f>[1]Results!S1375</f>
        <v>-0.46111066652063104</v>
      </c>
      <c r="Q15" s="1">
        <f>[1]Results!T1375</f>
        <v>-0.37499241845523978</v>
      </c>
      <c r="R15" s="1">
        <f>[1]Results!U1375</f>
        <v>-0.32619536440332175</v>
      </c>
      <c r="S15" s="1">
        <f>[1]Results!V1375</f>
        <v>-0.31106258984652613</v>
      </c>
      <c r="T15" s="1">
        <f>[1]Results!W1375</f>
        <v>-0.31764994586454987</v>
      </c>
      <c r="U15" s="1">
        <f>[1]Results!X1375</f>
        <v>-0.33273170026222582</v>
      </c>
      <c r="V15" s="1">
        <f>[1]Results!Y1375</f>
        <v>-0.34664168404165496</v>
      </c>
      <c r="W15" s="1">
        <f>[1]Results!Z1375</f>
        <v>-0.35511151773485305</v>
      </c>
      <c r="X15" s="1">
        <f>[1]Results!AA1375</f>
        <v>-0.35784869818019716</v>
      </c>
      <c r="Y15" s="1">
        <f>[1]Results!AB1375</f>
        <v>-0.35769133969982836</v>
      </c>
      <c r="Z15" s="1">
        <f>[1]Results!AC1375</f>
        <v>-0.35726361033449727</v>
      </c>
      <c r="AA15" s="1">
        <f>[1]Results!AD1375</f>
        <v>-0.35791056750493189</v>
      </c>
      <c r="AB15" s="1">
        <f>[1]Results!AE1375</f>
        <v>-0.36013077811760336</v>
      </c>
      <c r="AC15" s="1">
        <f>[1]Results!AF1375</f>
        <v>-0.36081638177294106</v>
      </c>
      <c r="AD15" s="1">
        <f>[1]Results!AG1375</f>
        <v>-0.35974794262177706</v>
      </c>
      <c r="AE15" s="1">
        <f>[1]Results!AH1375</f>
        <v>-0.35632531952694485</v>
      </c>
      <c r="AF15" s="1">
        <f>[1]Results!AI1375</f>
        <v>-0.3507101679678275</v>
      </c>
      <c r="AG15" s="1">
        <f>[1]Results!AJ1375</f>
        <v>-0.34364776529233221</v>
      </c>
      <c r="AH15" s="1">
        <f>[1]Results!AK1375</f>
        <v>-0.33610359376035198</v>
      </c>
      <c r="AI15" s="1">
        <f>[1]Results!AL1375</f>
        <v>-0.3288900874247393</v>
      </c>
      <c r="AJ15" s="1">
        <f>[1]Results!AM1375</f>
        <v>-0.32243315099842496</v>
      </c>
      <c r="AK15" s="1">
        <f>[1]Results!AN1375</f>
        <v>-0.31673551894132268</v>
      </c>
      <c r="AL15" s="1">
        <f>[1]Results!AO1375</f>
        <v>-0.31150394287121724</v>
      </c>
    </row>
    <row r="16" spans="1:38" x14ac:dyDescent="0.3">
      <c r="A16" s="3" t="str">
        <f>[1]Results!E1376</f>
        <v>100*((CH_ccon_2-CH_ccon_0)/GDP_0)</v>
      </c>
      <c r="B16" t="str">
        <f>[1]Results!C1376</f>
        <v>Investissement ménages</v>
      </c>
      <c r="C16" s="1">
        <f>[1]Results!F1376</f>
        <v>0</v>
      </c>
      <c r="D16" s="1">
        <f>[1]Results!G1376</f>
        <v>0</v>
      </c>
      <c r="E16" s="1">
        <f>[1]Results!H1376</f>
        <v>0</v>
      </c>
      <c r="F16" s="1">
        <f>[1]Results!I1376</f>
        <v>0</v>
      </c>
      <c r="G16" s="1">
        <f>[1]Results!J1376</f>
        <v>0</v>
      </c>
      <c r="H16" s="1">
        <f>[1]Results!K1376</f>
        <v>0</v>
      </c>
      <c r="I16" s="1">
        <f>[1]Results!L1376</f>
        <v>-5.395471519626641E-3</v>
      </c>
      <c r="J16" s="1">
        <f>[1]Results!M1376</f>
        <v>-6.8149643540454299E-3</v>
      </c>
      <c r="K16" s="1">
        <f>[1]Results!N1376</f>
        <v>-6.6350851845241917E-3</v>
      </c>
      <c r="L16" s="1">
        <f>[1]Results!O1376</f>
        <v>-5.0555835180832419E-3</v>
      </c>
      <c r="M16" s="1">
        <f>[1]Results!P1376</f>
        <v>-3.1518073309964203E-3</v>
      </c>
      <c r="N16" s="1">
        <f>[1]Results!Q1376</f>
        <v>-1.2470921903998556E-3</v>
      </c>
      <c r="O16" s="1">
        <f>[1]Results!R1376</f>
        <v>-9.6390412238531024E-4</v>
      </c>
      <c r="P16" s="1">
        <f>[1]Results!S1376</f>
        <v>-3.072114997082705E-3</v>
      </c>
      <c r="Q16" s="1">
        <f>[1]Results!T1376</f>
        <v>-7.98776053956546E-3</v>
      </c>
      <c r="R16" s="1">
        <f>[1]Results!U1376</f>
        <v>-1.1764837450329052E-2</v>
      </c>
      <c r="S16" s="1">
        <f>[1]Results!V1376</f>
        <v>-1.2220244996517519E-2</v>
      </c>
      <c r="T16" s="1">
        <f>[1]Results!W1376</f>
        <v>-1.077157813058977E-2</v>
      </c>
      <c r="U16" s="1">
        <f>[1]Results!X1376</f>
        <v>-8.9032506848850702E-3</v>
      </c>
      <c r="V16" s="1">
        <f>[1]Results!Y1376</f>
        <v>-7.30504643603369E-3</v>
      </c>
      <c r="W16" s="1">
        <f>[1]Results!Z1376</f>
        <v>-6.3623754742573166E-3</v>
      </c>
      <c r="X16" s="1">
        <f>[1]Results!AA1376</f>
        <v>-5.6127120143380522E-3</v>
      </c>
      <c r="Y16" s="1">
        <f>[1]Results!AB1376</f>
        <v>-4.9401034985504808E-3</v>
      </c>
      <c r="Z16" s="1">
        <f>[1]Results!AC1376</f>
        <v>-4.3712739408956281E-3</v>
      </c>
      <c r="AA16" s="1">
        <f>[1]Results!AD1376</f>
        <v>-3.915309097798741E-3</v>
      </c>
      <c r="AB16" s="1">
        <f>[1]Results!AE1376</f>
        <v>-3.8878999069942317E-3</v>
      </c>
      <c r="AC16" s="1">
        <f>[1]Results!AF1376</f>
        <v>-3.5813931874904685E-3</v>
      </c>
      <c r="AD16" s="1">
        <f>[1]Results!AG1376</f>
        <v>-3.3058418395489602E-3</v>
      </c>
      <c r="AE16" s="1">
        <f>[1]Results!AH1376</f>
        <v>-3.0631710317681016E-3</v>
      </c>
      <c r="AF16" s="1">
        <f>[1]Results!AI1376</f>
        <v>-2.849919696100967E-3</v>
      </c>
      <c r="AG16" s="1">
        <f>[1]Results!AJ1376</f>
        <v>-2.6704387776500765E-3</v>
      </c>
      <c r="AH16" s="1">
        <f>[1]Results!AK1376</f>
        <v>-2.5314324175384722E-3</v>
      </c>
      <c r="AI16" s="1">
        <f>[1]Results!AL1376</f>
        <v>-2.4352355524171363E-3</v>
      </c>
      <c r="AJ16" s="1">
        <f>[1]Results!AM1376</f>
        <v>-2.3773139265901764E-3</v>
      </c>
      <c r="AK16" s="1">
        <f>[1]Results!AN1376</f>
        <v>-2.3485539061822349E-3</v>
      </c>
      <c r="AL16" s="1">
        <f>[1]Results!AO1376</f>
        <v>-2.3381129486433859E-3</v>
      </c>
    </row>
    <row r="17" spans="1:38" x14ac:dyDescent="0.3">
      <c r="A17" s="3" t="str">
        <f>[1]Results!E1377</f>
        <v>100*((IA_spub_2-IA_spub_0)/GDP_0)</v>
      </c>
      <c r="B17" t="str">
        <f>[1]Results!C1377</f>
        <v>Investissement public</v>
      </c>
      <c r="C17" s="1">
        <f>[1]Results!F1377</f>
        <v>0</v>
      </c>
      <c r="D17" s="1">
        <f>[1]Results!G1377</f>
        <v>0</v>
      </c>
      <c r="E17" s="1">
        <f>[1]Results!H1377</f>
        <v>0</v>
      </c>
      <c r="F17" s="1">
        <f>[1]Results!I1377</f>
        <v>0</v>
      </c>
      <c r="G17" s="1">
        <f>[1]Results!J1377</f>
        <v>0</v>
      </c>
      <c r="H17" s="1">
        <f>[1]Results!K1377</f>
        <v>0</v>
      </c>
      <c r="I17" s="1">
        <f>[1]Results!L1377</f>
        <v>-6.9156744367109266E-2</v>
      </c>
      <c r="J17" s="1">
        <f>[1]Results!M1377</f>
        <v>-0.10935529730953628</v>
      </c>
      <c r="K17" s="1">
        <f>[1]Results!N1377</f>
        <v>-0.1316167143844211</v>
      </c>
      <c r="L17" s="1">
        <f>[1]Results!O1377</f>
        <v>-0.1333997137223159</v>
      </c>
      <c r="M17" s="1">
        <f>[1]Results!P1377</f>
        <v>-0.11727941329276324</v>
      </c>
      <c r="N17" s="1">
        <f>[1]Results!Q1377</f>
        <v>-8.9961670713464115E-2</v>
      </c>
      <c r="O17" s="1">
        <f>[1]Results!R1377</f>
        <v>-5.8888916174918739E-2</v>
      </c>
      <c r="P17" s="1">
        <f>[1]Results!S1377</f>
        <v>-3.1389533014605807E-2</v>
      </c>
      <c r="Q17" s="1">
        <f>[1]Results!T1377</f>
        <v>-1.207965220688339E-2</v>
      </c>
      <c r="R17" s="1">
        <f>[1]Results!U1377</f>
        <v>-1.9729258986461271E-3</v>
      </c>
      <c r="S17" s="1">
        <f>[1]Results!V1377</f>
        <v>8.0808082781327656E-4</v>
      </c>
      <c r="T17" s="1">
        <f>[1]Results!W1377</f>
        <v>-5.8964206777136895E-4</v>
      </c>
      <c r="U17" s="1">
        <f>[1]Results!X1377</f>
        <v>-3.2727240784566668E-3</v>
      </c>
      <c r="V17" s="1">
        <f>[1]Results!Y1377</f>
        <v>-5.4322535778164273E-3</v>
      </c>
      <c r="W17" s="1">
        <f>[1]Results!Z1377</f>
        <v>-6.4589690544811142E-3</v>
      </c>
      <c r="X17" s="1">
        <f>[1]Results!AA1377</f>
        <v>-6.6100596104808791E-3</v>
      </c>
      <c r="Y17" s="1">
        <f>[1]Results!AB1377</f>
        <v>-6.5185995079368869E-3</v>
      </c>
      <c r="Z17" s="1">
        <f>[1]Results!AC1377</f>
        <v>-6.6792270723733879E-3</v>
      </c>
      <c r="AA17" s="1">
        <f>[1]Results!AD1377</f>
        <v>-7.2414387444648199E-3</v>
      </c>
      <c r="AB17" s="1">
        <f>[1]Results!AE1377</f>
        <v>-8.064295109736273E-3</v>
      </c>
      <c r="AC17" s="1">
        <f>[1]Results!AF1377</f>
        <v>-8.6544121220041466E-3</v>
      </c>
      <c r="AD17" s="1">
        <f>[1]Results!AG1377</f>
        <v>-8.827619004539709E-3</v>
      </c>
      <c r="AE17" s="1">
        <f>[1]Results!AH1377</f>
        <v>-8.503835582966501E-3</v>
      </c>
      <c r="AF17" s="1">
        <f>[1]Results!AI1377</f>
        <v>-7.7677496159023404E-3</v>
      </c>
      <c r="AG17" s="1">
        <f>[1]Results!AJ1377</f>
        <v>-6.812982013517906E-3</v>
      </c>
      <c r="AH17" s="1">
        <f>[1]Results!AK1377</f>
        <v>-5.8535384128088463E-3</v>
      </c>
      <c r="AI17" s="1">
        <f>[1]Results!AL1377</f>
        <v>-5.0446880388752904E-3</v>
      </c>
      <c r="AJ17" s="1">
        <f>[1]Results!AM1377</f>
        <v>-4.4438275133693974E-3</v>
      </c>
      <c r="AK17" s="1">
        <f>[1]Results!AN1377</f>
        <v>-4.0183298633386447E-3</v>
      </c>
      <c r="AL17" s="1">
        <f>[1]Results!AO1377</f>
        <v>-3.6845627691855479E-3</v>
      </c>
    </row>
    <row r="18" spans="1:38" x14ac:dyDescent="0.3">
      <c r="A18" s="3" t="str">
        <f>[1]Results!E1378</f>
        <v>100*(CH_2/CH_0-1)</v>
      </c>
      <c r="B18" t="str">
        <f>[1]Results!C1378</f>
        <v>Consommation des ménages</v>
      </c>
      <c r="C18" s="1">
        <f>[1]Results!F1378</f>
        <v>0</v>
      </c>
      <c r="D18" s="1">
        <f>[1]Results!G1378</f>
        <v>0</v>
      </c>
      <c r="E18" s="1">
        <f>[1]Results!H1378</f>
        <v>0</v>
      </c>
      <c r="F18" s="1">
        <f>[1]Results!I1378</f>
        <v>0</v>
      </c>
      <c r="G18" s="1">
        <f>[1]Results!J1378</f>
        <v>0</v>
      </c>
      <c r="H18" s="1">
        <f>[1]Results!K1378</f>
        <v>0</v>
      </c>
      <c r="I18" s="1">
        <f>[1]Results!L1378</f>
        <v>-1.6091439436606403</v>
      </c>
      <c r="J18" s="1">
        <f>[1]Results!M1378</f>
        <v>-2.2136381194161503</v>
      </c>
      <c r="K18" s="1">
        <f>[1]Results!N1378</f>
        <v>-2.3319291350778037</v>
      </c>
      <c r="L18" s="1">
        <f>[1]Results!O1378</f>
        <v>-2.0056181001376072</v>
      </c>
      <c r="M18" s="1">
        <f>[1]Results!P1378</f>
        <v>-1.3922765262675885</v>
      </c>
      <c r="N18" s="1">
        <f>[1]Results!Q1378</f>
        <v>-0.7238934103823258</v>
      </c>
      <c r="O18" s="1">
        <f>[1]Results!R1378</f>
        <v>-0.16961477470611719</v>
      </c>
      <c r="P18" s="1">
        <f>[1]Results!S1378</f>
        <v>0.15776275286585317</v>
      </c>
      <c r="Q18" s="1">
        <f>[1]Results!T1378</f>
        <v>0.23601626517062435</v>
      </c>
      <c r="R18" s="1">
        <f>[1]Results!U1378</f>
        <v>0.11582664391098785</v>
      </c>
      <c r="S18" s="1">
        <f>[1]Results!V1378</f>
        <v>-0.11367118640277507</v>
      </c>
      <c r="T18" s="1">
        <f>[1]Results!W1378</f>
        <v>-0.36275872156614763</v>
      </c>
      <c r="U18" s="1">
        <f>[1]Results!X1378</f>
        <v>-0.56875421485842459</v>
      </c>
      <c r="V18" s="1">
        <f>[1]Results!Y1378</f>
        <v>-0.70583149799376965</v>
      </c>
      <c r="W18" s="1">
        <f>[1]Results!Z1378</f>
        <v>-0.7783997462001091</v>
      </c>
      <c r="X18" s="1">
        <f>[1]Results!AA1378</f>
        <v>-0.80845346557252284</v>
      </c>
      <c r="Y18" s="1">
        <f>[1]Results!AB1378</f>
        <v>-0.81813669195685002</v>
      </c>
      <c r="Z18" s="1">
        <f>[1]Results!AC1378</f>
        <v>-0.82293786123101009</v>
      </c>
      <c r="AA18" s="1">
        <f>[1]Results!AD1378</f>
        <v>-0.82782054779115821</v>
      </c>
      <c r="AB18" s="1">
        <f>[1]Results!AE1378</f>
        <v>-0.83148017755694248</v>
      </c>
      <c r="AC18" s="1">
        <f>[1]Results!AF1378</f>
        <v>-0.82451107767406162</v>
      </c>
      <c r="AD18" s="1">
        <f>[1]Results!AG1378</f>
        <v>-0.80751564200668424</v>
      </c>
      <c r="AE18" s="1">
        <f>[1]Results!AH1378</f>
        <v>-0.78212703920947924</v>
      </c>
      <c r="AF18" s="1">
        <f>[1]Results!AI1378</f>
        <v>-0.75270477671139924</v>
      </c>
      <c r="AG18" s="1">
        <f>[1]Results!AJ1378</f>
        <v>-0.7244008266871993</v>
      </c>
      <c r="AH18" s="1">
        <f>[1]Results!AK1378</f>
        <v>-0.70124479346717061</v>
      </c>
      <c r="AI18" s="1">
        <f>[1]Results!AL1378</f>
        <v>-0.6850104166191695</v>
      </c>
      <c r="AJ18" s="1">
        <f>[1]Results!AM1378</f>
        <v>-0.67512104293485642</v>
      </c>
      <c r="AK18" s="1">
        <f>[1]Results!AN1378</f>
        <v>-0.66940675579307829</v>
      </c>
      <c r="AL18" s="1">
        <f>[1]Results!AO1378</f>
        <v>-0.66524066408537585</v>
      </c>
    </row>
    <row r="19" spans="1:38" x14ac:dyDescent="0.3">
      <c r="A19" s="3" t="str">
        <f>[1]Results!E1379</f>
        <v>100*(CH_cveh_2/CH_cveh_0-1)</v>
      </c>
      <c r="B19" t="str">
        <f>[1]Results!C1379</f>
        <v>Consommation des ménages automobile</v>
      </c>
      <c r="C19" s="1">
        <f>[1]Results!F1379</f>
        <v>0</v>
      </c>
      <c r="D19" s="1">
        <f>[1]Results!G1379</f>
        <v>0</v>
      </c>
      <c r="E19" s="1">
        <f>[1]Results!H1379</f>
        <v>0</v>
      </c>
      <c r="F19" s="1">
        <f>[1]Results!I1379</f>
        <v>0</v>
      </c>
      <c r="G19" s="1">
        <f>[1]Results!J1379</f>
        <v>0</v>
      </c>
      <c r="H19" s="1">
        <f>[1]Results!K1379</f>
        <v>0</v>
      </c>
      <c r="I19" s="1">
        <f>[1]Results!L1379</f>
        <v>-0.38852408171839992</v>
      </c>
      <c r="J19" s="1">
        <f>[1]Results!M1379</f>
        <v>-0.36184046109094536</v>
      </c>
      <c r="K19" s="1">
        <f>[1]Results!N1379</f>
        <v>0.80643834604168241</v>
      </c>
      <c r="L19" s="1">
        <f>[1]Results!O1379</f>
        <v>1.942485421550999</v>
      </c>
      <c r="M19" s="1">
        <f>[1]Results!P1379</f>
        <v>2.7426937875778101</v>
      </c>
      <c r="N19" s="1">
        <f>[1]Results!Q1379</f>
        <v>3.0206793725338965</v>
      </c>
      <c r="O19" s="1">
        <f>[1]Results!R1379</f>
        <v>2.7807180502138706</v>
      </c>
      <c r="P19" s="1">
        <f>[1]Results!S1379</f>
        <v>2.174869161412385</v>
      </c>
      <c r="Q19" s="1">
        <f>[1]Results!T1379</f>
        <v>1.411548935909801</v>
      </c>
      <c r="R19" s="1">
        <f>[1]Results!U1379</f>
        <v>0.68687432056455666</v>
      </c>
      <c r="S19" s="1">
        <f>[1]Results!V1379</f>
        <v>0.13765724760901321</v>
      </c>
      <c r="T19" s="1">
        <f>[1]Results!W1379</f>
        <v>-0.17799984067765617</v>
      </c>
      <c r="U19" s="1">
        <f>[1]Results!X1379</f>
        <v>-0.27519862144960161</v>
      </c>
      <c r="V19" s="1">
        <f>[1]Results!Y1379</f>
        <v>-0.21712610070114824</v>
      </c>
      <c r="W19" s="1">
        <f>[1]Results!Z1379</f>
        <v>-8.2397522960298009E-2</v>
      </c>
      <c r="X19" s="1">
        <f>[1]Results!AA1379</f>
        <v>6.6018735177486576E-2</v>
      </c>
      <c r="Y19" s="1">
        <f>[1]Results!AB1379</f>
        <v>0.19025768827336531</v>
      </c>
      <c r="Z19" s="1">
        <f>[1]Results!AC1379</f>
        <v>0.28022649293095725</v>
      </c>
      <c r="AA19" s="1">
        <f>[1]Results!AD1379</f>
        <v>0.34402806997477775</v>
      </c>
      <c r="AB19" s="1">
        <f>[1]Results!AE1379</f>
        <v>0.39365641159621045</v>
      </c>
      <c r="AC19" s="1">
        <f>[1]Results!AF1379</f>
        <v>0.44278033008271489</v>
      </c>
      <c r="AD19" s="1">
        <f>[1]Results!AG1379</f>
        <v>0.49312628031623618</v>
      </c>
      <c r="AE19" s="1">
        <f>[1]Results!AH1379</f>
        <v>0.53859312752524424</v>
      </c>
      <c r="AF19" s="1">
        <f>[1]Results!AI1379</f>
        <v>0.57418595436322661</v>
      </c>
      <c r="AG19" s="1">
        <f>[1]Results!AJ1379</f>
        <v>0.59733413677471869</v>
      </c>
      <c r="AH19" s="1">
        <f>[1]Results!AK1379</f>
        <v>0.60906523268573487</v>
      </c>
      <c r="AI19" s="1">
        <f>[1]Results!AL1379</f>
        <v>0.61348743160307695</v>
      </c>
      <c r="AJ19" s="1">
        <f>[1]Results!AM1379</f>
        <v>0.61611914551078506</v>
      </c>
      <c r="AK19" s="1">
        <f>[1]Results!AN1379</f>
        <v>0.62195305447789728</v>
      </c>
      <c r="AL19" s="1">
        <f>[1]Results!AO1379</f>
        <v>0.63404825061361691</v>
      </c>
    </row>
    <row r="20" spans="1:38" x14ac:dyDescent="0.3">
      <c r="A20" s="3" t="str">
        <f>[1]Results!E1380</f>
        <v>100*(G_2/G_0-1)</v>
      </c>
      <c r="B20" t="str">
        <f>[1]Results!C1380</f>
        <v>Dépenses publiques</v>
      </c>
      <c r="C20" s="1">
        <f>[1]Results!F1380</f>
        <v>0</v>
      </c>
      <c r="D20" s="1">
        <f>[1]Results!G1380</f>
        <v>0</v>
      </c>
      <c r="E20" s="1">
        <f>[1]Results!H1380</f>
        <v>0</v>
      </c>
      <c r="F20" s="1">
        <f>[1]Results!I1380</f>
        <v>0</v>
      </c>
      <c r="G20" s="1">
        <f>[1]Results!J1380</f>
        <v>0</v>
      </c>
      <c r="H20" s="1">
        <f>[1]Results!K1380</f>
        <v>0</v>
      </c>
      <c r="I20" s="1">
        <f>[1]Results!L1380</f>
        <v>0</v>
      </c>
      <c r="J20" s="1">
        <f>[1]Results!M1380</f>
        <v>0</v>
      </c>
      <c r="K20" s="1">
        <f>[1]Results!N1380</f>
        <v>0</v>
      </c>
      <c r="L20" s="1">
        <f>[1]Results!O1380</f>
        <v>0</v>
      </c>
      <c r="M20" s="1">
        <f>[1]Results!P1380</f>
        <v>0</v>
      </c>
      <c r="N20" s="1">
        <f>[1]Results!Q1380</f>
        <v>0</v>
      </c>
      <c r="O20" s="1">
        <f>[1]Results!R1380</f>
        <v>0</v>
      </c>
      <c r="P20" s="1">
        <f>[1]Results!S1380</f>
        <v>0</v>
      </c>
      <c r="Q20" s="1">
        <f>[1]Results!T1380</f>
        <v>0</v>
      </c>
      <c r="R20" s="1">
        <f>[1]Results!U1380</f>
        <v>0</v>
      </c>
      <c r="S20" s="1">
        <f>[1]Results!V1380</f>
        <v>0</v>
      </c>
      <c r="T20" s="1">
        <f>[1]Results!W1380</f>
        <v>0</v>
      </c>
      <c r="U20" s="1">
        <f>[1]Results!X1380</f>
        <v>0</v>
      </c>
      <c r="V20" s="1">
        <f>[1]Results!Y1380</f>
        <v>0</v>
      </c>
      <c r="W20" s="1">
        <f>[1]Results!Z1380</f>
        <v>0</v>
      </c>
      <c r="X20" s="1">
        <f>[1]Results!AA1380</f>
        <v>0</v>
      </c>
      <c r="Y20" s="1">
        <f>[1]Results!AB1380</f>
        <v>0</v>
      </c>
      <c r="Z20" s="1">
        <f>[1]Results!AC1380</f>
        <v>0</v>
      </c>
      <c r="AA20" s="1">
        <f>[1]Results!AD1380</f>
        <v>0</v>
      </c>
      <c r="AB20" s="1">
        <f>[1]Results!AE1380</f>
        <v>0</v>
      </c>
      <c r="AC20" s="1">
        <f>[1]Results!AF1380</f>
        <v>0</v>
      </c>
      <c r="AD20" s="1">
        <f>[1]Results!AG1380</f>
        <v>0</v>
      </c>
      <c r="AE20" s="1">
        <f>[1]Results!AH1380</f>
        <v>0</v>
      </c>
      <c r="AF20" s="1">
        <f>[1]Results!AI1380</f>
        <v>0</v>
      </c>
      <c r="AG20" s="1">
        <f>[1]Results!AJ1380</f>
        <v>0</v>
      </c>
      <c r="AH20" s="1">
        <f>[1]Results!AK1380</f>
        <v>0</v>
      </c>
      <c r="AI20" s="1">
        <f>[1]Results!AL1380</f>
        <v>0</v>
      </c>
      <c r="AJ20" s="1">
        <f>[1]Results!AM1380</f>
        <v>0</v>
      </c>
      <c r="AK20" s="1">
        <f>[1]Results!AN1380</f>
        <v>0</v>
      </c>
      <c r="AL20" s="1">
        <f>[1]Results!AO1380</f>
        <v>0</v>
      </c>
    </row>
    <row r="21" spans="1:38" x14ac:dyDescent="0.3">
      <c r="A21" s="3" t="str">
        <f>[1]Results!E1381</f>
        <v>100*(I_2/I_0-1)</v>
      </c>
      <c r="B21" t="str">
        <f>[1]Results!C1381</f>
        <v>Investissement</v>
      </c>
      <c r="C21" s="1">
        <f>[1]Results!F1381</f>
        <v>0</v>
      </c>
      <c r="D21" s="1">
        <f>[1]Results!G1381</f>
        <v>0</v>
      </c>
      <c r="E21" s="1">
        <f>[1]Results!H1381</f>
        <v>0</v>
      </c>
      <c r="F21" s="1">
        <f>[1]Results!I1381</f>
        <v>0</v>
      </c>
      <c r="G21" s="1">
        <f>[1]Results!J1381</f>
        <v>0</v>
      </c>
      <c r="H21" s="1">
        <f>[1]Results!K1381</f>
        <v>0</v>
      </c>
      <c r="I21" s="1">
        <f>[1]Results!L1381</f>
        <v>-1.6421104197955727</v>
      </c>
      <c r="J21" s="1">
        <f>[1]Results!M1381</f>
        <v>-2.9078385720633815</v>
      </c>
      <c r="K21" s="1">
        <f>[1]Results!N1381</f>
        <v>-3.8175161450969219</v>
      </c>
      <c r="L21" s="1">
        <f>[1]Results!O1381</f>
        <v>-4.21266040688133</v>
      </c>
      <c r="M21" s="1">
        <f>[1]Results!P1381</f>
        <v>-4.0985513590127587</v>
      </c>
      <c r="N21" s="1">
        <f>[1]Results!Q1381</f>
        <v>-3.60945119379813</v>
      </c>
      <c r="O21" s="1">
        <f>[1]Results!R1381</f>
        <v>-2.9389933856513673</v>
      </c>
      <c r="P21" s="1">
        <f>[1]Results!S1381</f>
        <v>-2.2874857301231954</v>
      </c>
      <c r="Q21" s="1">
        <f>[1]Results!T1381</f>
        <v>-1.7975640206122523</v>
      </c>
      <c r="R21" s="1">
        <f>[1]Results!U1381</f>
        <v>-1.5234507961407351</v>
      </c>
      <c r="S21" s="1">
        <f>[1]Results!V1381</f>
        <v>-1.4394571825170122</v>
      </c>
      <c r="T21" s="1">
        <f>[1]Results!W1381</f>
        <v>-1.4753634765368173</v>
      </c>
      <c r="U21" s="1">
        <f>[1]Results!X1381</f>
        <v>-1.5562130662352458</v>
      </c>
      <c r="V21" s="1">
        <f>[1]Results!Y1381</f>
        <v>-1.6287358714416555</v>
      </c>
      <c r="W21" s="1">
        <f>[1]Results!Z1381</f>
        <v>-1.6690407605788105</v>
      </c>
      <c r="X21" s="1">
        <f>[1]Results!AA1381</f>
        <v>-1.6804220477532383</v>
      </c>
      <c r="Y21" s="1">
        <f>[1]Results!AB1381</f>
        <v>-1.6769035260674747</v>
      </c>
      <c r="Z21" s="1">
        <f>[1]Results!AC1381</f>
        <v>-1.6729230372562909</v>
      </c>
      <c r="AA21" s="1">
        <f>[1]Results!AD1381</f>
        <v>-1.6755221789308994</v>
      </c>
      <c r="AB21" s="1">
        <f>[1]Results!AE1381</f>
        <v>-1.6825040168695016</v>
      </c>
      <c r="AC21" s="1">
        <f>[1]Results!AF1381</f>
        <v>-1.68582078544256</v>
      </c>
      <c r="AD21" s="1">
        <f>[1]Results!AG1381</f>
        <v>-1.6791007296215854</v>
      </c>
      <c r="AE21" s="1">
        <f>[1]Results!AH1381</f>
        <v>-1.6592353182987574</v>
      </c>
      <c r="AF21" s="1">
        <f>[1]Results!AI1381</f>
        <v>-1.6274461529511508</v>
      </c>
      <c r="AG21" s="1">
        <f>[1]Results!AJ1381</f>
        <v>-1.5881556394010787</v>
      </c>
      <c r="AH21" s="1">
        <f>[1]Results!AK1381</f>
        <v>-1.5468605953086745</v>
      </c>
      <c r="AI21" s="1">
        <f>[1]Results!AL1381</f>
        <v>-1.5080299745601544</v>
      </c>
      <c r="AJ21" s="1">
        <f>[1]Results!AM1381</f>
        <v>-1.4738630133617647</v>
      </c>
      <c r="AK21" s="1">
        <f>[1]Results!AN1381</f>
        <v>-1.4441850226105113</v>
      </c>
      <c r="AL21" s="1">
        <f>[1]Results!AO1381</f>
        <v>-1.4172346815481851</v>
      </c>
    </row>
    <row r="22" spans="1:38" x14ac:dyDescent="0.3">
      <c r="A22" s="3" t="str">
        <f>[1]Results!E1382</f>
        <v>100*((I_2-IA_spub_2)/(I_0-IA_spub_0)-1)</v>
      </c>
      <c r="B22" t="str">
        <f>[1]Results!C1382</f>
        <v>Investissement entreprises</v>
      </c>
      <c r="C22" s="1">
        <f>[1]Results!F1382</f>
        <v>0</v>
      </c>
      <c r="D22" s="1">
        <f>[1]Results!G1382</f>
        <v>0</v>
      </c>
      <c r="E22" s="1">
        <f>[1]Results!H1382</f>
        <v>0</v>
      </c>
      <c r="F22" s="1">
        <f>[1]Results!I1382</f>
        <v>0</v>
      </c>
      <c r="G22" s="1">
        <f>[1]Results!J1382</f>
        <v>0</v>
      </c>
      <c r="H22" s="1">
        <f>[1]Results!K1382</f>
        <v>0</v>
      </c>
      <c r="I22" s="1">
        <f>[1]Results!L1382</f>
        <v>-1.5856495312552399</v>
      </c>
      <c r="J22" s="1">
        <f>[1]Results!M1382</f>
        <v>-2.8814550691908636</v>
      </c>
      <c r="K22" s="1">
        <f>[1]Results!N1382</f>
        <v>-3.8491235740396812</v>
      </c>
      <c r="L22" s="1">
        <f>[1]Results!O1382</f>
        <v>-4.312757877776308</v>
      </c>
      <c r="M22" s="1">
        <f>[1]Results!P1382</f>
        <v>-4.2644633977224178</v>
      </c>
      <c r="N22" s="1">
        <f>[1]Results!Q1382</f>
        <v>-3.8300563193112702</v>
      </c>
      <c r="O22" s="1">
        <f>[1]Results!R1382</f>
        <v>-3.1990090313129049</v>
      </c>
      <c r="P22" s="1">
        <f>[1]Results!S1382</f>
        <v>-2.5707610798354485</v>
      </c>
      <c r="Q22" s="1">
        <f>[1]Results!T1382</f>
        <v>-2.0906894371353069</v>
      </c>
      <c r="R22" s="1">
        <f>[1]Results!U1382</f>
        <v>-1.8182632488471184</v>
      </c>
      <c r="S22" s="1">
        <f>[1]Results!V1382</f>
        <v>-1.7332181028196003</v>
      </c>
      <c r="T22" s="1">
        <f>[1]Results!W1382</f>
        <v>-1.7688958665432297</v>
      </c>
      <c r="U22" s="1">
        <f>[1]Results!X1382</f>
        <v>-1.8514703868383053</v>
      </c>
      <c r="V22" s="1">
        <f>[1]Results!Y1382</f>
        <v>-1.9270382285699217</v>
      </c>
      <c r="W22" s="1">
        <f>[1]Results!Z1382</f>
        <v>-1.9702406944529627</v>
      </c>
      <c r="X22" s="1">
        <f>[1]Results!AA1382</f>
        <v>-1.9835852338125348</v>
      </c>
      <c r="Y22" s="1">
        <f>[1]Results!AB1382</f>
        <v>-1.9803660905478249</v>
      </c>
      <c r="Z22" s="1">
        <f>[1]Results!AC1382</f>
        <v>-1.9751776676716237</v>
      </c>
      <c r="AA22" s="1">
        <f>[1]Results!AD1382</f>
        <v>-1.9756631996109331</v>
      </c>
      <c r="AB22" s="1">
        <f>[1]Results!AE1382</f>
        <v>-1.9800103639452171</v>
      </c>
      <c r="AC22" s="1">
        <f>[1]Results!AF1382</f>
        <v>-1.9811738274225887</v>
      </c>
      <c r="AD22" s="1">
        <f>[1]Results!AG1382</f>
        <v>-1.9725741918949158</v>
      </c>
      <c r="AE22" s="1">
        <f>[1]Results!AH1382</f>
        <v>-1.9508815824521353</v>
      </c>
      <c r="AF22" s="1">
        <f>[1]Results!AI1382</f>
        <v>-1.9170617891391961</v>
      </c>
      <c r="AG22" s="1">
        <f>[1]Results!AJ1382</f>
        <v>-1.8753487626961718</v>
      </c>
      <c r="AH22" s="1">
        <f>[1]Results!AK1382</f>
        <v>-1.8311823545031247</v>
      </c>
      <c r="AI22" s="1">
        <f>[1]Results!AL1382</f>
        <v>-1.7891064246738364</v>
      </c>
      <c r="AJ22" s="1">
        <f>[1]Results!AM1382</f>
        <v>-1.751474839193623</v>
      </c>
      <c r="AK22" s="1">
        <f>[1]Results!AN1382</f>
        <v>-1.7182710501042586</v>
      </c>
      <c r="AL22" s="1">
        <f>[1]Results!AO1382</f>
        <v>-1.687837217107091</v>
      </c>
    </row>
    <row r="23" spans="1:38" x14ac:dyDescent="0.3">
      <c r="A23" s="3" t="str">
        <f>[1]Results!E1383</f>
        <v>100*(X_2/X_0-1)</v>
      </c>
      <c r="B23" t="s">
        <v>18</v>
      </c>
      <c r="C23" s="1">
        <f>[1]Results!F1383</f>
        <v>0</v>
      </c>
      <c r="D23" s="1">
        <f>[1]Results!G1383</f>
        <v>0</v>
      </c>
      <c r="E23" s="1">
        <f>[1]Results!H1383</f>
        <v>0</v>
      </c>
      <c r="F23" s="1">
        <f>[1]Results!I1383</f>
        <v>0</v>
      </c>
      <c r="G23" s="1">
        <f>[1]Results!J1383</f>
        <v>0</v>
      </c>
      <c r="H23" s="1">
        <f>[1]Results!K1383</f>
        <v>0</v>
      </c>
      <c r="I23" s="1">
        <f>[1]Results!L1383</f>
        <v>-0.58517056075719776</v>
      </c>
      <c r="J23" s="1">
        <f>[1]Results!M1383</f>
        <v>-1.3080804723782036</v>
      </c>
      <c r="K23" s="1">
        <f>[1]Results!N1383</f>
        <v>-2.0189976281955735</v>
      </c>
      <c r="L23" s="1">
        <f>[1]Results!O1383</f>
        <v>-2.582706246757005</v>
      </c>
      <c r="M23" s="1">
        <f>[1]Results!P1383</f>
        <v>-2.9308650191166574</v>
      </c>
      <c r="N23" s="1">
        <f>[1]Results!Q1383</f>
        <v>-3.0618990098504772</v>
      </c>
      <c r="O23" s="1">
        <f>[1]Results!R1383</f>
        <v>-3.0200450837160275</v>
      </c>
      <c r="P23" s="1">
        <f>[1]Results!S1383</f>
        <v>-2.8725858937870608</v>
      </c>
      <c r="Q23" s="1">
        <f>[1]Results!T1383</f>
        <v>-2.6867725211265236</v>
      </c>
      <c r="R23" s="1">
        <f>[1]Results!U1383</f>
        <v>-2.512483690234435</v>
      </c>
      <c r="S23" s="1">
        <f>[1]Results!V1383</f>
        <v>-2.3747621782135186</v>
      </c>
      <c r="T23" s="1">
        <f>[1]Results!W1383</f>
        <v>-2.2766001400174041</v>
      </c>
      <c r="U23" s="1">
        <f>[1]Results!X1383</f>
        <v>-2.2080675121414761</v>
      </c>
      <c r="V23" s="1">
        <f>[1]Results!Y1383</f>
        <v>-2.1562608834558183</v>
      </c>
      <c r="W23" s="1">
        <f>[1]Results!Z1383</f>
        <v>-2.1119069896733289</v>
      </c>
      <c r="X23" s="1">
        <f>[1]Results!AA1383</f>
        <v>-2.0718240103693275</v>
      </c>
      <c r="Y23" s="1">
        <f>[1]Results!AB1383</f>
        <v>-2.0373985893473945</v>
      </c>
      <c r="Z23" s="1">
        <f>[1]Results!AC1383</f>
        <v>-2.011489094775154</v>
      </c>
      <c r="AA23" s="1">
        <f>[1]Results!AD1383</f>
        <v>-1.9956920546122081</v>
      </c>
      <c r="AB23" s="1">
        <f>[1]Results!AE1383</f>
        <v>-1.9891380552117921</v>
      </c>
      <c r="AC23" s="1">
        <f>[1]Results!AF1383</f>
        <v>-1.9880997701313907</v>
      </c>
      <c r="AD23" s="1">
        <f>[1]Results!AG1383</f>
        <v>-1.9885922388487964</v>
      </c>
      <c r="AE23" s="1">
        <f>[1]Results!AH1383</f>
        <v>-1.9874374617768531</v>
      </c>
      <c r="AF23" s="1">
        <f>[1]Results!AI1383</f>
        <v>-1.9829909977352123</v>
      </c>
      <c r="AG23" s="1">
        <f>[1]Results!AJ1383</f>
        <v>-1.9752249278711997</v>
      </c>
      <c r="AH23" s="1">
        <f>[1]Results!AK1383</f>
        <v>-1.9652558701837242</v>
      </c>
      <c r="AI23" s="1">
        <f>[1]Results!AL1383</f>
        <v>-1.9546147622058307</v>
      </c>
      <c r="AJ23" s="1">
        <f>[1]Results!AM1383</f>
        <v>-1.9445783204609213</v>
      </c>
      <c r="AK23" s="1">
        <f>[1]Results!AN1383</f>
        <v>-1.9357848401171385</v>
      </c>
      <c r="AL23" s="1">
        <f>[1]Results!AO1383</f>
        <v>-1.9281939766347622</v>
      </c>
    </row>
    <row r="24" spans="1:38" x14ac:dyDescent="0.3">
      <c r="A24" s="3" t="str">
        <f>[1]Results!E1384</f>
        <v>100*(M_2/M_0-1)</v>
      </c>
      <c r="B24" t="s">
        <v>19</v>
      </c>
      <c r="C24" s="1">
        <f>[1]Results!F1384</f>
        <v>0</v>
      </c>
      <c r="D24" s="1">
        <f>[1]Results!G1384</f>
        <v>0</v>
      </c>
      <c r="E24" s="1">
        <f>[1]Results!H1384</f>
        <v>0</v>
      </c>
      <c r="F24" s="1">
        <f>[1]Results!I1384</f>
        <v>0</v>
      </c>
      <c r="G24" s="1">
        <f>[1]Results!J1384</f>
        <v>0</v>
      </c>
      <c r="H24" s="1">
        <f>[1]Results!K1384</f>
        <v>0</v>
      </c>
      <c r="I24" s="1">
        <f>[1]Results!L1384</f>
        <v>-0.73844070590293187</v>
      </c>
      <c r="J24" s="1">
        <f>[1]Results!M1384</f>
        <v>-1.0225347536090279</v>
      </c>
      <c r="K24" s="1">
        <f>[1]Results!N1384</f>
        <v>-1.0916622151686872</v>
      </c>
      <c r="L24" s="1">
        <f>[1]Results!O1384</f>
        <v>-0.99066223990624813</v>
      </c>
      <c r="M24" s="1">
        <f>[1]Results!P1384</f>
        <v>-0.77590181042822559</v>
      </c>
      <c r="N24" s="1">
        <f>[1]Results!Q1384</f>
        <v>-0.5280282011865034</v>
      </c>
      <c r="O24" s="1">
        <f>[1]Results!R1384</f>
        <v>-0.31917907180419869</v>
      </c>
      <c r="P24" s="1">
        <f>[1]Results!S1384</f>
        <v>-0.19427947969298254</v>
      </c>
      <c r="Q24" s="1">
        <f>[1]Results!T1384</f>
        <v>-0.16488938382608342</v>
      </c>
      <c r="R24" s="1">
        <f>[1]Results!U1384</f>
        <v>-0.2138467417037937</v>
      </c>
      <c r="S24" s="1">
        <f>[1]Results!V1384</f>
        <v>-0.3069688038518148</v>
      </c>
      <c r="T24" s="1">
        <f>[1]Results!W1384</f>
        <v>-0.4081663101352162</v>
      </c>
      <c r="U24" s="1">
        <f>[1]Results!X1384</f>
        <v>-0.49177707662433345</v>
      </c>
      <c r="V24" s="1">
        <f>[1]Results!Y1384</f>
        <v>-0.54707479851585639</v>
      </c>
      <c r="W24" s="1">
        <f>[1]Results!Z1384</f>
        <v>-0.5751525588977513</v>
      </c>
      <c r="X24" s="1">
        <f>[1]Results!AA1384</f>
        <v>-0.58685950233496875</v>
      </c>
      <c r="Y24" s="1">
        <f>[1]Results!AB1384</f>
        <v>-0.59003400714940923</v>
      </c>
      <c r="Z24" s="1">
        <f>[1]Results!AC1384</f>
        <v>-0.59137423884734197</v>
      </c>
      <c r="AA24" s="1">
        <f>[1]Results!AD1384</f>
        <v>-0.5929325410581221</v>
      </c>
      <c r="AB24" s="1">
        <f>[1]Results!AE1384</f>
        <v>-0.5923486060302352</v>
      </c>
      <c r="AC24" s="1">
        <f>[1]Results!AF1384</f>
        <v>-0.58908163396766966</v>
      </c>
      <c r="AD24" s="1">
        <f>[1]Results!AG1384</f>
        <v>-0.58031385836586624</v>
      </c>
      <c r="AE24" s="1">
        <f>[1]Results!AH1384</f>
        <v>-0.56688286244782615</v>
      </c>
      <c r="AF24" s="1">
        <f>[1]Results!AI1384</f>
        <v>-0.55060349608428982</v>
      </c>
      <c r="AG24" s="1">
        <f>[1]Results!AJ1384</f>
        <v>-0.53372840476838546</v>
      </c>
      <c r="AH24" s="1">
        <f>[1]Results!AK1384</f>
        <v>-0.51814124028791708</v>
      </c>
      <c r="AI24" s="1">
        <f>[1]Results!AL1384</f>
        <v>-0.50483004298373935</v>
      </c>
      <c r="AJ24" s="1">
        <f>[1]Results!AM1384</f>
        <v>-0.49378590488531326</v>
      </c>
      <c r="AK24" s="1">
        <f>[1]Results!AN1384</f>
        <v>-0.48428620629445973</v>
      </c>
      <c r="AL24" s="1">
        <f>[1]Results!AO1384</f>
        <v>-0.47535854622712259</v>
      </c>
    </row>
    <row r="25" spans="1:38" x14ac:dyDescent="0.3">
      <c r="A25" s="3" t="str">
        <f>[1]Results!E1385</f>
        <v>100*((CH_2-CH_ccon_2)/(CH_0-CH_ccon_0)-1)</v>
      </c>
      <c r="B25" t="str">
        <f>[1]Results!C1385</f>
        <v>Consommation des ménages</v>
      </c>
      <c r="C25" s="1">
        <f>[1]Results!F1385</f>
        <v>0</v>
      </c>
      <c r="D25" s="1">
        <f>[1]Results!G1385</f>
        <v>0</v>
      </c>
      <c r="E25" s="1">
        <f>[1]Results!H1385</f>
        <v>0</v>
      </c>
      <c r="F25" s="1">
        <f>[1]Results!I1385</f>
        <v>0</v>
      </c>
      <c r="G25" s="1">
        <f>[1]Results!J1385</f>
        <v>0</v>
      </c>
      <c r="H25" s="1">
        <f>[1]Results!K1385</f>
        <v>0</v>
      </c>
      <c r="I25" s="1">
        <f>[1]Results!L1385</f>
        <v>-1.6656820832627317</v>
      </c>
      <c r="J25" s="1">
        <f>[1]Results!M1385</f>
        <v>-2.2863899614596228</v>
      </c>
      <c r="K25" s="1">
        <f>[1]Results!N1385</f>
        <v>-2.4064270212617145</v>
      </c>
      <c r="L25" s="1">
        <f>[1]Results!O1385</f>
        <v>-2.0694427624566636</v>
      </c>
      <c r="M25" s="1">
        <f>[1]Results!P1385</f>
        <v>-1.4464231931317184</v>
      </c>
      <c r="N25" s="1">
        <f>[1]Results!Q1385</f>
        <v>-0.74933768413206758</v>
      </c>
      <c r="O25" s="1">
        <f>[1]Results!R1385</f>
        <v>-0.17393647345897989</v>
      </c>
      <c r="P25" s="1">
        <f>[1]Results!S1385</f>
        <v>0.16918322298418165</v>
      </c>
      <c r="Q25" s="1">
        <f>[1]Results!T1385</f>
        <v>0.25942168045396397</v>
      </c>
      <c r="R25" s="1">
        <f>[1]Results!U1385</f>
        <v>0.14217024811791212</v>
      </c>
      <c r="S25" s="1">
        <f>[1]Results!V1385</f>
        <v>-9.4354474856284121E-2</v>
      </c>
      <c r="T25" s="1">
        <f>[1]Results!W1385</f>
        <v>-0.35458914657717777</v>
      </c>
      <c r="U25" s="1">
        <f>[1]Results!X1385</f>
        <v>-0.57091655482648385</v>
      </c>
      <c r="V25" s="1">
        <f>[1]Results!Y1385</f>
        <v>-0.71539781905261002</v>
      </c>
      <c r="W25" s="1">
        <f>[1]Results!Z1385</f>
        <v>-0.78870054077724294</v>
      </c>
      <c r="X25" s="1">
        <f>[1]Results!AA1385</f>
        <v>-0.8227599374000194</v>
      </c>
      <c r="Y25" s="1">
        <f>[1]Results!AB1385</f>
        <v>-0.83470568172543391</v>
      </c>
      <c r="Z25" s="1">
        <f>[1]Results!AC1385</f>
        <v>-0.84090016546471968</v>
      </c>
      <c r="AA25" s="1">
        <f>[1]Results!AD1385</f>
        <v>-0.84672572417904268</v>
      </c>
      <c r="AB25" s="1">
        <f>[1]Results!AE1385</f>
        <v>-0.841054376748962</v>
      </c>
      <c r="AC25" s="1">
        <f>[1]Results!AF1385</f>
        <v>-0.83594588646859203</v>
      </c>
      <c r="AD25" s="1">
        <f>[1]Results!AG1385</f>
        <v>-0.81979175320960884</v>
      </c>
      <c r="AE25" s="1">
        <f>[1]Results!AH1385</f>
        <v>-0.79457284986639287</v>
      </c>
      <c r="AF25" s="1">
        <f>[1]Results!AI1385</f>
        <v>-0.76495574903620023</v>
      </c>
      <c r="AG25" s="1">
        <f>[1]Results!AJ1385</f>
        <v>-0.73631730338328261</v>
      </c>
      <c r="AH25" s="1">
        <f>[1]Results!AK1385</f>
        <v>-0.71282640697032384</v>
      </c>
      <c r="AI25" s="1">
        <f>[1]Results!AL1385</f>
        <v>-0.69632017613519004</v>
      </c>
      <c r="AJ25" s="1">
        <f>[1]Results!AM1385</f>
        <v>-0.68622751945064397</v>
      </c>
      <c r="AK25" s="1">
        <f>[1]Results!AN1385</f>
        <v>-0.68034888876594701</v>
      </c>
      <c r="AL25" s="1">
        <f>[1]Results!AO1385</f>
        <v>-0.67601842306682647</v>
      </c>
    </row>
    <row r="26" spans="1:38" x14ac:dyDescent="0.3">
      <c r="A26" s="3" t="str">
        <f>[1]Results!E1386</f>
        <v>100*((I_2+CH_ccon_2)/(I_0+CH_ccon_0)-1)</v>
      </c>
      <c r="B26" t="str">
        <f>[1]Results!C1386</f>
        <v>Investissement</v>
      </c>
      <c r="C26" s="1">
        <f>[1]Results!F1386</f>
        <v>0</v>
      </c>
      <c r="D26" s="1">
        <f>[1]Results!G1386</f>
        <v>0</v>
      </c>
      <c r="E26" s="1">
        <f>[1]Results!H1386</f>
        <v>0</v>
      </c>
      <c r="F26" s="1">
        <f>[1]Results!I1386</f>
        <v>0</v>
      </c>
      <c r="G26" s="1">
        <f>[1]Results!J1386</f>
        <v>0</v>
      </c>
      <c r="H26" s="1">
        <f>[1]Results!K1386</f>
        <v>0</v>
      </c>
      <c r="I26" s="1">
        <f>[1]Results!L1386</f>
        <v>-1.514219659288385</v>
      </c>
      <c r="J26" s="1">
        <f>[1]Results!M1386</f>
        <v>-2.6867019022311811</v>
      </c>
      <c r="K26" s="1">
        <f>[1]Results!N1386</f>
        <v>-3.5283311212626844</v>
      </c>
      <c r="L26" s="1">
        <f>[1]Results!O1386</f>
        <v>-3.8902992317559781</v>
      </c>
      <c r="M26" s="1">
        <f>[1]Results!P1386</f>
        <v>-3.7243757212603645</v>
      </c>
      <c r="N26" s="1">
        <f>[1]Results!Q1386</f>
        <v>-3.3066789112368045</v>
      </c>
      <c r="O26" s="1">
        <f>[1]Results!R1386</f>
        <v>-2.7043348404729328</v>
      </c>
      <c r="P26" s="1">
        <f>[1]Results!S1386</f>
        <v>-2.1192257136784853</v>
      </c>
      <c r="Q26" s="1">
        <f>[1]Results!T1386</f>
        <v>-1.6909476039900118</v>
      </c>
      <c r="R26" s="1">
        <f>[1]Results!U1386</f>
        <v>-1.4555017867788345</v>
      </c>
      <c r="S26" s="1">
        <f>[1]Results!V1386</f>
        <v>-1.3809426832552929</v>
      </c>
      <c r="T26" s="1">
        <f>[1]Results!W1386</f>
        <v>-1.4089038582400626</v>
      </c>
      <c r="U26" s="1">
        <f>[1]Results!X1386</f>
        <v>-1.4766701182221564</v>
      </c>
      <c r="V26" s="1">
        <f>[1]Results!Y1386</f>
        <v>-1.5379943942012364</v>
      </c>
      <c r="W26" s="1">
        <f>[1]Results!Z1386</f>
        <v>-1.5871182444800902</v>
      </c>
      <c r="X26" s="1">
        <f>[1]Results!AA1386</f>
        <v>-1.5869983743307614</v>
      </c>
      <c r="Y26" s="1">
        <f>[1]Results!AB1386</f>
        <v>-1.5780166001095997</v>
      </c>
      <c r="Z26" s="1">
        <f>[1]Results!AC1386</f>
        <v>-1.5713765190601636</v>
      </c>
      <c r="AA26" s="1">
        <f>[1]Results!AD1386</f>
        <v>-1.5723720652457973</v>
      </c>
      <c r="AB26" s="1">
        <f>[1]Results!AE1386</f>
        <v>-1.6201646773277734</v>
      </c>
      <c r="AC26" s="1">
        <f>[1]Results!AF1386</f>
        <v>-1.6157061483414781</v>
      </c>
      <c r="AD26" s="1">
        <f>[1]Results!AG1386</f>
        <v>-1.605121914251173</v>
      </c>
      <c r="AE26" s="1">
        <f>[1]Results!AH1386</f>
        <v>-1.5840600091671542</v>
      </c>
      <c r="AF26" s="1">
        <f>[1]Results!AI1386</f>
        <v>-1.5528003407183633</v>
      </c>
      <c r="AG26" s="1">
        <f>[1]Results!AJ1386</f>
        <v>-1.5150563385239901</v>
      </c>
      <c r="AH26" s="1">
        <f>[1]Results!AK1386</f>
        <v>-1.4757942033309712</v>
      </c>
      <c r="AI26" s="1">
        <f>[1]Results!AL1386</f>
        <v>-1.4391211731772935</v>
      </c>
      <c r="AJ26" s="1">
        <f>[1]Results!AM1386</f>
        <v>-1.4070403772330264</v>
      </c>
      <c r="AK26" s="1">
        <f>[1]Results!AN1386</f>
        <v>-1.3793247445956003</v>
      </c>
      <c r="AL26" s="1">
        <f>[1]Results!AO1386</f>
        <v>-1.3542524394011046</v>
      </c>
    </row>
    <row r="27" spans="1:38" x14ac:dyDescent="0.3">
      <c r="A27" s="3" t="str">
        <f>[1]Results!E1387</f>
        <v>100*((CH_ccon_2)/(CH_ccon_0)-1)</v>
      </c>
      <c r="B27" t="str">
        <f>[1]Results!C1387</f>
        <v>Investissement ménages</v>
      </c>
      <c r="C27" s="1">
        <f>[1]Results!F1387</f>
        <v>0</v>
      </c>
      <c r="D27" s="1">
        <f>[1]Results!G1387</f>
        <v>0</v>
      </c>
      <c r="E27" s="1">
        <f>[1]Results!H1387</f>
        <v>0</v>
      </c>
      <c r="F27" s="1">
        <f>[1]Results!I1387</f>
        <v>0</v>
      </c>
      <c r="G27" s="1">
        <f>[1]Results!J1387</f>
        <v>0</v>
      </c>
      <c r="H27" s="1">
        <f>[1]Results!K1387</f>
        <v>0</v>
      </c>
      <c r="I27" s="1">
        <f>[1]Results!L1387</f>
        <v>-0.24725351196179801</v>
      </c>
      <c r="J27" s="1">
        <f>[1]Results!M1387</f>
        <v>-0.33492314121288391</v>
      </c>
      <c r="K27" s="1">
        <f>[1]Results!N1387</f>
        <v>-0.33832888994331789</v>
      </c>
      <c r="L27" s="1">
        <f>[1]Results!O1387</f>
        <v>-0.26323556329452824</v>
      </c>
      <c r="M27" s="1">
        <f>[1]Results!P1387</f>
        <v>-0.14007616867067751</v>
      </c>
      <c r="N27" s="1">
        <f>[1]Results!Q1387</f>
        <v>-6.2040023518039611E-2</v>
      </c>
      <c r="O27" s="1">
        <f>[1]Results!R1387</f>
        <v>-5.0623070901845146E-2</v>
      </c>
      <c r="P27" s="1">
        <f>[1]Results!S1387</f>
        <v>-0.1656666429534992</v>
      </c>
      <c r="Q27" s="1">
        <f>[1]Results!T1387</f>
        <v>-0.43647149112949757</v>
      </c>
      <c r="R27" s="1">
        <f>[1]Results!U1387</f>
        <v>-0.6485820767972772</v>
      </c>
      <c r="S27" s="1">
        <f>[1]Results!V1387</f>
        <v>-0.67957931260425042</v>
      </c>
      <c r="T27" s="1">
        <f>[1]Results!W1387</f>
        <v>-0.60445562234218153</v>
      </c>
      <c r="U27" s="1">
        <f>[1]Results!X1387</f>
        <v>-0.50415749475388738</v>
      </c>
      <c r="V27" s="1">
        <f>[1]Results!Y1387</f>
        <v>-0.41735092772221538</v>
      </c>
      <c r="W27" s="1">
        <f>[1]Results!Z1387</f>
        <v>-0.41883156667705812</v>
      </c>
      <c r="X27" s="1">
        <f>[1]Results!AA1387</f>
        <v>-0.34424693039126764</v>
      </c>
      <c r="Y27" s="1">
        <f>[1]Results!AB1387</f>
        <v>-0.29509042719398915</v>
      </c>
      <c r="Z27" s="1">
        <f>[1]Results!AC1387</f>
        <v>-0.25957052872366271</v>
      </c>
      <c r="AA27" s="1">
        <f>[1]Results!AD1387</f>
        <v>-0.23323689385482682</v>
      </c>
      <c r="AB27" s="1">
        <f>[1]Results!AE1387</f>
        <v>-0.35932722040965537</v>
      </c>
      <c r="AC27" s="1">
        <f>[1]Results!AF1387</f>
        <v>-0.30538765296124204</v>
      </c>
      <c r="AD27" s="1">
        <f>[1]Results!AG1387</f>
        <v>-0.27149366480087034</v>
      </c>
      <c r="AE27" s="1">
        <f>[1]Results!AH1387</f>
        <v>-0.24765762866858498</v>
      </c>
      <c r="AF27" s="1">
        <f>[1]Results!AI1387</f>
        <v>-0.22938614534034896</v>
      </c>
      <c r="AG27" s="1">
        <f>[1]Results!AJ1387</f>
        <v>-0.21518986932733686</v>
      </c>
      <c r="AH27" s="1">
        <f>[1]Results!AK1387</f>
        <v>-0.20479804983123406</v>
      </c>
      <c r="AI27" s="1">
        <f>[1]Results!AL1387</f>
        <v>-0.19806433389488731</v>
      </c>
      <c r="AJ27" s="1">
        <f>[1]Results!AM1387</f>
        <v>-0.19450475461669781</v>
      </c>
      <c r="AK27" s="1">
        <f>[1]Results!AN1387</f>
        <v>-0.19335151277044549</v>
      </c>
      <c r="AL27" s="1">
        <f>[1]Results!AO1387</f>
        <v>-0.19372060937374869</v>
      </c>
    </row>
    <row r="28" spans="1:38" x14ac:dyDescent="0.3">
      <c r="A28" s="3" t="str">
        <f>[1]Results!E1388</f>
        <v>100*((IA_spub_2)/(IA_spub_0)-1)</v>
      </c>
      <c r="B28" t="str">
        <f>[1]Results!C1388</f>
        <v>Investissement public</v>
      </c>
      <c r="C28" s="1">
        <f>[1]Results!F1388</f>
        <v>0</v>
      </c>
      <c r="D28" s="1">
        <f>[1]Results!G1388</f>
        <v>0</v>
      </c>
      <c r="E28" s="1">
        <f>[1]Results!H1388</f>
        <v>0</v>
      </c>
      <c r="F28" s="1">
        <f>[1]Results!I1388</f>
        <v>0</v>
      </c>
      <c r="G28" s="1">
        <f>[1]Results!J1388</f>
        <v>0</v>
      </c>
      <c r="H28" s="1">
        <f>[1]Results!K1388</f>
        <v>0</v>
      </c>
      <c r="I28" s="1">
        <f>[1]Results!L1388</f>
        <v>-1.9254825105553874</v>
      </c>
      <c r="J28" s="1">
        <f>[1]Results!M1388</f>
        <v>-3.0401803518393278</v>
      </c>
      <c r="K28" s="1">
        <f>[1]Results!N1388</f>
        <v>-3.6590303049824913</v>
      </c>
      <c r="L28" s="1">
        <f>[1]Results!O1388</f>
        <v>-3.7110279549140368</v>
      </c>
      <c r="M28" s="1">
        <f>[1]Results!P1388</f>
        <v>-3.2679982247102113</v>
      </c>
      <c r="N28" s="1">
        <f>[1]Results!Q1388</f>
        <v>-2.5061804145713462</v>
      </c>
      <c r="O28" s="1">
        <f>[1]Results!R1388</f>
        <v>-1.6398824692006042</v>
      </c>
      <c r="P28" s="1">
        <f>[1]Results!S1388</f>
        <v>-0.87351832007741548</v>
      </c>
      <c r="Q28" s="1">
        <f>[1]Results!T1388</f>
        <v>-0.3358405996077285</v>
      </c>
      <c r="R28" s="1">
        <f>[1]Results!U1388</f>
        <v>-5.4785637295606815E-2</v>
      </c>
      <c r="S28" s="1">
        <f>[1]Results!V1388</f>
        <v>2.2406451258172311E-2</v>
      </c>
      <c r="T28" s="1">
        <f>[1]Results!W1388</f>
        <v>-1.6321263202589975E-2</v>
      </c>
      <c r="U28" s="1">
        <f>[1]Results!X1388</f>
        <v>-9.0408130353325511E-2</v>
      </c>
      <c r="V28" s="1">
        <f>[1]Results!Y1388</f>
        <v>-0.14972811137786701</v>
      </c>
      <c r="W28" s="1">
        <f>[1]Results!Z1388</f>
        <v>-0.17746334273852638</v>
      </c>
      <c r="X28" s="1">
        <f>[1]Results!AA1388</f>
        <v>-0.18119557246147888</v>
      </c>
      <c r="Y28" s="1">
        <f>[1]Results!AB1388</f>
        <v>-0.17823457020965661</v>
      </c>
      <c r="Z28" s="1">
        <f>[1]Results!AC1388</f>
        <v>-0.18213242824948184</v>
      </c>
      <c r="AA28" s="1">
        <f>[1]Results!AD1388</f>
        <v>-0.19691976392239852</v>
      </c>
      <c r="AB28" s="1">
        <f>[1]Results!AE1388</f>
        <v>-0.21822357334566611</v>
      </c>
      <c r="AC28" s="1">
        <f>[1]Results!AF1388</f>
        <v>-0.23364275623287689</v>
      </c>
      <c r="AD28" s="1">
        <f>[1]Results!AG1388</f>
        <v>-0.23773069600363517</v>
      </c>
      <c r="AE28" s="1">
        <f>[1]Results!AH1388</f>
        <v>-0.22841642440774024</v>
      </c>
      <c r="AF28" s="1">
        <f>[1]Results!AI1388</f>
        <v>-0.20809047673466807</v>
      </c>
      <c r="AG28" s="1">
        <f>[1]Results!AJ1388</f>
        <v>-0.18203478205125467</v>
      </c>
      <c r="AH28" s="1">
        <f>[1]Results!AK1388</f>
        <v>-0.15600833902753575</v>
      </c>
      <c r="AI28" s="1">
        <f>[1]Results!AL1388</f>
        <v>-0.13413687608481162</v>
      </c>
      <c r="AJ28" s="1">
        <f>[1]Results!AM1388</f>
        <v>-0.11790436704524065</v>
      </c>
      <c r="AK28" s="1">
        <f>[1]Results!AN1388</f>
        <v>-0.10639961303351431</v>
      </c>
      <c r="AL28" s="1">
        <f>[1]Results!AO1388</f>
        <v>-9.7375292408019565E-2</v>
      </c>
    </row>
    <row r="29" spans="1:38" x14ac:dyDescent="0.3">
      <c r="A29" s="3" t="str">
        <f>[1]Results!E1389</f>
        <v>100*(DISPINC_AT_VAL_2/DISPINC_AT_VAL_0-1)</v>
      </c>
      <c r="B29" t="str">
        <f>[1]Results!C1389</f>
        <v>Revenu disponible des ménages</v>
      </c>
      <c r="C29" s="1">
        <f>[1]Results!F1389</f>
        <v>0</v>
      </c>
      <c r="D29" s="1">
        <f>[1]Results!G1389</f>
        <v>0</v>
      </c>
      <c r="E29" s="1">
        <f>[1]Results!H1389</f>
        <v>0</v>
      </c>
      <c r="F29" s="1">
        <f>[1]Results!I1389</f>
        <v>0</v>
      </c>
      <c r="G29" s="1">
        <f>[1]Results!J1389</f>
        <v>0</v>
      </c>
      <c r="H29" s="1">
        <f>[1]Results!K1389</f>
        <v>0</v>
      </c>
      <c r="I29" s="1">
        <f>[1]Results!L1389</f>
        <v>1.1539060389836875</v>
      </c>
      <c r="J29" s="1">
        <f>[1]Results!M1389</f>
        <v>2.1930912044850315</v>
      </c>
      <c r="K29" s="1">
        <f>[1]Results!N1389</f>
        <v>3.2953355886347735</v>
      </c>
      <c r="L29" s="1">
        <f>[1]Results!O1389</f>
        <v>4.1381717501040693</v>
      </c>
      <c r="M29" s="1">
        <f>[1]Results!P1389</f>
        <v>4.6104873217206466</v>
      </c>
      <c r="N29" s="1">
        <f>[1]Results!Q1389</f>
        <v>4.7065540580865539</v>
      </c>
      <c r="O29" s="1">
        <f>[1]Results!R1389</f>
        <v>4.503595605313504</v>
      </c>
      <c r="P29" s="1">
        <f>[1]Results!S1389</f>
        <v>4.1262903993959155</v>
      </c>
      <c r="Q29" s="1">
        <f>[1]Results!T1389</f>
        <v>3.695411292330153</v>
      </c>
      <c r="R29" s="1">
        <f>[1]Results!U1389</f>
        <v>3.2966373051543041</v>
      </c>
      <c r="S29" s="1">
        <f>[1]Results!V1389</f>
        <v>2.9715473701827255</v>
      </c>
      <c r="T29" s="1">
        <f>[1]Results!W1389</f>
        <v>2.7257908782862383</v>
      </c>
      <c r="U29" s="1">
        <f>[1]Results!X1389</f>
        <v>2.5445884046578771</v>
      </c>
      <c r="V29" s="1">
        <f>[1]Results!Y1389</f>
        <v>2.4078175609519414</v>
      </c>
      <c r="W29" s="1">
        <f>[1]Results!Z1389</f>
        <v>2.2996106084534507</v>
      </c>
      <c r="X29" s="1">
        <f>[1]Results!AA1389</f>
        <v>2.213364040566379</v>
      </c>
      <c r="Y29" s="1">
        <f>[1]Results!AB1389</f>
        <v>2.1482946209715914</v>
      </c>
      <c r="Z29" s="1">
        <f>[1]Results!AC1389</f>
        <v>2.1055709393923205</v>
      </c>
      <c r="AA29" s="1">
        <f>[1]Results!AD1389</f>
        <v>2.0846173794296874</v>
      </c>
      <c r="AB29" s="1">
        <f>[1]Results!AE1389</f>
        <v>2.0813274339958499</v>
      </c>
      <c r="AC29" s="1">
        <f>[1]Results!AF1389</f>
        <v>2.0878525916128376</v>
      </c>
      <c r="AD29" s="1">
        <f>[1]Results!AG1389</f>
        <v>2.0971833678157692</v>
      </c>
      <c r="AE29" s="1">
        <f>[1]Results!AH1389</f>
        <v>2.1034365929057941</v>
      </c>
      <c r="AF29" s="1">
        <f>[1]Results!AI1389</f>
        <v>2.1037659637071826</v>
      </c>
      <c r="AG29" s="1">
        <f>[1]Results!AJ1389</f>
        <v>2.0980627212717762</v>
      </c>
      <c r="AH29" s="1">
        <f>[1]Results!AK1389</f>
        <v>2.0880487951297821</v>
      </c>
      <c r="AI29" s="1">
        <f>[1]Results!AL1389</f>
        <v>2.0760494853716338</v>
      </c>
      <c r="AJ29" s="1">
        <f>[1]Results!AM1389</f>
        <v>2.0639463034392902</v>
      </c>
      <c r="AK29" s="1">
        <f>[1]Results!AN1389</f>
        <v>2.0526256856056246</v>
      </c>
      <c r="AL29" s="1">
        <f>[1]Results!AO1389</f>
        <v>2.0419684542105632</v>
      </c>
    </row>
    <row r="30" spans="1:38" x14ac:dyDescent="0.3">
      <c r="A30" s="3" t="str">
        <f>[1]Results!E1390</f>
        <v>100*(DISPINC_AT_VAL_2/DISPINC_AT_VAL_0-1)-100*(PCH_2/PCH_0-1)</v>
      </c>
      <c r="B30" t="str">
        <f>[1]Results!C1390</f>
        <v>Revenu disponible réel des ménages</v>
      </c>
      <c r="C30" s="1">
        <f>[1]Results!F1390</f>
        <v>0</v>
      </c>
      <c r="D30" s="1">
        <f>[1]Results!G1390</f>
        <v>0</v>
      </c>
      <c r="E30" s="1">
        <f>[1]Results!H1390</f>
        <v>0</v>
      </c>
      <c r="F30" s="1">
        <f>[1]Results!I1390</f>
        <v>0</v>
      </c>
      <c r="G30" s="1">
        <f>[1]Results!J1390</f>
        <v>0</v>
      </c>
      <c r="H30" s="1">
        <f>[1]Results!K1390</f>
        <v>0</v>
      </c>
      <c r="I30" s="1">
        <f>[1]Results!L1390</f>
        <v>-2.4455186437161158</v>
      </c>
      <c r="J30" s="1">
        <f>[1]Results!M1390</f>
        <v>-2.403621921241661</v>
      </c>
      <c r="K30" s="1">
        <f>[1]Results!N1390</f>
        <v>-2.2899808940545663</v>
      </c>
      <c r="L30" s="1">
        <f>[1]Results!O1390</f>
        <v>-1.77691347130573</v>
      </c>
      <c r="M30" s="1">
        <f>[1]Results!P1390</f>
        <v>-1.0795540732895015</v>
      </c>
      <c r="N30" s="1">
        <f>[1]Results!Q1390</f>
        <v>-0.44309565209350588</v>
      </c>
      <c r="O30" s="1">
        <f>[1]Results!R1390</f>
        <v>-5.1955732762065665E-3</v>
      </c>
      <c r="P30" s="1">
        <f>[1]Results!S1390</f>
        <v>0.17677777417224316</v>
      </c>
      <c r="Q30" s="1">
        <f>[1]Results!T1390</f>
        <v>0.13185846280310276</v>
      </c>
      <c r="R30" s="1">
        <f>[1]Results!U1390</f>
        <v>-5.9111253630717009E-2</v>
      </c>
      <c r="S30" s="1">
        <f>[1]Results!V1390</f>
        <v>-0.30140860149485693</v>
      </c>
      <c r="T30" s="1">
        <f>[1]Results!W1390</f>
        <v>-0.51892171948684229</v>
      </c>
      <c r="U30" s="1">
        <f>[1]Results!X1390</f>
        <v>-0.67190061562238945</v>
      </c>
      <c r="V30" s="1">
        <f>[1]Results!Y1390</f>
        <v>-0.75664517908893281</v>
      </c>
      <c r="W30" s="1">
        <f>[1]Results!Z1390</f>
        <v>-0.79200839587343363</v>
      </c>
      <c r="X30" s="1">
        <f>[1]Results!AA1390</f>
        <v>-0.80343171075034636</v>
      </c>
      <c r="Y30" s="1">
        <f>[1]Results!AB1390</f>
        <v>-0.81070250079484651</v>
      </c>
      <c r="Z30" s="1">
        <f>[1]Results!AC1390</f>
        <v>-0.82118318509394328</v>
      </c>
      <c r="AA30" s="1">
        <f>[1]Results!AD1390</f>
        <v>-0.83283963174449749</v>
      </c>
      <c r="AB30" s="1">
        <f>[1]Results!AE1390</f>
        <v>-0.84062202316474988</v>
      </c>
      <c r="AC30" s="1">
        <f>[1]Results!AF1390</f>
        <v>-0.83292312449514405</v>
      </c>
      <c r="AD30" s="1">
        <f>[1]Results!AG1390</f>
        <v>-0.8144462449503731</v>
      </c>
      <c r="AE30" s="1">
        <f>[1]Results!AH1390</f>
        <v>-0.78836182350532358</v>
      </c>
      <c r="AF30" s="1">
        <f>[1]Results!AI1390</f>
        <v>-0.76017195271396165</v>
      </c>
      <c r="AG30" s="1">
        <f>[1]Results!AJ1390</f>
        <v>-0.7350242091706205</v>
      </c>
      <c r="AH30" s="1">
        <f>[1]Results!AK1390</f>
        <v>-0.71604544426882022</v>
      </c>
      <c r="AI30" s="1">
        <f>[1]Results!AL1390</f>
        <v>-0.70376287497064816</v>
      </c>
      <c r="AJ30" s="1">
        <f>[1]Results!AM1390</f>
        <v>-0.69657151303961218</v>
      </c>
      <c r="AK30" s="1">
        <f>[1]Results!AN1390</f>
        <v>-0.69184421557715314</v>
      </c>
      <c r="AL30" s="1">
        <f>[1]Results!AO1390</f>
        <v>-0.68712559697168274</v>
      </c>
    </row>
    <row r="31" spans="1:38" x14ac:dyDescent="0.3">
      <c r="A31" s="3" t="str">
        <f>[1]Results!E1391</f>
        <v>100*(DISPINC_AT_VAL_2/DISPINC_AT_VAL_0-1)-100*((F_L_2/F_L_0)-1)</v>
      </c>
      <c r="B31" t="str">
        <f>[1]Results!C1391</f>
        <v>Revenu disponible par emploi en valeur</v>
      </c>
      <c r="C31" s="1">
        <f>[1]Results!F1391</f>
        <v>0</v>
      </c>
      <c r="D31" s="1">
        <f>[1]Results!G1391</f>
        <v>0</v>
      </c>
      <c r="E31" s="1">
        <f>[1]Results!H1391</f>
        <v>0</v>
      </c>
      <c r="F31" s="1">
        <f>[1]Results!I1391</f>
        <v>0</v>
      </c>
      <c r="G31" s="1">
        <f>[1]Results!J1391</f>
        <v>0</v>
      </c>
      <c r="H31" s="1">
        <f>[1]Results!K1391</f>
        <v>0</v>
      </c>
      <c r="I31" s="1">
        <f>[1]Results!L1391</f>
        <v>1.3225858446327177</v>
      </c>
      <c r="J31" s="1">
        <f>[1]Results!M1391</f>
        <v>2.7459336865456208</v>
      </c>
      <c r="K31" s="1">
        <f>[1]Results!N1391</f>
        <v>4.2932995160378518</v>
      </c>
      <c r="L31" s="1">
        <f>[1]Results!O1391</f>
        <v>5.5154842601417791</v>
      </c>
      <c r="M31" s="1">
        <f>[1]Results!P1391</f>
        <v>6.2314513952877686</v>
      </c>
      <c r="N31" s="1">
        <f>[1]Results!Q1391</f>
        <v>6.4260112396703262</v>
      </c>
      <c r="O31" s="1">
        <f>[1]Results!R1391</f>
        <v>6.2051904820579207</v>
      </c>
      <c r="P31" s="1">
        <f>[1]Results!S1391</f>
        <v>5.7444648341527067</v>
      </c>
      <c r="Q31" s="1">
        <f>[1]Results!T1391</f>
        <v>5.2158206546538359</v>
      </c>
      <c r="R31" s="1">
        <f>[1]Results!U1391</f>
        <v>4.7410756682983664</v>
      </c>
      <c r="S31" s="1">
        <f>[1]Results!V1391</f>
        <v>4.3765277239975475</v>
      </c>
      <c r="T31" s="1">
        <f>[1]Results!W1391</f>
        <v>4.1238920631720299</v>
      </c>
      <c r="U31" s="1">
        <f>[1]Results!X1391</f>
        <v>3.9540545775219038</v>
      </c>
      <c r="V31" s="1">
        <f>[1]Results!Y1391</f>
        <v>3.8311639768193295</v>
      </c>
      <c r="W31" s="1">
        <f>[1]Results!Z1391</f>
        <v>3.7289176747992259</v>
      </c>
      <c r="X31" s="1">
        <f>[1]Results!AA1391</f>
        <v>3.6358843075986025</v>
      </c>
      <c r="Y31" s="1">
        <f>[1]Results!AB1391</f>
        <v>3.5536711319368197</v>
      </c>
      <c r="Z31" s="1">
        <f>[1]Results!AC1391</f>
        <v>3.4885455166358548</v>
      </c>
      <c r="AA31" s="1">
        <f>[1]Results!AD1391</f>
        <v>3.4447632957895435</v>
      </c>
      <c r="AB31" s="1">
        <f>[1]Results!AE1391</f>
        <v>3.4223564904687032</v>
      </c>
      <c r="AC31" s="1">
        <f>[1]Results!AF1391</f>
        <v>3.4112668676029356</v>
      </c>
      <c r="AD31" s="1">
        <f>[1]Results!AG1391</f>
        <v>3.4039341651592059</v>
      </c>
      <c r="AE31" s="1">
        <f>[1]Results!AH1391</f>
        <v>3.3934122868747307</v>
      </c>
      <c r="AF31" s="1">
        <f>[1]Results!AI1391</f>
        <v>3.3762474572958778</v>
      </c>
      <c r="AG31" s="1">
        <f>[1]Results!AJ1391</f>
        <v>3.3525351326131103</v>
      </c>
      <c r="AH31" s="1">
        <f>[1]Results!AK1391</f>
        <v>3.3248457447851543</v>
      </c>
      <c r="AI31" s="1">
        <f>[1]Results!AL1391</f>
        <v>3.2965467817544836</v>
      </c>
      <c r="AJ31" s="1">
        <f>[1]Results!AM1391</f>
        <v>3.2702959727842207</v>
      </c>
      <c r="AK31" s="1">
        <f>[1]Results!AN1391</f>
        <v>3.2472241806431379</v>
      </c>
      <c r="AL31" s="1">
        <f>[1]Results!AO1391</f>
        <v>3.2269127156025812</v>
      </c>
    </row>
    <row r="32" spans="1:38" x14ac:dyDescent="0.3">
      <c r="A32" s="3" t="str">
        <f>[1]Results!E1392</f>
        <v>100*(DISPINC_AT_VAL_2/DISPINC_AT_VAL_0-1)-100*((F_L_2/F_L_0)-1)-100*(PCH_2/PCH_0-1)</v>
      </c>
      <c r="B32" t="str">
        <f>[1]Results!C1392</f>
        <v>Revenu disponible réel par emploi</v>
      </c>
      <c r="C32" s="1">
        <f>[1]Results!F1392</f>
        <v>0</v>
      </c>
      <c r="D32" s="1">
        <f>[1]Results!G1392</f>
        <v>0</v>
      </c>
      <c r="E32" s="1">
        <f>[1]Results!H1392</f>
        <v>0</v>
      </c>
      <c r="F32" s="1">
        <f>[1]Results!I1392</f>
        <v>0</v>
      </c>
      <c r="G32" s="1">
        <f>[1]Results!J1392</f>
        <v>0</v>
      </c>
      <c r="H32" s="1">
        <f>[1]Results!K1392</f>
        <v>0</v>
      </c>
      <c r="I32" s="1">
        <f>[1]Results!L1392</f>
        <v>-2.2768388380670856</v>
      </c>
      <c r="J32" s="1">
        <f>[1]Results!M1392</f>
        <v>-1.8507794391810717</v>
      </c>
      <c r="K32" s="1">
        <f>[1]Results!N1392</f>
        <v>-1.292016966651488</v>
      </c>
      <c r="L32" s="1">
        <f>[1]Results!O1392</f>
        <v>-0.39960096126802025</v>
      </c>
      <c r="M32" s="1">
        <f>[1]Results!P1392</f>
        <v>0.54141000027762054</v>
      </c>
      <c r="N32" s="1">
        <f>[1]Results!Q1392</f>
        <v>1.2763615294902664</v>
      </c>
      <c r="O32" s="1">
        <f>[1]Results!R1392</f>
        <v>1.6963993034682101</v>
      </c>
      <c r="P32" s="1">
        <f>[1]Results!S1392</f>
        <v>1.7949522089290344</v>
      </c>
      <c r="Q32" s="1">
        <f>[1]Results!T1392</f>
        <v>1.6522678251267857</v>
      </c>
      <c r="R32" s="1">
        <f>[1]Results!U1392</f>
        <v>1.3853271095133453</v>
      </c>
      <c r="S32" s="1">
        <f>[1]Results!V1392</f>
        <v>1.1035717523199651</v>
      </c>
      <c r="T32" s="1">
        <f>[1]Results!W1392</f>
        <v>0.87917946539894931</v>
      </c>
      <c r="U32" s="1">
        <f>[1]Results!X1392</f>
        <v>0.7375655572416373</v>
      </c>
      <c r="V32" s="1">
        <f>[1]Results!Y1392</f>
        <v>0.66670123677845528</v>
      </c>
      <c r="W32" s="1">
        <f>[1]Results!Z1392</f>
        <v>0.63729867047234157</v>
      </c>
      <c r="X32" s="1">
        <f>[1]Results!AA1392</f>
        <v>0.61908855628187709</v>
      </c>
      <c r="Y32" s="1">
        <f>[1]Results!AB1392</f>
        <v>0.59467401017038179</v>
      </c>
      <c r="Z32" s="1">
        <f>[1]Results!AC1392</f>
        <v>0.56179139214959095</v>
      </c>
      <c r="AA32" s="1">
        <f>[1]Results!AD1392</f>
        <v>0.52730628461535867</v>
      </c>
      <c r="AB32" s="1">
        <f>[1]Results!AE1392</f>
        <v>0.50040703330810343</v>
      </c>
      <c r="AC32" s="1">
        <f>[1]Results!AF1392</f>
        <v>0.49049115149495393</v>
      </c>
      <c r="AD32" s="1">
        <f>[1]Results!AG1392</f>
        <v>0.49230455239306359</v>
      </c>
      <c r="AE32" s="1">
        <f>[1]Results!AH1392</f>
        <v>0.50161387046361305</v>
      </c>
      <c r="AF32" s="1">
        <f>[1]Results!AI1392</f>
        <v>0.51230954087473357</v>
      </c>
      <c r="AG32" s="1">
        <f>[1]Results!AJ1392</f>
        <v>0.51944820217071364</v>
      </c>
      <c r="AH32" s="1">
        <f>[1]Results!AK1392</f>
        <v>0.52075150538655191</v>
      </c>
      <c r="AI32" s="1">
        <f>[1]Results!AL1392</f>
        <v>0.51673442141220161</v>
      </c>
      <c r="AJ32" s="1">
        <f>[1]Results!AM1392</f>
        <v>0.50977815630531831</v>
      </c>
      <c r="AK32" s="1">
        <f>[1]Results!AN1392</f>
        <v>0.50275427946036011</v>
      </c>
      <c r="AL32" s="1">
        <f>[1]Results!AO1392</f>
        <v>0.49781866442033529</v>
      </c>
    </row>
    <row r="33" spans="1:38" x14ac:dyDescent="0.3">
      <c r="A33" s="3" t="str">
        <f>[1]Results!E1393</f>
        <v>100*(MPS_n_2-MPS_n_0)</v>
      </c>
      <c r="B33" t="str">
        <f>[1]Results!C1393</f>
        <v>Taux d'épargne</v>
      </c>
      <c r="C33" s="1">
        <f>[1]Results!F1393</f>
        <v>0</v>
      </c>
      <c r="D33" s="1">
        <f>[1]Results!G1393</f>
        <v>0</v>
      </c>
      <c r="E33" s="1">
        <f>[1]Results!H1393</f>
        <v>0</v>
      </c>
      <c r="F33" s="1">
        <f>[1]Results!I1393</f>
        <v>0</v>
      </c>
      <c r="G33" s="1">
        <f>[1]Results!J1393</f>
        <v>0</v>
      </c>
      <c r="H33" s="1">
        <f>[1]Results!K1393</f>
        <v>0</v>
      </c>
      <c r="I33" s="1">
        <f>[1]Results!L1393</f>
        <v>0</v>
      </c>
      <c r="J33" s="1">
        <f>[1]Results!M1393</f>
        <v>0</v>
      </c>
      <c r="K33" s="1">
        <f>[1]Results!N1393</f>
        <v>0</v>
      </c>
      <c r="L33" s="1">
        <f>[1]Results!O1393</f>
        <v>0</v>
      </c>
      <c r="M33" s="1">
        <f>[1]Results!P1393</f>
        <v>0</v>
      </c>
      <c r="N33" s="1">
        <f>[1]Results!Q1393</f>
        <v>0</v>
      </c>
      <c r="O33" s="1">
        <f>[1]Results!R1393</f>
        <v>0</v>
      </c>
      <c r="P33" s="1">
        <f>[1]Results!S1393</f>
        <v>0</v>
      </c>
      <c r="Q33" s="1">
        <f>[1]Results!T1393</f>
        <v>0</v>
      </c>
      <c r="R33" s="1">
        <f>[1]Results!U1393</f>
        <v>0</v>
      </c>
      <c r="S33" s="1">
        <f>[1]Results!V1393</f>
        <v>0</v>
      </c>
      <c r="T33" s="1">
        <f>[1]Results!W1393</f>
        <v>0</v>
      </c>
      <c r="U33" s="1">
        <f>[1]Results!X1393</f>
        <v>0</v>
      </c>
      <c r="V33" s="1">
        <f>[1]Results!Y1393</f>
        <v>0</v>
      </c>
      <c r="W33" s="1">
        <f>[1]Results!Z1393</f>
        <v>0</v>
      </c>
      <c r="X33" s="1">
        <f>[1]Results!AA1393</f>
        <v>0</v>
      </c>
      <c r="Y33" s="1">
        <f>[1]Results!AB1393</f>
        <v>0</v>
      </c>
      <c r="Z33" s="1">
        <f>[1]Results!AC1393</f>
        <v>0</v>
      </c>
      <c r="AA33" s="1">
        <f>[1]Results!AD1393</f>
        <v>0</v>
      </c>
      <c r="AB33" s="1">
        <f>[1]Results!AE1393</f>
        <v>0</v>
      </c>
      <c r="AC33" s="1">
        <f>[1]Results!AF1393</f>
        <v>0</v>
      </c>
      <c r="AD33" s="1">
        <f>[1]Results!AG1393</f>
        <v>0</v>
      </c>
      <c r="AE33" s="1">
        <f>[1]Results!AH1393</f>
        <v>0</v>
      </c>
      <c r="AF33" s="1">
        <f>[1]Results!AI1393</f>
        <v>0</v>
      </c>
      <c r="AG33" s="1">
        <f>[1]Results!AJ1393</f>
        <v>0</v>
      </c>
      <c r="AH33" s="1">
        <f>[1]Results!AK1393</f>
        <v>0</v>
      </c>
      <c r="AI33" s="1">
        <f>[1]Results!AL1393</f>
        <v>0</v>
      </c>
      <c r="AJ33" s="1">
        <f>[1]Results!AM1393</f>
        <v>0</v>
      </c>
      <c r="AK33" s="1">
        <f>[1]Results!AN1393</f>
        <v>0</v>
      </c>
      <c r="AL33" s="1">
        <f>[1]Results!AO1393</f>
        <v>0</v>
      </c>
    </row>
    <row r="34" spans="1:38" x14ac:dyDescent="0.3">
      <c r="A34" s="3" t="str">
        <f>[1]Results!E1394</f>
        <v>100*(PCH_2/PCH_0-1)</v>
      </c>
      <c r="B34" t="str">
        <f>[1]Results!C1394</f>
        <v>Prix à la consommation des ménages</v>
      </c>
      <c r="C34" s="1">
        <f>[1]Results!F1394</f>
        <v>0</v>
      </c>
      <c r="D34" s="1">
        <f>[1]Results!G1394</f>
        <v>0</v>
      </c>
      <c r="E34" s="1">
        <f>[1]Results!H1394</f>
        <v>0</v>
      </c>
      <c r="F34" s="1">
        <f>[1]Results!I1394</f>
        <v>0</v>
      </c>
      <c r="G34" s="1">
        <f>[1]Results!J1394</f>
        <v>0</v>
      </c>
      <c r="H34" s="1">
        <f>[1]Results!K1394</f>
        <v>0</v>
      </c>
      <c r="I34" s="1">
        <f>[1]Results!L1394</f>
        <v>-2.4455186437161158</v>
      </c>
      <c r="J34" s="1">
        <f>[1]Results!M1394</f>
        <v>-2.403621921241661</v>
      </c>
      <c r="K34" s="1">
        <f>[1]Results!N1394</f>
        <v>-2.2899808940545663</v>
      </c>
      <c r="L34" s="1">
        <f>[1]Results!O1394</f>
        <v>-1.77691347130573</v>
      </c>
      <c r="M34" s="1">
        <f>[1]Results!P1394</f>
        <v>-1.0795540732895015</v>
      </c>
      <c r="N34" s="1">
        <f>[1]Results!Q1394</f>
        <v>-0.44309565209350588</v>
      </c>
      <c r="O34" s="1">
        <f>[1]Results!R1394</f>
        <v>-5.1955732762065665E-3</v>
      </c>
      <c r="P34" s="1">
        <f>[1]Results!S1394</f>
        <v>0.17677777417224316</v>
      </c>
      <c r="Q34" s="1">
        <f>[1]Results!T1394</f>
        <v>0.13185846280310276</v>
      </c>
      <c r="R34" s="1">
        <f>[1]Results!U1394</f>
        <v>-5.9111253630717009E-2</v>
      </c>
      <c r="S34" s="1">
        <f>[1]Results!V1394</f>
        <v>-0.30140860149485693</v>
      </c>
      <c r="T34" s="1">
        <f>[1]Results!W1394</f>
        <v>-0.51892171948684229</v>
      </c>
      <c r="U34" s="1">
        <f>[1]Results!X1394</f>
        <v>-0.67190061562238945</v>
      </c>
      <c r="V34" s="1">
        <f>[1]Results!Y1394</f>
        <v>-0.75664517908893281</v>
      </c>
      <c r="W34" s="1">
        <f>[1]Results!Z1394</f>
        <v>-0.79200839587343363</v>
      </c>
      <c r="X34" s="1">
        <f>[1]Results!AA1394</f>
        <v>-0.80343171075034636</v>
      </c>
      <c r="Y34" s="1">
        <f>[1]Results!AB1394</f>
        <v>-0.81070250079484651</v>
      </c>
      <c r="Z34" s="1">
        <f>[1]Results!AC1394</f>
        <v>-0.82118318509394328</v>
      </c>
      <c r="AA34" s="1">
        <f>[1]Results!AD1394</f>
        <v>-0.83283963174449749</v>
      </c>
      <c r="AB34" s="1">
        <f>[1]Results!AE1394</f>
        <v>-0.84062202316474988</v>
      </c>
      <c r="AC34" s="1">
        <f>[1]Results!AF1394</f>
        <v>-0.83292312449514405</v>
      </c>
      <c r="AD34" s="1">
        <f>[1]Results!AG1394</f>
        <v>-0.8144462449503731</v>
      </c>
      <c r="AE34" s="1">
        <f>[1]Results!AH1394</f>
        <v>-0.78836182350532358</v>
      </c>
      <c r="AF34" s="1">
        <f>[1]Results!AI1394</f>
        <v>-0.76017195271396165</v>
      </c>
      <c r="AG34" s="1">
        <f>[1]Results!AJ1394</f>
        <v>-0.7350242091706205</v>
      </c>
      <c r="AH34" s="1">
        <f>[1]Results!AK1394</f>
        <v>-0.71604544426882022</v>
      </c>
      <c r="AI34" s="1">
        <f>[1]Results!AL1394</f>
        <v>-0.70376287497064816</v>
      </c>
      <c r="AJ34" s="1">
        <f>[1]Results!AM1394</f>
        <v>-0.69657151303961218</v>
      </c>
      <c r="AK34" s="1">
        <f>[1]Results!AN1394</f>
        <v>-0.69184421557715314</v>
      </c>
      <c r="AL34" s="1">
        <f>[1]Results!AO1394</f>
        <v>-0.68712559697168274</v>
      </c>
    </row>
    <row r="35" spans="1:38" x14ac:dyDescent="0.3">
      <c r="A35" s="3" t="str">
        <f>[1]Results!E1395</f>
        <v>100*(PY_2/PY_0-1)</v>
      </c>
      <c r="B35" t="str">
        <f>[1]Results!C1395</f>
        <v>Prix à la production marchande</v>
      </c>
      <c r="C35" s="1">
        <f>[1]Results!F1395</f>
        <v>0</v>
      </c>
      <c r="D35" s="1">
        <f>[1]Results!G1395</f>
        <v>0</v>
      </c>
      <c r="E35" s="1">
        <f>[1]Results!H1395</f>
        <v>0</v>
      </c>
      <c r="F35" s="1">
        <f>[1]Results!I1395</f>
        <v>0</v>
      </c>
      <c r="G35" s="1">
        <f>[1]Results!J1395</f>
        <v>0</v>
      </c>
      <c r="H35" s="1">
        <f>[1]Results!K1395</f>
        <v>0</v>
      </c>
      <c r="I35" s="1">
        <f>[1]Results!L1395</f>
        <v>2.8135405663115343</v>
      </c>
      <c r="J35" s="1">
        <f>[1]Results!M1395</f>
        <v>4.3847688020847597</v>
      </c>
      <c r="K35" s="1">
        <f>[1]Results!N1395</f>
        <v>5.3470489027986234</v>
      </c>
      <c r="L35" s="1">
        <f>[1]Results!O1395</f>
        <v>5.6082090205939794</v>
      </c>
      <c r="M35" s="1">
        <f>[1]Results!P1395</f>
        <v>5.3030366153619335</v>
      </c>
      <c r="N35" s="1">
        <f>[1]Results!Q1395</f>
        <v>4.6878249399164185</v>
      </c>
      <c r="O35" s="1">
        <f>[1]Results!R1395</f>
        <v>3.9959613522272841</v>
      </c>
      <c r="P35" s="1">
        <f>[1]Results!S1395</f>
        <v>3.4130092061388728</v>
      </c>
      <c r="Q35" s="1">
        <f>[1]Results!T1395</f>
        <v>3.0304277021332426</v>
      </c>
      <c r="R35" s="1">
        <f>[1]Results!U1395</f>
        <v>2.8467366754789669</v>
      </c>
      <c r="S35" s="1">
        <f>[1]Results!V1395</f>
        <v>2.798358678722801</v>
      </c>
      <c r="T35" s="1">
        <f>[1]Results!W1395</f>
        <v>2.8038995831107139</v>
      </c>
      <c r="U35" s="1">
        <f>[1]Results!X1395</f>
        <v>2.8008924522962886</v>
      </c>
      <c r="V35" s="1">
        <f>[1]Results!Y1395</f>
        <v>2.7622984970516962</v>
      </c>
      <c r="W35" s="1">
        <f>[1]Results!Z1395</f>
        <v>2.6929861200920779</v>
      </c>
      <c r="X35" s="1">
        <f>[1]Results!AA1395</f>
        <v>2.6141058588154742</v>
      </c>
      <c r="Y35" s="1">
        <f>[1]Results!AB1395</f>
        <v>2.5496872640579982</v>
      </c>
      <c r="Z35" s="1">
        <f>[1]Results!AC1395</f>
        <v>2.5120669305957355</v>
      </c>
      <c r="AA35" s="1">
        <f>[1]Results!AD1395</f>
        <v>2.5003789418737599</v>
      </c>
      <c r="AB35" s="1">
        <f>[1]Results!AE1395</f>
        <v>2.5066037832013333</v>
      </c>
      <c r="AC35" s="1">
        <f>[1]Results!AF1395</f>
        <v>2.5100554097054584</v>
      </c>
      <c r="AD35" s="1">
        <f>[1]Results!AG1395</f>
        <v>2.5057500790976794</v>
      </c>
      <c r="AE35" s="1">
        <f>[1]Results!AH1395</f>
        <v>2.4912546539897162</v>
      </c>
      <c r="AF35" s="1">
        <f>[1]Results!AI1395</f>
        <v>2.4689810758600661</v>
      </c>
      <c r="AG35" s="1">
        <f>[1]Results!AJ1395</f>
        <v>2.4439655912643854</v>
      </c>
      <c r="AH35" s="1">
        <f>[1]Results!AK1395</f>
        <v>2.4211820343145396</v>
      </c>
      <c r="AI35" s="1">
        <f>[1]Results!AL1395</f>
        <v>2.403572999435033</v>
      </c>
      <c r="AJ35" s="1">
        <f>[1]Results!AM1395</f>
        <v>2.3913656283565121</v>
      </c>
      <c r="AK35" s="1">
        <f>[1]Results!AN1395</f>
        <v>2.3826219496538181</v>
      </c>
      <c r="AL35" s="1">
        <f>[1]Results!AO1395</f>
        <v>2.3744876593216002</v>
      </c>
    </row>
    <row r="36" spans="1:38" x14ac:dyDescent="0.3">
      <c r="A36" s="3" t="str">
        <f>[1]Results!E1396</f>
        <v>100*(PX_2/PX_0-1)</v>
      </c>
      <c r="B36" t="str">
        <f>[1]Results!C1396</f>
        <v>Prix des exportations</v>
      </c>
      <c r="C36" s="1">
        <f>[1]Results!F1396</f>
        <v>0</v>
      </c>
      <c r="D36" s="1">
        <f>[1]Results!G1396</f>
        <v>0</v>
      </c>
      <c r="E36" s="1">
        <f>[1]Results!H1396</f>
        <v>0</v>
      </c>
      <c r="F36" s="1">
        <f>[1]Results!I1396</f>
        <v>0</v>
      </c>
      <c r="G36" s="1">
        <f>[1]Results!J1396</f>
        <v>0</v>
      </c>
      <c r="H36" s="1">
        <f>[1]Results!K1396</f>
        <v>0</v>
      </c>
      <c r="I36" s="1">
        <f>[1]Results!L1396</f>
        <v>2.5115460420980451</v>
      </c>
      <c r="J36" s="1">
        <f>[1]Results!M1396</f>
        <v>3.9090356632100365</v>
      </c>
      <c r="K36" s="1">
        <f>[1]Results!N1396</f>
        <v>4.8507941616717343</v>
      </c>
      <c r="L36" s="1">
        <f>[1]Results!O1396</f>
        <v>5.1680280193544093</v>
      </c>
      <c r="M36" s="1">
        <f>[1]Results!P1396</f>
        <v>4.9615281559853841</v>
      </c>
      <c r="N36" s="1">
        <f>[1]Results!Q1396</f>
        <v>4.4454192200523712</v>
      </c>
      <c r="O36" s="1">
        <f>[1]Results!R1396</f>
        <v>3.8344920421336193</v>
      </c>
      <c r="P36" s="1">
        <f>[1]Results!S1396</f>
        <v>3.2987952901277096</v>
      </c>
      <c r="Q36" s="1">
        <f>[1]Results!T1396</f>
        <v>2.9287356835107969</v>
      </c>
      <c r="R36" s="1">
        <f>[1]Results!U1396</f>
        <v>2.733732264027533</v>
      </c>
      <c r="S36" s="1">
        <f>[1]Results!V1396</f>
        <v>2.6667586898701634</v>
      </c>
      <c r="T36" s="1">
        <f>[1]Results!W1396</f>
        <v>2.6612240015846167</v>
      </c>
      <c r="U36" s="1">
        <f>[1]Results!X1396</f>
        <v>2.6627121591731751</v>
      </c>
      <c r="V36" s="1">
        <f>[1]Results!Y1396</f>
        <v>2.6445405562839586</v>
      </c>
      <c r="W36" s="1">
        <f>[1]Results!Z1396</f>
        <v>2.606199210276694</v>
      </c>
      <c r="X36" s="1">
        <f>[1]Results!AA1396</f>
        <v>2.5626714015856145</v>
      </c>
      <c r="Y36" s="1">
        <f>[1]Results!AB1396</f>
        <v>2.5310950444761726</v>
      </c>
      <c r="Z36" s="1">
        <f>[1]Results!AC1396</f>
        <v>2.5204179678890437</v>
      </c>
      <c r="AA36" s="1">
        <f>[1]Results!AD1396</f>
        <v>2.5292089709949117</v>
      </c>
      <c r="AB36" s="1">
        <f>[1]Results!AE1396</f>
        <v>2.5492586322873656</v>
      </c>
      <c r="AC36" s="1">
        <f>[1]Results!AF1396</f>
        <v>2.565562284945333</v>
      </c>
      <c r="AD36" s="1">
        <f>[1]Results!AG1396</f>
        <v>2.572220269016201</v>
      </c>
      <c r="AE36" s="1">
        <f>[1]Results!AH1396</f>
        <v>2.5671773819960331</v>
      </c>
      <c r="AF36" s="1">
        <f>[1]Results!AI1396</f>
        <v>2.5528240179451211</v>
      </c>
      <c r="AG36" s="1">
        <f>[1]Results!AJ1396</f>
        <v>2.5339803729786059</v>
      </c>
      <c r="AH36" s="1">
        <f>[1]Results!AK1396</f>
        <v>2.515550129781996</v>
      </c>
      <c r="AI36" s="1">
        <f>[1]Results!AL1396</f>
        <v>2.5007554666280019</v>
      </c>
      <c r="AJ36" s="1">
        <f>[1]Results!AM1396</f>
        <v>2.4904488880861164</v>
      </c>
      <c r="AK36" s="1">
        <f>[1]Results!AN1396</f>
        <v>2.4834850036651979</v>
      </c>
      <c r="AL36" s="1">
        <f>[1]Results!AO1396</f>
        <v>2.4777269898875076</v>
      </c>
    </row>
    <row r="37" spans="1:38" x14ac:dyDescent="0.3">
      <c r="A37" s="3" t="str">
        <f>[1]Results!E1397</f>
        <v>100*(PM_2/PM_0-1)</v>
      </c>
      <c r="B37" t="str">
        <f>[1]Results!C1397</f>
        <v>Prix des importations</v>
      </c>
      <c r="C37" s="1">
        <f>[1]Results!F1397</f>
        <v>0</v>
      </c>
      <c r="D37" s="1">
        <f>[1]Results!G1397</f>
        <v>0</v>
      </c>
      <c r="E37" s="1">
        <f>[1]Results!H1397</f>
        <v>0</v>
      </c>
      <c r="F37" s="1">
        <f>[1]Results!I1397</f>
        <v>0</v>
      </c>
      <c r="G37" s="1">
        <f>[1]Results!J1397</f>
        <v>0</v>
      </c>
      <c r="H37" s="1">
        <f>[1]Results!K1397</f>
        <v>0</v>
      </c>
      <c r="I37" s="1">
        <f>[1]Results!L1397</f>
        <v>2.1947461214787634</v>
      </c>
      <c r="J37" s="1">
        <f>[1]Results!M1397</f>
        <v>0.87934338652682076</v>
      </c>
      <c r="K37" s="1">
        <f>[1]Results!N1397</f>
        <v>0.96816385207674216</v>
      </c>
      <c r="L37" s="1">
        <f>[1]Results!O1397</f>
        <v>1.1126982067624747</v>
      </c>
      <c r="M37" s="1">
        <f>[1]Results!P1397</f>
        <v>1.2334907070323142</v>
      </c>
      <c r="N37" s="1">
        <f>[1]Results!Q1397</f>
        <v>1.3107447913428105</v>
      </c>
      <c r="O37" s="1">
        <f>[1]Results!R1397</f>
        <v>1.3333493647589956</v>
      </c>
      <c r="P37" s="1">
        <f>[1]Results!S1397</f>
        <v>1.3119783390630246</v>
      </c>
      <c r="Q37" s="1">
        <f>[1]Results!T1397</f>
        <v>1.2608309707930587</v>
      </c>
      <c r="R37" s="1">
        <f>[1]Results!U1397</f>
        <v>1.1956107910170877</v>
      </c>
      <c r="S37" s="1">
        <f>[1]Results!V1397</f>
        <v>1.1298276234056104</v>
      </c>
      <c r="T37" s="1">
        <f>[1]Results!W1397</f>
        <v>1.0726760544839342</v>
      </c>
      <c r="U37" s="1">
        <f>[1]Results!X1397</f>
        <v>1.0284715518359855</v>
      </c>
      <c r="V37" s="1">
        <f>[1]Results!Y1397</f>
        <v>0.99747669870269284</v>
      </c>
      <c r="W37" s="1">
        <f>[1]Results!Z1397</f>
        <v>0.97772235341313518</v>
      </c>
      <c r="X37" s="1">
        <f>[1]Results!AA1397</f>
        <v>0.9646270855783623</v>
      </c>
      <c r="Y37" s="1">
        <f>[1]Results!AB1397</f>
        <v>0.95728668723069621</v>
      </c>
      <c r="Z37" s="1">
        <f>[1]Results!AC1397</f>
        <v>0.95222239133367914</v>
      </c>
      <c r="AA37" s="1">
        <f>[1]Results!AD1397</f>
        <v>0.94789807230006851</v>
      </c>
      <c r="AB37" s="1">
        <f>[1]Results!AE1397</f>
        <v>0.94414266676854375</v>
      </c>
      <c r="AC37" s="1">
        <f>[1]Results!AF1397</f>
        <v>0.93678284106009091</v>
      </c>
      <c r="AD37" s="1">
        <f>[1]Results!AG1397</f>
        <v>0.92994378778448183</v>
      </c>
      <c r="AE37" s="1">
        <f>[1]Results!AH1397</f>
        <v>0.92152818106034928</v>
      </c>
      <c r="AF37" s="1">
        <f>[1]Results!AI1397</f>
        <v>0.91147198684657926</v>
      </c>
      <c r="AG37" s="1">
        <f>[1]Results!AJ1397</f>
        <v>0.90001272792767928</v>
      </c>
      <c r="AH37" s="1">
        <f>[1]Results!AK1397</f>
        <v>0.88758560433661593</v>
      </c>
      <c r="AI37" s="1">
        <f>[1]Results!AL1397</f>
        <v>0.87471262921043902</v>
      </c>
      <c r="AJ37" s="1">
        <f>[1]Results!AM1397</f>
        <v>0.86189305403787664</v>
      </c>
      <c r="AK37" s="1">
        <f>[1]Results!AN1397</f>
        <v>0.84951880030716964</v>
      </c>
      <c r="AL37" s="1">
        <f>[1]Results!AO1397</f>
        <v>0.83782875555602487</v>
      </c>
    </row>
    <row r="38" spans="1:38" x14ac:dyDescent="0.3">
      <c r="A38" s="3" t="str">
        <f>[1]Results!E1398</f>
        <v>100*(W_2/W_0-1)</v>
      </c>
      <c r="B38" t="str">
        <f>[1]Results!C1398</f>
        <v>Salaire net nominal (hors cotisations employeurs et employés, unitaire)</v>
      </c>
      <c r="C38" s="1">
        <f>[1]Results!F1398</f>
        <v>0</v>
      </c>
      <c r="D38" s="1">
        <f>[1]Results!G1398</f>
        <v>0</v>
      </c>
      <c r="E38" s="1">
        <f>[1]Results!H1398</f>
        <v>0</v>
      </c>
      <c r="F38" s="1">
        <f>[1]Results!I1398</f>
        <v>0</v>
      </c>
      <c r="G38" s="1">
        <f>[1]Results!J1398</f>
        <v>0</v>
      </c>
      <c r="H38" s="1">
        <f>[1]Results!K1398</f>
        <v>0</v>
      </c>
      <c r="I38" s="1">
        <f>[1]Results!L1398</f>
        <v>-0.10482417873018957</v>
      </c>
      <c r="J38" s="1">
        <f>[1]Results!M1398</f>
        <v>0.76405004809430022</v>
      </c>
      <c r="K38" s="1">
        <f>[1]Results!N1398</f>
        <v>1.8722272622789582</v>
      </c>
      <c r="L38" s="1">
        <f>[1]Results!O1398</f>
        <v>3.0184397978258781</v>
      </c>
      <c r="M38" s="1">
        <f>[1]Results!P1398</f>
        <v>3.9820238855539092</v>
      </c>
      <c r="N38" s="1">
        <f>[1]Results!Q1398</f>
        <v>4.6114773288916666</v>
      </c>
      <c r="O38" s="1">
        <f>[1]Results!R1398</f>
        <v>4.8664574111820791</v>
      </c>
      <c r="P38" s="1">
        <f>[1]Results!S1398</f>
        <v>4.7958481605901992</v>
      </c>
      <c r="Q38" s="1">
        <f>[1]Results!T1398</f>
        <v>4.5056157946903763</v>
      </c>
      <c r="R38" s="1">
        <f>[1]Results!U1398</f>
        <v>4.1150575807918699</v>
      </c>
      <c r="S38" s="1">
        <f>[1]Results!V1398</f>
        <v>3.7213650721781288</v>
      </c>
      <c r="T38" s="1">
        <f>[1]Results!W1398</f>
        <v>3.3818583373002475</v>
      </c>
      <c r="U38" s="1">
        <f>[1]Results!X1398</f>
        <v>3.1146231088022835</v>
      </c>
      <c r="V38" s="1">
        <f>[1]Results!Y1398</f>
        <v>2.9113521474787962</v>
      </c>
      <c r="W38" s="1">
        <f>[1]Results!Z1398</f>
        <v>2.753386339135222</v>
      </c>
      <c r="X38" s="1">
        <f>[1]Results!AA1398</f>
        <v>2.6243694382727556</v>
      </c>
      <c r="Y38" s="1">
        <f>[1]Results!AB1398</f>
        <v>2.5157554116369774</v>
      </c>
      <c r="Z38" s="1">
        <f>[1]Results!AC1398</f>
        <v>2.4265405432754017</v>
      </c>
      <c r="AA38" s="1">
        <f>[1]Results!AD1398</f>
        <v>2.3589875387298287</v>
      </c>
      <c r="AB38" s="1">
        <f>[1]Results!AE1398</f>
        <v>2.3140571956415945</v>
      </c>
      <c r="AC38" s="1">
        <f>[1]Results!AF1398</f>
        <v>2.2904539148682623</v>
      </c>
      <c r="AD38" s="1">
        <f>[1]Results!AG1398</f>
        <v>2.2809974941993882</v>
      </c>
      <c r="AE38" s="1">
        <f>[1]Results!AH1398</f>
        <v>2.2784371924966962</v>
      </c>
      <c r="AF38" s="1">
        <f>[1]Results!AI1398</f>
        <v>2.2764593017708057</v>
      </c>
      <c r="AG38" s="1">
        <f>[1]Results!AJ1398</f>
        <v>2.2711034528207108</v>
      </c>
      <c r="AH38" s="1">
        <f>[1]Results!AK1398</f>
        <v>2.2611478032579013</v>
      </c>
      <c r="AI38" s="1">
        <f>[1]Results!AL1398</f>
        <v>2.2475264783464066</v>
      </c>
      <c r="AJ38" s="1">
        <f>[1]Results!AM1398</f>
        <v>2.232211309114196</v>
      </c>
      <c r="AK38" s="1">
        <f>[1]Results!AN1398</f>
        <v>2.2170816129785109</v>
      </c>
      <c r="AL38" s="1">
        <f>[1]Results!AO1398</f>
        <v>2.2031844592070637</v>
      </c>
    </row>
    <row r="39" spans="1:38" x14ac:dyDescent="0.3">
      <c r="A39" s="3" t="str">
        <f>[1]Results!E1399</f>
        <v>100*((W_2/PCH_2)/(W_0/PCH_0)-1)</v>
      </c>
      <c r="B39" t="str">
        <f>[1]Results!C1399</f>
        <v>Salaire net réel (hors cotisations employeurs et employés, unitaire)</v>
      </c>
      <c r="C39" s="1">
        <f>[1]Results!F1399</f>
        <v>0</v>
      </c>
      <c r="D39" s="1">
        <f>[1]Results!G1399</f>
        <v>0</v>
      </c>
      <c r="E39" s="1">
        <f>[1]Results!H1399</f>
        <v>0</v>
      </c>
      <c r="F39" s="1">
        <f>[1]Results!I1399</f>
        <v>0</v>
      </c>
      <c r="G39" s="1">
        <f>[1]Results!J1399</f>
        <v>0</v>
      </c>
      <c r="H39" s="1">
        <f>[1]Results!K1399</f>
        <v>0</v>
      </c>
      <c r="I39" s="1">
        <f>[1]Results!L1399</f>
        <v>-3.57554964496688</v>
      </c>
      <c r="J39" s="1">
        <f>[1]Results!M1399</f>
        <v>-3.664228983013551</v>
      </c>
      <c r="K39" s="1">
        <f>[1]Results!N1399</f>
        <v>-3.5166719616918751</v>
      </c>
      <c r="L39" s="1">
        <f>[1]Results!O1399</f>
        <v>-2.7348752234194307</v>
      </c>
      <c r="M39" s="1">
        <f>[1]Results!P1399</f>
        <v>-1.6160628635508156</v>
      </c>
      <c r="N39" s="1">
        <f>[1]Results!Q1399</f>
        <v>-0.51181566726256067</v>
      </c>
      <c r="O39" s="1">
        <f>[1]Results!R1399</f>
        <v>0.3422355464634208</v>
      </c>
      <c r="P39" s="1">
        <f>[1]Results!S1399</f>
        <v>0.81417941651911185</v>
      </c>
      <c r="Q39" s="1">
        <f>[1]Results!T1399</f>
        <v>0.90964720640092089</v>
      </c>
      <c r="R39" s="1">
        <f>[1]Results!U1399</f>
        <v>0.73465581991791762</v>
      </c>
      <c r="S39" s="1">
        <f>[1]Results!V1399</f>
        <v>0.43419799141175552</v>
      </c>
      <c r="T39" s="1">
        <f>[1]Results!W1399</f>
        <v>0.13283560588854826</v>
      </c>
      <c r="U39" s="1">
        <f>[1]Results!X1399</f>
        <v>-9.869150989815223E-2</v>
      </c>
      <c r="V39" s="1">
        <f>[1]Results!Y1399</f>
        <v>-0.24534668803526394</v>
      </c>
      <c r="W39" s="1">
        <f>[1]Results!Z1399</f>
        <v>-0.32808939122147551</v>
      </c>
      <c r="X39" s="1">
        <f>[1]Results!AA1399</f>
        <v>-0.38093430317061028</v>
      </c>
      <c r="Y39" s="1">
        <f>[1]Results!AB1399</f>
        <v>-0.4305031347627164</v>
      </c>
      <c r="Z39" s="1">
        <f>[1]Results!AC1399</f>
        <v>-0.48598985313952348</v>
      </c>
      <c r="AA39" s="1">
        <f>[1]Results!AD1399</f>
        <v>-0.54263823520602772</v>
      </c>
      <c r="AB39" s="1">
        <f>[1]Results!AE1399</f>
        <v>-0.59063422790299747</v>
      </c>
      <c r="AC39" s="1">
        <f>[1]Results!AF1399</f>
        <v>-0.61243397832366764</v>
      </c>
      <c r="AD39" s="1">
        <f>[1]Results!AG1399</f>
        <v>-0.61278994506227535</v>
      </c>
      <c r="AE39" s="1">
        <f>[1]Results!AH1399</f>
        <v>-0.59612256113174</v>
      </c>
      <c r="AF39" s="1">
        <f>[1]Results!AI1399</f>
        <v>-0.57112203416486151</v>
      </c>
      <c r="AG39" s="1">
        <f>[1]Results!AJ1399</f>
        <v>-0.54650063943119109</v>
      </c>
      <c r="AH39" s="1">
        <f>[1]Results!AK1399</f>
        <v>-0.52813697757633227</v>
      </c>
      <c r="AI39" s="1">
        <f>[1]Results!AL1399</f>
        <v>-0.51788952496791829</v>
      </c>
      <c r="AJ39" s="1">
        <f>[1]Results!AM1399</f>
        <v>-0.5141142907709062</v>
      </c>
      <c r="AK39" s="1">
        <f>[1]Results!AN1399</f>
        <v>-0.51330089951457936</v>
      </c>
      <c r="AL39" s="1">
        <f>[1]Results!AO1399</f>
        <v>-0.5119383139046918</v>
      </c>
    </row>
    <row r="40" spans="1:38" x14ac:dyDescent="0.3">
      <c r="A40" s="3" t="str">
        <f>[1]Results!E1400</f>
        <v>100*(C_L_2/C_L_0-1)</v>
      </c>
      <c r="B40" t="str">
        <f>[1]Results!C1400</f>
        <v>Coût du travail nominal (yc. Cotisations employeurs et employés, unitaire)</v>
      </c>
      <c r="C40" s="1">
        <f>[1]Results!F1400</f>
        <v>0</v>
      </c>
      <c r="D40" s="1">
        <f>[1]Results!G1400</f>
        <v>0</v>
      </c>
      <c r="E40" s="1">
        <f>[1]Results!H1400</f>
        <v>0</v>
      </c>
      <c r="F40" s="1">
        <f>[1]Results!I1400</f>
        <v>0</v>
      </c>
      <c r="G40" s="1">
        <f>[1]Results!J1400</f>
        <v>0</v>
      </c>
      <c r="H40" s="1">
        <f>[1]Results!K1400</f>
        <v>0</v>
      </c>
      <c r="I40" s="1">
        <f>[1]Results!L1400</f>
        <v>-0.10487184724100596</v>
      </c>
      <c r="J40" s="1">
        <f>[1]Results!M1400</f>
        <v>0.76397163836381399</v>
      </c>
      <c r="K40" s="1">
        <f>[1]Results!N1400</f>
        <v>1.872137191929002</v>
      </c>
      <c r="L40" s="1">
        <f>[1]Results!O1400</f>
        <v>3.0183565940491874</v>
      </c>
      <c r="M40" s="1">
        <f>[1]Results!P1400</f>
        <v>3.9819613503091933</v>
      </c>
      <c r="N40" s="1">
        <f>[1]Results!Q1400</f>
        <v>4.6114414845198404</v>
      </c>
      <c r="O40" s="1">
        <f>[1]Results!R1400</f>
        <v>4.8664471567309464</v>
      </c>
      <c r="P40" s="1">
        <f>[1]Results!S1400</f>
        <v>4.7958576734774994</v>
      </c>
      <c r="Q40" s="1">
        <f>[1]Results!T1400</f>
        <v>4.5056376661879893</v>
      </c>
      <c r="R40" s="1">
        <f>[1]Results!U1400</f>
        <v>4.1150854402309367</v>
      </c>
      <c r="S40" s="1">
        <f>[1]Results!V1400</f>
        <v>3.7213949987794148</v>
      </c>
      <c r="T40" s="1">
        <f>[1]Results!W1400</f>
        <v>3.3818889263427021</v>
      </c>
      <c r="U40" s="1">
        <f>[1]Results!X1400</f>
        <v>3.1146546518076024</v>
      </c>
      <c r="V40" s="1">
        <f>[1]Results!Y1400</f>
        <v>2.911385508062847</v>
      </c>
      <c r="W40" s="1">
        <f>[1]Results!Z1400</f>
        <v>2.7534221265029579</v>
      </c>
      <c r="X40" s="1">
        <f>[1]Results!AA1400</f>
        <v>2.6244075074133955</v>
      </c>
      <c r="Y40" s="1">
        <f>[1]Results!AB1400</f>
        <v>2.5157948226065763</v>
      </c>
      <c r="Z40" s="1">
        <f>[1]Results!AC1400</f>
        <v>2.4265802331447706</v>
      </c>
      <c r="AA40" s="1">
        <f>[1]Results!AD1400</f>
        <v>2.3590266179379649</v>
      </c>
      <c r="AB40" s="1">
        <f>[1]Results!AE1400</f>
        <v>2.3140950758753887</v>
      </c>
      <c r="AC40" s="1">
        <f>[1]Results!AF1400</f>
        <v>2.2904904243814084</v>
      </c>
      <c r="AD40" s="1">
        <f>[1]Results!AG1400</f>
        <v>2.2810329059475443</v>
      </c>
      <c r="AE40" s="1">
        <f>[1]Results!AH1400</f>
        <v>2.2784718354110334</v>
      </c>
      <c r="AF40" s="1">
        <f>[1]Results!AI1400</f>
        <v>2.2764935439887557</v>
      </c>
      <c r="AG40" s="1">
        <f>[1]Results!AJ1400</f>
        <v>2.2711375768160735</v>
      </c>
      <c r="AH40" s="1">
        <f>[1]Results!AK1400</f>
        <v>2.2611816123198514</v>
      </c>
      <c r="AI40" s="1">
        <f>[1]Results!AL1400</f>
        <v>2.2475600595405432</v>
      </c>
      <c r="AJ40" s="1">
        <f>[1]Results!AM1400</f>
        <v>2.2322446802210294</v>
      </c>
      <c r="AK40" s="1">
        <f>[1]Results!AN1400</f>
        <v>2.217114632995365</v>
      </c>
      <c r="AL40" s="1">
        <f>[1]Results!AO1400</f>
        <v>2.2032172948121209</v>
      </c>
    </row>
    <row r="41" spans="1:38" x14ac:dyDescent="0.3">
      <c r="A41" s="3" t="str">
        <f>[1]Results!E1401</f>
        <v>100*((C_L_2/PVA_2)/(C_L_0/PVA_0)-1)</v>
      </c>
      <c r="B41" t="str">
        <f>[1]Results!C1401</f>
        <v>Coût réel du travail (yc. Cotisations employeurs et employés, unitaire)</v>
      </c>
      <c r="C41" s="1">
        <f>[1]Results!F1401</f>
        <v>0</v>
      </c>
      <c r="D41" s="1">
        <f>[1]Results!G1401</f>
        <v>0</v>
      </c>
      <c r="E41" s="1">
        <f>[1]Results!H1401</f>
        <v>0</v>
      </c>
      <c r="F41" s="1">
        <f>[1]Results!I1401</f>
        <v>0</v>
      </c>
      <c r="G41" s="1">
        <f>[1]Results!J1401</f>
        <v>0</v>
      </c>
      <c r="H41" s="1">
        <f>[1]Results!K1401</f>
        <v>0</v>
      </c>
      <c r="I41" s="1">
        <f>[1]Results!L1401</f>
        <v>-2.9681331036258474</v>
      </c>
      <c r="J41" s="1">
        <f>[1]Results!M1401</f>
        <v>-3.9807554155065317</v>
      </c>
      <c r="K41" s="1">
        <f>[1]Results!N1401</f>
        <v>-3.9833757562150462</v>
      </c>
      <c r="L41" s="1">
        <f>[1]Results!O1401</f>
        <v>-3.2336600320355235</v>
      </c>
      <c r="M41" s="1">
        <f>[1]Results!P1401</f>
        <v>-2.0691602699703715</v>
      </c>
      <c r="N41" s="1">
        <f>[1]Results!Q1401</f>
        <v>-0.87170444289493831</v>
      </c>
      <c r="O41" s="1">
        <f>[1]Results!R1401</f>
        <v>8.426824233838115E-2</v>
      </c>
      <c r="P41" s="1">
        <f>[1]Results!S1401</f>
        <v>0.63967733389971304</v>
      </c>
      <c r="Q41" s="1">
        <f>[1]Results!T1401</f>
        <v>0.78420881417249344</v>
      </c>
      <c r="R41" s="1">
        <f>[1]Results!U1401</f>
        <v>0.62412043381867566</v>
      </c>
      <c r="S41" s="1">
        <f>[1]Results!V1401</f>
        <v>0.31699272642515819</v>
      </c>
      <c r="T41" s="1">
        <f>[1]Results!W1401</f>
        <v>3.7590631749351289E-3</v>
      </c>
      <c r="U41" s="1">
        <f>[1]Results!X1401</f>
        <v>-0.23242827201545024</v>
      </c>
      <c r="V41" s="1">
        <f>[1]Results!Y1401</f>
        <v>-0.37157043165615411</v>
      </c>
      <c r="W41" s="1">
        <f>[1]Results!Z1401</f>
        <v>-0.43651142251732722</v>
      </c>
      <c r="X41" s="1">
        <f>[1]Results!AA1401</f>
        <v>-0.46710095004164343</v>
      </c>
      <c r="Y41" s="1">
        <f>[1]Results!AB1401</f>
        <v>-0.49625686569341187</v>
      </c>
      <c r="Z41" s="1">
        <f>[1]Results!AC1401</f>
        <v>-0.53770033012221496</v>
      </c>
      <c r="AA41" s="1">
        <f>[1]Results!AD1401</f>
        <v>-0.58793006576254303</v>
      </c>
      <c r="AB41" s="1">
        <f>[1]Results!AE1401</f>
        <v>-0.63545763503680686</v>
      </c>
      <c r="AC41" s="1">
        <f>[1]Results!AF1401</f>
        <v>-0.6616993651858305</v>
      </c>
      <c r="AD41" s="1">
        <f>[1]Results!AG1401</f>
        <v>-0.66721549404222813</v>
      </c>
      <c r="AE41" s="1">
        <f>[1]Results!AH1401</f>
        <v>-0.65573117339169373</v>
      </c>
      <c r="AF41" s="1">
        <f>[1]Results!AI1401</f>
        <v>-0.63551913226813639</v>
      </c>
      <c r="AG41" s="1">
        <f>[1]Results!AJ1401</f>
        <v>-0.61551411683020696</v>
      </c>
      <c r="AH41" s="1">
        <f>[1]Results!AK1401</f>
        <v>-0.60206159945369597</v>
      </c>
      <c r="AI41" s="1">
        <f>[1]Results!AL1401</f>
        <v>-0.59736322288906907</v>
      </c>
      <c r="AJ41" s="1">
        <f>[1]Results!AM1401</f>
        <v>-0.59979071231603953</v>
      </c>
      <c r="AK41" s="1">
        <f>[1]Results!AN1401</f>
        <v>-0.60552202804927679</v>
      </c>
      <c r="AL41" s="1">
        <f>[1]Results!AO1401</f>
        <v>-0.61055791959448991</v>
      </c>
    </row>
    <row r="42" spans="1:38" x14ac:dyDescent="0.3">
      <c r="A42" s="3" t="str">
        <f>[1]Results!E1402</f>
        <v>((F_L_2/F_L_0)-1)*100</v>
      </c>
      <c r="B42" t="str">
        <f>[1]Results!C1402</f>
        <v>Emploi en %</v>
      </c>
      <c r="C42" s="1">
        <f>[1]Results!F1402</f>
        <v>0</v>
      </c>
      <c r="D42" s="1">
        <f>[1]Results!G1402</f>
        <v>0</v>
      </c>
      <c r="E42" s="1">
        <f>[1]Results!H1402</f>
        <v>0</v>
      </c>
      <c r="F42" s="1">
        <f>[1]Results!I1402</f>
        <v>0</v>
      </c>
      <c r="G42" s="1">
        <f>[1]Results!J1402</f>
        <v>0</v>
      </c>
      <c r="H42" s="1">
        <f>[1]Results!K1402</f>
        <v>0</v>
      </c>
      <c r="I42" s="1">
        <f>[1]Results!L1402</f>
        <v>-0.16867980564903018</v>
      </c>
      <c r="J42" s="1">
        <f>[1]Results!M1402</f>
        <v>-0.55284248206058928</v>
      </c>
      <c r="K42" s="1">
        <f>[1]Results!N1402</f>
        <v>-0.99796392740307827</v>
      </c>
      <c r="L42" s="1">
        <f>[1]Results!O1402</f>
        <v>-1.3773125100377093</v>
      </c>
      <c r="M42" s="1">
        <f>[1]Results!P1402</f>
        <v>-1.6209640735671216</v>
      </c>
      <c r="N42" s="1">
        <f>[1]Results!Q1402</f>
        <v>-1.7194571815837723</v>
      </c>
      <c r="O42" s="1">
        <f>[1]Results!R1402</f>
        <v>-1.7015948767444167</v>
      </c>
      <c r="P42" s="1">
        <f>[1]Results!S1402</f>
        <v>-1.6181744347567917</v>
      </c>
      <c r="Q42" s="1">
        <f>[1]Results!T1402</f>
        <v>-1.5204093623236825</v>
      </c>
      <c r="R42" s="1">
        <f>[1]Results!U1402</f>
        <v>-1.4444383631440627</v>
      </c>
      <c r="S42" s="1">
        <f>[1]Results!V1402</f>
        <v>-1.404980353814822</v>
      </c>
      <c r="T42" s="1">
        <f>[1]Results!W1402</f>
        <v>-1.3981011848857916</v>
      </c>
      <c r="U42" s="1">
        <f>[1]Results!X1402</f>
        <v>-1.4094661728640268</v>
      </c>
      <c r="V42" s="1">
        <f>[1]Results!Y1402</f>
        <v>-1.4233464158673881</v>
      </c>
      <c r="W42" s="1">
        <f>[1]Results!Z1402</f>
        <v>-1.4293070663457752</v>
      </c>
      <c r="X42" s="1">
        <f>[1]Results!AA1402</f>
        <v>-1.4225202670322235</v>
      </c>
      <c r="Y42" s="1">
        <f>[1]Results!AB1402</f>
        <v>-1.4053765109652283</v>
      </c>
      <c r="Z42" s="1">
        <f>[1]Results!AC1402</f>
        <v>-1.3829745772435342</v>
      </c>
      <c r="AA42" s="1">
        <f>[1]Results!AD1402</f>
        <v>-1.3601459163598562</v>
      </c>
      <c r="AB42" s="1">
        <f>[1]Results!AE1402</f>
        <v>-1.3410290564728533</v>
      </c>
      <c r="AC42" s="1">
        <f>[1]Results!AF1402</f>
        <v>-1.323414275990098</v>
      </c>
      <c r="AD42" s="1">
        <f>[1]Results!AG1402</f>
        <v>-1.3067507973434367</v>
      </c>
      <c r="AE42" s="1">
        <f>[1]Results!AH1402</f>
        <v>-1.2899756939689366</v>
      </c>
      <c r="AF42" s="1">
        <f>[1]Results!AI1402</f>
        <v>-1.2724814935886952</v>
      </c>
      <c r="AG42" s="1">
        <f>[1]Results!AJ1402</f>
        <v>-1.2544724113413341</v>
      </c>
      <c r="AH42" s="1">
        <f>[1]Results!AK1402</f>
        <v>-1.2367969496553721</v>
      </c>
      <c r="AI42" s="1">
        <f>[1]Results!AL1402</f>
        <v>-1.2204972963828498</v>
      </c>
      <c r="AJ42" s="1">
        <f>[1]Results!AM1402</f>
        <v>-1.2063496693449305</v>
      </c>
      <c r="AK42" s="1">
        <f>[1]Results!AN1402</f>
        <v>-1.1945984950375133</v>
      </c>
      <c r="AL42" s="1">
        <f>[1]Results!AO1402</f>
        <v>-1.184944261392018</v>
      </c>
    </row>
    <row r="43" spans="1:38" x14ac:dyDescent="0.3">
      <c r="A43" s="3" t="str">
        <f>[1]Results!E1403</f>
        <v>F_L_2-F_L_0</v>
      </c>
      <c r="B43" t="str">
        <f>[1]Results!C1403</f>
        <v>Emploi en millier</v>
      </c>
      <c r="C43" s="1">
        <f>[1]Results!F1403</f>
        <v>0</v>
      </c>
      <c r="D43" s="1">
        <f>[1]Results!G1403</f>
        <v>0</v>
      </c>
      <c r="E43" s="1">
        <f>[1]Results!H1403</f>
        <v>0</v>
      </c>
      <c r="F43" s="1">
        <f>[1]Results!I1403</f>
        <v>0</v>
      </c>
      <c r="G43" s="1">
        <f>[1]Results!J1403</f>
        <v>0</v>
      </c>
      <c r="H43" s="1">
        <f>[1]Results!K1403</f>
        <v>0</v>
      </c>
      <c r="I43" s="1">
        <f>[1]Results!L1403</f>
        <v>-46.534850000000006</v>
      </c>
      <c r="J43" s="1">
        <f>[1]Results!M1403</f>
        <v>-153.02683999999863</v>
      </c>
      <c r="K43" s="1">
        <f>[1]Results!N1403</f>
        <v>-277.10289000000193</v>
      </c>
      <c r="L43" s="1">
        <f>[1]Results!O1403</f>
        <v>-383.56791999999768</v>
      </c>
      <c r="M43" s="1">
        <f>[1]Results!P1403</f>
        <v>-453.02913000000262</v>
      </c>
      <c r="N43" s="1">
        <f>[1]Results!Q1403</f>
        <v>-482.26288000000204</v>
      </c>
      <c r="O43" s="1">
        <f>[1]Results!R1403</f>
        <v>-478.99601999999868</v>
      </c>
      <c r="P43" s="1">
        <f>[1]Results!S1403</f>
        <v>-457.21610000000146</v>
      </c>
      <c r="Q43" s="1">
        <f>[1]Results!T1403</f>
        <v>-431.20505000000048</v>
      </c>
      <c r="R43" s="1">
        <f>[1]Results!U1403</f>
        <v>-411.17311999999947</v>
      </c>
      <c r="S43" s="1">
        <f>[1]Results!V1403</f>
        <v>-401.37809999999808</v>
      </c>
      <c r="T43" s="1">
        <f>[1]Results!W1403</f>
        <v>-400.80254000000059</v>
      </c>
      <c r="U43" s="1">
        <f>[1]Results!X1403</f>
        <v>-405.42808999999761</v>
      </c>
      <c r="V43" s="1">
        <f>[1]Results!Y1403</f>
        <v>-410.78132999999798</v>
      </c>
      <c r="W43" s="1">
        <f>[1]Results!Z1403</f>
        <v>-413.66700000000128</v>
      </c>
      <c r="X43" s="1">
        <f>[1]Results!AA1403</f>
        <v>-412.91711999999825</v>
      </c>
      <c r="Y43" s="1">
        <f>[1]Results!AB1403</f>
        <v>-409.20796999999948</v>
      </c>
      <c r="Z43" s="1">
        <f>[1]Results!AC1403</f>
        <v>-403.98534999999902</v>
      </c>
      <c r="AA43" s="1">
        <f>[1]Results!AD1403</f>
        <v>-398.63016000000061</v>
      </c>
      <c r="AB43" s="1">
        <f>[1]Results!AE1403</f>
        <v>-393.76583000000028</v>
      </c>
      <c r="AC43" s="1">
        <f>[1]Results!AF1403</f>
        <v>-389.33745000000272</v>
      </c>
      <c r="AD43" s="1">
        <f>[1]Results!AG1403</f>
        <v>-385.17900999999983</v>
      </c>
      <c r="AE43" s="1">
        <f>[1]Results!AH1403</f>
        <v>-380.98347999999896</v>
      </c>
      <c r="AF43" s="1">
        <f>[1]Results!AI1403</f>
        <v>-376.579179999997</v>
      </c>
      <c r="AG43" s="1">
        <f>[1]Results!AJ1403</f>
        <v>-372.02505999999994</v>
      </c>
      <c r="AH43" s="1">
        <f>[1]Results!AK1403</f>
        <v>-367.56345999999758</v>
      </c>
      <c r="AI43" s="1">
        <f>[1]Results!AL1403</f>
        <v>-363.49403000000166</v>
      </c>
      <c r="AJ43" s="1">
        <f>[1]Results!AM1403</f>
        <v>-360.04302000000098</v>
      </c>
      <c r="AK43" s="1">
        <f>[1]Results!AN1403</f>
        <v>-357.28543999999965</v>
      </c>
      <c r="AL43" s="1">
        <f>[1]Results!AO1403</f>
        <v>-355.13879000000088</v>
      </c>
    </row>
    <row r="44" spans="1:38" x14ac:dyDescent="0.3">
      <c r="A44" s="3" t="str">
        <f>[1]Results!E1404</f>
        <v>100*(UnR_2-UnR_0)</v>
      </c>
      <c r="B44" t="str">
        <f>[1]Results!C1404</f>
        <v>Taux de chômage (en point)</v>
      </c>
      <c r="C44" s="1">
        <f>[1]Results!F1404</f>
        <v>0</v>
      </c>
      <c r="D44" s="1">
        <f>[1]Results!G1404</f>
        <v>0</v>
      </c>
      <c r="E44" s="1">
        <f>[1]Results!H1404</f>
        <v>0</v>
      </c>
      <c r="F44" s="1">
        <f>[1]Results!I1404</f>
        <v>0</v>
      </c>
      <c r="G44" s="1">
        <f>[1]Results!J1404</f>
        <v>0</v>
      </c>
      <c r="H44" s="1">
        <f>[1]Results!K1404</f>
        <v>0</v>
      </c>
      <c r="I44" s="1">
        <f>[1]Results!L1404</f>
        <v>0.12536192999999946</v>
      </c>
      <c r="J44" s="1">
        <f>[1]Results!M1404</f>
        <v>0.40104509999999982</v>
      </c>
      <c r="K44" s="1">
        <f>[1]Results!N1404</f>
        <v>0.70533611000000018</v>
      </c>
      <c r="L44" s="1">
        <f>[1]Results!O1404</f>
        <v>0.95006784000000044</v>
      </c>
      <c r="M44" s="1">
        <f>[1]Results!P1404</f>
        <v>1.0923531700000002</v>
      </c>
      <c r="N44" s="1">
        <f>[1]Results!Q1404</f>
        <v>1.135501139999999</v>
      </c>
      <c r="O44" s="1">
        <f>[1]Results!R1404</f>
        <v>1.103681179999999</v>
      </c>
      <c r="P44" s="1">
        <f>[1]Results!S1404</f>
        <v>1.0348372000000008</v>
      </c>
      <c r="Q44" s="1">
        <f>[1]Results!T1404</f>
        <v>0.96417302999999976</v>
      </c>
      <c r="R44" s="1">
        <f>[1]Results!U1404</f>
        <v>0.91432865000000008</v>
      </c>
      <c r="S44" s="1">
        <f>[1]Results!V1404</f>
        <v>0.89230770999999964</v>
      </c>
      <c r="T44" s="1">
        <f>[1]Results!W1404</f>
        <v>0.89262798000000054</v>
      </c>
      <c r="U44" s="1">
        <f>[1]Results!X1404</f>
        <v>0.90376944000000048</v>
      </c>
      <c r="V44" s="1">
        <f>[1]Results!Y1404</f>
        <v>0.91451763999999969</v>
      </c>
      <c r="W44" s="1">
        <f>[1]Results!Z1404</f>
        <v>0.91862233000000049</v>
      </c>
      <c r="X44" s="1">
        <f>[1]Results!AA1404</f>
        <v>0.91257767999999984</v>
      </c>
      <c r="Y44" s="1">
        <f>[1]Results!AB1404</f>
        <v>0.89974270999999972</v>
      </c>
      <c r="Z44" s="1">
        <f>[1]Results!AC1404</f>
        <v>0.88402184999999966</v>
      </c>
      <c r="AA44" s="1">
        <f>[1]Results!AD1404</f>
        <v>0.8687391099999997</v>
      </c>
      <c r="AB44" s="1">
        <f>[1]Results!AE1404</f>
        <v>0.85736237000000048</v>
      </c>
      <c r="AC44" s="1">
        <f>[1]Results!AF1404</f>
        <v>0.84600341000000001</v>
      </c>
      <c r="AD44" s="1">
        <f>[1]Results!AG1404</f>
        <v>0.83531923000000063</v>
      </c>
      <c r="AE44" s="1">
        <f>[1]Results!AH1404</f>
        <v>0.82449470999999974</v>
      </c>
      <c r="AF44" s="1">
        <f>[1]Results!AI1404</f>
        <v>0.81314121999999933</v>
      </c>
      <c r="AG44" s="1">
        <f>[1]Results!AJ1404</f>
        <v>0.80146715000000013</v>
      </c>
      <c r="AH44" s="1">
        <f>[1]Results!AK1404</f>
        <v>0.79010277000000073</v>
      </c>
      <c r="AI44" s="1">
        <f>[1]Results!AL1404</f>
        <v>0.77976301000000081</v>
      </c>
      <c r="AJ44" s="1">
        <f>[1]Results!AM1404</f>
        <v>0.77093541999999904</v>
      </c>
      <c r="AK44" s="1">
        <f>[1]Results!AN1404</f>
        <v>0.76372096</v>
      </c>
      <c r="AL44" s="1">
        <f>[1]Results!AO1404</f>
        <v>0.75785368000000075</v>
      </c>
    </row>
    <row r="45" spans="1:38" x14ac:dyDescent="0.3">
      <c r="A45" s="3" t="str">
        <f>[1]Results!E1405</f>
        <v>100*(Bal_Trade_VAL_2/(GDP_2*PGDP_2)-Bal_Trade_VAL_0/(GDP_0*PGDP_0))</v>
      </c>
      <c r="B45" t="str">
        <f>[1]Results!C1405</f>
        <v>Balance commerciale</v>
      </c>
      <c r="C45" s="1">
        <f>[1]Results!F1405</f>
        <v>0</v>
      </c>
      <c r="D45" s="1">
        <f>[1]Results!G1405</f>
        <v>0</v>
      </c>
      <c r="E45" s="1">
        <f>[1]Results!H1405</f>
        <v>0</v>
      </c>
      <c r="F45" s="1">
        <f>[1]Results!I1405</f>
        <v>0</v>
      </c>
      <c r="G45" s="1">
        <f>[1]Results!J1405</f>
        <v>0</v>
      </c>
      <c r="H45" s="1">
        <f>[1]Results!K1405</f>
        <v>0</v>
      </c>
      <c r="I45" s="1">
        <f>[1]Results!L1405</f>
        <v>0.14641130246420414</v>
      </c>
      <c r="J45" s="1">
        <f>[1]Results!M1405</f>
        <v>0.85310063597002928</v>
      </c>
      <c r="K45" s="1">
        <f>[1]Results!N1405</f>
        <v>0.90368014615031922</v>
      </c>
      <c r="L45" s="1">
        <f>[1]Results!O1405</f>
        <v>0.74126429202316602</v>
      </c>
      <c r="M45" s="1">
        <f>[1]Results!P1405</f>
        <v>0.46416572745635565</v>
      </c>
      <c r="N45" s="1">
        <f>[1]Results!Q1405</f>
        <v>0.16995270235220222</v>
      </c>
      <c r="O45" s="1">
        <f>[1]Results!R1405</f>
        <v>-7.0176206913711958E-2</v>
      </c>
      <c r="P45" s="1">
        <f>[1]Results!S1405</f>
        <v>-0.21608869504902498</v>
      </c>
      <c r="Q45" s="1">
        <f>[1]Results!T1405</f>
        <v>-0.26246372204443752</v>
      </c>
      <c r="R45" s="1">
        <f>[1]Results!U1405</f>
        <v>-0.23196152222723451</v>
      </c>
      <c r="S45" s="1">
        <f>[1]Results!V1405</f>
        <v>-0.16115122443377625</v>
      </c>
      <c r="T45" s="1">
        <f>[1]Results!W1405</f>
        <v>-8.4816349774033406E-2</v>
      </c>
      <c r="U45" s="1">
        <f>[1]Results!X1405</f>
        <v>-2.5182826767617891E-2</v>
      </c>
      <c r="V45" s="1">
        <f>[1]Results!Y1405</f>
        <v>1.0642479049184986E-2</v>
      </c>
      <c r="W45" s="1">
        <f>[1]Results!Z1405</f>
        <v>2.6750481402720502E-2</v>
      </c>
      <c r="X45" s="1">
        <f>[1]Results!AA1405</f>
        <v>3.2564076635196483E-2</v>
      </c>
      <c r="Y45" s="1">
        <f>[1]Results!AB1405</f>
        <v>3.6264459777718763E-2</v>
      </c>
      <c r="Z45" s="1">
        <f>[1]Results!AC1405</f>
        <v>4.2454718046396576E-2</v>
      </c>
      <c r="AA45" s="1">
        <f>[1]Results!AD1405</f>
        <v>5.1202585188471657E-2</v>
      </c>
      <c r="AB45" s="1">
        <f>[1]Results!AE1405</f>
        <v>6.0171803446335687E-2</v>
      </c>
      <c r="AC45" s="1">
        <f>[1]Results!AF1405</f>
        <v>6.5783736476738269E-2</v>
      </c>
      <c r="AD45" s="1">
        <f>[1]Results!AG1405</f>
        <v>6.6633839324981098E-2</v>
      </c>
      <c r="AE45" s="1">
        <f>[1]Results!AH1405</f>
        <v>6.3760064047959239E-2</v>
      </c>
      <c r="AF45" s="1">
        <f>[1]Results!AI1405</f>
        <v>5.8849651011904938E-2</v>
      </c>
      <c r="AG45" s="1">
        <f>[1]Results!AJ1405</f>
        <v>5.385389220415697E-2</v>
      </c>
      <c r="AH45" s="1">
        <f>[1]Results!AK1405</f>
        <v>5.0254583257176424E-2</v>
      </c>
      <c r="AI45" s="1">
        <f>[1]Results!AL1405</f>
        <v>4.8657497014033095E-2</v>
      </c>
      <c r="AJ45" s="1">
        <f>[1]Results!AM1405</f>
        <v>4.8791054694787873E-2</v>
      </c>
      <c r="AK45" s="1">
        <f>[1]Results!AN1405</f>
        <v>4.9826673491845233E-2</v>
      </c>
      <c r="AL45" s="1">
        <f>[1]Results!AO1405</f>
        <v>5.0821685678853999E-2</v>
      </c>
    </row>
    <row r="46" spans="1:38" x14ac:dyDescent="0.3">
      <c r="A46" s="3" t="str">
        <f>[1]Results!E1406</f>
        <v>100*(ENER_BILL_2/(GDP_2*PGDP_2)-ENER_BILL_0/(GDP_0*PGDP_0))</v>
      </c>
      <c r="B46" t="str">
        <f>[1]Results!C1406</f>
        <v>Facture énergétique</v>
      </c>
      <c r="C46" s="1">
        <f>[1]Results!F1406</f>
        <v>0</v>
      </c>
      <c r="D46" s="1">
        <f>[1]Results!G1406</f>
        <v>0</v>
      </c>
      <c r="E46" s="1">
        <f>[1]Results!H1406</f>
        <v>0</v>
      </c>
      <c r="F46" s="1">
        <f>[1]Results!I1406</f>
        <v>0</v>
      </c>
      <c r="G46" s="1">
        <f>[1]Results!J1406</f>
        <v>0</v>
      </c>
      <c r="H46" s="1">
        <f>[1]Results!K1406</f>
        <v>0</v>
      </c>
      <c r="I46" s="1">
        <f>[1]Results!L1406</f>
        <v>-2.4429167289026672E-2</v>
      </c>
      <c r="J46" s="1">
        <f>[1]Results!M1406</f>
        <v>-4.5050171486706904E-2</v>
      </c>
      <c r="K46" s="1">
        <f>[1]Results!N1406</f>
        <v>-6.0484342218948203E-2</v>
      </c>
      <c r="L46" s="1">
        <f>[1]Results!O1406</f>
        <v>-6.9573968915277201E-2</v>
      </c>
      <c r="M46" s="1">
        <f>[1]Results!P1406</f>
        <v>-7.3101624909907223E-2</v>
      </c>
      <c r="N46" s="1">
        <f>[1]Results!Q1406</f>
        <v>-7.259731080345444E-2</v>
      </c>
      <c r="O46" s="1">
        <f>[1]Results!R1406</f>
        <v>-6.9861079861040065E-2</v>
      </c>
      <c r="P46" s="1">
        <f>[1]Results!S1406</f>
        <v>-6.6514727807171103E-2</v>
      </c>
      <c r="Q46" s="1">
        <f>[1]Results!T1406</f>
        <v>-6.3608372295149984E-2</v>
      </c>
      <c r="R46" s="1">
        <f>[1]Results!U1406</f>
        <v>-6.1511774081599024E-2</v>
      </c>
      <c r="S46" s="1">
        <f>[1]Results!V1406</f>
        <v>-6.0068909808482646E-2</v>
      </c>
      <c r="T46" s="1">
        <f>[1]Results!W1406</f>
        <v>-5.885589628103309E-2</v>
      </c>
      <c r="U46" s="1">
        <f>[1]Results!X1406</f>
        <v>-5.7496602933703941E-2</v>
      </c>
      <c r="V46" s="1">
        <f>[1]Results!Y1406</f>
        <v>-5.5832528718265106E-2</v>
      </c>
      <c r="W46" s="1">
        <f>[1]Results!Z1406</f>
        <v>-5.3945513086176185E-2</v>
      </c>
      <c r="X46" s="1">
        <f>[1]Results!AA1406</f>
        <v>-5.1978538145831116E-2</v>
      </c>
      <c r="Y46" s="1">
        <f>[1]Results!AB1406</f>
        <v>-5.018292967624606E-2</v>
      </c>
      <c r="Z46" s="1">
        <f>[1]Results!AC1406</f>
        <v>-4.8679638596567723E-2</v>
      </c>
      <c r="AA46" s="1">
        <f>[1]Results!AD1406</f>
        <v>-4.7489229625448208E-2</v>
      </c>
      <c r="AB46" s="1">
        <f>[1]Results!AE1406</f>
        <v>-4.6611335661872477E-2</v>
      </c>
      <c r="AC46" s="1">
        <f>[1]Results!AF1406</f>
        <v>-4.5773381074549341E-2</v>
      </c>
      <c r="AD46" s="1">
        <f>[1]Results!AG1406</f>
        <v>-4.4987464713795548E-2</v>
      </c>
      <c r="AE46" s="1">
        <f>[1]Results!AH1406</f>
        <v>-4.4187607200078458E-2</v>
      </c>
      <c r="AF46" s="1">
        <f>[1]Results!AI1406</f>
        <v>-4.3363066909476305E-2</v>
      </c>
      <c r="AG46" s="1">
        <f>[1]Results!AJ1406</f>
        <v>-4.2530092639251477E-2</v>
      </c>
      <c r="AH46" s="1">
        <f>[1]Results!AK1406</f>
        <v>-4.1710944987656713E-2</v>
      </c>
      <c r="AI46" s="1">
        <f>[1]Results!AL1406</f>
        <v>-4.0921174259194414E-2</v>
      </c>
      <c r="AJ46" s="1">
        <f>[1]Results!AM1406</f>
        <v>-4.0160811932362338E-2</v>
      </c>
      <c r="AK46" s="1">
        <f>[1]Results!AN1406</f>
        <v>-3.9413448415916846E-2</v>
      </c>
      <c r="AL46" s="1">
        <f>[1]Results!AO1406</f>
        <v>-3.8654511814145351E-2</v>
      </c>
    </row>
    <row r="47" spans="1:38" x14ac:dyDescent="0.3">
      <c r="A47" s="3" t="str">
        <f>[1]Results!E1407</f>
        <v>100*((-Bal_G_prim_VAL_2)/(GDP_2*PGDP_2)-(-Bal_G_prim_VAL_0)/(GDP_0*PGDP_0))</v>
      </c>
      <c r="B47" t="str">
        <f>[1]Results!C1407</f>
        <v>Solde public primaire</v>
      </c>
      <c r="C47" s="1">
        <f>[1]Results!F1407</f>
        <v>0</v>
      </c>
      <c r="D47" s="1">
        <f>[1]Results!G1407</f>
        <v>0</v>
      </c>
      <c r="E47" s="1">
        <f>[1]Results!H1407</f>
        <v>0</v>
      </c>
      <c r="F47" s="1">
        <f>[1]Results!I1407</f>
        <v>0</v>
      </c>
      <c r="G47" s="1">
        <f>[1]Results!J1407</f>
        <v>0</v>
      </c>
      <c r="H47" s="1">
        <f>[1]Results!K1407</f>
        <v>0</v>
      </c>
      <c r="I47" s="1">
        <f>[1]Results!L1407</f>
        <v>0.88642177060264482</v>
      </c>
      <c r="J47" s="1">
        <f>[1]Results!M1407</f>
        <v>1.0366655781371861</v>
      </c>
      <c r="K47" s="1">
        <f>[1]Results!N1407</f>
        <v>1.076412813645963</v>
      </c>
      <c r="L47" s="1">
        <f>[1]Results!O1407</f>
        <v>0.94576353828619497</v>
      </c>
      <c r="M47" s="1">
        <f>[1]Results!P1407</f>
        <v>0.71365926478013864</v>
      </c>
      <c r="N47" s="1">
        <f>[1]Results!Q1407</f>
        <v>0.47120519900574509</v>
      </c>
      <c r="O47" s="1">
        <f>[1]Results!R1407</f>
        <v>0.28190133100213821</v>
      </c>
      <c r="P47" s="1">
        <f>[1]Results!S1407</f>
        <v>0.18359755088207358</v>
      </c>
      <c r="Q47" s="1">
        <f>[1]Results!T1407</f>
        <v>0.17920788624890116</v>
      </c>
      <c r="R47" s="1">
        <f>[1]Results!U1407</f>
        <v>0.24411261699958889</v>
      </c>
      <c r="S47" s="1">
        <f>[1]Results!V1407</f>
        <v>0.34067293838506135</v>
      </c>
      <c r="T47" s="1">
        <f>[1]Results!W1407</f>
        <v>0.43398084290175737</v>
      </c>
      <c r="U47" s="1">
        <f>[1]Results!X1407</f>
        <v>0.50227873635805798</v>
      </c>
      <c r="V47" s="1">
        <f>[1]Results!Y1407</f>
        <v>0.53947845278338891</v>
      </c>
      <c r="W47" s="1">
        <f>[1]Results!Z1407</f>
        <v>0.55123353279095499</v>
      </c>
      <c r="X47" s="1">
        <f>[1]Results!AA1407</f>
        <v>0.54800855567459072</v>
      </c>
      <c r="Y47" s="1">
        <f>[1]Results!AB1407</f>
        <v>0.53992834176495486</v>
      </c>
      <c r="Z47" s="1">
        <f>[1]Results!AC1407</f>
        <v>0.53259845214010848</v>
      </c>
      <c r="AA47" s="1">
        <f>[1]Results!AD1407</f>
        <v>0.5271114898079684</v>
      </c>
      <c r="AB47" s="1">
        <f>[1]Results!AE1407</f>
        <v>0.5227473604994396</v>
      </c>
      <c r="AC47" s="1">
        <f>[1]Results!AF1407</f>
        <v>0.51367985924988779</v>
      </c>
      <c r="AD47" s="1">
        <f>[1]Results!AG1407</f>
        <v>0.5013984185641468</v>
      </c>
      <c r="AE47" s="1">
        <f>[1]Results!AH1407</f>
        <v>0.4866087103554203</v>
      </c>
      <c r="AF47" s="1">
        <f>[1]Results!AI1407</f>
        <v>0.47114217937991693</v>
      </c>
      <c r="AG47" s="1">
        <f>[1]Results!AJ1407</f>
        <v>0.457016146941157</v>
      </c>
      <c r="AH47" s="1">
        <f>[1]Results!AK1407</f>
        <v>0.445669568858857</v>
      </c>
      <c r="AI47" s="1">
        <f>[1]Results!AL1407</f>
        <v>0.43755982471101446</v>
      </c>
      <c r="AJ47" s="1">
        <f>[1]Results!AM1407</f>
        <v>0.43219712031697022</v>
      </c>
      <c r="AK47" s="1">
        <f>[1]Results!AN1407</f>
        <v>0.42851712141980741</v>
      </c>
      <c r="AL47" s="1">
        <f>[1]Results!AO1407</f>
        <v>0.42537134515282238</v>
      </c>
    </row>
    <row r="48" spans="1:38" x14ac:dyDescent="0.3">
      <c r="A48" s="3" t="str">
        <f>[1]Results!E1408</f>
        <v>100*((-Bal_G_tot_VAL_2)/(GDP_2*PGDP_2)-(-Bal_G_tot_VAL_0)/(GDP_0*PGDP_0))</v>
      </c>
      <c r="B48" t="str">
        <f>[1]Results!C1408</f>
        <v xml:space="preserve">Solde public </v>
      </c>
      <c r="C48" s="1">
        <f>[1]Results!F1408</f>
        <v>0</v>
      </c>
      <c r="D48" s="1">
        <f>[1]Results!G1408</f>
        <v>0</v>
      </c>
      <c r="E48" s="1">
        <f>[1]Results!H1408</f>
        <v>0</v>
      </c>
      <c r="F48" s="1">
        <f>[1]Results!I1408</f>
        <v>0</v>
      </c>
      <c r="G48" s="1">
        <f>[1]Results!J1408</f>
        <v>0</v>
      </c>
      <c r="H48" s="1">
        <f>[1]Results!K1408</f>
        <v>0</v>
      </c>
      <c r="I48" s="1">
        <f>[1]Results!L1408</f>
        <v>0.86270722040943659</v>
      </c>
      <c r="J48" s="1">
        <f>[1]Results!M1408</f>
        <v>2.7064930500477882</v>
      </c>
      <c r="K48" s="1">
        <f>[1]Results!N1408</f>
        <v>2.4128015857727383</v>
      </c>
      <c r="L48" s="1">
        <f>[1]Results!O1408</f>
        <v>2.1433451074009695</v>
      </c>
      <c r="M48" s="1">
        <f>[1]Results!P1408</f>
        <v>1.5591830293458071</v>
      </c>
      <c r="N48" s="1">
        <f>[1]Results!Q1408</f>
        <v>0.88078730993843002</v>
      </c>
      <c r="O48" s="1">
        <f>[1]Results!R1408</f>
        <v>0.31599424078601196</v>
      </c>
      <c r="P48" s="1">
        <f>[1]Results!S1408</f>
        <v>-2.8544840993249138E-2</v>
      </c>
      <c r="Q48" s="1">
        <f>[1]Results!T1408</f>
        <v>-0.12234145716540912</v>
      </c>
      <c r="R48" s="1">
        <f>[1]Results!U1408</f>
        <v>-1.9295986544804605E-2</v>
      </c>
      <c r="S48" s="1">
        <f>[1]Results!V1408</f>
        <v>0.18496997980853441</v>
      </c>
      <c r="T48" s="1">
        <f>[1]Results!W1408</f>
        <v>0.39729926481437072</v>
      </c>
      <c r="U48" s="1">
        <f>[1]Results!X1408</f>
        <v>0.55731625973782783</v>
      </c>
      <c r="V48" s="1">
        <f>[1]Results!Y1408</f>
        <v>0.64612804161151904</v>
      </c>
      <c r="W48" s="1">
        <f>[1]Results!Z1408</f>
        <v>0.67712059060612462</v>
      </c>
      <c r="X48" s="1">
        <f>[1]Results!AA1408</f>
        <v>0.67885492613484166</v>
      </c>
      <c r="Y48" s="1">
        <f>[1]Results!AB1408</f>
        <v>0.67360778744063743</v>
      </c>
      <c r="Z48" s="1">
        <f>[1]Results!AC1408</f>
        <v>0.67906153501000421</v>
      </c>
      <c r="AA48" s="1">
        <f>[1]Results!AD1408</f>
        <v>0.69585631101788847</v>
      </c>
      <c r="AB48" s="1">
        <f>[1]Results!AE1408</f>
        <v>0.71839574995070932</v>
      </c>
      <c r="AC48" s="1">
        <f>[1]Results!AF1408</f>
        <v>0.73853144079797683</v>
      </c>
      <c r="AD48" s="1">
        <f>[1]Results!AG1408</f>
        <v>0.73847777627006794</v>
      </c>
      <c r="AE48" s="1">
        <f>[1]Results!AH1408</f>
        <v>0.72802792764526292</v>
      </c>
      <c r="AF48" s="1">
        <f>[1]Results!AI1408</f>
        <v>0.71075508695513201</v>
      </c>
      <c r="AG48" s="1">
        <f>[1]Results!AJ1408</f>
        <v>0.69348361009596715</v>
      </c>
      <c r="AH48" s="1">
        <f>[1]Results!AK1408</f>
        <v>0.68163260558170469</v>
      </c>
      <c r="AI48" s="1">
        <f>[1]Results!AL1408</f>
        <v>0.67745679389070379</v>
      </c>
      <c r="AJ48" s="1">
        <f>[1]Results!AM1408</f>
        <v>0.67997778765367456</v>
      </c>
      <c r="AK48" s="1">
        <f>[1]Results!AN1408</f>
        <v>0.68617626610490423</v>
      </c>
      <c r="AL48" s="1">
        <f>[1]Results!AO1408</f>
        <v>0.69265503334292811</v>
      </c>
    </row>
    <row r="49" spans="1:38" x14ac:dyDescent="0.3">
      <c r="A49" s="3" t="str">
        <f>[1]Results!E1409</f>
        <v>(DEBT_G_VAL_2/(PGDP_2*GDP_2)-DEBT_G_VAL_0/(PGDP_0*GDP_0))*100</v>
      </c>
      <c r="B49" t="str">
        <f>[1]Results!C1409</f>
        <v>Dette publique</v>
      </c>
      <c r="C49" s="1">
        <f>[1]Results!F1409</f>
        <v>0</v>
      </c>
      <c r="D49" s="1">
        <f>[1]Results!G1409</f>
        <v>0</v>
      </c>
      <c r="E49" s="1">
        <f>[1]Results!H1409</f>
        <v>0</v>
      </c>
      <c r="F49" s="1">
        <f>[1]Results!I1409</f>
        <v>0</v>
      </c>
      <c r="G49" s="1">
        <f>[1]Results!J1409</f>
        <v>0</v>
      </c>
      <c r="H49" s="1">
        <f>[1]Results!K1409</f>
        <v>0</v>
      </c>
      <c r="I49" s="1">
        <f>[1]Results!L1409</f>
        <v>-0.75532010363287272</v>
      </c>
      <c r="J49" s="1">
        <f>[1]Results!M1409</f>
        <v>0.95610284067096929</v>
      </c>
      <c r="K49" s="1">
        <f>[1]Results!N1409</f>
        <v>2.7490447614569535</v>
      </c>
      <c r="L49" s="1">
        <f>[1]Results!O1409</f>
        <v>4.5708965449391741</v>
      </c>
      <c r="M49" s="1">
        <f>[1]Results!P1409</f>
        <v>6.0239069375709882</v>
      </c>
      <c r="N49" s="1">
        <f>[1]Results!Q1409</f>
        <v>6.9229513607950821</v>
      </c>
      <c r="O49" s="1">
        <f>[1]Results!R1409</f>
        <v>7.288468652703683</v>
      </c>
      <c r="P49" s="1">
        <f>[1]Results!S1409</f>
        <v>7.2752729218075078</v>
      </c>
      <c r="Q49" s="1">
        <f>[1]Results!T1409</f>
        <v>7.1031571146335404</v>
      </c>
      <c r="R49" s="1">
        <f>[1]Results!U1409</f>
        <v>6.9731254816618566</v>
      </c>
      <c r="S49" s="1">
        <f>[1]Results!V1409</f>
        <v>7.010950553986028</v>
      </c>
      <c r="T49" s="1">
        <f>[1]Results!W1409</f>
        <v>7.2493738962843395</v>
      </c>
      <c r="U49" s="1">
        <f>[1]Results!X1409</f>
        <v>7.6473737503228829</v>
      </c>
      <c r="V49" s="1">
        <f>[1]Results!Y1409</f>
        <v>8.1294588745938761</v>
      </c>
      <c r="W49" s="1">
        <f>[1]Results!Z1409</f>
        <v>8.6293466059568118</v>
      </c>
      <c r="X49" s="1">
        <f>[1]Results!AA1409</f>
        <v>9.0931339989592903</v>
      </c>
      <c r="Y49" s="1">
        <f>[1]Results!AB1409</f>
        <v>9.5088675466612038</v>
      </c>
      <c r="Z49" s="1">
        <f>[1]Results!AC1409</f>
        <v>9.8858583715957913</v>
      </c>
      <c r="AA49" s="1">
        <f>[1]Results!AD1409</f>
        <v>10.241511922890512</v>
      </c>
      <c r="AB49" s="1">
        <f>[1]Results!AE1409</f>
        <v>10.612991747590383</v>
      </c>
      <c r="AC49" s="1">
        <f>[1]Results!AF1409</f>
        <v>10.974380284562368</v>
      </c>
      <c r="AD49" s="1">
        <f>[1]Results!AG1409</f>
        <v>11.331084824626036</v>
      </c>
      <c r="AE49" s="1">
        <f>[1]Results!AH1409</f>
        <v>11.673297967363483</v>
      </c>
      <c r="AF49" s="1">
        <f>[1]Results!AI1409</f>
        <v>11.992686774957463</v>
      </c>
      <c r="AG49" s="1">
        <f>[1]Results!AJ1409</f>
        <v>12.286546772109052</v>
      </c>
      <c r="AH49" s="1">
        <f>[1]Results!AK1409</f>
        <v>12.558051164603901</v>
      </c>
      <c r="AI49" s="1">
        <f>[1]Results!AL1409</f>
        <v>12.814107067287829</v>
      </c>
      <c r="AJ49" s="1">
        <f>[1]Results!AM1409</f>
        <v>13.062218675377535</v>
      </c>
      <c r="AK49" s="1">
        <f>[1]Results!AN1409</f>
        <v>13.307815908021581</v>
      </c>
      <c r="AL49" s="1">
        <f>[1]Results!AO1409</f>
        <v>13.552997242059428</v>
      </c>
    </row>
    <row r="50" spans="1:38" x14ac:dyDescent="0.3">
      <c r="A50" s="3" t="str">
        <f>[1]Results!E1410</f>
        <v>GDP_2</v>
      </c>
      <c r="B50" t="str">
        <f>[1]Results!C1410</f>
        <v>PIB</v>
      </c>
      <c r="C50" s="1">
        <f>[1]Results!F1410</f>
        <v>2196712.3879999998</v>
      </c>
      <c r="D50" s="1">
        <f>[1]Results!G1410</f>
        <v>2214145.2949999999</v>
      </c>
      <c r="E50" s="1">
        <f>[1]Results!H1410</f>
        <v>2243480.773</v>
      </c>
      <c r="F50" s="1">
        <f>[1]Results!I1410</f>
        <v>2279202.9279999998</v>
      </c>
      <c r="G50" s="1">
        <f>[1]Results!J1410</f>
        <v>2317495.7799999998</v>
      </c>
      <c r="H50" s="1">
        <f>[1]Results!K1410</f>
        <v>2356043.6290000002</v>
      </c>
      <c r="I50" s="1">
        <f>[1]Results!L1410</f>
        <v>2362527.7250000001</v>
      </c>
      <c r="J50" s="1">
        <f>[1]Results!M1410</f>
        <v>2377451.5150000001</v>
      </c>
      <c r="K50" s="1">
        <f>[1]Results!N1410</f>
        <v>2397326.7280000001</v>
      </c>
      <c r="L50" s="1">
        <f>[1]Results!O1410</f>
        <v>2425636.9730000002</v>
      </c>
      <c r="M50" s="1">
        <f>[1]Results!P1410</f>
        <v>2465907.5729999999</v>
      </c>
      <c r="N50" s="1">
        <f>[1]Results!Q1410</f>
        <v>2510354.9279999998</v>
      </c>
      <c r="O50" s="1">
        <f>[1]Results!R1410</f>
        <v>2558626.7680000002</v>
      </c>
      <c r="P50" s="1">
        <f>[1]Results!S1410</f>
        <v>2606812.838</v>
      </c>
      <c r="Q50" s="1">
        <f>[1]Results!T1410</f>
        <v>2652712.0610000002</v>
      </c>
      <c r="R50" s="1">
        <f>[1]Results!U1410</f>
        <v>2695730.0830000001</v>
      </c>
      <c r="S50" s="1">
        <f>[1]Results!V1410</f>
        <v>2736586.9509999999</v>
      </c>
      <c r="T50" s="1">
        <f>[1]Results!W1410</f>
        <v>2776672.858</v>
      </c>
      <c r="U50" s="1">
        <f>[1]Results!X1410</f>
        <v>2817347.4920000001</v>
      </c>
      <c r="V50" s="1">
        <f>[1]Results!Y1410</f>
        <v>2859472.4619999998</v>
      </c>
      <c r="W50" s="1">
        <f>[1]Results!Z1410</f>
        <v>2900721.5789999999</v>
      </c>
      <c r="X50" s="1">
        <f>[1]Results!AA1410</f>
        <v>2945727.3050000002</v>
      </c>
      <c r="Y50" s="1">
        <f>[1]Results!AB1410</f>
        <v>2991911.8650000002</v>
      </c>
      <c r="Z50" s="1">
        <f>[1]Results!AC1410</f>
        <v>3038891.648</v>
      </c>
      <c r="AA50" s="1">
        <f>[1]Results!AD1410</f>
        <v>3086337.139</v>
      </c>
      <c r="AB50" s="1">
        <f>[1]Results!AE1410</f>
        <v>3125595.932</v>
      </c>
      <c r="AC50" s="1">
        <f>[1]Results!AF1410</f>
        <v>3170888.523</v>
      </c>
      <c r="AD50" s="1">
        <f>[1]Results!AG1410</f>
        <v>3216408.9180000001</v>
      </c>
      <c r="AE50" s="1">
        <f>[1]Results!AH1410</f>
        <v>3262981.3130000001</v>
      </c>
      <c r="AF50" s="1">
        <f>[1]Results!AI1410</f>
        <v>3310640.4130000002</v>
      </c>
      <c r="AG50" s="1">
        <f>[1]Results!AJ1410</f>
        <v>3359077.14</v>
      </c>
      <c r="AH50" s="1">
        <f>[1]Results!AK1410</f>
        <v>3407934.3810000001</v>
      </c>
      <c r="AI50" s="1">
        <f>[1]Results!AL1410</f>
        <v>3456998.71</v>
      </c>
      <c r="AJ50" s="1">
        <f>[1]Results!AM1410</f>
        <v>3506269.0019999999</v>
      </c>
      <c r="AK50" s="1">
        <f>[1]Results!AN1410</f>
        <v>3555914.8190000001</v>
      </c>
      <c r="AL50" s="1">
        <f>[1]Results!AO1410</f>
        <v>3606172.7609999999</v>
      </c>
    </row>
    <row r="51" spans="1:38" x14ac:dyDescent="0.3">
      <c r="A51" s="3" t="str">
        <f>[1]Results!E1411</f>
        <v>(GDPter_2/GDPbis_2-1)*100</v>
      </c>
      <c r="B51" t="str">
        <f>[1]Results!C1411</f>
        <v>Ecart PIB</v>
      </c>
      <c r="C51" s="1">
        <f>[1]Results!F1411</f>
        <v>0</v>
      </c>
      <c r="D51" s="1">
        <f>[1]Results!G1411</f>
        <v>4.5164161299737771E-8</v>
      </c>
      <c r="E51" s="1">
        <f>[1]Results!H1411</f>
        <v>0</v>
      </c>
      <c r="F51" s="1">
        <f>[1]Results!I1411</f>
        <v>4.3874992528003531E-8</v>
      </c>
      <c r="G51" s="1">
        <f>[1]Results!J1411</f>
        <v>0</v>
      </c>
      <c r="H51" s="1">
        <f>[1]Results!K1411</f>
        <v>4.2444026071564167E-8</v>
      </c>
      <c r="I51" s="1">
        <f>[1]Results!L1411</f>
        <v>0</v>
      </c>
      <c r="J51" s="1">
        <f>[1]Results!M1411</f>
        <v>0</v>
      </c>
      <c r="K51" s="1">
        <f>[1]Results!N1411</f>
        <v>0</v>
      </c>
      <c r="L51" s="1">
        <f>[1]Results!O1411</f>
        <v>0</v>
      </c>
      <c r="M51" s="1">
        <f>[1]Results!P1411</f>
        <v>0</v>
      </c>
      <c r="N51" s="1">
        <f>[1]Results!Q1411</f>
        <v>0</v>
      </c>
      <c r="O51" s="1">
        <f>[1]Results!R1411</f>
        <v>0</v>
      </c>
      <c r="P51" s="1">
        <f>[1]Results!S1411</f>
        <v>0</v>
      </c>
      <c r="Q51" s="1">
        <f>[1]Results!T1411</f>
        <v>0</v>
      </c>
      <c r="R51" s="1">
        <f>[1]Results!U1411</f>
        <v>0</v>
      </c>
      <c r="S51" s="1">
        <f>[1]Results!V1411</f>
        <v>0</v>
      </c>
      <c r="T51" s="1">
        <f>[1]Results!W1411</f>
        <v>0</v>
      </c>
      <c r="U51" s="1">
        <f>[1]Results!X1411</f>
        <v>0</v>
      </c>
      <c r="V51" s="1">
        <f>[1]Results!Y1411</f>
        <v>0</v>
      </c>
      <c r="W51" s="1">
        <f>[1]Results!Z1411</f>
        <v>0</v>
      </c>
      <c r="X51" s="1">
        <f>[1]Results!AA1411</f>
        <v>0</v>
      </c>
      <c r="Y51" s="1">
        <f>[1]Results!AB1411</f>
        <v>0</v>
      </c>
      <c r="Z51" s="1">
        <f>[1]Results!AC1411</f>
        <v>0</v>
      </c>
      <c r="AA51" s="1">
        <f>[1]Results!AD1411</f>
        <v>0</v>
      </c>
      <c r="AB51" s="1">
        <f>[1]Results!AE1411</f>
        <v>0</v>
      </c>
      <c r="AC51" s="1">
        <f>[1]Results!AF1411</f>
        <v>0</v>
      </c>
      <c r="AD51" s="1">
        <f>[1]Results!AG1411</f>
        <v>0</v>
      </c>
      <c r="AE51" s="1">
        <f>[1]Results!AH1411</f>
        <v>0</v>
      </c>
      <c r="AF51" s="1">
        <f>[1]Results!AI1411</f>
        <v>0</v>
      </c>
      <c r="AG51" s="1">
        <f>[1]Results!AJ1411</f>
        <v>0</v>
      </c>
      <c r="AH51" s="1">
        <f>[1]Results!AK1411</f>
        <v>0</v>
      </c>
      <c r="AI51" s="1">
        <f>[1]Results!AL1411</f>
        <v>0</v>
      </c>
      <c r="AJ51" s="1">
        <f>[1]Results!AM1411</f>
        <v>0</v>
      </c>
      <c r="AK51" s="1">
        <f>[1]Results!AN1411</f>
        <v>0</v>
      </c>
      <c r="AL51" s="1">
        <f>[1]Results!AO1411</f>
        <v>0</v>
      </c>
    </row>
    <row r="52" spans="1:38" x14ac:dyDescent="0.3">
      <c r="A52" s="3" t="str">
        <f>[1]Results!E1412</f>
        <v>SPEND_G_VAL_2</v>
      </c>
      <c r="B52" t="str">
        <f>[1]Results!C1412</f>
        <v>Dépenses publiques</v>
      </c>
      <c r="C52" s="1">
        <f>[1]Results!F1412</f>
        <v>1187320.2109999999</v>
      </c>
      <c r="D52" s="1">
        <f>[1]Results!G1412</f>
        <v>1227002.8359999999</v>
      </c>
      <c r="E52" s="1">
        <f>[1]Results!H1412</f>
        <v>1267602.8219999999</v>
      </c>
      <c r="F52" s="1">
        <f>[1]Results!I1412</f>
        <v>1297189.328</v>
      </c>
      <c r="G52" s="1">
        <f>[1]Results!J1412</f>
        <v>1326989.83</v>
      </c>
      <c r="H52" s="1">
        <f>[1]Results!K1412</f>
        <v>1361624.696</v>
      </c>
      <c r="I52" s="1">
        <f>[1]Results!L1412</f>
        <v>1438026.922</v>
      </c>
      <c r="J52" s="1">
        <f>[1]Results!M1412</f>
        <v>1552477.7930000001</v>
      </c>
      <c r="K52" s="1">
        <f>[1]Results!N1412</f>
        <v>1621375.047</v>
      </c>
      <c r="L52" s="1">
        <f>[1]Results!O1412</f>
        <v>1692273.638</v>
      </c>
      <c r="M52" s="1">
        <f>[1]Results!P1412</f>
        <v>1752321.7009999999</v>
      </c>
      <c r="N52" s="1">
        <f>[1]Results!Q1412</f>
        <v>1800363.794</v>
      </c>
      <c r="O52" s="1">
        <f>[1]Results!R1412</f>
        <v>1848385.8470000001</v>
      </c>
      <c r="P52" s="1">
        <f>[1]Results!S1412</f>
        <v>1900476.585</v>
      </c>
      <c r="Q52" s="1">
        <f>[1]Results!T1412</f>
        <v>1960985.9920000001</v>
      </c>
      <c r="R52" s="1">
        <f>[1]Results!U1412</f>
        <v>2030642.061</v>
      </c>
      <c r="S52" s="1">
        <f>[1]Results!V1412</f>
        <v>2107595.6430000002</v>
      </c>
      <c r="T52" s="1">
        <f>[1]Results!W1412</f>
        <v>2188827.4470000002</v>
      </c>
      <c r="U52" s="1">
        <f>[1]Results!X1412</f>
        <v>2271642.6120000002</v>
      </c>
      <c r="V52" s="1">
        <f>[1]Results!Y1412</f>
        <v>2354634.9389999998</v>
      </c>
      <c r="W52" s="1">
        <f>[1]Results!Z1412</f>
        <v>2436097.341</v>
      </c>
      <c r="X52" s="1">
        <f>[1]Results!AA1412</f>
        <v>2521367.9279999998</v>
      </c>
      <c r="Y52" s="1">
        <f>[1]Results!AB1412</f>
        <v>2607448.696</v>
      </c>
      <c r="Z52" s="1">
        <f>[1]Results!AC1412</f>
        <v>2697269.0589999999</v>
      </c>
      <c r="AA52" s="1">
        <f>[1]Results!AD1412</f>
        <v>2791446.122</v>
      </c>
      <c r="AB52" s="1">
        <f>[1]Results!AE1412</f>
        <v>2884392.6060000001</v>
      </c>
      <c r="AC52" s="1">
        <f>[1]Results!AF1412</f>
        <v>2986241.6519999998</v>
      </c>
      <c r="AD52" s="1">
        <f>[1]Results!AG1412</f>
        <v>3086508.0959999999</v>
      </c>
      <c r="AE52" s="1">
        <f>[1]Results!AH1412</f>
        <v>3187635.3110000002</v>
      </c>
      <c r="AF52" s="1">
        <f>[1]Results!AI1412</f>
        <v>3289956.605</v>
      </c>
      <c r="AG52" s="1">
        <f>[1]Results!AJ1412</f>
        <v>3394907.5559999999</v>
      </c>
      <c r="AH52" s="1">
        <f>[1]Results!AK1412</f>
        <v>3503838.5320000001</v>
      </c>
      <c r="AI52" s="1">
        <f>[1]Results!AL1412</f>
        <v>3617530.3309999998</v>
      </c>
      <c r="AJ52" s="1">
        <f>[1]Results!AM1412</f>
        <v>3736062.7280000001</v>
      </c>
      <c r="AK52" s="1">
        <f>[1]Results!AN1412</f>
        <v>3858995.6260000002</v>
      </c>
      <c r="AL52" s="1">
        <f>[1]Results!AO1412</f>
        <v>3985718.79</v>
      </c>
    </row>
    <row r="53" spans="1:38" x14ac:dyDescent="0.3">
      <c r="A53" s="3" t="str">
        <f>[1]Results!E1413</f>
        <v>INC_G_VAL_2</v>
      </c>
      <c r="B53" t="str">
        <f>[1]Results!C1413</f>
        <v>Recettes publiques</v>
      </c>
      <c r="C53" s="1">
        <f>[1]Results!F1413</f>
        <v>1021631.956</v>
      </c>
      <c r="D53" s="1">
        <f>[1]Results!G1413</f>
        <v>1051921.395</v>
      </c>
      <c r="E53" s="1">
        <f>[1]Results!H1413</f>
        <v>1082875.0930000001</v>
      </c>
      <c r="F53" s="1">
        <f>[1]Results!I1413</f>
        <v>1113728.797</v>
      </c>
      <c r="G53" s="1">
        <f>[1]Results!J1413</f>
        <v>1144576.3219999999</v>
      </c>
      <c r="H53" s="1">
        <f>[1]Results!K1413</f>
        <v>1176586.3559999999</v>
      </c>
      <c r="I53" s="1">
        <f>[1]Results!L1413</f>
        <v>1220992.253</v>
      </c>
      <c r="J53" s="1">
        <f>[1]Results!M1413</f>
        <v>1268133.9890000001</v>
      </c>
      <c r="K53" s="1">
        <f>[1]Results!N1413</f>
        <v>1320979.0179999999</v>
      </c>
      <c r="L53" s="1">
        <f>[1]Results!O1413</f>
        <v>1376368.625</v>
      </c>
      <c r="M53" s="1">
        <f>[1]Results!P1413</f>
        <v>1433859.1769999999</v>
      </c>
      <c r="N53" s="1">
        <f>[1]Results!Q1413</f>
        <v>1489711.557</v>
      </c>
      <c r="O53" s="1">
        <f>[1]Results!R1413</f>
        <v>1545316.3160000001</v>
      </c>
      <c r="P53" s="1">
        <f>[1]Results!S1413</f>
        <v>1601129.544</v>
      </c>
      <c r="Q53" s="1">
        <f>[1]Results!T1413</f>
        <v>1658026.007</v>
      </c>
      <c r="R53" s="1">
        <f>[1]Results!U1413</f>
        <v>1716885.254</v>
      </c>
      <c r="S53" s="1">
        <f>[1]Results!V1413</f>
        <v>1778315.6089999999</v>
      </c>
      <c r="T53" s="1">
        <f>[1]Results!W1413</f>
        <v>1842582.7949999999</v>
      </c>
      <c r="U53" s="1">
        <f>[1]Results!X1413</f>
        <v>1909687.0530000001</v>
      </c>
      <c r="V53" s="1">
        <f>[1]Results!Y1413</f>
        <v>1979508.3359999999</v>
      </c>
      <c r="W53" s="1">
        <f>[1]Results!Z1413</f>
        <v>2050440.3759999999</v>
      </c>
      <c r="X53" s="1">
        <f>[1]Results!AA1413</f>
        <v>2125228.9989999998</v>
      </c>
      <c r="Y53" s="1">
        <f>[1]Results!AB1413</f>
        <v>2202657.9270000001</v>
      </c>
      <c r="Z53" s="1">
        <f>[1]Results!AC1413</f>
        <v>2282883.9040000001</v>
      </c>
      <c r="AA53" s="1">
        <f>[1]Results!AD1413</f>
        <v>2366165.5890000002</v>
      </c>
      <c r="AB53" s="1">
        <f>[1]Results!AE1413</f>
        <v>2447043.6060000001</v>
      </c>
      <c r="AC53" s="1">
        <f>[1]Results!AF1413</f>
        <v>2534307.003</v>
      </c>
      <c r="AD53" s="1">
        <f>[1]Results!AG1413</f>
        <v>2624107.0550000002</v>
      </c>
      <c r="AE53" s="1">
        <f>[1]Results!AH1413</f>
        <v>2716195.6669999999</v>
      </c>
      <c r="AF53" s="1">
        <f>[1]Results!AI1413</f>
        <v>2810602.0630000001</v>
      </c>
      <c r="AG53" s="1">
        <f>[1]Results!AJ1413</f>
        <v>2907534.3330000001</v>
      </c>
      <c r="AH53" s="1">
        <f>[1]Results!AK1413</f>
        <v>3007319.2080000001</v>
      </c>
      <c r="AI53" s="1">
        <f>[1]Results!AL1413</f>
        <v>3110317.2719999999</v>
      </c>
      <c r="AJ53" s="1">
        <f>[1]Results!AM1413</f>
        <v>3216844.47</v>
      </c>
      <c r="AK53" s="1">
        <f>[1]Results!AN1413</f>
        <v>3327127.8</v>
      </c>
      <c r="AL53" s="1">
        <f>[1]Results!AO1413</f>
        <v>3441304.1889999998</v>
      </c>
    </row>
    <row r="54" spans="1:38" x14ac:dyDescent="0.3">
      <c r="A54" s="3" t="str">
        <f>[1]Results!E1414</f>
        <v>Bal_G_tot_VAL_2</v>
      </c>
      <c r="B54" t="str">
        <f>[1]Results!C1414</f>
        <v>Solde public</v>
      </c>
      <c r="C54" s="1">
        <f>[1]Results!F1414</f>
        <v>-64101.80947</v>
      </c>
      <c r="D54" s="1">
        <f>[1]Results!G1414</f>
        <v>-70289.905780000001</v>
      </c>
      <c r="E54" s="1">
        <f>[1]Results!H1414</f>
        <v>-76421.698390000005</v>
      </c>
      <c r="F54" s="1">
        <f>[1]Results!I1414</f>
        <v>-71333.415229999999</v>
      </c>
      <c r="G54" s="1">
        <f>[1]Results!J1414</f>
        <v>-66719.721160000001</v>
      </c>
      <c r="H54" s="1">
        <f>[1]Results!K1414</f>
        <v>-66008.567290000006</v>
      </c>
      <c r="I54" s="1">
        <f>[1]Results!L1414</f>
        <v>-94704.468059999999</v>
      </c>
      <c r="J54" s="1">
        <f>[1]Results!M1414</f>
        <v>-157278.37950000001</v>
      </c>
      <c r="K54" s="1">
        <f>[1]Results!N1414</f>
        <v>-165466.6851</v>
      </c>
      <c r="L54" s="1">
        <f>[1]Results!O1414</f>
        <v>-172702.33499999999</v>
      </c>
      <c r="M54" s="1">
        <f>[1]Results!P1414</f>
        <v>-166624.72880000001</v>
      </c>
      <c r="N54" s="1">
        <f>[1]Results!Q1414</f>
        <v>-150483.20619999999</v>
      </c>
      <c r="O54" s="1">
        <f>[1]Results!R1414</f>
        <v>-135376.33960000001</v>
      </c>
      <c r="P54" s="1">
        <f>[1]Results!S1414</f>
        <v>-124885.0324</v>
      </c>
      <c r="Q54" s="1">
        <f>[1]Results!T1414</f>
        <v>-122253.7254</v>
      </c>
      <c r="R54" s="1">
        <f>[1]Results!U1414</f>
        <v>-126937.8609</v>
      </c>
      <c r="S54" s="1">
        <f>[1]Results!V1414</f>
        <v>-136114.19500000001</v>
      </c>
      <c r="T54" s="1">
        <f>[1]Results!W1414</f>
        <v>-146273.1029</v>
      </c>
      <c r="U54" s="1">
        <f>[1]Results!X1414</f>
        <v>-154670.3553</v>
      </c>
      <c r="V54" s="1">
        <f>[1]Results!Y1414</f>
        <v>-160107.8811</v>
      </c>
      <c r="W54" s="1">
        <f>[1]Results!Z1414</f>
        <v>-162632.84950000001</v>
      </c>
      <c r="X54" s="1">
        <f>[1]Results!AA1414</f>
        <v>-164983.1704</v>
      </c>
      <c r="Y54" s="1">
        <f>[1]Results!AB1414</f>
        <v>-165385.85209999999</v>
      </c>
      <c r="Z54" s="1">
        <f>[1]Results!AC1414</f>
        <v>-166710.94589999999</v>
      </c>
      <c r="AA54" s="1">
        <f>[1]Results!AD1414</f>
        <v>-169270.77619999999</v>
      </c>
      <c r="AB54" s="1">
        <f>[1]Results!AE1414</f>
        <v>-172875.70439999999</v>
      </c>
      <c r="AC54" s="1">
        <f>[1]Results!AF1414</f>
        <v>-178817.5686</v>
      </c>
      <c r="AD54" s="1">
        <f>[1]Results!AG1414</f>
        <v>-180343.0816</v>
      </c>
      <c r="AE54" s="1">
        <f>[1]Results!AH1414</f>
        <v>-180364.53020000001</v>
      </c>
      <c r="AF54" s="1">
        <f>[1]Results!AI1414</f>
        <v>-179261.20180000001</v>
      </c>
      <c r="AG54" s="1">
        <f>[1]Results!AJ1414</f>
        <v>-178316.82310000001</v>
      </c>
      <c r="AH54" s="1">
        <f>[1]Results!AK1414</f>
        <v>-178547.08259999999</v>
      </c>
      <c r="AI54" s="1">
        <f>[1]Results!AL1414</f>
        <v>-180313.4639</v>
      </c>
      <c r="AJ54" s="1">
        <f>[1]Results!AM1414</f>
        <v>-183302.99</v>
      </c>
      <c r="AK54" s="1">
        <f>[1]Results!AN1414</f>
        <v>-186787.4086</v>
      </c>
      <c r="AL54" s="1">
        <f>[1]Results!AO1414</f>
        <v>-189994.81299999999</v>
      </c>
    </row>
    <row r="55" spans="1:38" x14ac:dyDescent="0.3">
      <c r="A55" s="3" t="str">
        <f>[1]Results!E1415</f>
        <v>DEBT_G_VAL_2</v>
      </c>
      <c r="B55" t="str">
        <f>[1]Results!C1415</f>
        <v>Dette publique</v>
      </c>
      <c r="C55" s="1">
        <f>[1]Results!F1415</f>
        <v>2095830.716</v>
      </c>
      <c r="D55" s="1">
        <f>[1]Results!G1415</f>
        <v>2166120.622</v>
      </c>
      <c r="E55" s="1">
        <f>[1]Results!H1415</f>
        <v>2242542.3199999998</v>
      </c>
      <c r="F55" s="1">
        <f>[1]Results!I1415</f>
        <v>2313875.7349999999</v>
      </c>
      <c r="G55" s="1">
        <f>[1]Results!J1415</f>
        <v>2380595.4559999998</v>
      </c>
      <c r="H55" s="1">
        <f>[1]Results!K1415</f>
        <v>2446604.0240000002</v>
      </c>
      <c r="I55" s="1">
        <f>[1]Results!L1415</f>
        <v>2541308.4920000001</v>
      </c>
      <c r="J55" s="1">
        <f>[1]Results!M1415</f>
        <v>2698586.8709999998</v>
      </c>
      <c r="K55" s="1">
        <f>[1]Results!N1415</f>
        <v>2864053.5559999999</v>
      </c>
      <c r="L55" s="1">
        <f>[1]Results!O1415</f>
        <v>3036755.8909999998</v>
      </c>
      <c r="M55" s="1">
        <f>[1]Results!P1415</f>
        <v>3203380.62</v>
      </c>
      <c r="N55" s="1">
        <f>[1]Results!Q1415</f>
        <v>3353863.8259999999</v>
      </c>
      <c r="O55" s="1">
        <f>[1]Results!R1415</f>
        <v>3489240.1660000002</v>
      </c>
      <c r="P55" s="1">
        <f>[1]Results!S1415</f>
        <v>3614125.199</v>
      </c>
      <c r="Q55" s="1">
        <f>[1]Results!T1415</f>
        <v>3736378.9240000001</v>
      </c>
      <c r="R55" s="1">
        <f>[1]Results!U1415</f>
        <v>3863316.7850000001</v>
      </c>
      <c r="S55" s="1">
        <f>[1]Results!V1415</f>
        <v>3999430.98</v>
      </c>
      <c r="T55" s="1">
        <f>[1]Results!W1415</f>
        <v>4145704.0830000001</v>
      </c>
      <c r="U55" s="1">
        <f>[1]Results!X1415</f>
        <v>4300374.4380000001</v>
      </c>
      <c r="V55" s="1">
        <f>[1]Results!Y1415</f>
        <v>4460482.3190000001</v>
      </c>
      <c r="W55" s="1">
        <f>[1]Results!Z1415</f>
        <v>4623115.1689999998</v>
      </c>
      <c r="X55" s="1">
        <f>[1]Results!AA1415</f>
        <v>4788098.3389999997</v>
      </c>
      <c r="Y55" s="1">
        <f>[1]Results!AB1415</f>
        <v>4953484.1909999996</v>
      </c>
      <c r="Z55" s="1">
        <f>[1]Results!AC1415</f>
        <v>5120195.1370000001</v>
      </c>
      <c r="AA55" s="1">
        <f>[1]Results!AD1415</f>
        <v>5289465.9129999997</v>
      </c>
      <c r="AB55" s="1">
        <f>[1]Results!AE1415</f>
        <v>5462341.6179999998</v>
      </c>
      <c r="AC55" s="1">
        <f>[1]Results!AF1415</f>
        <v>5641159.1859999998</v>
      </c>
      <c r="AD55" s="1">
        <f>[1]Results!AG1415</f>
        <v>5821502.2680000002</v>
      </c>
      <c r="AE55" s="1">
        <f>[1]Results!AH1415</f>
        <v>6001866.7980000004</v>
      </c>
      <c r="AF55" s="1">
        <f>[1]Results!AI1415</f>
        <v>6181128</v>
      </c>
      <c r="AG55" s="1">
        <f>[1]Results!AJ1415</f>
        <v>6359444.8229999999</v>
      </c>
      <c r="AH55" s="1">
        <f>[1]Results!AK1415</f>
        <v>6537991.9060000004</v>
      </c>
      <c r="AI55" s="1">
        <f>[1]Results!AL1415</f>
        <v>6718305.3689999999</v>
      </c>
      <c r="AJ55" s="1">
        <f>[1]Results!AM1415</f>
        <v>6901608.3590000002</v>
      </c>
      <c r="AK55" s="1">
        <f>[1]Results!AN1415</f>
        <v>7088395.7680000002</v>
      </c>
      <c r="AL55" s="1">
        <f>[1]Results!AO1415</f>
        <v>7278390.5810000002</v>
      </c>
    </row>
    <row r="56" spans="1:38" x14ac:dyDescent="0.3"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spans="1:38" x14ac:dyDescent="0.3"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spans="1:38" x14ac:dyDescent="0.3">
      <c r="A58" s="13" t="s">
        <v>35</v>
      </c>
      <c r="B58" t="s">
        <v>4</v>
      </c>
      <c r="C58" s="1">
        <f>[1]Results!F1731</f>
        <v>1207915.335</v>
      </c>
      <c r="D58" s="1">
        <f>[1]Results!G1731</f>
        <v>1216845.7169999999</v>
      </c>
      <c r="E58" s="1">
        <f>[1]Results!H1731</f>
        <v>1234706.3289999999</v>
      </c>
      <c r="F58" s="1">
        <f>[1]Results!I1731</f>
        <v>1255506.852</v>
      </c>
      <c r="G58" s="1">
        <f>[1]Results!J1731</f>
        <v>1275497.92</v>
      </c>
      <c r="H58" s="1">
        <f>[1]Results!K1731</f>
        <v>1293769.324</v>
      </c>
      <c r="I58" s="1">
        <f>[1]Results!L1731</f>
        <v>1308900.8030000001</v>
      </c>
      <c r="J58" s="1">
        <f>[1]Results!M1731</f>
        <v>1323004.503</v>
      </c>
      <c r="K58" s="1">
        <f>[1]Results!N1731</f>
        <v>1336880.548</v>
      </c>
      <c r="L58" s="1">
        <f>[1]Results!O1731</f>
        <v>1351921.4350000001</v>
      </c>
      <c r="M58" s="1">
        <f>[1]Results!P1731</f>
        <v>1370090.398</v>
      </c>
      <c r="N58" s="1">
        <f>[1]Results!Q1731</f>
        <v>1390102.031</v>
      </c>
      <c r="O58" s="1">
        <f>[1]Results!R1731</f>
        <v>1412002.5830000001</v>
      </c>
      <c r="P58" s="1">
        <f>[1]Results!S1731</f>
        <v>1434933.7590000001</v>
      </c>
      <c r="Q58" s="1">
        <f>[1]Results!T1731</f>
        <v>1458393.5549999999</v>
      </c>
      <c r="R58" s="1">
        <f>[1]Results!U1731</f>
        <v>1482095.088</v>
      </c>
      <c r="S58" s="1">
        <f>[1]Results!V1731</f>
        <v>1505937.48</v>
      </c>
      <c r="T58" s="1">
        <f>[1]Results!W1731</f>
        <v>1529941.9890000001</v>
      </c>
      <c r="U58" s="1">
        <f>[1]Results!X1731</f>
        <v>1554169.933</v>
      </c>
      <c r="V58" s="1">
        <f>[1]Results!Y1731</f>
        <v>1578658.3670000001</v>
      </c>
      <c r="W58" s="1">
        <f>[1]Results!Z1731</f>
        <v>1602207.1</v>
      </c>
      <c r="X58" s="1">
        <f>[1]Results!AA1731</f>
        <v>1626763.6370000001</v>
      </c>
      <c r="Y58" s="1">
        <f>[1]Results!AB1731</f>
        <v>1651790.97</v>
      </c>
      <c r="Z58" s="1">
        <f>[1]Results!AC1731</f>
        <v>1677014.1040000001</v>
      </c>
      <c r="AA58" s="1">
        <f>[1]Results!AD1731</f>
        <v>1702306.38</v>
      </c>
      <c r="AB58" s="1">
        <f>[1]Results!AE1731</f>
        <v>1722924.0560000001</v>
      </c>
      <c r="AC58" s="1">
        <f>[1]Results!AF1731</f>
        <v>1746965.7339999999</v>
      </c>
      <c r="AD58" s="1">
        <f>[1]Results!AG1731</f>
        <v>1770979.936</v>
      </c>
      <c r="AE58" s="1">
        <f>[1]Results!AH1731</f>
        <v>1795279.449</v>
      </c>
      <c r="AF58" s="1">
        <f>[1]Results!AI1731</f>
        <v>1819866.49</v>
      </c>
      <c r="AG58" s="1">
        <f>[1]Results!AJ1731</f>
        <v>1844595.6310000001</v>
      </c>
      <c r="AH58" s="1">
        <f>[1]Results!AK1731</f>
        <v>1869340.2250000001</v>
      </c>
      <c r="AI58" s="1">
        <f>[1]Results!AL1731</f>
        <v>1894082.8759999999</v>
      </c>
      <c r="AJ58" s="1">
        <f>[1]Results!AM1731</f>
        <v>1918921.375</v>
      </c>
      <c r="AK58" s="1">
        <f>[1]Results!AN1731</f>
        <v>1944016.084</v>
      </c>
      <c r="AL58" s="1">
        <f>[1]Results!AO1731</f>
        <v>1969519.1089999999</v>
      </c>
    </row>
    <row r="59" spans="1:38" x14ac:dyDescent="0.3">
      <c r="A59" s="14"/>
      <c r="B59" t="s">
        <v>6</v>
      </c>
      <c r="C59" s="1">
        <f>[1]Results!F1702</f>
        <v>1207915.335</v>
      </c>
      <c r="D59" s="1">
        <f>[1]Results!G1702</f>
        <v>1216845.7169999999</v>
      </c>
      <c r="E59" s="1">
        <f>[1]Results!H1702</f>
        <v>1234706.3289999999</v>
      </c>
      <c r="F59" s="1">
        <f>[1]Results!I1702</f>
        <v>1255506.852</v>
      </c>
      <c r="G59" s="1">
        <f>[1]Results!J1702</f>
        <v>1275497.92</v>
      </c>
      <c r="H59" s="1">
        <f>[1]Results!K1702</f>
        <v>1293769.324</v>
      </c>
      <c r="I59" s="1">
        <f>[1]Results!L1702</f>
        <v>1287838.7050000001</v>
      </c>
      <c r="J59" s="1">
        <f>[1]Results!M1702</f>
        <v>1293717.9709999999</v>
      </c>
      <c r="K59" s="1">
        <f>[1]Results!N1702</f>
        <v>1305705.4410000001</v>
      </c>
      <c r="L59" s="1">
        <f>[1]Results!O1702</f>
        <v>1324807.054</v>
      </c>
      <c r="M59" s="1">
        <f>[1]Results!P1702</f>
        <v>1351014.9509999999</v>
      </c>
      <c r="N59" s="1">
        <f>[1]Results!Q1702</f>
        <v>1380039.1740000001</v>
      </c>
      <c r="O59" s="1">
        <f>[1]Results!R1702</f>
        <v>1409607.618</v>
      </c>
      <c r="P59" s="1">
        <f>[1]Results!S1702</f>
        <v>1437197.55</v>
      </c>
      <c r="Q59" s="1">
        <f>[1]Results!T1702</f>
        <v>1461835.601</v>
      </c>
      <c r="R59" s="1">
        <f>[1]Results!U1702</f>
        <v>1483811.7490000001</v>
      </c>
      <c r="S59" s="1">
        <f>[1]Results!V1702</f>
        <v>1504225.6629999999</v>
      </c>
      <c r="T59" s="1">
        <f>[1]Results!W1702</f>
        <v>1524391.9909999999</v>
      </c>
      <c r="U59" s="1">
        <f>[1]Results!X1702</f>
        <v>1545330.5260000001</v>
      </c>
      <c r="V59" s="1">
        <f>[1]Results!Y1702</f>
        <v>1567515.699</v>
      </c>
      <c r="W59" s="1">
        <f>[1]Results!Z1702</f>
        <v>1589735.524</v>
      </c>
      <c r="X59" s="1">
        <f>[1]Results!AA1702</f>
        <v>1613612.01</v>
      </c>
      <c r="Y59" s="1">
        <f>[1]Results!AB1702</f>
        <v>1638277.0619999999</v>
      </c>
      <c r="Z59" s="1">
        <f>[1]Results!AC1702</f>
        <v>1663213.32</v>
      </c>
      <c r="AA59" s="1">
        <f>[1]Results!AD1702</f>
        <v>1688214.338</v>
      </c>
      <c r="AB59" s="1">
        <f>[1]Results!AE1702</f>
        <v>1708598.284</v>
      </c>
      <c r="AC59" s="1">
        <f>[1]Results!AF1702</f>
        <v>1732561.808</v>
      </c>
      <c r="AD59" s="1">
        <f>[1]Results!AG1702</f>
        <v>1756678.996</v>
      </c>
      <c r="AE59" s="1">
        <f>[1]Results!AH1702</f>
        <v>1781238.0830000001</v>
      </c>
      <c r="AF59" s="1">
        <f>[1]Results!AI1702</f>
        <v>1806168.2679999999</v>
      </c>
      <c r="AG59" s="1">
        <f>[1]Results!AJ1702</f>
        <v>1831233.365</v>
      </c>
      <c r="AH59" s="1">
        <f>[1]Results!AK1702</f>
        <v>1856231.574</v>
      </c>
      <c r="AI59" s="1">
        <f>[1]Results!AL1702</f>
        <v>1881108.2109999999</v>
      </c>
      <c r="AJ59" s="1">
        <f>[1]Results!AM1702</f>
        <v>1905966.3330000001</v>
      </c>
      <c r="AK59" s="1">
        <f>[1]Results!AN1702</f>
        <v>1931002.709</v>
      </c>
      <c r="AL59" s="1">
        <f>[1]Results!AO1702</f>
        <v>1956417.067</v>
      </c>
    </row>
    <row r="60" spans="1:38" x14ac:dyDescent="0.3">
      <c r="A60" s="14"/>
      <c r="C60" s="1"/>
      <c r="D60" s="1"/>
      <c r="E60" s="1"/>
      <c r="F60" s="1"/>
      <c r="G60" s="1"/>
      <c r="H60" s="4">
        <f t="shared" ref="H60:U60" si="0">H58/G58-1</f>
        <v>1.4324918695280964E-2</v>
      </c>
      <c r="I60" s="4">
        <f t="shared" si="0"/>
        <v>1.1695654487476448E-2</v>
      </c>
      <c r="J60" s="4">
        <f t="shared" si="0"/>
        <v>1.0775224499575797E-2</v>
      </c>
      <c r="K60" s="4">
        <f t="shared" si="0"/>
        <v>1.0488282517961967E-2</v>
      </c>
      <c r="L60" s="4">
        <f t="shared" si="0"/>
        <v>1.1250733674374791E-2</v>
      </c>
      <c r="M60" s="4">
        <f t="shared" si="0"/>
        <v>1.3439363064762677E-2</v>
      </c>
      <c r="N60" s="4">
        <f t="shared" si="0"/>
        <v>1.4606067620948293E-2</v>
      </c>
      <c r="O60" s="4">
        <f t="shared" si="0"/>
        <v>1.5754636358775498E-2</v>
      </c>
      <c r="P60" s="4">
        <f t="shared" si="0"/>
        <v>1.6240179923240339E-2</v>
      </c>
      <c r="Q60" s="4">
        <f t="shared" si="0"/>
        <v>1.6349044583318539E-2</v>
      </c>
      <c r="R60" s="4">
        <f t="shared" si="0"/>
        <v>1.6251808655311839E-2</v>
      </c>
      <c r="S60" s="4">
        <f t="shared" si="0"/>
        <v>1.6086951635589042E-2</v>
      </c>
      <c r="T60" s="4">
        <f t="shared" si="0"/>
        <v>1.5939910732549079E-2</v>
      </c>
      <c r="U60" s="4">
        <f t="shared" si="0"/>
        <v>1.5835857943761411E-2</v>
      </c>
      <c r="V60" s="4">
        <f>V58/U58-1</f>
        <v>1.5756600021678668E-2</v>
      </c>
      <c r="W60" s="4">
        <f t="shared" ref="W60:AL60" si="1">W58/V58-1</f>
        <v>1.4916927875123998E-2</v>
      </c>
      <c r="X60" s="4">
        <f t="shared" si="1"/>
        <v>1.5326693409360104E-2</v>
      </c>
      <c r="Y60" s="4">
        <f t="shared" si="1"/>
        <v>1.5384738403763532E-2</v>
      </c>
      <c r="Z60" s="4">
        <f t="shared" si="1"/>
        <v>1.5270173077650329E-2</v>
      </c>
      <c r="AA60" s="4">
        <f t="shared" si="1"/>
        <v>1.5081731238677731E-2</v>
      </c>
      <c r="AB60" s="4">
        <f t="shared" si="1"/>
        <v>1.2111612951835493E-2</v>
      </c>
      <c r="AC60" s="4">
        <f t="shared" si="1"/>
        <v>1.3953997517346162E-2</v>
      </c>
      <c r="AD60" s="4">
        <f t="shared" si="1"/>
        <v>1.3746235276759E-2</v>
      </c>
      <c r="AE60" s="4">
        <f t="shared" si="1"/>
        <v>1.3720942008458747E-2</v>
      </c>
      <c r="AF60" s="4">
        <f t="shared" si="1"/>
        <v>1.3695383754153356E-2</v>
      </c>
      <c r="AG60" s="4">
        <f t="shared" si="1"/>
        <v>1.3588436918798408E-2</v>
      </c>
      <c r="AH60" s="4">
        <f t="shared" si="1"/>
        <v>1.3414644155145039E-2</v>
      </c>
      <c r="AI60" s="4">
        <f t="shared" si="1"/>
        <v>1.3236034120006179E-2</v>
      </c>
      <c r="AJ60" s="4">
        <f t="shared" si="1"/>
        <v>1.3113733994815968E-2</v>
      </c>
      <c r="AK60" s="4">
        <f t="shared" si="1"/>
        <v>1.3077507670161914E-2</v>
      </c>
      <c r="AL60" s="4">
        <f t="shared" si="1"/>
        <v>1.3118731480618706E-2</v>
      </c>
    </row>
    <row r="61" spans="1:38" x14ac:dyDescent="0.3">
      <c r="A61" s="18" t="s">
        <v>3</v>
      </c>
      <c r="B61" t="s">
        <v>4</v>
      </c>
      <c r="C61" s="1">
        <f>[1]Results!F1789</f>
        <v>0.99828038009999998</v>
      </c>
      <c r="D61" s="1">
        <f>[1]Results!G1789</f>
        <v>1.0195316240000001</v>
      </c>
      <c r="E61" s="1">
        <f>[1]Results!H1789</f>
        <v>1.033661392</v>
      </c>
      <c r="F61" s="1">
        <f>[1]Results!I1789</f>
        <v>1.0454893679999999</v>
      </c>
      <c r="G61" s="1">
        <f>[1]Results!J1789</f>
        <v>1.05723061</v>
      </c>
      <c r="H61" s="1">
        <f>[1]Results!K1789</f>
        <v>1.0710518550000001</v>
      </c>
      <c r="I61" s="1">
        <f>[1]Results!L1789</f>
        <v>1.0885652139999999</v>
      </c>
      <c r="J61" s="1">
        <f>[1]Results!M1789</f>
        <v>1.109814461</v>
      </c>
      <c r="K61" s="1">
        <f>[1]Results!N1789</f>
        <v>1.133939808</v>
      </c>
      <c r="L61" s="1">
        <f>[1]Results!O1789</f>
        <v>1.1595949919999999</v>
      </c>
      <c r="M61" s="1">
        <f>[1]Results!P1789</f>
        <v>1.1848353170000001</v>
      </c>
      <c r="N61" s="1">
        <f>[1]Results!Q1789</f>
        <v>1.2110985700000001</v>
      </c>
      <c r="O61" s="1">
        <f>[1]Results!R1789</f>
        <v>1.237584971</v>
      </c>
      <c r="P61" s="1">
        <f>[1]Results!S1789</f>
        <v>1.264650901</v>
      </c>
      <c r="Q61" s="1">
        <f>[1]Results!T1789</f>
        <v>1.292461911</v>
      </c>
      <c r="R61" s="1">
        <f>[1]Results!U1789</f>
        <v>1.321064711</v>
      </c>
      <c r="S61" s="1">
        <f>[1]Results!V1789</f>
        <v>1.3503802490000001</v>
      </c>
      <c r="T61" s="1">
        <f>[1]Results!W1789</f>
        <v>1.3802519529999999</v>
      </c>
      <c r="U61" s="1">
        <f>[1]Results!X1789</f>
        <v>1.4105233909999999</v>
      </c>
      <c r="V61" s="1">
        <f>[1]Results!Y1789</f>
        <v>1.4411025740000001</v>
      </c>
      <c r="W61" s="1">
        <f>[1]Results!Z1789</f>
        <v>1.4725109380000001</v>
      </c>
      <c r="X61" s="1">
        <f>[1]Results!AA1789</f>
        <v>1.503545541</v>
      </c>
      <c r="Y61" s="1">
        <f>[1]Results!AB1789</f>
        <v>1.534951172</v>
      </c>
      <c r="Z61" s="1">
        <f>[1]Results!AC1789</f>
        <v>1.5668818099999999</v>
      </c>
      <c r="AA61" s="1">
        <f>[1]Results!AD1789</f>
        <v>1.599578291</v>
      </c>
      <c r="AB61" s="1">
        <f>[1]Results!AE1789</f>
        <v>1.634551066</v>
      </c>
      <c r="AC61" s="1">
        <f>[1]Results!AF1789</f>
        <v>1.6690566389999999</v>
      </c>
      <c r="AD61" s="1">
        <f>[1]Results!AG1789</f>
        <v>1.7037464099999999</v>
      </c>
      <c r="AE61" s="1">
        <f>[1]Results!AH1789</f>
        <v>1.738460804</v>
      </c>
      <c r="AF61" s="1">
        <f>[1]Results!AI1789</f>
        <v>1.7734410620000001</v>
      </c>
      <c r="AG61" s="1">
        <f>[1]Results!AJ1789</f>
        <v>1.8090291000000001</v>
      </c>
      <c r="AH61" s="1">
        <f>[1]Results!AK1789</f>
        <v>1.845512796</v>
      </c>
      <c r="AI61" s="1">
        <f>[1]Results!AL1789</f>
        <v>1.8830357310000001</v>
      </c>
      <c r="AJ61" s="1">
        <f>[1]Results!AM1789</f>
        <v>1.921587127</v>
      </c>
      <c r="AK61" s="1">
        <f>[1]Results!AN1789</f>
        <v>1.9610564130000001</v>
      </c>
      <c r="AL61" s="1">
        <f>[1]Results!AO1789</f>
        <v>2.0013144280000001</v>
      </c>
    </row>
    <row r="62" spans="1:38" x14ac:dyDescent="0.3">
      <c r="A62" s="18"/>
      <c r="B62" t="s">
        <v>6</v>
      </c>
      <c r="C62" s="1">
        <f>[1]Results!F1760</f>
        <v>0.99828038009999998</v>
      </c>
      <c r="D62" s="1">
        <f>[1]Results!G1760</f>
        <v>1.0195316240000001</v>
      </c>
      <c r="E62" s="1">
        <f>[1]Results!H1760</f>
        <v>1.033661392</v>
      </c>
      <c r="F62" s="1">
        <f>[1]Results!I1760</f>
        <v>1.0454893679999999</v>
      </c>
      <c r="G62" s="1">
        <f>[1]Results!J1760</f>
        <v>1.05723061</v>
      </c>
      <c r="H62" s="1">
        <f>[1]Results!K1760</f>
        <v>1.0710518550000001</v>
      </c>
      <c r="I62" s="1">
        <f>[1]Results!L1760</f>
        <v>1.1277472989999999</v>
      </c>
      <c r="J62" s="1">
        <f>[1]Results!M1760</f>
        <v>1.1608294480000001</v>
      </c>
      <c r="K62" s="1">
        <f>[1]Results!N1760</f>
        <v>1.1972739349999999</v>
      </c>
      <c r="L62" s="1">
        <f>[1]Results!O1760</f>
        <v>1.228186024</v>
      </c>
      <c r="M62" s="1">
        <f>[1]Results!P1760</f>
        <v>1.252252937</v>
      </c>
      <c r="N62" s="1">
        <f>[1]Results!Q1760</f>
        <v>1.273465904</v>
      </c>
      <c r="O62" s="1">
        <f>[1]Results!R1760</f>
        <v>1.2933850929999999</v>
      </c>
      <c r="P62" s="1">
        <f>[1]Results!S1760</f>
        <v>1.3145984479999999</v>
      </c>
      <c r="Q62" s="1">
        <f>[1]Results!T1760</f>
        <v>1.3385194739999999</v>
      </c>
      <c r="R62" s="1">
        <f>[1]Results!U1760</f>
        <v>1.365396321</v>
      </c>
      <c r="S62" s="1">
        <f>[1]Results!V1760</f>
        <v>1.3945776000000001</v>
      </c>
      <c r="T62" s="1">
        <f>[1]Results!W1760</f>
        <v>1.425037162</v>
      </c>
      <c r="U62" s="1">
        <f>[1]Results!X1760</f>
        <v>1.4558927209999999</v>
      </c>
      <c r="V62" s="1">
        <f>[1]Results!Y1760</f>
        <v>1.486705728</v>
      </c>
      <c r="W62" s="1">
        <f>[1]Results!Z1760</f>
        <v>1.5180353660000001</v>
      </c>
      <c r="X62" s="1">
        <f>[1]Results!AA1760</f>
        <v>1.548904439</v>
      </c>
      <c r="Y62" s="1">
        <f>[1]Results!AB1760</f>
        <v>1.5803703330000001</v>
      </c>
      <c r="Z62" s="1">
        <f>[1]Results!AC1760</f>
        <v>1.6127405880000001</v>
      </c>
      <c r="AA62" s="1">
        <f>[1]Results!AD1760</f>
        <v>1.6462452999999999</v>
      </c>
      <c r="AB62" s="1">
        <f>[1]Results!AE1760</f>
        <v>1.682311822</v>
      </c>
      <c r="AC62" s="1">
        <f>[1]Results!AF1760</f>
        <v>1.7178060399999999</v>
      </c>
      <c r="AD62" s="1">
        <f>[1]Results!AG1760</f>
        <v>1.7533531950000001</v>
      </c>
      <c r="AE62" s="1">
        <f>[1]Results!AH1760</f>
        <v>1.788733586</v>
      </c>
      <c r="AF62" s="1">
        <f>[1]Results!AI1760</f>
        <v>1.8242313130000001</v>
      </c>
      <c r="AG62" s="1">
        <f>[1]Results!AJ1760</f>
        <v>1.8602804669999999</v>
      </c>
      <c r="AH62" s="1">
        <f>[1]Results!AK1760</f>
        <v>1.897262714</v>
      </c>
      <c r="AI62" s="1">
        <f>[1]Results!AL1760</f>
        <v>1.9353805909999999</v>
      </c>
      <c r="AJ62" s="1">
        <f>[1]Results!AM1760</f>
        <v>1.9746328820000001</v>
      </c>
      <c r="AK62" s="1">
        <f>[1]Results!AN1760</f>
        <v>2.0148770159999998</v>
      </c>
      <c r="AL62" s="1">
        <f>[1]Results!AO1760</f>
        <v>2.0559321810000002</v>
      </c>
    </row>
    <row r="63" spans="1:38" x14ac:dyDescent="0.3">
      <c r="A63" s="14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 spans="1:38" x14ac:dyDescent="0.3">
      <c r="A64" s="18" t="s">
        <v>1</v>
      </c>
      <c r="B64" t="str">
        <f>B61</f>
        <v>Baseline</v>
      </c>
      <c r="D64" s="1">
        <f t="shared" ref="D64:AL64" si="2">(D61/C61-1)*100</f>
        <v>2.1287850912056649</v>
      </c>
      <c r="E64" s="1">
        <f t="shared" si="2"/>
        <v>1.3859077705273615</v>
      </c>
      <c r="F64" s="1">
        <f t="shared" si="2"/>
        <v>1.1442795572653042</v>
      </c>
      <c r="G64" s="1">
        <f t="shared" si="2"/>
        <v>1.1230379150063197</v>
      </c>
      <c r="H64" s="1">
        <f t="shared" si="2"/>
        <v>1.3073065487576141</v>
      </c>
      <c r="I64" s="1">
        <f t="shared" si="2"/>
        <v>1.6351550971357875</v>
      </c>
      <c r="J64" s="1">
        <f t="shared" si="2"/>
        <v>1.9520417083620067</v>
      </c>
      <c r="K64" s="1">
        <f t="shared" si="2"/>
        <v>2.1738180432665954</v>
      </c>
      <c r="L64" s="1">
        <f t="shared" si="2"/>
        <v>2.2624819958697362</v>
      </c>
      <c r="M64" s="1">
        <f t="shared" si="2"/>
        <v>2.176650052314133</v>
      </c>
      <c r="N64" s="1">
        <f t="shared" si="2"/>
        <v>2.2166163198526601</v>
      </c>
      <c r="O64" s="1">
        <f t="shared" si="2"/>
        <v>2.1869731874920806</v>
      </c>
      <c r="P64" s="1">
        <f t="shared" si="2"/>
        <v>2.1869956919507549</v>
      </c>
      <c r="Q64" s="1">
        <f t="shared" si="2"/>
        <v>2.1991056961260247</v>
      </c>
      <c r="R64" s="1">
        <f t="shared" si="2"/>
        <v>2.2130478087257099</v>
      </c>
      <c r="S64" s="1">
        <f t="shared" si="2"/>
        <v>2.2190841792911975</v>
      </c>
      <c r="T64" s="1">
        <f t="shared" si="2"/>
        <v>2.2120957428191534</v>
      </c>
      <c r="U64" s="1">
        <f t="shared" si="2"/>
        <v>2.1931820443509942</v>
      </c>
      <c r="V64" s="1">
        <f t="shared" si="2"/>
        <v>2.1679316482884348</v>
      </c>
      <c r="W64" s="1">
        <f t="shared" si="2"/>
        <v>2.1794676219903941</v>
      </c>
      <c r="X64" s="1">
        <f t="shared" si="2"/>
        <v>2.1075974513406148</v>
      </c>
      <c r="Y64" s="1">
        <f t="shared" si="2"/>
        <v>2.088771516632093</v>
      </c>
      <c r="Z64" s="1">
        <f t="shared" si="2"/>
        <v>2.0802380285748878</v>
      </c>
      <c r="AA64" s="1">
        <f t="shared" si="2"/>
        <v>2.0867228652045045</v>
      </c>
      <c r="AB64" s="1">
        <f t="shared" si="2"/>
        <v>2.1863746961792163</v>
      </c>
      <c r="AC64" s="1">
        <f t="shared" si="2"/>
        <v>2.1110122355761263</v>
      </c>
      <c r="AD64" s="1">
        <f t="shared" si="2"/>
        <v>2.0784058604975897</v>
      </c>
      <c r="AE64" s="1">
        <f t="shared" si="2"/>
        <v>2.0375329213459636</v>
      </c>
      <c r="AF64" s="1">
        <f t="shared" si="2"/>
        <v>2.0121395845977386</v>
      </c>
      <c r="AG64" s="1">
        <f t="shared" si="2"/>
        <v>2.0067223412468804</v>
      </c>
      <c r="AH64" s="1">
        <f t="shared" si="2"/>
        <v>2.016755617695698</v>
      </c>
      <c r="AI64" s="1">
        <f t="shared" si="2"/>
        <v>2.0331983111321783</v>
      </c>
      <c r="AJ64" s="1">
        <f t="shared" si="2"/>
        <v>2.047300290978904</v>
      </c>
      <c r="AK64" s="1">
        <f t="shared" si="2"/>
        <v>2.0539940888144814</v>
      </c>
      <c r="AL64" s="1">
        <f t="shared" si="2"/>
        <v>2.0528738863974771</v>
      </c>
    </row>
    <row r="65" spans="1:38" x14ac:dyDescent="0.3">
      <c r="A65" s="18"/>
      <c r="B65" t="str">
        <f>B62</f>
        <v>NZ50</v>
      </c>
      <c r="D65" s="1">
        <f t="shared" ref="D65:AL65" si="3">(D62/C62-1)*100</f>
        <v>2.1287850912056649</v>
      </c>
      <c r="E65" s="1">
        <f t="shared" si="3"/>
        <v>1.3859077705273615</v>
      </c>
      <c r="F65" s="1">
        <f t="shared" si="3"/>
        <v>1.1442795572653042</v>
      </c>
      <c r="G65" s="1">
        <f t="shared" si="3"/>
        <v>1.1230379150063197</v>
      </c>
      <c r="H65" s="1">
        <f t="shared" si="3"/>
        <v>1.3073065487576141</v>
      </c>
      <c r="I65" s="1">
        <f t="shared" si="3"/>
        <v>5.2934359560023125</v>
      </c>
      <c r="J65" s="1">
        <f t="shared" si="3"/>
        <v>2.9334718007602234</v>
      </c>
      <c r="K65" s="1">
        <f t="shared" si="3"/>
        <v>3.1395212330967537</v>
      </c>
      <c r="L65" s="1">
        <f t="shared" si="3"/>
        <v>2.5818727106925676</v>
      </c>
      <c r="M65" s="1">
        <f t="shared" si="3"/>
        <v>1.9595494924798063</v>
      </c>
      <c r="N65" s="1">
        <f t="shared" si="3"/>
        <v>1.6939842082398737</v>
      </c>
      <c r="O65" s="1">
        <f t="shared" si="3"/>
        <v>1.5641713639472421</v>
      </c>
      <c r="P65" s="1">
        <f t="shared" si="3"/>
        <v>1.6401422217412254</v>
      </c>
      <c r="Q65" s="1">
        <f t="shared" si="3"/>
        <v>1.8196450814614185</v>
      </c>
      <c r="R65" s="1">
        <f t="shared" si="3"/>
        <v>2.0079533784952641</v>
      </c>
      <c r="S65" s="1">
        <f t="shared" si="3"/>
        <v>2.1372021112982198</v>
      </c>
      <c r="T65" s="1">
        <f t="shared" si="3"/>
        <v>2.1841424959069933</v>
      </c>
      <c r="U65" s="1">
        <f t="shared" si="3"/>
        <v>2.1652459193902684</v>
      </c>
      <c r="V65" s="1">
        <f t="shared" si="3"/>
        <v>2.1164338934832827</v>
      </c>
      <c r="W65" s="1">
        <f t="shared" si="3"/>
        <v>2.107319384727635</v>
      </c>
      <c r="X65" s="1">
        <f t="shared" si="3"/>
        <v>2.0334883950259508</v>
      </c>
      <c r="Y65" s="1">
        <f t="shared" si="3"/>
        <v>2.0314935645942889</v>
      </c>
      <c r="Z65" s="1">
        <f t="shared" si="3"/>
        <v>2.0482702265457009</v>
      </c>
      <c r="AA65" s="1">
        <f t="shared" si="3"/>
        <v>2.0775016297909232</v>
      </c>
      <c r="AB65" s="1">
        <f t="shared" si="3"/>
        <v>2.1908352297194122</v>
      </c>
      <c r="AC65" s="1">
        <f t="shared" si="3"/>
        <v>2.1098477426023887</v>
      </c>
      <c r="AD65" s="1">
        <f t="shared" si="3"/>
        <v>2.0693346147508063</v>
      </c>
      <c r="AE65" s="1">
        <f t="shared" si="3"/>
        <v>2.0178701644878672</v>
      </c>
      <c r="AF65" s="1">
        <f t="shared" si="3"/>
        <v>1.9845172739994643</v>
      </c>
      <c r="AG65" s="1">
        <f t="shared" si="3"/>
        <v>1.9761284516444322</v>
      </c>
      <c r="AH65" s="1">
        <f t="shared" si="3"/>
        <v>1.9879930825505987</v>
      </c>
      <c r="AI65" s="1">
        <f t="shared" si="3"/>
        <v>2.009098514334684</v>
      </c>
      <c r="AJ65" s="1">
        <f t="shared" si="3"/>
        <v>2.0281432593947102</v>
      </c>
      <c r="AK65" s="1">
        <f t="shared" si="3"/>
        <v>2.0380565099897829</v>
      </c>
      <c r="AL65" s="1">
        <f t="shared" si="3"/>
        <v>2.0376015346834642</v>
      </c>
    </row>
    <row r="66" spans="1:38" x14ac:dyDescent="0.3">
      <c r="A66" s="14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38" x14ac:dyDescent="0.3">
      <c r="A67" s="15" t="s">
        <v>2</v>
      </c>
      <c r="B67" t="str">
        <f>B64</f>
        <v>Baseline</v>
      </c>
      <c r="C67" s="6">
        <f>[1]Emissions!B820</f>
        <v>352.66205120000001</v>
      </c>
      <c r="D67" s="6">
        <f>[1]Emissions!C820</f>
        <v>355.2350485</v>
      </c>
      <c r="E67" s="6">
        <f>[1]Emissions!D820</f>
        <v>357.33033</v>
      </c>
      <c r="F67" s="6">
        <f>[1]Emissions!E820</f>
        <v>359.27821</v>
      </c>
      <c r="G67" s="6">
        <f>[1]Emissions!F820</f>
        <v>361.50007490000002</v>
      </c>
      <c r="H67" s="6">
        <f>[1]Emissions!G820</f>
        <v>364.33780610000002</v>
      </c>
      <c r="I67" s="6">
        <f>[1]Emissions!H820</f>
        <v>367.49754369999999</v>
      </c>
      <c r="J67" s="6">
        <f>[1]Emissions!I820</f>
        <v>371.346969</v>
      </c>
      <c r="K67" s="6">
        <f>[1]Emissions!J820</f>
        <v>375.6614275</v>
      </c>
      <c r="L67" s="6">
        <f>[1]Emissions!K820</f>
        <v>380.16006800000002</v>
      </c>
      <c r="M67" s="6">
        <f>[1]Emissions!L820</f>
        <v>385.204768</v>
      </c>
      <c r="N67" s="6">
        <f>[1]Emissions!M820</f>
        <v>389.60271180000001</v>
      </c>
      <c r="O67" s="6">
        <f>[1]Emissions!N820</f>
        <v>393.94747660000002</v>
      </c>
      <c r="P67" s="6">
        <f>[1]Emissions!O820</f>
        <v>398.33179250000001</v>
      </c>
      <c r="Q67" s="6">
        <f>[1]Emissions!P820</f>
        <v>402.75667220000003</v>
      </c>
      <c r="R67" s="6">
        <f>[1]Emissions!Q820</f>
        <v>407.21387750000002</v>
      </c>
      <c r="S67" s="6">
        <f>[1]Emissions!R820</f>
        <v>411.69532909999998</v>
      </c>
      <c r="T67" s="6">
        <f>[1]Emissions!S820</f>
        <v>416.19360879999999</v>
      </c>
      <c r="U67" s="6">
        <f>[1]Emissions!T820</f>
        <v>420.70513620000003</v>
      </c>
      <c r="V67" s="6">
        <f>[1]Emissions!U820</f>
        <v>425.23422260000001</v>
      </c>
      <c r="W67" s="6">
        <f>[1]Emissions!V820</f>
        <v>429.36463570000001</v>
      </c>
      <c r="X67" s="6">
        <f>[1]Emissions!W820</f>
        <v>433.95696149999998</v>
      </c>
      <c r="Y67" s="6">
        <f>[1]Emissions!X820</f>
        <v>438.64157299999999</v>
      </c>
      <c r="Z67" s="6">
        <f>[1]Emissions!Y820</f>
        <v>443.38260650000001</v>
      </c>
      <c r="AA67" s="6">
        <f>[1]Emissions!Z820</f>
        <v>448.21126520000001</v>
      </c>
      <c r="AB67" s="6">
        <f>[1]Emissions!AA820</f>
        <v>451.83291630000002</v>
      </c>
      <c r="AC67" s="6">
        <f>[1]Emissions!AB820</f>
        <v>456.32227469999998</v>
      </c>
      <c r="AD67" s="6">
        <f>[1]Emissions!AC820</f>
        <v>460.93641880000001</v>
      </c>
      <c r="AE67" s="6">
        <f>[1]Emissions!AD820</f>
        <v>465.538882</v>
      </c>
      <c r="AF67" s="6">
        <f>[1]Emissions!AE820</f>
        <v>470.15875949999997</v>
      </c>
      <c r="AG67" s="6">
        <f>[1]Emissions!AF820</f>
        <v>474.84620410000002</v>
      </c>
      <c r="AH67" s="6">
        <f>[1]Emissions!AG820</f>
        <v>479.6343895</v>
      </c>
      <c r="AI67" s="6">
        <f>[1]Emissions!AH820</f>
        <v>484.5324225</v>
      </c>
      <c r="AJ67" s="6">
        <f>[1]Emissions!AI820</f>
        <v>489.53033119999998</v>
      </c>
      <c r="AK67" s="6">
        <f>[1]Emissions!AJ820</f>
        <v>494.60917599999999</v>
      </c>
      <c r="AL67" s="6">
        <f>[1]Emissions!AK820</f>
        <v>499.75133199999999</v>
      </c>
    </row>
    <row r="68" spans="1:38" x14ac:dyDescent="0.3">
      <c r="A68" s="11"/>
      <c r="B68" t="s">
        <v>32</v>
      </c>
      <c r="C68" s="6">
        <f>[1]Emissions!B824</f>
        <v>115.311927</v>
      </c>
      <c r="D68" s="6">
        <f>[1]Emissions!C824</f>
        <v>115.0546119</v>
      </c>
      <c r="E68" s="6">
        <f>[1]Emissions!D824</f>
        <v>114.4665024</v>
      </c>
      <c r="F68" s="6">
        <f>[1]Emissions!E824</f>
        <v>113.98231730000001</v>
      </c>
      <c r="G68" s="6">
        <f>[1]Emissions!F824</f>
        <v>113.69548570000001</v>
      </c>
      <c r="H68" s="6">
        <f>[1]Emissions!G824</f>
        <v>113.5835625</v>
      </c>
      <c r="I68" s="6">
        <f>[1]Emissions!H824</f>
        <v>113.57932719999999</v>
      </c>
      <c r="J68" s="6">
        <f>[1]Emissions!I824</f>
        <v>113.65638509999999</v>
      </c>
      <c r="K68" s="6">
        <f>[1]Emissions!J824</f>
        <v>113.79808130000001</v>
      </c>
      <c r="L68" s="6">
        <f>[1]Emissions!K824</f>
        <v>113.999865</v>
      </c>
      <c r="M68" s="6">
        <f>[1]Emissions!L824</f>
        <v>114.2977544</v>
      </c>
      <c r="N68" s="6">
        <f>[1]Emissions!M824</f>
        <v>114.6411738</v>
      </c>
      <c r="O68" s="6">
        <f>[1]Emissions!N824</f>
        <v>115.0249587</v>
      </c>
      <c r="P68" s="6">
        <f>[1]Emissions!O824</f>
        <v>115.4384548</v>
      </c>
      <c r="Q68" s="6">
        <f>[1]Emissions!P824</f>
        <v>115.86763879999999</v>
      </c>
      <c r="R68" s="6">
        <f>[1]Emissions!Q824</f>
        <v>116.3049571</v>
      </c>
      <c r="S68" s="6">
        <f>[1]Emissions!R824</f>
        <v>116.74864150000001</v>
      </c>
      <c r="T68" s="6">
        <f>[1]Emissions!S824</f>
        <v>117.19721749999999</v>
      </c>
      <c r="U68" s="6">
        <f>[1]Emissions!T824</f>
        <v>117.64872149999999</v>
      </c>
      <c r="V68" s="6">
        <f>[1]Emissions!U824</f>
        <v>118.1009797</v>
      </c>
      <c r="W68" s="6">
        <f>[1]Emissions!V824</f>
        <v>118.5268818</v>
      </c>
      <c r="X68" s="6">
        <f>[1]Emissions!W824</f>
        <v>118.9584989</v>
      </c>
      <c r="Y68" s="6">
        <f>[1]Emissions!X824</f>
        <v>119.39203139999999</v>
      </c>
      <c r="Z68" s="6">
        <f>[1]Emissions!Y824</f>
        <v>119.8240133</v>
      </c>
      <c r="AA68" s="6">
        <f>[1]Emissions!Z824</f>
        <v>120.2522891</v>
      </c>
      <c r="AB68" s="6">
        <f>[1]Emissions!AA824</f>
        <v>120.6056645</v>
      </c>
      <c r="AC68" s="6">
        <f>[1]Emissions!AB824</f>
        <v>120.94834590000001</v>
      </c>
      <c r="AD68" s="6">
        <f>[1]Emissions!AC824</f>
        <v>121.2864156</v>
      </c>
      <c r="AE68" s="6">
        <f>[1]Emissions!AD824</f>
        <v>121.6217587</v>
      </c>
      <c r="AF68" s="6">
        <f>[1]Emissions!AE824</f>
        <v>121.95406869999999</v>
      </c>
      <c r="AG68" s="6">
        <f>[1]Emissions!AF824</f>
        <v>122.2818317</v>
      </c>
      <c r="AH68" s="6">
        <f>[1]Emissions!AG824</f>
        <v>122.60354460000001</v>
      </c>
      <c r="AI68" s="6">
        <f>[1]Emissions!AH824</f>
        <v>122.91858740000001</v>
      </c>
      <c r="AJ68" s="6">
        <f>[1]Emissions!AI824</f>
        <v>123.2274628</v>
      </c>
      <c r="AK68" s="6">
        <f>[1]Emissions!AJ824</f>
        <v>123.53146649999999</v>
      </c>
      <c r="AL68" s="6">
        <f>[1]Emissions!AK824</f>
        <v>123.8320638</v>
      </c>
    </row>
    <row r="69" spans="1:38" x14ac:dyDescent="0.3">
      <c r="A69" s="11"/>
      <c r="B69" t="s">
        <v>80</v>
      </c>
      <c r="C69" s="6">
        <f>SUM(C70:C72)</f>
        <v>237.350124198</v>
      </c>
      <c r="D69" s="6">
        <f t="shared" ref="D69:AL69" si="4">SUM(D70:D72)</f>
        <v>240.18043659899999</v>
      </c>
      <c r="E69" s="6">
        <f t="shared" si="4"/>
        <v>242.863827582</v>
      </c>
      <c r="F69" s="6">
        <f t="shared" si="4"/>
        <v>245.29589273900001</v>
      </c>
      <c r="G69" s="6">
        <f t="shared" si="4"/>
        <v>247.80458922300002</v>
      </c>
      <c r="H69" s="6">
        <f t="shared" si="4"/>
        <v>250.75424356899998</v>
      </c>
      <c r="I69" s="6">
        <f t="shared" si="4"/>
        <v>253.918216492</v>
      </c>
      <c r="J69" s="6">
        <f t="shared" si="4"/>
        <v>257.69058391300001</v>
      </c>
      <c r="K69" s="6">
        <f t="shared" si="4"/>
        <v>261.86334624</v>
      </c>
      <c r="L69" s="6">
        <f t="shared" si="4"/>
        <v>266.16020301699996</v>
      </c>
      <c r="M69" s="6">
        <f t="shared" si="4"/>
        <v>270.907013651</v>
      </c>
      <c r="N69" s="6">
        <f t="shared" si="4"/>
        <v>274.96153798</v>
      </c>
      <c r="O69" s="6">
        <f t="shared" si="4"/>
        <v>278.92251790500001</v>
      </c>
      <c r="P69" s="6">
        <f t="shared" si="4"/>
        <v>282.89333766499999</v>
      </c>
      <c r="Q69" s="6">
        <f t="shared" si="4"/>
        <v>286.88903345299997</v>
      </c>
      <c r="R69" s="6">
        <f t="shared" si="4"/>
        <v>290.90892035900004</v>
      </c>
      <c r="S69" s="6">
        <f t="shared" si="4"/>
        <v>294.94668766500001</v>
      </c>
      <c r="T69" s="6">
        <f t="shared" si="4"/>
        <v>298.99639132200002</v>
      </c>
      <c r="U69" s="6">
        <f t="shared" si="4"/>
        <v>303.056414722</v>
      </c>
      <c r="V69" s="6">
        <f t="shared" si="4"/>
        <v>307.13324298099997</v>
      </c>
      <c r="W69" s="6">
        <f t="shared" si="4"/>
        <v>310.83775386000002</v>
      </c>
      <c r="X69" s="6">
        <f t="shared" si="4"/>
        <v>314.99846262</v>
      </c>
      <c r="Y69" s="6">
        <f t="shared" si="4"/>
        <v>319.249541647</v>
      </c>
      <c r="Z69" s="6">
        <f t="shared" si="4"/>
        <v>323.55859325699998</v>
      </c>
      <c r="AA69" s="6">
        <f t="shared" si="4"/>
        <v>327.958976006</v>
      </c>
      <c r="AB69" s="6">
        <f t="shared" si="4"/>
        <v>331.22725191200004</v>
      </c>
      <c r="AC69" s="6">
        <f t="shared" si="4"/>
        <v>335.37392883500002</v>
      </c>
      <c r="AD69" s="6">
        <f t="shared" si="4"/>
        <v>339.65000316500004</v>
      </c>
      <c r="AE69" s="6">
        <f t="shared" si="4"/>
        <v>343.91712325399999</v>
      </c>
      <c r="AF69" s="6">
        <f t="shared" si="4"/>
        <v>348.20469083099999</v>
      </c>
      <c r="AG69" s="6">
        <f t="shared" si="4"/>
        <v>352.56437244800003</v>
      </c>
      <c r="AH69" s="6">
        <f t="shared" si="4"/>
        <v>357.03084484300001</v>
      </c>
      <c r="AI69" s="6">
        <f t="shared" si="4"/>
        <v>361.61383515399996</v>
      </c>
      <c r="AJ69" s="6">
        <f t="shared" si="4"/>
        <v>366.30286836700003</v>
      </c>
      <c r="AK69" s="6">
        <f t="shared" si="4"/>
        <v>371.07770950100002</v>
      </c>
      <c r="AL69" s="6">
        <f t="shared" si="4"/>
        <v>375.919268187</v>
      </c>
    </row>
    <row r="70" spans="1:38" x14ac:dyDescent="0.3">
      <c r="A70" s="11"/>
      <c r="B70" t="s">
        <v>36</v>
      </c>
      <c r="C70" s="6">
        <f>[1]Emissions!B821</f>
        <v>185.34808140000001</v>
      </c>
      <c r="D70" s="6">
        <f>[1]Emissions!C821</f>
        <v>187.31634389999999</v>
      </c>
      <c r="E70" s="6">
        <f>[1]Emissions!D821</f>
        <v>188.974277</v>
      </c>
      <c r="F70" s="6">
        <f>[1]Emissions!E821</f>
        <v>190.41494990000001</v>
      </c>
      <c r="G70" s="6">
        <f>[1]Emissions!F821</f>
        <v>191.98067800000001</v>
      </c>
      <c r="H70" s="6">
        <f>[1]Emissions!G821</f>
        <v>194.0075674</v>
      </c>
      <c r="I70" s="6">
        <f>[1]Emissions!H821</f>
        <v>196.41958289999999</v>
      </c>
      <c r="J70" s="6">
        <f>[1]Emissions!I821</f>
        <v>199.42540740000001</v>
      </c>
      <c r="K70" s="6">
        <f>[1]Emissions!J821</f>
        <v>202.8163261</v>
      </c>
      <c r="L70" s="6">
        <f>[1]Emissions!K821</f>
        <v>206.3263638</v>
      </c>
      <c r="M70" s="6">
        <f>[1]Emissions!L821</f>
        <v>210.0424194</v>
      </c>
      <c r="N70" s="6">
        <f>[1]Emissions!M821</f>
        <v>213.3191894</v>
      </c>
      <c r="O70" s="6">
        <f>[1]Emissions!N821</f>
        <v>216.48773940000001</v>
      </c>
      <c r="P70" s="6">
        <f>[1]Emissions!O821</f>
        <v>219.61400140000001</v>
      </c>
      <c r="Q70" s="6">
        <f>[1]Emissions!P821</f>
        <v>222.72827419999999</v>
      </c>
      <c r="R70" s="6">
        <f>[1]Emissions!Q821</f>
        <v>225.84590750000001</v>
      </c>
      <c r="S70" s="6">
        <f>[1]Emissions!R821</f>
        <v>228.96897430000001</v>
      </c>
      <c r="T70" s="6">
        <f>[1]Emissions!S821</f>
        <v>232.0925015</v>
      </c>
      <c r="U70" s="6">
        <f>[1]Emissions!T821</f>
        <v>235.21231119999999</v>
      </c>
      <c r="V70" s="6">
        <f>[1]Emissions!U821</f>
        <v>238.33177319999999</v>
      </c>
      <c r="W70" s="6">
        <f>[1]Emissions!V821</f>
        <v>241.2295963</v>
      </c>
      <c r="X70" s="6">
        <f>[1]Emissions!W821</f>
        <v>244.36947190000001</v>
      </c>
      <c r="Y70" s="6">
        <f>[1]Emissions!X821</f>
        <v>247.56221790000001</v>
      </c>
      <c r="Z70" s="6">
        <f>[1]Emissions!Y821</f>
        <v>250.81121049999999</v>
      </c>
      <c r="AA70" s="6">
        <f>[1]Emissions!Z821</f>
        <v>254.14733659999999</v>
      </c>
      <c r="AB70" s="6">
        <f>[1]Emissions!AA821</f>
        <v>256.84656310000003</v>
      </c>
      <c r="AC70" s="6">
        <f>[1]Emissions!AB821</f>
        <v>260.04153580000002</v>
      </c>
      <c r="AD70" s="6">
        <f>[1]Emissions!AC821</f>
        <v>263.27849670000001</v>
      </c>
      <c r="AE70" s="6">
        <f>[1]Emissions!AD821</f>
        <v>266.49391989999998</v>
      </c>
      <c r="AF70" s="6">
        <f>[1]Emissions!AE821</f>
        <v>269.72155839999999</v>
      </c>
      <c r="AG70" s="6">
        <f>[1]Emissions!AF821</f>
        <v>273.00986740000002</v>
      </c>
      <c r="AH70" s="6">
        <f>[1]Emissions!AG821</f>
        <v>276.3932059</v>
      </c>
      <c r="AI70" s="6">
        <f>[1]Emissions!AH821</f>
        <v>279.88257060000001</v>
      </c>
      <c r="AJ70" s="6">
        <f>[1]Emissions!AI821</f>
        <v>283.46814910000001</v>
      </c>
      <c r="AK70" s="6">
        <f>[1]Emissions!AJ821</f>
        <v>287.12884680000002</v>
      </c>
      <c r="AL70" s="6">
        <f>[1]Emissions!AK821</f>
        <v>290.84351770000001</v>
      </c>
    </row>
    <row r="71" spans="1:38" x14ac:dyDescent="0.3">
      <c r="A71" s="11"/>
      <c r="B71" t="s">
        <v>37</v>
      </c>
      <c r="C71" s="6">
        <f>[1]Emissions!B822</f>
        <v>2.752998888</v>
      </c>
      <c r="D71" s="6">
        <f>[1]Emissions!C822</f>
        <v>2.7418505689999999</v>
      </c>
      <c r="E71" s="6">
        <f>[1]Emissions!D822</f>
        <v>2.741217502</v>
      </c>
      <c r="F71" s="6">
        <f>[1]Emissions!E822</f>
        <v>2.7513423690000001</v>
      </c>
      <c r="G71" s="6">
        <f>[1]Emissions!F822</f>
        <v>2.7712100230000001</v>
      </c>
      <c r="H71" s="6">
        <f>[1]Emissions!G822</f>
        <v>2.7980796290000001</v>
      </c>
      <c r="I71" s="6">
        <f>[1]Emissions!H822</f>
        <v>2.8275062819999999</v>
      </c>
      <c r="J71" s="6">
        <f>[1]Emissions!I822</f>
        <v>2.8562029330000001</v>
      </c>
      <c r="K71" s="6">
        <f>[1]Emissions!J822</f>
        <v>2.8826433800000002</v>
      </c>
      <c r="L71" s="6">
        <f>[1]Emissions!K822</f>
        <v>2.9062524870000002</v>
      </c>
      <c r="M71" s="6">
        <f>[1]Emissions!L822</f>
        <v>2.9288857610000001</v>
      </c>
      <c r="N71" s="6">
        <f>[1]Emissions!M822</f>
        <v>2.9494630000000002</v>
      </c>
      <c r="O71" s="6">
        <f>[1]Emissions!N822</f>
        <v>2.966915325</v>
      </c>
      <c r="P71" s="6">
        <f>[1]Emissions!O822</f>
        <v>2.981739965</v>
      </c>
      <c r="Q71" s="6">
        <f>[1]Emissions!P822</f>
        <v>2.9946309929999999</v>
      </c>
      <c r="R71" s="6">
        <f>[1]Emissions!Q822</f>
        <v>3.0063931290000001</v>
      </c>
      <c r="S71" s="6">
        <f>[1]Emissions!R822</f>
        <v>3.0178468449999998</v>
      </c>
      <c r="T71" s="6">
        <f>[1]Emissions!S822</f>
        <v>3.0297221419999998</v>
      </c>
      <c r="U71" s="6">
        <f>[1]Emissions!T822</f>
        <v>3.0425813320000001</v>
      </c>
      <c r="V71" s="6">
        <f>[1]Emissions!U822</f>
        <v>3.0567655710000001</v>
      </c>
      <c r="W71" s="6">
        <f>[1]Emissions!V822</f>
        <v>3.07101873</v>
      </c>
      <c r="X71" s="6">
        <f>[1]Emissions!W822</f>
        <v>3.0865337799999999</v>
      </c>
      <c r="Y71" s="6">
        <f>[1]Emissions!X822</f>
        <v>3.1038660770000002</v>
      </c>
      <c r="Z71" s="6">
        <f>[1]Emissions!Y822</f>
        <v>3.1225574370000002</v>
      </c>
      <c r="AA71" s="6">
        <f>[1]Emissions!Z822</f>
        <v>3.1420733059999999</v>
      </c>
      <c r="AB71" s="6">
        <f>[1]Emissions!AA822</f>
        <v>3.1579090120000002</v>
      </c>
      <c r="AC71" s="6">
        <f>[1]Emissions!AB822</f>
        <v>3.1721704750000002</v>
      </c>
      <c r="AD71" s="6">
        <f>[1]Emissions!AC822</f>
        <v>3.1864170949999999</v>
      </c>
      <c r="AE71" s="6">
        <f>[1]Emissions!AD822</f>
        <v>3.200984074</v>
      </c>
      <c r="AF71" s="6">
        <f>[1]Emissions!AE822</f>
        <v>3.215926821</v>
      </c>
      <c r="AG71" s="6">
        <f>[1]Emissions!AF822</f>
        <v>3.2311448779999998</v>
      </c>
      <c r="AH71" s="6">
        <f>[1]Emissions!AG822</f>
        <v>3.2464798730000002</v>
      </c>
      <c r="AI71" s="6">
        <f>[1]Emissions!AH822</f>
        <v>3.2618039040000002</v>
      </c>
      <c r="AJ71" s="6">
        <f>[1]Emissions!AI822</f>
        <v>3.2770661470000002</v>
      </c>
      <c r="AK71" s="6">
        <f>[1]Emissions!AJ822</f>
        <v>3.292292631</v>
      </c>
      <c r="AL71" s="6">
        <f>[1]Emissions!AK822</f>
        <v>3.307554477</v>
      </c>
    </row>
    <row r="72" spans="1:38" x14ac:dyDescent="0.3">
      <c r="A72" s="11"/>
      <c r="B72" t="s">
        <v>38</v>
      </c>
      <c r="C72" s="6">
        <f>[1]Emissions!B823</f>
        <v>49.249043909999997</v>
      </c>
      <c r="D72" s="6">
        <f>[1]Emissions!C823</f>
        <v>50.122242129999997</v>
      </c>
      <c r="E72" s="6">
        <f>[1]Emissions!D823</f>
        <v>51.14833308</v>
      </c>
      <c r="F72" s="6">
        <f>[1]Emissions!E823</f>
        <v>52.12960047</v>
      </c>
      <c r="G72" s="6">
        <f>[1]Emissions!F823</f>
        <v>53.052701200000001</v>
      </c>
      <c r="H72" s="6">
        <f>[1]Emissions!G823</f>
        <v>53.948596539999997</v>
      </c>
      <c r="I72" s="6">
        <f>[1]Emissions!H823</f>
        <v>54.671127310000003</v>
      </c>
      <c r="J72" s="6">
        <f>[1]Emissions!I823</f>
        <v>55.408973580000001</v>
      </c>
      <c r="K72" s="6">
        <f>[1]Emissions!J823</f>
        <v>56.164376760000003</v>
      </c>
      <c r="L72" s="6">
        <f>[1]Emissions!K823</f>
        <v>56.927586730000002</v>
      </c>
      <c r="M72" s="6">
        <f>[1]Emissions!L823</f>
        <v>57.935708490000003</v>
      </c>
      <c r="N72" s="6">
        <f>[1]Emissions!M823</f>
        <v>58.692885580000002</v>
      </c>
      <c r="O72" s="6">
        <f>[1]Emissions!N823</f>
        <v>59.467863180000002</v>
      </c>
      <c r="P72" s="6">
        <f>[1]Emissions!O823</f>
        <v>60.297596300000002</v>
      </c>
      <c r="Q72" s="6">
        <f>[1]Emissions!P823</f>
        <v>61.166128260000001</v>
      </c>
      <c r="R72" s="6">
        <f>[1]Emissions!Q823</f>
        <v>62.056619730000001</v>
      </c>
      <c r="S72" s="6">
        <f>[1]Emissions!R823</f>
        <v>62.959866519999999</v>
      </c>
      <c r="T72" s="6">
        <f>[1]Emissions!S823</f>
        <v>63.874167679999999</v>
      </c>
      <c r="U72" s="6">
        <f>[1]Emissions!T823</f>
        <v>64.80152219</v>
      </c>
      <c r="V72" s="6">
        <f>[1]Emissions!U823</f>
        <v>65.744704209999995</v>
      </c>
      <c r="W72" s="6">
        <f>[1]Emissions!V823</f>
        <v>66.537138830000004</v>
      </c>
      <c r="X72" s="6">
        <f>[1]Emissions!W823</f>
        <v>67.542456939999994</v>
      </c>
      <c r="Y72" s="6">
        <f>[1]Emissions!X823</f>
        <v>68.583457670000001</v>
      </c>
      <c r="Z72" s="6">
        <f>[1]Emissions!Y823</f>
        <v>69.624825319999999</v>
      </c>
      <c r="AA72" s="6">
        <f>[1]Emissions!Z823</f>
        <v>70.669566099999997</v>
      </c>
      <c r="AB72" s="6">
        <f>[1]Emissions!AA823</f>
        <v>71.222779799999998</v>
      </c>
      <c r="AC72" s="6">
        <f>[1]Emissions!AB823</f>
        <v>72.160222559999994</v>
      </c>
      <c r="AD72" s="6">
        <f>[1]Emissions!AC823</f>
        <v>73.18508937</v>
      </c>
      <c r="AE72" s="6">
        <f>[1]Emissions!AD823</f>
        <v>74.222219280000004</v>
      </c>
      <c r="AF72" s="6">
        <f>[1]Emissions!AE823</f>
        <v>75.267205610000005</v>
      </c>
      <c r="AG72" s="6">
        <f>[1]Emissions!AF823</f>
        <v>76.323360170000001</v>
      </c>
      <c r="AH72" s="6">
        <f>[1]Emissions!AG823</f>
        <v>77.39115907</v>
      </c>
      <c r="AI72" s="6">
        <f>[1]Emissions!AH823</f>
        <v>78.469460650000002</v>
      </c>
      <c r="AJ72" s="6">
        <f>[1]Emissions!AI823</f>
        <v>79.557653119999998</v>
      </c>
      <c r="AK72" s="6">
        <f>[1]Emissions!AJ823</f>
        <v>80.656570070000001</v>
      </c>
      <c r="AL72" s="6">
        <f>[1]Emissions!AK823</f>
        <v>81.768196009999997</v>
      </c>
    </row>
    <row r="73" spans="1:38" x14ac:dyDescent="0.3">
      <c r="A73" s="11"/>
      <c r="B73" t="str">
        <f>B65</f>
        <v>NZ50</v>
      </c>
      <c r="C73" s="6">
        <f>[1]Emissions!B825</f>
        <v>352.66205120000001</v>
      </c>
      <c r="D73" s="6">
        <f>[1]Emissions!C825</f>
        <v>355.2350485</v>
      </c>
      <c r="E73" s="6">
        <f>[1]Emissions!D825</f>
        <v>357.33033</v>
      </c>
      <c r="F73" s="6">
        <f>[1]Emissions!E825</f>
        <v>359.27821</v>
      </c>
      <c r="G73" s="6">
        <f>[1]Emissions!F825</f>
        <v>361.50007490000002</v>
      </c>
      <c r="H73" s="6">
        <f>[1]Emissions!G825</f>
        <v>364.33780610000002</v>
      </c>
      <c r="I73" s="6">
        <f>[1]Emissions!H825</f>
        <v>370.3629881</v>
      </c>
      <c r="J73" s="6">
        <f>[1]Emissions!I825</f>
        <v>374.48689139999999</v>
      </c>
      <c r="K73" s="6">
        <f>[1]Emissions!J825</f>
        <v>378.0061824</v>
      </c>
      <c r="L73" s="6">
        <f>[1]Emissions!K825</f>
        <v>380.96607110000002</v>
      </c>
      <c r="M73" s="6">
        <f>[1]Emissions!L825</f>
        <v>384.06913220000001</v>
      </c>
      <c r="N73" s="6">
        <f>[1]Emissions!M825</f>
        <v>386.54364880000003</v>
      </c>
      <c r="O73" s="6">
        <f>[1]Emissions!N825</f>
        <v>389.29335570000001</v>
      </c>
      <c r="P73" s="6">
        <f>[1]Emissions!O825</f>
        <v>392.58389019999998</v>
      </c>
      <c r="Q73" s="6">
        <f>[1]Emissions!P825</f>
        <v>396.4302576</v>
      </c>
      <c r="R73" s="6">
        <f>[1]Emissions!Q825</f>
        <v>400.71907820000001</v>
      </c>
      <c r="S73" s="6">
        <f>[1]Emissions!R825</f>
        <v>405.27455880000002</v>
      </c>
      <c r="T73" s="6">
        <f>[1]Emissions!S825</f>
        <v>409.93143500000002</v>
      </c>
      <c r="U73" s="6">
        <f>[1]Emissions!T825</f>
        <v>414.58131500000002</v>
      </c>
      <c r="V73" s="6">
        <f>[1]Emissions!U825</f>
        <v>419.18842619999998</v>
      </c>
      <c r="W73" s="6">
        <f>[1]Emissions!V825</f>
        <v>423.34520379999998</v>
      </c>
      <c r="X73" s="6">
        <f>[1]Emissions!W825</f>
        <v>427.95081779999998</v>
      </c>
      <c r="Y73" s="6">
        <f>[1]Emissions!X825</f>
        <v>432.66379319999999</v>
      </c>
      <c r="Z73" s="6">
        <f>[1]Emissions!Y825</f>
        <v>437.46071480000001</v>
      </c>
      <c r="AA73" s="6">
        <f>[1]Emissions!Z825</f>
        <v>442.36618149999998</v>
      </c>
      <c r="AB73" s="6">
        <f>[1]Emissions!AA825</f>
        <v>446.0683507</v>
      </c>
      <c r="AC73" s="6">
        <f>[1]Emissions!AB825</f>
        <v>450.62591859999998</v>
      </c>
      <c r="AD73" s="6">
        <f>[1]Emissions!AC825</f>
        <v>455.28671880000002</v>
      </c>
      <c r="AE73" s="6">
        <f>[1]Emissions!AD825</f>
        <v>459.91590259999998</v>
      </c>
      <c r="AF73" s="6">
        <f>[1]Emissions!AE825</f>
        <v>464.5494736</v>
      </c>
      <c r="AG73" s="6">
        <f>[1]Emissions!AF825</f>
        <v>469.2467312</v>
      </c>
      <c r="AH73" s="6">
        <f>[1]Emissions!AG825</f>
        <v>474.04851500000001</v>
      </c>
      <c r="AI73" s="6">
        <f>[1]Emissions!AH825</f>
        <v>478.96743980000002</v>
      </c>
      <c r="AJ73" s="6">
        <f>[1]Emissions!AI825</f>
        <v>483.99274500000001</v>
      </c>
      <c r="AK73" s="6">
        <f>[1]Emissions!AJ825</f>
        <v>489.1022261</v>
      </c>
      <c r="AL73" s="6">
        <f>[1]Emissions!AK825</f>
        <v>494.27452449999998</v>
      </c>
    </row>
    <row r="74" spans="1:38" x14ac:dyDescent="0.3">
      <c r="A74" s="8"/>
      <c r="B74" t="s">
        <v>32</v>
      </c>
      <c r="C74" s="6">
        <f>[1]Emissions!B829</f>
        <v>115.311927</v>
      </c>
      <c r="D74" s="6">
        <f>[1]Emissions!C829</f>
        <v>115.0546119</v>
      </c>
      <c r="E74" s="6">
        <f>[1]Emissions!D829</f>
        <v>114.4665024</v>
      </c>
      <c r="F74" s="6">
        <f>[1]Emissions!E829</f>
        <v>113.98231730000001</v>
      </c>
      <c r="G74" s="6">
        <f>[1]Emissions!F829</f>
        <v>113.69548570000001</v>
      </c>
      <c r="H74" s="6">
        <f>[1]Emissions!G829</f>
        <v>113.5835625</v>
      </c>
      <c r="I74" s="6">
        <f>[1]Emissions!H829</f>
        <v>113.5996684</v>
      </c>
      <c r="J74" s="6">
        <f>[1]Emissions!I829</f>
        <v>113.6602364</v>
      </c>
      <c r="K74" s="6">
        <f>[1]Emissions!J829</f>
        <v>113.8690754</v>
      </c>
      <c r="L74" s="6">
        <f>[1]Emissions!K829</f>
        <v>114.2090159</v>
      </c>
      <c r="M74" s="6">
        <f>[1]Emissions!L829</f>
        <v>114.6832016</v>
      </c>
      <c r="N74" s="6">
        <f>[1]Emissions!M829</f>
        <v>115.1961458</v>
      </c>
      <c r="O74" s="6">
        <f>[1]Emissions!N829</f>
        <v>115.71240450000001</v>
      </c>
      <c r="P74" s="6">
        <f>[1]Emissions!O829</f>
        <v>116.2073862</v>
      </c>
      <c r="Q74" s="6">
        <f>[1]Emissions!P829</f>
        <v>116.6681128</v>
      </c>
      <c r="R74" s="6">
        <f>[1]Emissions!Q829</f>
        <v>117.0944381</v>
      </c>
      <c r="S74" s="6">
        <f>[1]Emissions!R829</f>
        <v>117.49238870000001</v>
      </c>
      <c r="T74" s="6">
        <f>[1]Emissions!S829</f>
        <v>117.87570169999999</v>
      </c>
      <c r="U74" s="6">
        <f>[1]Emissions!T829</f>
        <v>118.2595451</v>
      </c>
      <c r="V74" s="6">
        <f>[1]Emissions!U829</f>
        <v>118.6547499</v>
      </c>
      <c r="W74" s="6">
        <f>[1]Emissions!V829</f>
        <v>119.04016489999999</v>
      </c>
      <c r="X74" s="6">
        <f>[1]Emissions!W829</f>
        <v>119.44831259999999</v>
      </c>
      <c r="Y74" s="6">
        <f>[1]Emissions!X829</f>
        <v>119.87250710000001</v>
      </c>
      <c r="Z74" s="6">
        <f>[1]Emissions!Y829</f>
        <v>120.3058691</v>
      </c>
      <c r="AA74" s="6">
        <f>[1]Emissions!Z829</f>
        <v>120.74362170000001</v>
      </c>
      <c r="AB74" s="6">
        <f>[1]Emissions!AA829</f>
        <v>121.1125131</v>
      </c>
      <c r="AC74" s="6">
        <f>[1]Emissions!AB829</f>
        <v>121.4766486</v>
      </c>
      <c r="AD74" s="6">
        <f>[1]Emissions!AC829</f>
        <v>121.8421245</v>
      </c>
      <c r="AE74" s="6">
        <f>[1]Emissions!AD829</f>
        <v>122.2104349</v>
      </c>
      <c r="AF74" s="6">
        <f>[1]Emissions!AE829</f>
        <v>122.58036869999999</v>
      </c>
      <c r="AG74" s="6">
        <f>[1]Emissions!AF829</f>
        <v>122.9496323</v>
      </c>
      <c r="AH74" s="6">
        <f>[1]Emissions!AG829</f>
        <v>123.31628809999999</v>
      </c>
      <c r="AI74" s="6">
        <f>[1]Emissions!AH829</f>
        <v>123.6793993</v>
      </c>
      <c r="AJ74" s="6">
        <f>[1]Emissions!AI829</f>
        <v>124.0394957</v>
      </c>
      <c r="AK74" s="6">
        <f>[1]Emissions!AJ829</f>
        <v>124.3983551</v>
      </c>
      <c r="AL74" s="6">
        <f>[1]Emissions!AK829</f>
        <v>124.7581958</v>
      </c>
    </row>
    <row r="75" spans="1:38" x14ac:dyDescent="0.3">
      <c r="A75" s="8"/>
      <c r="B75" t="s">
        <v>80</v>
      </c>
      <c r="C75" s="6">
        <f>SUM(C76:C78)</f>
        <v>237.350124198</v>
      </c>
      <c r="D75" s="6">
        <f t="shared" ref="D75:AL75" si="5">SUM(D76:D78)</f>
        <v>240.18043659899999</v>
      </c>
      <c r="E75" s="6">
        <f t="shared" si="5"/>
        <v>242.863827582</v>
      </c>
      <c r="F75" s="6">
        <f t="shared" si="5"/>
        <v>245.29589273900001</v>
      </c>
      <c r="G75" s="6">
        <f t="shared" si="5"/>
        <v>247.80458922300002</v>
      </c>
      <c r="H75" s="6">
        <f t="shared" si="5"/>
        <v>250.75424356899998</v>
      </c>
      <c r="I75" s="6">
        <f t="shared" si="5"/>
        <v>256.76331967199997</v>
      </c>
      <c r="J75" s="6">
        <f t="shared" si="5"/>
        <v>260.826654991</v>
      </c>
      <c r="K75" s="6">
        <f t="shared" si="5"/>
        <v>264.13710698900002</v>
      </c>
      <c r="L75" s="6">
        <f t="shared" si="5"/>
        <v>266.75705520000002</v>
      </c>
      <c r="M75" s="6">
        <f t="shared" si="5"/>
        <v>269.38593060300002</v>
      </c>
      <c r="N75" s="6">
        <f t="shared" si="5"/>
        <v>271.347502996</v>
      </c>
      <c r="O75" s="6">
        <f t="shared" si="5"/>
        <v>273.58095119000001</v>
      </c>
      <c r="P75" s="6">
        <f t="shared" si="5"/>
        <v>276.376504044</v>
      </c>
      <c r="Q75" s="6">
        <f t="shared" si="5"/>
        <v>279.76214487499999</v>
      </c>
      <c r="R75" s="6">
        <f t="shared" si="5"/>
        <v>283.624640097</v>
      </c>
      <c r="S75" s="6">
        <f t="shared" si="5"/>
        <v>287.78217005499999</v>
      </c>
      <c r="T75" s="6">
        <f t="shared" si="5"/>
        <v>292.05573320600001</v>
      </c>
      <c r="U75" s="6">
        <f t="shared" si="5"/>
        <v>296.32176995099996</v>
      </c>
      <c r="V75" s="6">
        <f t="shared" si="5"/>
        <v>300.53367638399999</v>
      </c>
      <c r="W75" s="6">
        <f t="shared" si="5"/>
        <v>304.30503896599998</v>
      </c>
      <c r="X75" s="6">
        <f t="shared" si="5"/>
        <v>308.502505144</v>
      </c>
      <c r="Y75" s="6">
        <f t="shared" si="5"/>
        <v>312.79128605599999</v>
      </c>
      <c r="Z75" s="6">
        <f t="shared" si="5"/>
        <v>317.15484573399999</v>
      </c>
      <c r="AA75" s="6">
        <f t="shared" si="5"/>
        <v>321.62255970900003</v>
      </c>
      <c r="AB75" s="6">
        <f t="shared" si="5"/>
        <v>324.95583763299999</v>
      </c>
      <c r="AC75" s="6">
        <f t="shared" si="5"/>
        <v>329.14927004000003</v>
      </c>
      <c r="AD75" s="6">
        <f t="shared" si="5"/>
        <v>333.44459427299995</v>
      </c>
      <c r="AE75" s="6">
        <f t="shared" si="5"/>
        <v>337.70546769400005</v>
      </c>
      <c r="AF75" s="6">
        <f t="shared" si="5"/>
        <v>341.96910485700005</v>
      </c>
      <c r="AG75" s="6">
        <f t="shared" si="5"/>
        <v>346.29709889700001</v>
      </c>
      <c r="AH75" s="6">
        <f t="shared" si="5"/>
        <v>350.73222687099997</v>
      </c>
      <c r="AI75" s="6">
        <f t="shared" si="5"/>
        <v>355.28804058899999</v>
      </c>
      <c r="AJ75" s="6">
        <f t="shared" si="5"/>
        <v>359.95324925800003</v>
      </c>
      <c r="AK75" s="6">
        <f t="shared" si="5"/>
        <v>364.70387096299999</v>
      </c>
      <c r="AL75" s="6">
        <f t="shared" si="5"/>
        <v>369.51632867500001</v>
      </c>
    </row>
    <row r="76" spans="1:38" x14ac:dyDescent="0.3">
      <c r="A76" s="8"/>
      <c r="B76" t="s">
        <v>36</v>
      </c>
      <c r="C76" s="5">
        <f>[1]Emissions!B826</f>
        <v>185.34808140000001</v>
      </c>
      <c r="D76" s="5">
        <f>[1]Emissions!C826</f>
        <v>187.31634389999999</v>
      </c>
      <c r="E76" s="5">
        <f>[1]Emissions!D826</f>
        <v>188.974277</v>
      </c>
      <c r="F76" s="5">
        <f>[1]Emissions!E826</f>
        <v>190.41494990000001</v>
      </c>
      <c r="G76" s="5">
        <f>[1]Emissions!F826</f>
        <v>191.98067800000001</v>
      </c>
      <c r="H76" s="5">
        <f>[1]Emissions!G826</f>
        <v>194.0075674</v>
      </c>
      <c r="I76" s="5">
        <f>[1]Emissions!H826</f>
        <v>199.52539239999999</v>
      </c>
      <c r="J76" s="5">
        <f>[1]Emissions!I826</f>
        <v>203.1743707</v>
      </c>
      <c r="K76" s="5">
        <f>[1]Emissions!J826</f>
        <v>206.03313460000001</v>
      </c>
      <c r="L76" s="5">
        <f>[1]Emissions!K826</f>
        <v>208.09893980000001</v>
      </c>
      <c r="M76" s="5">
        <f>[1]Emissions!L826</f>
        <v>209.80661860000001</v>
      </c>
      <c r="N76" s="5">
        <f>[1]Emissions!M826</f>
        <v>210.98407689999999</v>
      </c>
      <c r="O76" s="5">
        <f>[1]Emissions!N826</f>
        <v>212.33993580000001</v>
      </c>
      <c r="P76" s="5">
        <f>[1]Emissions!O826</f>
        <v>214.17327109999999</v>
      </c>
      <c r="Q76" s="5">
        <f>[1]Emissions!P826</f>
        <v>216.56858159999999</v>
      </c>
      <c r="R76" s="5">
        <f>[1]Emissions!Q826</f>
        <v>219.45244009999999</v>
      </c>
      <c r="S76" s="5">
        <f>[1]Emissions!R826</f>
        <v>222.65696689999999</v>
      </c>
      <c r="T76" s="5">
        <f>[1]Emissions!S826</f>
        <v>225.99701580000001</v>
      </c>
      <c r="U76" s="5">
        <f>[1]Emissions!T826</f>
        <v>229.33318589999999</v>
      </c>
      <c r="V76" s="5">
        <f>[1]Emissions!U826</f>
        <v>232.60294110000001</v>
      </c>
      <c r="W76" s="5">
        <f>[1]Emissions!V826</f>
        <v>235.57879449999999</v>
      </c>
      <c r="X76" s="5">
        <f>[1]Emissions!W826</f>
        <v>238.76207339999999</v>
      </c>
      <c r="Y76" s="5">
        <f>[1]Emissions!X826</f>
        <v>241.99593369999999</v>
      </c>
      <c r="Z76" s="5">
        <f>[1]Emissions!Y826</f>
        <v>245.30299980000001</v>
      </c>
      <c r="AA76" s="5">
        <f>[1]Emissions!Z826</f>
        <v>248.7126681</v>
      </c>
      <c r="AB76" s="5">
        <f>[1]Emissions!AA826</f>
        <v>251.48378679999999</v>
      </c>
      <c r="AC76" s="5">
        <f>[1]Emissions!AB826</f>
        <v>254.73440740000001</v>
      </c>
      <c r="AD76" s="5">
        <f>[1]Emissions!AC826</f>
        <v>257.99855229999997</v>
      </c>
      <c r="AE76" s="5">
        <f>[1]Emissions!AD826</f>
        <v>261.21299420000003</v>
      </c>
      <c r="AF76" s="5">
        <f>[1]Emissions!AE826</f>
        <v>264.41888390000003</v>
      </c>
      <c r="AG76" s="5">
        <f>[1]Emissions!AF826</f>
        <v>267.67527960000001</v>
      </c>
      <c r="AH76" s="5">
        <f>[1]Emissions!AG826</f>
        <v>271.02596319999998</v>
      </c>
      <c r="AI76" s="5">
        <f>[1]Emissions!AH826</f>
        <v>274.48714749999999</v>
      </c>
      <c r="AJ76" s="5">
        <f>[1]Emissions!AI826</f>
        <v>278.04917410000002</v>
      </c>
      <c r="AK76" s="5">
        <f>[1]Emissions!AJ826</f>
        <v>281.68749769999999</v>
      </c>
      <c r="AL76" s="5">
        <f>[1]Emissions!AK826</f>
        <v>285.37617060000002</v>
      </c>
    </row>
    <row r="77" spans="1:38" x14ac:dyDescent="0.3">
      <c r="A77" s="8"/>
      <c r="B77" t="s">
        <v>37</v>
      </c>
      <c r="C77" s="5">
        <f>[1]Emissions!B827</f>
        <v>2.752998888</v>
      </c>
      <c r="D77" s="5">
        <f>[1]Emissions!C827</f>
        <v>2.7418505689999999</v>
      </c>
      <c r="E77" s="5">
        <f>[1]Emissions!D827</f>
        <v>2.741217502</v>
      </c>
      <c r="F77" s="5">
        <f>[1]Emissions!E827</f>
        <v>2.7513423690000001</v>
      </c>
      <c r="G77" s="5">
        <f>[1]Emissions!F827</f>
        <v>2.7712100230000001</v>
      </c>
      <c r="H77" s="5">
        <f>[1]Emissions!G827</f>
        <v>2.7980796290000001</v>
      </c>
      <c r="I77" s="5">
        <f>[1]Emissions!H827</f>
        <v>2.8078785119999998</v>
      </c>
      <c r="J77" s="5">
        <f>[1]Emissions!I827</f>
        <v>2.801649421</v>
      </c>
      <c r="K77" s="5">
        <f>[1]Emissions!J827</f>
        <v>2.7831360890000001</v>
      </c>
      <c r="L77" s="5">
        <f>[1]Emissions!K827</f>
        <v>2.7662488299999999</v>
      </c>
      <c r="M77" s="5">
        <f>[1]Emissions!L827</f>
        <v>2.7595932730000001</v>
      </c>
      <c r="N77" s="5">
        <f>[1]Emissions!M827</f>
        <v>2.7645268459999999</v>
      </c>
      <c r="O77" s="5">
        <f>[1]Emissions!N827</f>
        <v>2.77874716</v>
      </c>
      <c r="P77" s="5">
        <f>[1]Emissions!O827</f>
        <v>2.7996588340000002</v>
      </c>
      <c r="Q77" s="5">
        <f>[1]Emissions!P827</f>
        <v>2.8242311849999999</v>
      </c>
      <c r="R77" s="5">
        <f>[1]Emissions!Q827</f>
        <v>2.8498430670000001</v>
      </c>
      <c r="S77" s="5">
        <f>[1]Emissions!R827</f>
        <v>2.8747102949999999</v>
      </c>
      <c r="T77" s="5">
        <f>[1]Emissions!S827</f>
        <v>2.8979004860000002</v>
      </c>
      <c r="U77" s="5">
        <f>[1]Emissions!T827</f>
        <v>2.919111901</v>
      </c>
      <c r="V77" s="5">
        <f>[1]Emissions!U827</f>
        <v>2.938402994</v>
      </c>
      <c r="W77" s="5">
        <f>[1]Emissions!V827</f>
        <v>2.9547208660000002</v>
      </c>
      <c r="X77" s="5">
        <f>[1]Emissions!W827</f>
        <v>2.9694990840000002</v>
      </c>
      <c r="Y77" s="5">
        <f>[1]Emissions!X827</f>
        <v>2.9839238259999998</v>
      </c>
      <c r="Z77" s="5">
        <f>[1]Emissions!Y827</f>
        <v>2.9982503739999999</v>
      </c>
      <c r="AA77" s="5">
        <f>[1]Emissions!Z827</f>
        <v>3.0127164290000001</v>
      </c>
      <c r="AB77" s="5">
        <f>[1]Emissions!AA827</f>
        <v>3.0238261629999998</v>
      </c>
      <c r="AC77" s="5">
        <f>[1]Emissions!AB827</f>
        <v>3.03396548</v>
      </c>
      <c r="AD77" s="5">
        <f>[1]Emissions!AC827</f>
        <v>3.0451406630000002</v>
      </c>
      <c r="AE77" s="5">
        <f>[1]Emissions!AD827</f>
        <v>3.0578153440000002</v>
      </c>
      <c r="AF77" s="5">
        <f>[1]Emissions!AE827</f>
        <v>3.0719843870000001</v>
      </c>
      <c r="AG77" s="5">
        <f>[1]Emissions!AF827</f>
        <v>3.0873468370000001</v>
      </c>
      <c r="AH77" s="5">
        <f>[1]Emissions!AG827</f>
        <v>3.103467271</v>
      </c>
      <c r="AI77" s="5">
        <f>[1]Emissions!AH827</f>
        <v>3.119924149</v>
      </c>
      <c r="AJ77" s="5">
        <f>[1]Emissions!AI827</f>
        <v>3.136402978</v>
      </c>
      <c r="AK77" s="5">
        <f>[1]Emissions!AJ827</f>
        <v>3.1527243029999998</v>
      </c>
      <c r="AL77" s="5">
        <f>[1]Emissions!AK827</f>
        <v>3.1688223949999998</v>
      </c>
    </row>
    <row r="78" spans="1:38" x14ac:dyDescent="0.3">
      <c r="B78" t="s">
        <v>38</v>
      </c>
      <c r="C78" s="5">
        <f>[1]Emissions!B828</f>
        <v>49.249043909999997</v>
      </c>
      <c r="D78" s="5">
        <f>[1]Emissions!C828</f>
        <v>50.122242129999997</v>
      </c>
      <c r="E78" s="5">
        <f>[1]Emissions!D828</f>
        <v>51.14833308</v>
      </c>
      <c r="F78" s="5">
        <f>[1]Emissions!E828</f>
        <v>52.12960047</v>
      </c>
      <c r="G78" s="5">
        <f>[1]Emissions!F828</f>
        <v>53.052701200000001</v>
      </c>
      <c r="H78" s="5">
        <f>[1]Emissions!G828</f>
        <v>53.948596539999997</v>
      </c>
      <c r="I78" s="5">
        <f>[1]Emissions!H828</f>
        <v>54.430048759999998</v>
      </c>
      <c r="J78" s="5">
        <f>[1]Emissions!I828</f>
        <v>54.85063487</v>
      </c>
      <c r="K78" s="5">
        <f>[1]Emissions!J828</f>
        <v>55.320836300000003</v>
      </c>
      <c r="L78" s="5">
        <f>[1]Emissions!K828</f>
        <v>55.891866569999998</v>
      </c>
      <c r="M78" s="5">
        <f>[1]Emissions!L828</f>
        <v>56.819718729999998</v>
      </c>
      <c r="N78" s="5">
        <f>[1]Emissions!M828</f>
        <v>57.598899250000002</v>
      </c>
      <c r="O78" s="5">
        <f>[1]Emissions!N828</f>
        <v>58.462268229999999</v>
      </c>
      <c r="P78" s="5">
        <f>[1]Emissions!O828</f>
        <v>59.403574110000001</v>
      </c>
      <c r="Q78" s="5">
        <f>[1]Emissions!P828</f>
        <v>60.36933209</v>
      </c>
      <c r="R78" s="5">
        <f>[1]Emissions!Q828</f>
        <v>61.322356929999998</v>
      </c>
      <c r="S78" s="5">
        <f>[1]Emissions!R828</f>
        <v>62.250492860000001</v>
      </c>
      <c r="T78" s="5">
        <f>[1]Emissions!S828</f>
        <v>63.160816920000002</v>
      </c>
      <c r="U78" s="5">
        <f>[1]Emissions!T828</f>
        <v>64.069472149999996</v>
      </c>
      <c r="V78" s="5">
        <f>[1]Emissions!U828</f>
        <v>64.992332289999993</v>
      </c>
      <c r="W78" s="5">
        <f>[1]Emissions!V828</f>
        <v>65.771523599999995</v>
      </c>
      <c r="X78" s="5">
        <f>[1]Emissions!W828</f>
        <v>66.77093266</v>
      </c>
      <c r="Y78" s="5">
        <f>[1]Emissions!X828</f>
        <v>67.811428530000001</v>
      </c>
      <c r="Z78" s="5">
        <f>[1]Emissions!Y828</f>
        <v>68.853595560000002</v>
      </c>
      <c r="AA78" s="5">
        <f>[1]Emissions!Z828</f>
        <v>69.897175180000005</v>
      </c>
      <c r="AB78" s="5">
        <f>[1]Emissions!AA828</f>
        <v>70.448224670000002</v>
      </c>
      <c r="AC78" s="5">
        <f>[1]Emissions!AB828</f>
        <v>71.380897160000004</v>
      </c>
      <c r="AD78" s="5">
        <f>[1]Emissions!AC828</f>
        <v>72.400901309999995</v>
      </c>
      <c r="AE78" s="5">
        <f>[1]Emissions!AD828</f>
        <v>73.434658150000004</v>
      </c>
      <c r="AF78" s="5">
        <f>[1]Emissions!AE828</f>
        <v>74.478236570000007</v>
      </c>
      <c r="AG78" s="5">
        <f>[1]Emissions!AF828</f>
        <v>75.534472460000003</v>
      </c>
      <c r="AH78" s="5">
        <f>[1]Emissions!AG828</f>
        <v>76.602796400000003</v>
      </c>
      <c r="AI78" s="5">
        <f>[1]Emissions!AH828</f>
        <v>77.68096894</v>
      </c>
      <c r="AJ78" s="5">
        <f>[1]Emissions!AI828</f>
        <v>78.767672180000005</v>
      </c>
      <c r="AK78" s="5">
        <f>[1]Emissions!AJ828</f>
        <v>79.863648960000006</v>
      </c>
      <c r="AL78" s="5">
        <f>[1]Emissions!AK828</f>
        <v>80.971335679999996</v>
      </c>
    </row>
    <row r="79" spans="1:38" x14ac:dyDescent="0.3">
      <c r="B79" t="s">
        <v>12</v>
      </c>
      <c r="C79" s="6">
        <f>[1]Results!F1551</f>
        <v>1960604.2250000001</v>
      </c>
      <c r="D79" s="6">
        <f>[1]Results!G1551</f>
        <v>1975296.787</v>
      </c>
      <c r="E79" s="6">
        <f>[1]Results!H1551</f>
        <v>2000443.635</v>
      </c>
      <c r="F79" s="6">
        <f>[1]Results!I1551</f>
        <v>2031861.784</v>
      </c>
      <c r="G79" s="6">
        <f>[1]Results!J1551</f>
        <v>2066141.7620000001</v>
      </c>
      <c r="H79" s="6">
        <f>[1]Results!K1551</f>
        <v>2100989.1379999998</v>
      </c>
      <c r="I79" s="6">
        <f>[1]Results!L1551</f>
        <v>2133036.0109999999</v>
      </c>
      <c r="J79" s="6">
        <f>[1]Results!M1551</f>
        <v>2163328.9070000001</v>
      </c>
      <c r="K79" s="6">
        <f>[1]Results!N1551</f>
        <v>2192133.6239999998</v>
      </c>
      <c r="L79" s="6">
        <f>[1]Results!O1551</f>
        <v>2220902.5839999998</v>
      </c>
      <c r="M79" s="6">
        <f>[1]Results!P1551</f>
        <v>2253203.9210000001</v>
      </c>
      <c r="N79" s="6">
        <f>[1]Results!Q1551</f>
        <v>2285967.3470000001</v>
      </c>
      <c r="O79" s="6">
        <f>[1]Results!R1551</f>
        <v>2320717.7280000001</v>
      </c>
      <c r="P79" s="6">
        <f>[1]Results!S1551</f>
        <v>2356620.8130000001</v>
      </c>
      <c r="Q79" s="6">
        <f>[1]Results!T1551</f>
        <v>2393284.27</v>
      </c>
      <c r="R79" s="6">
        <f>[1]Results!U1551</f>
        <v>2430479.6009999998</v>
      </c>
      <c r="S79" s="6">
        <f>[1]Results!V1551</f>
        <v>2468139.16</v>
      </c>
      <c r="T79" s="6">
        <f>[1]Results!W1551</f>
        <v>2506320.79</v>
      </c>
      <c r="U79" s="6">
        <f>[1]Results!X1551</f>
        <v>2545138.3659999999</v>
      </c>
      <c r="V79" s="6">
        <f>[1]Results!Y1551</f>
        <v>2584688.6009999998</v>
      </c>
      <c r="W79" s="6">
        <f>[1]Results!Z1551</f>
        <v>2623047.747</v>
      </c>
      <c r="X79" s="6">
        <f>[1]Results!AA1551</f>
        <v>2663680.85</v>
      </c>
      <c r="Y79" s="6">
        <f>[1]Results!AB1551</f>
        <v>2705213.06</v>
      </c>
      <c r="Z79" s="6">
        <f>[1]Results!AC1551</f>
        <v>2747563.2769999998</v>
      </c>
      <c r="AA79" s="6">
        <f>[1]Results!AD1551</f>
        <v>2790517.5290000001</v>
      </c>
      <c r="AB79" s="6">
        <f>[1]Results!AE1551</f>
        <v>2827358.7889999999</v>
      </c>
      <c r="AC79" s="6">
        <f>[1]Results!AF1551</f>
        <v>2868224.7940000002</v>
      </c>
      <c r="AD79" s="6">
        <f>[1]Results!AG1551</f>
        <v>2909183.2089999998</v>
      </c>
      <c r="AE79" s="6">
        <f>[1]Results!AH1551</f>
        <v>2950965.8429999999</v>
      </c>
      <c r="AF79" s="6">
        <f>[1]Results!AI1551</f>
        <v>2993627.0860000001</v>
      </c>
      <c r="AG79" s="6">
        <f>[1]Results!AJ1551</f>
        <v>3036962.8590000002</v>
      </c>
      <c r="AH79" s="6">
        <f>[1]Results!AK1551</f>
        <v>3080736.08</v>
      </c>
      <c r="AI79" s="6">
        <f>[1]Results!AL1551</f>
        <v>3124811.0460000001</v>
      </c>
      <c r="AJ79" s="6">
        <f>[1]Results!AM1551</f>
        <v>3169197.5090000001</v>
      </c>
      <c r="AK79" s="6">
        <f>[1]Results!AN1551</f>
        <v>3214017.8960000002</v>
      </c>
      <c r="AL79" s="6">
        <f>[1]Results!AO1551</f>
        <v>3259433.7069999999</v>
      </c>
    </row>
    <row r="80" spans="1:38" x14ac:dyDescent="0.3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</row>
    <row r="81" spans="1:38" x14ac:dyDescent="0.3">
      <c r="A81" s="12" t="s">
        <v>52</v>
      </c>
      <c r="B81" t="s">
        <v>12</v>
      </c>
      <c r="C81" s="6">
        <f>[1]Results!F1551</f>
        <v>1960604.2250000001</v>
      </c>
      <c r="D81" s="6">
        <f>[1]Results!G1551</f>
        <v>1975296.787</v>
      </c>
      <c r="E81" s="6">
        <f>[1]Results!H1551</f>
        <v>2000443.635</v>
      </c>
      <c r="F81" s="6">
        <f>[1]Results!I1551</f>
        <v>2031861.784</v>
      </c>
      <c r="G81" s="6">
        <f>[1]Results!J1551</f>
        <v>2066141.7620000001</v>
      </c>
      <c r="H81" s="6">
        <f>[1]Results!K1551</f>
        <v>2100989.1379999998</v>
      </c>
      <c r="I81" s="6">
        <f>[1]Results!L1551</f>
        <v>2133036.0109999999</v>
      </c>
      <c r="J81" s="6">
        <f>[1]Results!M1551</f>
        <v>2163328.9070000001</v>
      </c>
      <c r="K81" s="6">
        <f>[1]Results!N1551</f>
        <v>2192133.6239999998</v>
      </c>
      <c r="L81" s="6">
        <f>[1]Results!O1551</f>
        <v>2220902.5839999998</v>
      </c>
      <c r="M81" s="6">
        <f>[1]Results!P1551</f>
        <v>2253203.9210000001</v>
      </c>
      <c r="N81" s="6">
        <f>[1]Results!Q1551</f>
        <v>2285967.3470000001</v>
      </c>
      <c r="O81" s="6">
        <f>[1]Results!R1551</f>
        <v>2320717.7280000001</v>
      </c>
      <c r="P81" s="6">
        <f>[1]Results!S1551</f>
        <v>2356620.8130000001</v>
      </c>
      <c r="Q81" s="6">
        <f>[1]Results!T1551</f>
        <v>2393284.27</v>
      </c>
      <c r="R81" s="6">
        <f>[1]Results!U1551</f>
        <v>2430479.6009999998</v>
      </c>
      <c r="S81" s="6">
        <f>[1]Results!V1551</f>
        <v>2468139.16</v>
      </c>
      <c r="T81" s="6">
        <f>[1]Results!W1551</f>
        <v>2506320.79</v>
      </c>
      <c r="U81" s="6">
        <f>[1]Results!X1551</f>
        <v>2545138.3659999999</v>
      </c>
      <c r="V81" s="6">
        <f>[1]Results!Y1551</f>
        <v>2584688.6009999998</v>
      </c>
      <c r="W81" s="6">
        <f>[1]Results!Z1551</f>
        <v>2623047.747</v>
      </c>
      <c r="X81" s="6">
        <f>[1]Results!AA1551</f>
        <v>2663680.85</v>
      </c>
      <c r="Y81" s="6">
        <f>[1]Results!AB1551</f>
        <v>2705213.06</v>
      </c>
      <c r="Z81" s="6">
        <f>[1]Results!AC1551</f>
        <v>2747563.2769999998</v>
      </c>
      <c r="AA81" s="6">
        <f>[1]Results!AD1551</f>
        <v>2790517.5290000001</v>
      </c>
      <c r="AB81" s="6">
        <f>[1]Results!AE1551</f>
        <v>2827358.7889999999</v>
      </c>
      <c r="AC81" s="6">
        <f>[1]Results!AF1551</f>
        <v>2868224.7940000002</v>
      </c>
      <c r="AD81" s="6">
        <f>[1]Results!AG1551</f>
        <v>2909183.2089999998</v>
      </c>
      <c r="AE81" s="6">
        <f>[1]Results!AH1551</f>
        <v>2950965.8429999999</v>
      </c>
      <c r="AF81" s="6">
        <f>[1]Results!AI1551</f>
        <v>2993627.0860000001</v>
      </c>
      <c r="AG81" s="6">
        <f>[1]Results!AJ1551</f>
        <v>3036962.8590000002</v>
      </c>
      <c r="AH81" s="6">
        <f>[1]Results!AK1551</f>
        <v>3080736.08</v>
      </c>
      <c r="AI81" s="6">
        <f>[1]Results!AL1551</f>
        <v>3124811.0460000001</v>
      </c>
      <c r="AJ81" s="6">
        <f>[1]Results!AM1551</f>
        <v>3169197.5090000001</v>
      </c>
      <c r="AK81" s="6">
        <f>[1]Results!AN1551</f>
        <v>3214017.8960000002</v>
      </c>
      <c r="AL81" s="6">
        <f>[1]Results!AO1551</f>
        <v>3259433.7069999999</v>
      </c>
    </row>
    <row r="82" spans="1:38" x14ac:dyDescent="0.3">
      <c r="A82" t="s">
        <v>26</v>
      </c>
      <c r="B82" t="s">
        <v>7</v>
      </c>
      <c r="C82" s="6">
        <f>[1]Results!F1552</f>
        <v>35216.957049999997</v>
      </c>
      <c r="D82" s="6">
        <f>[1]Results!G1552</f>
        <v>34888.328229999999</v>
      </c>
      <c r="E82" s="6">
        <f>[1]Results!H1552</f>
        <v>34823.031900000002</v>
      </c>
      <c r="F82" s="6">
        <f>[1]Results!I1552</f>
        <v>34902.869680000003</v>
      </c>
      <c r="G82" s="6">
        <f>[1]Results!J1552</f>
        <v>35106.828690000002</v>
      </c>
      <c r="H82" s="6">
        <f>[1]Results!K1552</f>
        <v>35392.566500000001</v>
      </c>
      <c r="I82" s="6">
        <f>[1]Results!L1552</f>
        <v>35683.498209999998</v>
      </c>
      <c r="J82" s="6">
        <f>[1]Results!M1552</f>
        <v>35961.297830000003</v>
      </c>
      <c r="K82" s="6">
        <f>[1]Results!N1552</f>
        <v>36206.028169999998</v>
      </c>
      <c r="L82" s="6">
        <f>[1]Results!O1552</f>
        <v>36414.028689999999</v>
      </c>
      <c r="M82" s="6">
        <f>[1]Results!P1552</f>
        <v>36639.226759999998</v>
      </c>
      <c r="N82" s="6">
        <f>[1]Results!Q1552</f>
        <v>36802.040050000003</v>
      </c>
      <c r="O82" s="6">
        <f>[1]Results!R1552</f>
        <v>36935.65047</v>
      </c>
      <c r="P82" s="6">
        <f>[1]Results!S1552</f>
        <v>37041.945469999999</v>
      </c>
      <c r="Q82" s="6">
        <f>[1]Results!T1552</f>
        <v>37127.4398</v>
      </c>
      <c r="R82" s="6">
        <f>[1]Results!U1552</f>
        <v>37201.015509999997</v>
      </c>
      <c r="S82" s="6">
        <f>[1]Results!V1552</f>
        <v>37272.634059999997</v>
      </c>
      <c r="T82" s="6">
        <f>[1]Results!W1552</f>
        <v>37351.597529999999</v>
      </c>
      <c r="U82" s="6">
        <f>[1]Results!X1552</f>
        <v>37445.01773</v>
      </c>
      <c r="V82" s="6">
        <f>[1]Results!Y1552</f>
        <v>37556.894370000002</v>
      </c>
      <c r="W82" s="6">
        <f>[1]Results!Z1552</f>
        <v>37653.724170000001</v>
      </c>
      <c r="X82" s="6">
        <f>[1]Results!AA1552</f>
        <v>37794.280630000001</v>
      </c>
      <c r="Y82" s="6">
        <f>[1]Results!AB1552</f>
        <v>37952.787960000001</v>
      </c>
      <c r="Z82" s="6">
        <f>[1]Results!AC1552</f>
        <v>38125.053399999997</v>
      </c>
      <c r="AA82" s="6">
        <f>[1]Results!AD1552</f>
        <v>38304.677830000001</v>
      </c>
      <c r="AB82" s="6">
        <f>[1]Results!AE1552</f>
        <v>38389.321759999999</v>
      </c>
      <c r="AC82" s="6">
        <f>[1]Results!AF1552</f>
        <v>38504.913240000002</v>
      </c>
      <c r="AD82" s="6">
        <f>[1]Results!AG1552</f>
        <v>38618.458709999999</v>
      </c>
      <c r="AE82" s="6">
        <f>[1]Results!AH1552</f>
        <v>38735.09792</v>
      </c>
      <c r="AF82" s="6">
        <f>[1]Results!AI1552</f>
        <v>38855.069710000003</v>
      </c>
      <c r="AG82" s="6">
        <f>[1]Results!AJ1552</f>
        <v>38976.54451</v>
      </c>
      <c r="AH82" s="6">
        <f>[1]Results!AK1552</f>
        <v>39097.159399999997</v>
      </c>
      <c r="AI82" s="6">
        <f>[1]Results!AL1552</f>
        <v>39215.27233</v>
      </c>
      <c r="AJ82" s="6">
        <f>[1]Results!AM1552</f>
        <v>39330.49179</v>
      </c>
      <c r="AK82" s="6">
        <f>[1]Results!AN1552</f>
        <v>39443.51139</v>
      </c>
      <c r="AL82" s="6">
        <f>[1]Results!AO1552</f>
        <v>39555.547919999997</v>
      </c>
    </row>
    <row r="83" spans="1:38" x14ac:dyDescent="0.3">
      <c r="B83" t="s">
        <v>96</v>
      </c>
      <c r="C83" s="6">
        <f>[1]Results!F1565</f>
        <v>107996.9336</v>
      </c>
      <c r="D83" s="6">
        <f>[1]Results!G1565</f>
        <v>115525.0316</v>
      </c>
      <c r="E83" s="6">
        <f>[1]Results!H1565</f>
        <v>122378.29949999999</v>
      </c>
      <c r="F83" s="6">
        <f>[1]Results!I1565</f>
        <v>126328.96829999999</v>
      </c>
      <c r="G83" s="6">
        <f>[1]Results!J1565</f>
        <v>128927.59269999999</v>
      </c>
      <c r="H83" s="6">
        <f>[1]Results!K1565</f>
        <v>130983.48540000001</v>
      </c>
      <c r="I83" s="6">
        <f>[1]Results!L1565</f>
        <v>130211.8671</v>
      </c>
      <c r="J83" s="6">
        <f>[1]Results!M1565</f>
        <v>131092.32930000001</v>
      </c>
      <c r="K83" s="6">
        <f>[1]Results!N1565</f>
        <v>132276.56479999999</v>
      </c>
      <c r="L83" s="6">
        <f>[1]Results!O1565</f>
        <v>133601.03400000001</v>
      </c>
      <c r="M83" s="6">
        <f>[1]Results!P1565</f>
        <v>138826.1532</v>
      </c>
      <c r="N83" s="6">
        <f>[1]Results!Q1565</f>
        <v>137905.42610000001</v>
      </c>
      <c r="O83" s="6">
        <f>[1]Results!R1565</f>
        <v>139163.9901</v>
      </c>
      <c r="P83" s="6">
        <f>[1]Results!S1565</f>
        <v>141011.61040000001</v>
      </c>
      <c r="Q83" s="6">
        <f>[1]Results!T1565</f>
        <v>143114.1998</v>
      </c>
      <c r="R83" s="6">
        <f>[1]Results!U1565</f>
        <v>145319.16579999999</v>
      </c>
      <c r="S83" s="6">
        <f>[1]Results!V1565</f>
        <v>147566.1563</v>
      </c>
      <c r="T83" s="6">
        <f>[1]Results!W1565</f>
        <v>149863.06779999999</v>
      </c>
      <c r="U83" s="6">
        <f>[1]Results!X1565</f>
        <v>152227.03950000001</v>
      </c>
      <c r="V83" s="6">
        <f>[1]Results!Y1565</f>
        <v>154667.6666</v>
      </c>
      <c r="W83" s="6">
        <f>[1]Results!Z1565</f>
        <v>154533.61429999999</v>
      </c>
      <c r="X83" s="6">
        <f>[1]Results!AA1565</f>
        <v>158877.6299</v>
      </c>
      <c r="Y83" s="6">
        <f>[1]Results!AB1565</f>
        <v>162045.4883</v>
      </c>
      <c r="Z83" s="6">
        <f>[1]Results!AC1565</f>
        <v>164934.07139999999</v>
      </c>
      <c r="AA83" s="6">
        <f>[1]Results!AD1565</f>
        <v>167745.46489999999</v>
      </c>
      <c r="AB83" s="6">
        <f>[1]Results!AE1565</f>
        <v>162775.01060000001</v>
      </c>
      <c r="AC83" s="6">
        <f>[1]Results!AF1565</f>
        <v>167532.47769999999</v>
      </c>
      <c r="AD83" s="6">
        <f>[1]Results!AG1565</f>
        <v>170767.5387</v>
      </c>
      <c r="AE83" s="6">
        <f>[1]Results!AH1565</f>
        <v>173709.6568</v>
      </c>
      <c r="AF83" s="6">
        <f>[1]Results!AI1565</f>
        <v>176591.79800000001</v>
      </c>
      <c r="AG83" s="6">
        <f>[1]Results!AJ1565</f>
        <v>179461.92300000001</v>
      </c>
      <c r="AH83" s="6">
        <f>[1]Results!AK1565</f>
        <v>182324.38990000001</v>
      </c>
      <c r="AI83" s="6">
        <f>[1]Results!AL1565</f>
        <v>185177.70050000001</v>
      </c>
      <c r="AJ83" s="6">
        <f>[1]Results!AM1565</f>
        <v>188027.15700000001</v>
      </c>
      <c r="AK83" s="6">
        <f>[1]Results!AN1565</f>
        <v>190885.83850000001</v>
      </c>
      <c r="AL83" s="6">
        <f>[1]Results!AO1565</f>
        <v>193769.71849999999</v>
      </c>
    </row>
    <row r="84" spans="1:38" x14ac:dyDescent="0.3">
      <c r="B84" t="s">
        <v>11</v>
      </c>
      <c r="C84" s="6">
        <f>[1]Results!F1580</f>
        <v>13734.305340000001</v>
      </c>
      <c r="D84" s="6">
        <f>[1]Results!G1580</f>
        <v>13827.89457</v>
      </c>
      <c r="E84" s="6">
        <f>[1]Results!H1580</f>
        <v>13882.847470000001</v>
      </c>
      <c r="F84" s="6">
        <f>[1]Results!I1580</f>
        <v>13937.306500000001</v>
      </c>
      <c r="G84" s="6">
        <f>[1]Results!J1580</f>
        <v>14011.220740000001</v>
      </c>
      <c r="H84" s="6">
        <f>[1]Results!K1580</f>
        <v>14116.39186</v>
      </c>
      <c r="I84" s="6">
        <f>[1]Results!L1580</f>
        <v>14246.46999</v>
      </c>
      <c r="J84" s="6">
        <f>[1]Results!M1580</f>
        <v>14396.86325</v>
      </c>
      <c r="K84" s="6">
        <f>[1]Results!N1580</f>
        <v>14553.81517</v>
      </c>
      <c r="L84" s="6">
        <f>[1]Results!O1580</f>
        <v>14705.14956</v>
      </c>
      <c r="M84" s="6">
        <f>[1]Results!P1580</f>
        <v>14852.26333</v>
      </c>
      <c r="N84" s="6">
        <f>[1]Results!Q1580</f>
        <v>14985.89</v>
      </c>
      <c r="O84" s="6">
        <f>[1]Results!R1580</f>
        <v>15112.767459999999</v>
      </c>
      <c r="P84" s="6">
        <f>[1]Results!S1580</f>
        <v>15237.24242</v>
      </c>
      <c r="Q84" s="6">
        <f>[1]Results!T1580</f>
        <v>15361.085800000001</v>
      </c>
      <c r="R84" s="6">
        <f>[1]Results!U1580</f>
        <v>15485.2088</v>
      </c>
      <c r="S84" s="6">
        <f>[1]Results!V1580</f>
        <v>15609.83539</v>
      </c>
      <c r="T84" s="6">
        <f>[1]Results!W1580</f>
        <v>15734.6178</v>
      </c>
      <c r="U84" s="6">
        <f>[1]Results!X1580</f>
        <v>15859.33383</v>
      </c>
      <c r="V84" s="6">
        <f>[1]Results!Y1580</f>
        <v>15984.33216</v>
      </c>
      <c r="W84" s="6">
        <f>[1]Results!Z1580</f>
        <v>16103.59851</v>
      </c>
      <c r="X84" s="6">
        <f>[1]Results!AA1580</f>
        <v>16228.341689999999</v>
      </c>
      <c r="Y84" s="6">
        <f>[1]Results!AB1580</f>
        <v>16357.35735</v>
      </c>
      <c r="Z84" s="6">
        <f>[1]Results!AC1580</f>
        <v>16491.35298</v>
      </c>
      <c r="AA84" s="6">
        <f>[1]Results!AD1580</f>
        <v>16631.315060000001</v>
      </c>
      <c r="AB84" s="6">
        <f>[1]Results!AE1580</f>
        <v>16754.25805</v>
      </c>
      <c r="AC84" s="6">
        <f>[1]Results!AF1580</f>
        <v>16886.880539999998</v>
      </c>
      <c r="AD84" s="6">
        <f>[1]Results!AG1580</f>
        <v>17019.939409999999</v>
      </c>
      <c r="AE84" s="6">
        <f>[1]Results!AH1580</f>
        <v>17153.389380000001</v>
      </c>
      <c r="AF84" s="6">
        <f>[1]Results!AI1580</f>
        <v>17289.82418</v>
      </c>
      <c r="AG84" s="6">
        <f>[1]Results!AJ1580</f>
        <v>17431.67728</v>
      </c>
      <c r="AH84" s="6">
        <f>[1]Results!AK1580</f>
        <v>17580.14071</v>
      </c>
      <c r="AI84" s="6">
        <f>[1]Results!AL1580</f>
        <v>17735.014370000001</v>
      </c>
      <c r="AJ84" s="6">
        <f>[1]Results!AM1580</f>
        <v>17895.137340000001</v>
      </c>
      <c r="AK84" s="6">
        <f>[1]Results!AN1580</f>
        <v>18059.03255</v>
      </c>
      <c r="AL84" s="6">
        <f>[1]Results!AO1580</f>
        <v>18225.636320000001</v>
      </c>
    </row>
    <row r="85" spans="1:38" x14ac:dyDescent="0.3">
      <c r="B85" t="s">
        <v>8</v>
      </c>
      <c r="C85" s="6">
        <f>[1]Results!F1555-[1]Results!F1565</f>
        <v>227591.25229999999</v>
      </c>
      <c r="D85" s="6">
        <f>[1]Results!G1555-[1]Results!G1565</f>
        <v>227967.66500000004</v>
      </c>
      <c r="E85" s="6">
        <f>[1]Results!H1555-[1]Results!H1565</f>
        <v>230008.93889999998</v>
      </c>
      <c r="F85" s="6">
        <f>[1]Results!I1555-[1]Results!I1565</f>
        <v>232648.02730000002</v>
      </c>
      <c r="G85" s="6">
        <f>[1]Results!J1555-[1]Results!J1565</f>
        <v>235638.74420000002</v>
      </c>
      <c r="H85" s="6">
        <f>[1]Results!K1555-[1]Results!K1565</f>
        <v>238806.38040000002</v>
      </c>
      <c r="I85" s="6">
        <f>[1]Results!L1555-[1]Results!L1565</f>
        <v>241586.37240000002</v>
      </c>
      <c r="J85" s="6">
        <f>[1]Results!M1555-[1]Results!M1565</f>
        <v>244351.51639999999</v>
      </c>
      <c r="K85" s="6">
        <f>[1]Results!N1555-[1]Results!N1565</f>
        <v>247037.22980000003</v>
      </c>
      <c r="L85" s="6">
        <f>[1]Results!O1555-[1]Results!O1565</f>
        <v>249701.53319999998</v>
      </c>
      <c r="M85" s="6">
        <f>[1]Results!P1555-[1]Results!P1565</f>
        <v>253043.65620000003</v>
      </c>
      <c r="N85" s="6">
        <f>[1]Results!Q1555-[1]Results!Q1565</f>
        <v>255810.87639999998</v>
      </c>
      <c r="O85" s="6">
        <f>[1]Results!R1555-[1]Results!R1565</f>
        <v>258780.20429999998</v>
      </c>
      <c r="P85" s="6">
        <f>[1]Results!S1555-[1]Results!S1565</f>
        <v>261880.53580000001</v>
      </c>
      <c r="Q85" s="6">
        <f>[1]Results!T1555-[1]Results!T1565</f>
        <v>265054.41950000002</v>
      </c>
      <c r="R85" s="6">
        <f>[1]Results!U1555-[1]Results!U1565</f>
        <v>268274.71200000006</v>
      </c>
      <c r="S85" s="6">
        <f>[1]Results!V1555-[1]Results!V1565</f>
        <v>271536.09380000003</v>
      </c>
      <c r="T85" s="6">
        <f>[1]Results!W1555-[1]Results!W1565</f>
        <v>274848.80370000005</v>
      </c>
      <c r="U85" s="6">
        <f>[1]Results!X1555-[1]Results!X1565</f>
        <v>278228.4056</v>
      </c>
      <c r="V85" s="6">
        <f>[1]Results!Y1555-[1]Results!Y1565</f>
        <v>281687.7721</v>
      </c>
      <c r="W85" s="6">
        <f>[1]Results!Z1555-[1]Results!Z1565</f>
        <v>284787.32200000004</v>
      </c>
      <c r="X85" s="6">
        <f>[1]Results!AA1555-[1]Results!AA1565</f>
        <v>288491.2954</v>
      </c>
      <c r="Y85" s="6">
        <f>[1]Results!AB1555-[1]Results!AB1565</f>
        <v>292249.68200000003</v>
      </c>
      <c r="Z85" s="6">
        <f>[1]Results!AC1555-[1]Results!AC1565</f>
        <v>296063.17020000005</v>
      </c>
      <c r="AA85" s="6">
        <f>[1]Results!AD1555-[1]Results!AD1565</f>
        <v>299933.12140000006</v>
      </c>
      <c r="AB85" s="6">
        <f>[1]Results!AE1555-[1]Results!AE1565</f>
        <v>302529.38329999999</v>
      </c>
      <c r="AC85" s="6">
        <f>[1]Results!AF1555-[1]Results!AF1565</f>
        <v>306184.97029999999</v>
      </c>
      <c r="AD85" s="6">
        <f>[1]Results!AG1555-[1]Results!AG1565</f>
        <v>309877.72549999994</v>
      </c>
      <c r="AE85" s="6">
        <f>[1]Results!AH1555-[1]Results!AH1565</f>
        <v>313630.56229999999</v>
      </c>
      <c r="AF85" s="6">
        <f>[1]Results!AI1555-[1]Results!AI1565</f>
        <v>317467.1251</v>
      </c>
      <c r="AG85" s="6">
        <f>[1]Results!AJ1555-[1]Results!AJ1565</f>
        <v>321378.4852</v>
      </c>
      <c r="AH85" s="6">
        <f>[1]Results!AK1555-[1]Results!AK1565</f>
        <v>325345.2904</v>
      </c>
      <c r="AI85" s="6">
        <f>[1]Results!AL1555-[1]Results!AL1565</f>
        <v>329352.63469999994</v>
      </c>
      <c r="AJ85" s="6">
        <f>[1]Results!AM1555-[1]Results!AM1565</f>
        <v>333396.304</v>
      </c>
      <c r="AK85" s="6">
        <f>[1]Results!AN1555-[1]Results!AN1565</f>
        <v>337481.94949999993</v>
      </c>
      <c r="AL85" s="6">
        <f>[1]Results!AO1555-[1]Results!AO1565</f>
        <v>341620.03690000006</v>
      </c>
    </row>
    <row r="86" spans="1:38" x14ac:dyDescent="0.3">
      <c r="B86" t="s">
        <v>24</v>
      </c>
      <c r="C86" s="6">
        <f>[1]Results!F1575</f>
        <v>3894.6733939999999</v>
      </c>
      <c r="D86" s="6">
        <f>[1]Results!G1575</f>
        <v>4108.4823660000002</v>
      </c>
      <c r="E86" s="6">
        <f>[1]Results!H1575</f>
        <v>4182.6041459999997</v>
      </c>
      <c r="F86" s="6">
        <f>[1]Results!I1575</f>
        <v>4250.4030339999999</v>
      </c>
      <c r="G86" s="6">
        <f>[1]Results!J1575</f>
        <v>4324.3957710000004</v>
      </c>
      <c r="H86" s="6">
        <f>[1]Results!K1575</f>
        <v>4404.817677</v>
      </c>
      <c r="I86" s="6">
        <f>[1]Results!L1575</f>
        <v>4482.9902380000003</v>
      </c>
      <c r="J86" s="6">
        <f>[1]Results!M1575</f>
        <v>4565.9812810000003</v>
      </c>
      <c r="K86" s="6">
        <f>[1]Results!N1575</f>
        <v>4646.5635990000001</v>
      </c>
      <c r="L86" s="6">
        <f>[1]Results!O1575</f>
        <v>4721.4959440000002</v>
      </c>
      <c r="M86" s="6">
        <f>[1]Results!P1575</f>
        <v>4799.2879069999999</v>
      </c>
      <c r="N86" s="6">
        <f>[1]Results!Q1575</f>
        <v>4859.1506630000003</v>
      </c>
      <c r="O86" s="6">
        <f>[1]Results!R1575</f>
        <v>4921.0228100000004</v>
      </c>
      <c r="P86" s="6">
        <f>[1]Results!S1575</f>
        <v>4982.1033939999998</v>
      </c>
      <c r="Q86" s="6">
        <f>[1]Results!T1575</f>
        <v>5041.9154490000001</v>
      </c>
      <c r="R86" s="6">
        <f>[1]Results!U1575</f>
        <v>5100.7204359999996</v>
      </c>
      <c r="S86" s="6">
        <f>[1]Results!V1575</f>
        <v>5158.7556260000001</v>
      </c>
      <c r="T86" s="6">
        <f>[1]Results!W1575</f>
        <v>5216.0103479999998</v>
      </c>
      <c r="U86" s="6">
        <f>[1]Results!X1575</f>
        <v>5272.5162129999999</v>
      </c>
      <c r="V86" s="6">
        <f>[1]Results!Y1575</f>
        <v>5328.4973769999997</v>
      </c>
      <c r="W86" s="6">
        <f>[1]Results!Z1575</f>
        <v>5376.9996099999998</v>
      </c>
      <c r="X86" s="6">
        <f>[1]Results!AA1575</f>
        <v>5436.1228959999999</v>
      </c>
      <c r="Y86" s="6">
        <f>[1]Results!AB1575</f>
        <v>5492.5506800000003</v>
      </c>
      <c r="Z86" s="6">
        <f>[1]Results!AC1575</f>
        <v>5549.3199860000004</v>
      </c>
      <c r="AA86" s="6">
        <f>[1]Results!AD1575</f>
        <v>5607.42965</v>
      </c>
      <c r="AB86" s="6">
        <f>[1]Results!AE1575</f>
        <v>5644.4214979999997</v>
      </c>
      <c r="AC86" s="6">
        <f>[1]Results!AF1575</f>
        <v>5705.5314120000003</v>
      </c>
      <c r="AD86" s="6">
        <f>[1]Results!AG1575</f>
        <v>5760.7059010000003</v>
      </c>
      <c r="AE86" s="6">
        <f>[1]Results!AH1575</f>
        <v>5814.2306829999998</v>
      </c>
      <c r="AF86" s="6">
        <f>[1]Results!AI1575</f>
        <v>5868.2302330000002</v>
      </c>
      <c r="AG86" s="6">
        <f>[1]Results!AJ1575</f>
        <v>5923.6347109999997</v>
      </c>
      <c r="AH86" s="6">
        <f>[1]Results!AK1575</f>
        <v>5980.6881309999999</v>
      </c>
      <c r="AI86" s="6">
        <f>[1]Results!AL1575</f>
        <v>6039.2065220000004</v>
      </c>
      <c r="AJ86" s="6">
        <f>[1]Results!AM1575</f>
        <v>6098.8006949999999</v>
      </c>
      <c r="AK86" s="6">
        <f>[1]Results!AN1575</f>
        <v>6159.0880500000003</v>
      </c>
      <c r="AL86" s="6">
        <f>[1]Results!AO1575</f>
        <v>6219.8456550000001</v>
      </c>
    </row>
    <row r="87" spans="1:38" x14ac:dyDescent="0.3">
      <c r="B87" t="s">
        <v>10</v>
      </c>
      <c r="C87" s="6">
        <f>[1]Results!F1572</f>
        <v>1520101.6240000001</v>
      </c>
      <c r="D87" s="6">
        <f>[1]Results!G1572</f>
        <v>1527016.628</v>
      </c>
      <c r="E87" s="6">
        <f>[1]Results!H1572</f>
        <v>1542992.7949999999</v>
      </c>
      <c r="F87" s="6">
        <f>[1]Results!I1572</f>
        <v>1567180.8130000001</v>
      </c>
      <c r="G87" s="6">
        <f>[1]Results!J1572</f>
        <v>1594943.175</v>
      </c>
      <c r="H87" s="6">
        <f>[1]Results!K1572</f>
        <v>1623448.9380000001</v>
      </c>
      <c r="I87" s="6">
        <f>[1]Results!L1572</f>
        <v>1652341.15</v>
      </c>
      <c r="J87" s="6">
        <f>[1]Results!M1572</f>
        <v>1677853.5049999999</v>
      </c>
      <c r="K87" s="6">
        <f>[1]Results!N1572</f>
        <v>1701697.091</v>
      </c>
      <c r="L87" s="6">
        <f>[1]Results!O1572</f>
        <v>1725425.8370000001</v>
      </c>
      <c r="M87" s="6">
        <f>[1]Results!P1572</f>
        <v>1748028.709</v>
      </c>
      <c r="N87" s="6">
        <f>[1]Results!Q1572</f>
        <v>1777863.1359999999</v>
      </c>
      <c r="O87" s="6">
        <f>[1]Results!R1572</f>
        <v>1807310.7080000001</v>
      </c>
      <c r="P87" s="6">
        <f>[1]Results!S1572</f>
        <v>1837198.977</v>
      </c>
      <c r="Q87" s="6">
        <f>[1]Results!T1572</f>
        <v>1867525.1229999999</v>
      </c>
      <c r="R87" s="6">
        <f>[1]Results!U1572</f>
        <v>1898234.692</v>
      </c>
      <c r="S87" s="6">
        <f>[1]Results!V1572</f>
        <v>1929316.9639999999</v>
      </c>
      <c r="T87" s="6">
        <f>[1]Results!W1572</f>
        <v>1960801.993</v>
      </c>
      <c r="U87" s="6">
        <f>[1]Results!X1572</f>
        <v>1992761.834</v>
      </c>
      <c r="V87" s="6">
        <f>[1]Results!Y1572</f>
        <v>2025263.912</v>
      </c>
      <c r="W87" s="6">
        <f>[1]Results!Z1572</f>
        <v>2059549.4539999999</v>
      </c>
      <c r="X87" s="6">
        <f>[1]Results!AA1572</f>
        <v>2090943.433</v>
      </c>
      <c r="Y87" s="6">
        <f>[1]Results!AB1572</f>
        <v>2124308.639</v>
      </c>
      <c r="Z87" s="6">
        <f>[1]Results!AC1572</f>
        <v>2158673.9709999999</v>
      </c>
      <c r="AA87" s="6">
        <f>[1]Results!AD1572</f>
        <v>2193632.7059999998</v>
      </c>
      <c r="AB87" s="6">
        <f>[1]Results!AE1572</f>
        <v>2231748.4180000001</v>
      </c>
      <c r="AC87" s="6">
        <f>[1]Results!AF1572</f>
        <v>2263028.0529999998</v>
      </c>
      <c r="AD87" s="6">
        <f>[1]Results!AG1572</f>
        <v>2295872.2439999999</v>
      </c>
      <c r="AE87" s="6">
        <f>[1]Results!AH1572</f>
        <v>2329747.5720000002</v>
      </c>
      <c r="AF87" s="6">
        <f>[1]Results!AI1572</f>
        <v>2364448.3990000002</v>
      </c>
      <c r="AG87" s="6">
        <f>[1]Results!AJ1572</f>
        <v>2399734.611</v>
      </c>
      <c r="AH87" s="6">
        <f>[1]Results!AK1572</f>
        <v>2435390.0619999999</v>
      </c>
      <c r="AI87" s="6">
        <f>[1]Results!AL1572</f>
        <v>2471300.7280000001</v>
      </c>
      <c r="AJ87" s="6">
        <f>[1]Results!AM1572</f>
        <v>2507477.7459999998</v>
      </c>
      <c r="AK87" s="6">
        <f>[1]Results!AN1572</f>
        <v>2544024.227</v>
      </c>
      <c r="AL87" s="6">
        <f>[1]Results!AO1572</f>
        <v>2581072.548</v>
      </c>
    </row>
    <row r="88" spans="1:38" x14ac:dyDescent="0.3">
      <c r="B88" t="s">
        <v>9</v>
      </c>
      <c r="C88" s="6">
        <f>[1]Results!F1567</f>
        <v>52068.478779999998</v>
      </c>
      <c r="D88" s="6">
        <f>[1]Results!G1567</f>
        <v>51962.756600000001</v>
      </c>
      <c r="E88" s="6">
        <f>[1]Results!H1567</f>
        <v>52175.11735</v>
      </c>
      <c r="F88" s="6">
        <f>[1]Results!I1567</f>
        <v>52613.396520000002</v>
      </c>
      <c r="G88" s="6">
        <f>[1]Results!J1567</f>
        <v>53189.805610000003</v>
      </c>
      <c r="H88" s="6">
        <f>[1]Results!K1567</f>
        <v>53836.557950000002</v>
      </c>
      <c r="I88" s="6">
        <f>[1]Results!L1567</f>
        <v>54483.6633</v>
      </c>
      <c r="J88" s="6">
        <f>[1]Results!M1567</f>
        <v>55107.413630000003</v>
      </c>
      <c r="K88" s="6">
        <f>[1]Results!N1567</f>
        <v>55716.331630000001</v>
      </c>
      <c r="L88" s="6">
        <f>[1]Results!O1567</f>
        <v>56333.505510000003</v>
      </c>
      <c r="M88" s="6">
        <f>[1]Results!P1567</f>
        <v>57014.624889999999</v>
      </c>
      <c r="N88" s="6">
        <f>[1]Results!Q1567</f>
        <v>57740.827920000003</v>
      </c>
      <c r="O88" s="6">
        <f>[1]Results!R1567</f>
        <v>58493.384740000001</v>
      </c>
      <c r="P88" s="6">
        <f>[1]Results!S1567</f>
        <v>59268.398569999998</v>
      </c>
      <c r="Q88" s="6">
        <f>[1]Results!T1567</f>
        <v>60060.086790000001</v>
      </c>
      <c r="R88" s="6">
        <f>[1]Results!U1567</f>
        <v>60864.08582</v>
      </c>
      <c r="S88" s="6">
        <f>[1]Results!V1567</f>
        <v>61678.720829999998</v>
      </c>
      <c r="T88" s="6">
        <f>[1]Results!W1567</f>
        <v>62504.699959999998</v>
      </c>
      <c r="U88" s="6">
        <f>[1]Results!X1567</f>
        <v>63344.219440000001</v>
      </c>
      <c r="V88" s="6">
        <f>[1]Results!Y1567</f>
        <v>64199.526639999996</v>
      </c>
      <c r="W88" s="6">
        <f>[1]Results!Z1567</f>
        <v>65043.034099999997</v>
      </c>
      <c r="X88" s="6">
        <f>[1]Results!AA1567</f>
        <v>65909.746060000005</v>
      </c>
      <c r="Y88" s="6">
        <f>[1]Results!AB1567</f>
        <v>66806.554879999996</v>
      </c>
      <c r="Z88" s="6">
        <f>[1]Results!AC1567</f>
        <v>67726.337710000007</v>
      </c>
      <c r="AA88" s="6">
        <f>[1]Results!AD1567</f>
        <v>68662.813599999994</v>
      </c>
      <c r="AB88" s="6">
        <f>[1]Results!AE1567</f>
        <v>69517.976290000006</v>
      </c>
      <c r="AC88" s="6">
        <f>[1]Results!AF1567</f>
        <v>70381.967350000006</v>
      </c>
      <c r="AD88" s="6">
        <f>[1]Results!AG1567</f>
        <v>71266.596520000006</v>
      </c>
      <c r="AE88" s="6">
        <f>[1]Results!AH1567</f>
        <v>72175.334310000006</v>
      </c>
      <c r="AF88" s="6">
        <f>[1]Results!AI1567</f>
        <v>73106.6397</v>
      </c>
      <c r="AG88" s="6">
        <f>[1]Results!AJ1567</f>
        <v>74055.983139999997</v>
      </c>
      <c r="AH88" s="6">
        <f>[1]Results!AK1567</f>
        <v>75018.349530000007</v>
      </c>
      <c r="AI88" s="6">
        <f>[1]Results!AL1567</f>
        <v>75990.489239999995</v>
      </c>
      <c r="AJ88" s="6">
        <f>[1]Results!AM1567</f>
        <v>76971.871549999996</v>
      </c>
      <c r="AK88" s="6">
        <f>[1]Results!AN1567</f>
        <v>77964.249670000005</v>
      </c>
      <c r="AL88" s="6">
        <f>[1]Results!AO1567</f>
        <v>78970.373630000002</v>
      </c>
    </row>
    <row r="90" spans="1:38" x14ac:dyDescent="0.3">
      <c r="A90" t="s">
        <v>27</v>
      </c>
      <c r="B90" t="s">
        <v>12</v>
      </c>
      <c r="C90" s="6">
        <f>[1]Results!F1512</f>
        <v>1960604.2250000001</v>
      </c>
      <c r="D90" s="6">
        <f>[1]Results!G1512</f>
        <v>1975296.787</v>
      </c>
      <c r="E90" s="6">
        <f>[1]Results!H1512</f>
        <v>2000443.635</v>
      </c>
      <c r="F90" s="6">
        <f>[1]Results!I1512</f>
        <v>2031861.784</v>
      </c>
      <c r="G90" s="6">
        <f>[1]Results!J1512</f>
        <v>2066141.7620000001</v>
      </c>
      <c r="H90" s="6">
        <f>[1]Results!K1512</f>
        <v>2100989.1379999998</v>
      </c>
      <c r="I90" s="6">
        <f>[1]Results!L1512</f>
        <v>2108216.6949999998</v>
      </c>
      <c r="J90" s="6">
        <f>[1]Results!M1512</f>
        <v>2122139.7140000002</v>
      </c>
      <c r="K90" s="6">
        <f>[1]Results!N1512</f>
        <v>2140011.202</v>
      </c>
      <c r="L90" s="6">
        <f>[1]Results!O1512</f>
        <v>2165075.7200000002</v>
      </c>
      <c r="M90" s="6">
        <f>[1]Results!P1512</f>
        <v>2200164.568</v>
      </c>
      <c r="N90" s="6">
        <f>[1]Results!Q1512</f>
        <v>2239744.9589999998</v>
      </c>
      <c r="O90" s="6">
        <f>[1]Results!R1512</f>
        <v>2282705.3489999999</v>
      </c>
      <c r="P90" s="6">
        <f>[1]Results!S1512</f>
        <v>2325689.0520000001</v>
      </c>
      <c r="Q90" s="6">
        <f>[1]Results!T1512</f>
        <v>2366767.1060000001</v>
      </c>
      <c r="R90" s="6">
        <f>[1]Results!U1512</f>
        <v>2405373.7420000001</v>
      </c>
      <c r="S90" s="6">
        <f>[1]Results!V1512</f>
        <v>2442089.2110000001</v>
      </c>
      <c r="T90" s="6">
        <f>[1]Results!W1512</f>
        <v>2478099.3119999999</v>
      </c>
      <c r="U90" s="6">
        <f>[1]Results!X1512</f>
        <v>2514588.2409999999</v>
      </c>
      <c r="V90" s="6">
        <f>[1]Results!Y1512</f>
        <v>2552323.3730000001</v>
      </c>
      <c r="W90" s="6">
        <f>[1]Results!Z1512</f>
        <v>2589605.2000000002</v>
      </c>
      <c r="X90" s="6">
        <f>[1]Results!AA1512</f>
        <v>2629688.0440000002</v>
      </c>
      <c r="Y90" s="6">
        <f>[1]Results!AB1512</f>
        <v>2670903.3319999999</v>
      </c>
      <c r="Z90" s="6">
        <f>[1]Results!AC1512</f>
        <v>2712908.659</v>
      </c>
      <c r="AA90" s="6">
        <f>[1]Results!AD1512</f>
        <v>2755381.304</v>
      </c>
      <c r="AB90" s="6">
        <f>[1]Results!AE1512</f>
        <v>2791703.034</v>
      </c>
      <c r="AC90" s="6">
        <f>[1]Results!AF1512</f>
        <v>2832106.5240000002</v>
      </c>
      <c r="AD90" s="6">
        <f>[1]Results!AG1512</f>
        <v>2872751.4449999998</v>
      </c>
      <c r="AE90" s="6">
        <f>[1]Results!AH1512</f>
        <v>2914403.5350000001</v>
      </c>
      <c r="AF90" s="6">
        <f>[1]Results!AI1512</f>
        <v>2957082.9890000001</v>
      </c>
      <c r="AG90" s="6">
        <f>[1]Results!AJ1512</f>
        <v>3000506.2310000001</v>
      </c>
      <c r="AH90" s="6">
        <f>[1]Results!AK1512</f>
        <v>3044347.21</v>
      </c>
      <c r="AI90" s="6">
        <f>[1]Results!AL1512</f>
        <v>3088404.9530000002</v>
      </c>
      <c r="AJ90" s="6">
        <f>[1]Results!AM1512</f>
        <v>3132665.5090000001</v>
      </c>
      <c r="AK90" s="6">
        <f>[1]Results!AN1512</f>
        <v>3177268.0619999999</v>
      </c>
      <c r="AL90" s="6">
        <f>[1]Results!AO1512</f>
        <v>3222415.54</v>
      </c>
    </row>
    <row r="91" spans="1:38" x14ac:dyDescent="0.3">
      <c r="B91" t="s">
        <v>7</v>
      </c>
      <c r="C91" s="6">
        <f>[1]Results!F1513</f>
        <v>35216.957049999997</v>
      </c>
      <c r="D91" s="6">
        <f>[1]Results!G1513</f>
        <v>34888.328229999999</v>
      </c>
      <c r="E91" s="6">
        <f>[1]Results!H1513</f>
        <v>34823.031900000002</v>
      </c>
      <c r="F91" s="6">
        <f>[1]Results!I1513</f>
        <v>34902.869680000003</v>
      </c>
      <c r="G91" s="6">
        <f>[1]Results!J1513</f>
        <v>35106.828690000002</v>
      </c>
      <c r="H91" s="6">
        <f>[1]Results!K1513</f>
        <v>35392.566500000001</v>
      </c>
      <c r="I91" s="6">
        <f>[1]Results!L1513</f>
        <v>32808.06854</v>
      </c>
      <c r="J91" s="6">
        <f>[1]Results!M1513</f>
        <v>32295.18303</v>
      </c>
      <c r="K91" s="6">
        <f>[1]Results!N1513</f>
        <v>31930.480660000001</v>
      </c>
      <c r="L91" s="6">
        <f>[1]Results!O1513</f>
        <v>31665.19382</v>
      </c>
      <c r="M91" s="6">
        <f>[1]Results!P1513</f>
        <v>31581.67182</v>
      </c>
      <c r="N91" s="6">
        <f>[1]Results!Q1513</f>
        <v>31611.954180000001</v>
      </c>
      <c r="O91" s="6">
        <f>[1]Results!R1513</f>
        <v>31757.162830000001</v>
      </c>
      <c r="P91" s="6">
        <f>[1]Results!S1513</f>
        <v>31973.861000000001</v>
      </c>
      <c r="Q91" s="6">
        <f>[1]Results!T1513</f>
        <v>32221.14616</v>
      </c>
      <c r="R91" s="6">
        <f>[1]Results!U1513</f>
        <v>32468.36261</v>
      </c>
      <c r="S91" s="6">
        <f>[1]Results!V1513</f>
        <v>32697.815320000002</v>
      </c>
      <c r="T91" s="6">
        <f>[1]Results!W1513</f>
        <v>32902.868540000003</v>
      </c>
      <c r="U91" s="6">
        <f>[1]Results!X1513</f>
        <v>33083.567419999999</v>
      </c>
      <c r="V91" s="6">
        <f>[1]Results!Y1513</f>
        <v>33242.505319999997</v>
      </c>
      <c r="W91" s="6">
        <f>[1]Results!Z1513</f>
        <v>33351.52203</v>
      </c>
      <c r="X91" s="6">
        <f>[1]Results!AA1513</f>
        <v>33468.878470000003</v>
      </c>
      <c r="Y91" s="6">
        <f>[1]Results!AB1513</f>
        <v>33577.127529999998</v>
      </c>
      <c r="Z91" s="6">
        <f>[1]Results!AC1513</f>
        <v>33680.789879999997</v>
      </c>
      <c r="AA91" s="6">
        <f>[1]Results!AD1513</f>
        <v>33783.311419999998</v>
      </c>
      <c r="AB91" s="6">
        <f>[1]Results!AE1513</f>
        <v>33801.384169999998</v>
      </c>
      <c r="AC91" s="6">
        <f>[1]Results!AF1513</f>
        <v>33857.632039999997</v>
      </c>
      <c r="AD91" s="6">
        <f>[1]Results!AG1513</f>
        <v>33925.628400000001</v>
      </c>
      <c r="AE91" s="6">
        <f>[1]Results!AH1513</f>
        <v>34011.414239999998</v>
      </c>
      <c r="AF91" s="6">
        <f>[1]Results!AI1513</f>
        <v>34114.087399999997</v>
      </c>
      <c r="AG91" s="6">
        <f>[1]Results!AJ1513</f>
        <v>34229.158470000002</v>
      </c>
      <c r="AH91" s="6">
        <f>[1]Results!AK1513</f>
        <v>34350.843840000001</v>
      </c>
      <c r="AI91" s="6">
        <f>[1]Results!AL1513</f>
        <v>34473.999479999999</v>
      </c>
      <c r="AJ91" s="6">
        <f>[1]Results!AM1513</f>
        <v>34595.15582</v>
      </c>
      <c r="AK91" s="6">
        <f>[1]Results!AN1513</f>
        <v>34712.645060000003</v>
      </c>
      <c r="AL91" s="6">
        <f>[1]Results!AO1513</f>
        <v>34826.129200000003</v>
      </c>
    </row>
    <row r="92" spans="1:38" x14ac:dyDescent="0.3">
      <c r="B92" t="s">
        <v>96</v>
      </c>
      <c r="C92" s="6">
        <f>[1]Results!F1526</f>
        <v>107996.9336</v>
      </c>
      <c r="D92" s="6">
        <f>[1]Results!G1526</f>
        <v>115525.0316</v>
      </c>
      <c r="E92" s="6">
        <f>[1]Results!H1526</f>
        <v>122378.29949999999</v>
      </c>
      <c r="F92" s="6">
        <f>[1]Results!I1526</f>
        <v>126328.96829999999</v>
      </c>
      <c r="G92" s="6">
        <f>[1]Results!J1526</f>
        <v>128927.59269999999</v>
      </c>
      <c r="H92" s="6">
        <f>[1]Results!K1526</f>
        <v>130983.48540000001</v>
      </c>
      <c r="I92" s="6">
        <f>[1]Results!L1526</f>
        <v>128114.363</v>
      </c>
      <c r="J92" s="6">
        <f>[1]Results!M1526</f>
        <v>127604.7363</v>
      </c>
      <c r="K92" s="6">
        <f>[1]Results!N1526</f>
        <v>127844.51519999999</v>
      </c>
      <c r="L92" s="6">
        <f>[1]Results!O1526</f>
        <v>128841.292</v>
      </c>
      <c r="M92" s="6">
        <f>[1]Results!P1526</f>
        <v>134318.3486</v>
      </c>
      <c r="N92" s="6">
        <f>[1]Results!Q1526</f>
        <v>134040.93729999999</v>
      </c>
      <c r="O92" s="6">
        <f>[1]Results!R1526</f>
        <v>136104.2377</v>
      </c>
      <c r="P92" s="6">
        <f>[1]Results!S1526</f>
        <v>138676.36869999999</v>
      </c>
      <c r="Q92" s="6">
        <f>[1]Results!T1526</f>
        <v>141255.7414</v>
      </c>
      <c r="R92" s="6">
        <f>[1]Results!U1526</f>
        <v>143679.0312</v>
      </c>
      <c r="S92" s="6">
        <f>[1]Results!V1526</f>
        <v>145947.96400000001</v>
      </c>
      <c r="T92" s="6">
        <f>[1]Results!W1526</f>
        <v>148145.11559999999</v>
      </c>
      <c r="U92" s="6">
        <f>[1]Results!X1526</f>
        <v>150367.49400000001</v>
      </c>
      <c r="V92" s="6">
        <f>[1]Results!Y1526</f>
        <v>152683.66459999999</v>
      </c>
      <c r="W92" s="6">
        <f>[1]Results!Z1526</f>
        <v>152465.32670000001</v>
      </c>
      <c r="X92" s="6">
        <f>[1]Results!AA1526</f>
        <v>156762.9987</v>
      </c>
      <c r="Y92" s="6">
        <f>[1]Results!AB1526</f>
        <v>159901.26819999999</v>
      </c>
      <c r="Z92" s="6">
        <f>[1]Results!AC1526</f>
        <v>162756.1188</v>
      </c>
      <c r="AA92" s="6">
        <f>[1]Results!AD1526</f>
        <v>165521.11129999999</v>
      </c>
      <c r="AB92" s="6">
        <f>[1]Results!AE1526</f>
        <v>160493.0503</v>
      </c>
      <c r="AC92" s="6">
        <f>[1]Results!AF1526</f>
        <v>165206.28</v>
      </c>
      <c r="AD92" s="6">
        <f>[1]Results!AG1526</f>
        <v>168413.03330000001</v>
      </c>
      <c r="AE92" s="6">
        <f>[1]Results!AH1526</f>
        <v>171346.7211</v>
      </c>
      <c r="AF92" s="6">
        <f>[1]Results!AI1526</f>
        <v>174238.25520000001</v>
      </c>
      <c r="AG92" s="6">
        <f>[1]Results!AJ1526</f>
        <v>177128.7843</v>
      </c>
      <c r="AH92" s="6">
        <f>[1]Results!AK1526</f>
        <v>180014.2745</v>
      </c>
      <c r="AI92" s="6">
        <f>[1]Results!AL1526</f>
        <v>182886.5239</v>
      </c>
      <c r="AJ92" s="6">
        <f>[1]Results!AM1526</f>
        <v>185747.79319999999</v>
      </c>
      <c r="AK92" s="6">
        <f>[1]Results!AN1526</f>
        <v>188611.92259999999</v>
      </c>
      <c r="AL92" s="6">
        <f>[1]Results!AO1526</f>
        <v>191498.15909999999</v>
      </c>
    </row>
    <row r="93" spans="1:38" x14ac:dyDescent="0.3">
      <c r="B93" t="s">
        <v>11</v>
      </c>
      <c r="C93" s="6">
        <f>[1]Results!F1541</f>
        <v>13734.305340000001</v>
      </c>
      <c r="D93" s="6">
        <f>[1]Results!G1541</f>
        <v>13827.89457</v>
      </c>
      <c r="E93" s="6">
        <f>[1]Results!H1541</f>
        <v>13882.847470000001</v>
      </c>
      <c r="F93" s="6">
        <f>[1]Results!I1541</f>
        <v>13937.306500000001</v>
      </c>
      <c r="G93" s="6">
        <f>[1]Results!J1541</f>
        <v>14011.220740000001</v>
      </c>
      <c r="H93" s="6">
        <f>[1]Results!K1541</f>
        <v>14116.39186</v>
      </c>
      <c r="I93" s="6">
        <f>[1]Results!L1541</f>
        <v>14409.53004</v>
      </c>
      <c r="J93" s="6">
        <f>[1]Results!M1541</f>
        <v>14538.917090000001</v>
      </c>
      <c r="K93" s="6">
        <f>[1]Results!N1541</f>
        <v>14628.78083</v>
      </c>
      <c r="L93" s="6">
        <f>[1]Results!O1541</f>
        <v>14677.594940000001</v>
      </c>
      <c r="M93" s="6">
        <f>[1]Results!P1541</f>
        <v>14705.606030000001</v>
      </c>
      <c r="N93" s="6">
        <f>[1]Results!Q1541</f>
        <v>14729.903679999999</v>
      </c>
      <c r="O93" s="6">
        <f>[1]Results!R1541</f>
        <v>14773.49696</v>
      </c>
      <c r="P93" s="6">
        <f>[1]Results!S1541</f>
        <v>14848.20024</v>
      </c>
      <c r="Q93" s="6">
        <f>[1]Results!T1541</f>
        <v>14953.49512</v>
      </c>
      <c r="R93" s="6">
        <f>[1]Results!U1541</f>
        <v>15080.895500000001</v>
      </c>
      <c r="S93" s="6">
        <f>[1]Results!V1541</f>
        <v>15217.606379999999</v>
      </c>
      <c r="T93" s="6">
        <f>[1]Results!W1541</f>
        <v>15354.04926</v>
      </c>
      <c r="U93" s="6">
        <f>[1]Results!X1541</f>
        <v>15485.353590000001</v>
      </c>
      <c r="V93" s="6">
        <f>[1]Results!Y1541</f>
        <v>15611.418320000001</v>
      </c>
      <c r="W93" s="6">
        <f>[1]Results!Z1541</f>
        <v>15728.26809</v>
      </c>
      <c r="X93" s="6">
        <f>[1]Results!AA1541</f>
        <v>15850.238450000001</v>
      </c>
      <c r="Y93" s="6">
        <f>[1]Results!AB1541</f>
        <v>15977.737220000001</v>
      </c>
      <c r="Z93" s="6">
        <f>[1]Results!AC1541</f>
        <v>16111.68556</v>
      </c>
      <c r="AA93" s="6">
        <f>[1]Results!AD1541</f>
        <v>16252.217570000001</v>
      </c>
      <c r="AB93" s="6">
        <f>[1]Results!AE1541</f>
        <v>16374.92885</v>
      </c>
      <c r="AC93" s="6">
        <f>[1]Results!AF1541</f>
        <v>16505.35398</v>
      </c>
      <c r="AD93" s="6">
        <f>[1]Results!AG1541</f>
        <v>16633.98214</v>
      </c>
      <c r="AE93" s="6">
        <f>[1]Results!AH1541</f>
        <v>16761.232029999999</v>
      </c>
      <c r="AF93" s="6">
        <f>[1]Results!AI1541</f>
        <v>16890.185809999999</v>
      </c>
      <c r="AG93" s="6">
        <f>[1]Results!AJ1541</f>
        <v>17023.917030000001</v>
      </c>
      <c r="AH93" s="6">
        <f>[1]Results!AK1541</f>
        <v>17164.086080000001</v>
      </c>
      <c r="AI93" s="6">
        <f>[1]Results!AL1541</f>
        <v>17310.65237</v>
      </c>
      <c r="AJ93" s="6">
        <f>[1]Results!AM1541</f>
        <v>17462.201150000001</v>
      </c>
      <c r="AK93" s="6">
        <f>[1]Results!AN1541</f>
        <v>17617.019359999998</v>
      </c>
      <c r="AL93" s="6">
        <f>[1]Results!AO1541</f>
        <v>17773.799279999999</v>
      </c>
    </row>
    <row r="94" spans="1:38" x14ac:dyDescent="0.3">
      <c r="B94" t="s">
        <v>8</v>
      </c>
      <c r="C94" s="6">
        <f>[1]Results!F1516-[1]Results!F1526</f>
        <v>227591.25229999999</v>
      </c>
      <c r="D94" s="6">
        <f>[1]Results!G1516-[1]Results!G1526</f>
        <v>227967.66500000004</v>
      </c>
      <c r="E94" s="6">
        <f>[1]Results!H1516-[1]Results!H1526</f>
        <v>230008.93889999998</v>
      </c>
      <c r="F94" s="6">
        <f>[1]Results!I1516-[1]Results!I1526</f>
        <v>232648.02730000002</v>
      </c>
      <c r="G94" s="6">
        <f>[1]Results!J1516-[1]Results!J1526</f>
        <v>235638.74420000002</v>
      </c>
      <c r="H94" s="6">
        <f>[1]Results!K1516-[1]Results!K1526</f>
        <v>238806.38040000002</v>
      </c>
      <c r="I94" s="6">
        <f>[1]Results!L1516-[1]Results!L1526</f>
        <v>239208.64129999996</v>
      </c>
      <c r="J94" s="6">
        <f>[1]Results!M1516-[1]Results!M1526</f>
        <v>239786.27590000001</v>
      </c>
      <c r="K94" s="6">
        <f>[1]Results!N1516-[1]Results!N1526</f>
        <v>240560.76600000003</v>
      </c>
      <c r="L94" s="6">
        <f>[1]Results!O1516-[1]Results!O1526</f>
        <v>241997.98979999998</v>
      </c>
      <c r="M94" s="6">
        <f>[1]Results!P1516-[1]Results!P1526</f>
        <v>244831.57619999998</v>
      </c>
      <c r="N94" s="6">
        <f>[1]Results!Q1516-[1]Results!Q1526</f>
        <v>247681.39309999999</v>
      </c>
      <c r="O94" s="6">
        <f>[1]Results!R1516-[1]Results!R1526</f>
        <v>251082.60749999998</v>
      </c>
      <c r="P94" s="6">
        <f>[1]Results!S1516-[1]Results!S1526</f>
        <v>254723.7635</v>
      </c>
      <c r="Q94" s="6">
        <f>[1]Results!T1516-[1]Results!T1526</f>
        <v>258364.1139</v>
      </c>
      <c r="R94" s="6">
        <f>[1]Results!U1516-[1]Results!U1526</f>
        <v>261888.98140000002</v>
      </c>
      <c r="S94" s="6">
        <f>[1]Results!V1516-[1]Results!V1526</f>
        <v>265293.70019999996</v>
      </c>
      <c r="T94" s="6">
        <f>[1]Results!W1516-[1]Results!W1526</f>
        <v>268641.96169999999</v>
      </c>
      <c r="U94" s="6">
        <f>[1]Results!X1516-[1]Results!X1526</f>
        <v>272015.13679999998</v>
      </c>
      <c r="V94" s="6">
        <f>[1]Results!Y1516-[1]Results!Y1526</f>
        <v>275473.42300000007</v>
      </c>
      <c r="W94" s="6">
        <f>[1]Results!Z1516-[1]Results!Z1526</f>
        <v>278601.25809999998</v>
      </c>
      <c r="X94" s="6">
        <f>[1]Results!AA1516-[1]Results!AA1526</f>
        <v>282340.16570000001</v>
      </c>
      <c r="Y94" s="6">
        <f>[1]Results!AB1516-[1]Results!AB1526</f>
        <v>286126.8259</v>
      </c>
      <c r="Z94" s="6">
        <f>[1]Results!AC1516-[1]Results!AC1526</f>
        <v>289944.05780000001</v>
      </c>
      <c r="AA94" s="6">
        <f>[1]Results!AD1516-[1]Results!AD1526</f>
        <v>293787.46710000001</v>
      </c>
      <c r="AB94" s="6">
        <f>[1]Results!AE1516-[1]Results!AE1526</f>
        <v>296350.6042</v>
      </c>
      <c r="AC94" s="6">
        <f>[1]Results!AF1516-[1]Results!AF1526</f>
        <v>299956.4841</v>
      </c>
      <c r="AD94" s="6">
        <f>[1]Results!AG1516-[1]Results!AG1526</f>
        <v>303604.37540000002</v>
      </c>
      <c r="AE94" s="6">
        <f>[1]Results!AH1516-[1]Results!AH1526</f>
        <v>307322.88890000002</v>
      </c>
      <c r="AF94" s="6">
        <f>[1]Results!AI1516-[1]Results!AI1526</f>
        <v>311136.02889999998</v>
      </c>
      <c r="AG94" s="6">
        <f>[1]Results!AJ1516-[1]Results!AJ1526</f>
        <v>315030.64370000002</v>
      </c>
      <c r="AH94" s="6">
        <f>[1]Results!AK1516-[1]Results!AK1526</f>
        <v>318981.21240000002</v>
      </c>
      <c r="AI94" s="6">
        <f>[1]Results!AL1516-[1]Results!AL1526</f>
        <v>322967.54870000004</v>
      </c>
      <c r="AJ94" s="6">
        <f>[1]Results!AM1516-[1]Results!AM1526</f>
        <v>326982.91540000006</v>
      </c>
      <c r="AK94" s="6">
        <f>[1]Results!AN1516-[1]Results!AN1526</f>
        <v>331033.60009999998</v>
      </c>
      <c r="AL94" s="6">
        <f>[1]Results!AO1516-[1]Results!AO1526</f>
        <v>335132.97500000003</v>
      </c>
    </row>
    <row r="95" spans="1:38" x14ac:dyDescent="0.3">
      <c r="B95" t="s">
        <v>24</v>
      </c>
      <c r="C95" s="6">
        <f>[1]Results!F1536</f>
        <v>3894.6733939999999</v>
      </c>
      <c r="D95" s="6">
        <f>[1]Results!G1536</f>
        <v>4108.4823660000002</v>
      </c>
      <c r="E95" s="6">
        <f>[1]Results!H1536</f>
        <v>4182.6041459999997</v>
      </c>
      <c r="F95" s="6">
        <f>[1]Results!I1536</f>
        <v>4250.4030339999999</v>
      </c>
      <c r="G95" s="6">
        <f>[1]Results!J1536</f>
        <v>4324.3957710000004</v>
      </c>
      <c r="H95" s="6">
        <f>[1]Results!K1536</f>
        <v>4404.817677</v>
      </c>
      <c r="I95" s="6">
        <f>[1]Results!L1536</f>
        <v>4563.3940060000004</v>
      </c>
      <c r="J95" s="6">
        <f>[1]Results!M1536</f>
        <v>4621.8695109999999</v>
      </c>
      <c r="K95" s="6">
        <f>[1]Results!N1536</f>
        <v>4680.8207249999996</v>
      </c>
      <c r="L95" s="6">
        <f>[1]Results!O1536</f>
        <v>4729.124444</v>
      </c>
      <c r="M95" s="6">
        <f>[1]Results!P1536</f>
        <v>4777.9216479999995</v>
      </c>
      <c r="N95" s="6">
        <f>[1]Results!Q1536</f>
        <v>4812.7410890000001</v>
      </c>
      <c r="O95" s="6">
        <f>[1]Results!R1536</f>
        <v>4856.5310200000004</v>
      </c>
      <c r="P95" s="6">
        <f>[1]Results!S1536</f>
        <v>4907.6773569999996</v>
      </c>
      <c r="Q95" s="6">
        <f>[1]Results!T1536</f>
        <v>4964.5011789999999</v>
      </c>
      <c r="R95" s="6">
        <f>[1]Results!U1536</f>
        <v>5024.4829840000002</v>
      </c>
      <c r="S95" s="6">
        <f>[1]Results!V1536</f>
        <v>5084.7870569999995</v>
      </c>
      <c r="T95" s="6">
        <f>[1]Results!W1536</f>
        <v>5143.5214729999998</v>
      </c>
      <c r="U95" s="6">
        <f>[1]Results!X1536</f>
        <v>5200.1495430000004</v>
      </c>
      <c r="V95" s="6">
        <f>[1]Results!Y1536</f>
        <v>5255.2851380000002</v>
      </c>
      <c r="W95" s="6">
        <f>[1]Results!Z1536</f>
        <v>5302.6993039999998</v>
      </c>
      <c r="X95" s="6">
        <f>[1]Results!AA1536</f>
        <v>5361.382044</v>
      </c>
      <c r="Y95" s="6">
        <f>[1]Results!AB1536</f>
        <v>5418.1320669999996</v>
      </c>
      <c r="Z95" s="6">
        <f>[1]Results!AC1536</f>
        <v>5475.8706750000001</v>
      </c>
      <c r="AA95" s="6">
        <f>[1]Results!AD1536</f>
        <v>5535.1835039999996</v>
      </c>
      <c r="AB95" s="6">
        <f>[1]Results!AE1536</f>
        <v>5573.1046859999997</v>
      </c>
      <c r="AC95" s="6">
        <f>[1]Results!AF1536</f>
        <v>5634.7454200000002</v>
      </c>
      <c r="AD95" s="6">
        <f>[1]Results!AG1536</f>
        <v>5689.9192899999998</v>
      </c>
      <c r="AE95" s="6">
        <f>[1]Results!AH1536</f>
        <v>5743.0869739999998</v>
      </c>
      <c r="AF95" s="6">
        <f>[1]Results!AI1536</f>
        <v>5796.5571819999996</v>
      </c>
      <c r="AG95" s="6">
        <f>[1]Results!AJ1536</f>
        <v>5851.4375689999997</v>
      </c>
      <c r="AH95" s="6">
        <f>[1]Results!AK1536</f>
        <v>5908.0793279999998</v>
      </c>
      <c r="AI95" s="6">
        <f>[1]Results!AL1536</f>
        <v>5966.3076739999997</v>
      </c>
      <c r="AJ95" s="6">
        <f>[1]Results!AM1536</f>
        <v>6025.672654</v>
      </c>
      <c r="AK95" s="6">
        <f>[1]Results!AN1536</f>
        <v>6085.7131589999999</v>
      </c>
      <c r="AL95" s="6">
        <f>[1]Results!AO1536</f>
        <v>6146.1406900000002</v>
      </c>
    </row>
    <row r="96" spans="1:38" x14ac:dyDescent="0.3">
      <c r="B96" t="s">
        <v>10</v>
      </c>
      <c r="C96" s="6">
        <f>[1]Results!F1533</f>
        <v>1520101.6240000001</v>
      </c>
      <c r="D96" s="6">
        <f>[1]Results!G1533</f>
        <v>1527016.628</v>
      </c>
      <c r="E96" s="6">
        <f>[1]Results!H1533</f>
        <v>1542992.7949999999</v>
      </c>
      <c r="F96" s="6">
        <f>[1]Results!I1533</f>
        <v>1567180.8130000001</v>
      </c>
      <c r="G96" s="6">
        <f>[1]Results!J1533</f>
        <v>1594943.175</v>
      </c>
      <c r="H96" s="6">
        <f>[1]Results!K1533</f>
        <v>1623448.9380000001</v>
      </c>
      <c r="I96" s="6">
        <f>[1]Results!L1533</f>
        <v>1635079.63</v>
      </c>
      <c r="J96" s="6">
        <f>[1]Results!M1533</f>
        <v>1648997.781</v>
      </c>
      <c r="K96" s="6">
        <f>[1]Results!N1533</f>
        <v>1665738.186</v>
      </c>
      <c r="L96" s="6">
        <f>[1]Results!O1533</f>
        <v>1688061.649</v>
      </c>
      <c r="M96" s="6">
        <f>[1]Results!P1533</f>
        <v>1714176.2150000001</v>
      </c>
      <c r="N96" s="6">
        <f>[1]Results!Q1533</f>
        <v>1750286.33</v>
      </c>
      <c r="O96" s="6">
        <f>[1]Results!R1533</f>
        <v>1786671.905</v>
      </c>
      <c r="P96" s="6">
        <f>[1]Results!S1533</f>
        <v>1822205.0090000001</v>
      </c>
      <c r="Q96" s="6">
        <f>[1]Results!T1533</f>
        <v>1855780.45</v>
      </c>
      <c r="R96" s="6">
        <f>[1]Results!U1533</f>
        <v>1887167.997</v>
      </c>
      <c r="S96" s="6">
        <f>[1]Results!V1533</f>
        <v>1916978.091</v>
      </c>
      <c r="T96" s="6">
        <f>[1]Results!W1533</f>
        <v>1946248.946</v>
      </c>
      <c r="U96" s="6">
        <f>[1]Results!X1533</f>
        <v>1975970.203</v>
      </c>
      <c r="V96" s="6">
        <f>[1]Results!Y1533</f>
        <v>2006762.2609999999</v>
      </c>
      <c r="W96" s="6">
        <f>[1]Results!Z1533</f>
        <v>2040030.43</v>
      </c>
      <c r="X96" s="6">
        <f>[1]Results!AA1533</f>
        <v>2070914.62</v>
      </c>
      <c r="Y96" s="6">
        <f>[1]Results!AB1533</f>
        <v>2104013.8390000002</v>
      </c>
      <c r="Z96" s="6">
        <f>[1]Results!AC1533</f>
        <v>2138131.1540000001</v>
      </c>
      <c r="AA96" s="6">
        <f>[1]Results!AD1533</f>
        <v>2172759.5279999999</v>
      </c>
      <c r="AB96" s="6">
        <f>[1]Results!AE1533</f>
        <v>2210516.9939999999</v>
      </c>
      <c r="AC96" s="6">
        <f>[1]Results!AF1533</f>
        <v>2241495.0419999999</v>
      </c>
      <c r="AD96" s="6">
        <f>[1]Results!AG1533</f>
        <v>2274153.5809999998</v>
      </c>
      <c r="AE96" s="6">
        <f>[1]Results!AH1533</f>
        <v>2307981.0440000002</v>
      </c>
      <c r="AF96" s="6">
        <f>[1]Results!AI1533</f>
        <v>2342740.0240000002</v>
      </c>
      <c r="AG96" s="6">
        <f>[1]Results!AJ1533</f>
        <v>2378124.949</v>
      </c>
      <c r="AH96" s="6">
        <f>[1]Results!AK1533</f>
        <v>2413849.5690000001</v>
      </c>
      <c r="AI96" s="6">
        <f>[1]Results!AL1533</f>
        <v>2449751.0350000001</v>
      </c>
      <c r="AJ96" s="6">
        <f>[1]Results!AM1533</f>
        <v>2485826.156</v>
      </c>
      <c r="AK96" s="6">
        <f>[1]Results!AN1533</f>
        <v>2522195.7540000002</v>
      </c>
      <c r="AL96" s="6">
        <f>[1]Results!AO1533</f>
        <v>2559028.5060000001</v>
      </c>
    </row>
    <row r="97" spans="1:38" x14ac:dyDescent="0.3">
      <c r="B97" t="s">
        <v>9</v>
      </c>
      <c r="C97" s="6">
        <f>[1]Results!F1528</f>
        <v>52068.478779999998</v>
      </c>
      <c r="D97" s="6">
        <f>[1]Results!G1528</f>
        <v>51962.756600000001</v>
      </c>
      <c r="E97" s="6">
        <f>[1]Results!H1528</f>
        <v>52175.11735</v>
      </c>
      <c r="F97" s="6">
        <f>[1]Results!I1528</f>
        <v>52613.396520000002</v>
      </c>
      <c r="G97" s="6">
        <f>[1]Results!J1528</f>
        <v>53189.805610000003</v>
      </c>
      <c r="H97" s="6">
        <f>[1]Results!K1528</f>
        <v>53836.557950000002</v>
      </c>
      <c r="I97" s="6">
        <f>[1]Results!L1528</f>
        <v>54033.067949999997</v>
      </c>
      <c r="J97" s="6">
        <f>[1]Results!M1528</f>
        <v>54294.950989999998</v>
      </c>
      <c r="K97" s="6">
        <f>[1]Results!N1528</f>
        <v>54627.652150000002</v>
      </c>
      <c r="L97" s="6">
        <f>[1]Results!O1528</f>
        <v>55102.876219999998</v>
      </c>
      <c r="M97" s="6">
        <f>[1]Results!P1528</f>
        <v>55773.22928</v>
      </c>
      <c r="N97" s="6">
        <f>[1]Results!Q1528</f>
        <v>56581.69988</v>
      </c>
      <c r="O97" s="6">
        <f>[1]Results!R1528</f>
        <v>57459.408340000002</v>
      </c>
      <c r="P97" s="6">
        <f>[1]Results!S1528</f>
        <v>58354.172169999998</v>
      </c>
      <c r="Q97" s="6">
        <f>[1]Results!T1528</f>
        <v>59227.658649999998</v>
      </c>
      <c r="R97" s="6">
        <f>[1]Results!U1528</f>
        <v>60063.991670000003</v>
      </c>
      <c r="S97" s="6">
        <f>[1]Results!V1528</f>
        <v>60869.247819999997</v>
      </c>
      <c r="T97" s="6">
        <f>[1]Results!W1528</f>
        <v>61662.849770000001</v>
      </c>
      <c r="U97" s="6">
        <f>[1]Results!X1528</f>
        <v>62466.336940000001</v>
      </c>
      <c r="V97" s="6">
        <f>[1]Results!Y1528</f>
        <v>63294.815569999999</v>
      </c>
      <c r="W97" s="6">
        <f>[1]Results!Z1528</f>
        <v>64125.695489999998</v>
      </c>
      <c r="X97" s="6">
        <f>[1]Results!AA1528</f>
        <v>64989.760090000003</v>
      </c>
      <c r="Y97" s="6">
        <f>[1]Results!AB1528</f>
        <v>65888.402879999994</v>
      </c>
      <c r="Z97" s="6">
        <f>[1]Results!AC1528</f>
        <v>66808.981639999998</v>
      </c>
      <c r="AA97" s="6">
        <f>[1]Results!AD1528</f>
        <v>67742.485769999999</v>
      </c>
      <c r="AB97" s="6">
        <f>[1]Results!AE1528</f>
        <v>68592.967250000002</v>
      </c>
      <c r="AC97" s="6">
        <f>[1]Results!AF1528</f>
        <v>69450.986290000001</v>
      </c>
      <c r="AD97" s="6">
        <f>[1]Results!AG1528</f>
        <v>70330.926139999996</v>
      </c>
      <c r="AE97" s="6">
        <f>[1]Results!AH1528</f>
        <v>71237.147280000005</v>
      </c>
      <c r="AF97" s="6">
        <f>[1]Results!AI1528</f>
        <v>72167.850409999999</v>
      </c>
      <c r="AG97" s="6">
        <f>[1]Results!AJ1528</f>
        <v>73117.340540000005</v>
      </c>
      <c r="AH97" s="6">
        <f>[1]Results!AK1528</f>
        <v>74079.144899999999</v>
      </c>
      <c r="AI97" s="6">
        <f>[1]Results!AL1528</f>
        <v>75048.885909999997</v>
      </c>
      <c r="AJ97" s="6">
        <f>[1]Results!AM1528</f>
        <v>76025.614499999996</v>
      </c>
      <c r="AK97" s="6">
        <f>[1]Results!AN1528</f>
        <v>77011.407930000001</v>
      </c>
      <c r="AL97" s="6">
        <f>[1]Results!AO1528</f>
        <v>78009.831510000004</v>
      </c>
    </row>
    <row r="99" spans="1:38" x14ac:dyDescent="0.3">
      <c r="A99" s="12" t="s">
        <v>53</v>
      </c>
      <c r="B99" t="s">
        <v>13</v>
      </c>
      <c r="C99" s="7" t="s">
        <v>14</v>
      </c>
      <c r="D99" s="7" t="s">
        <v>15</v>
      </c>
      <c r="E99" s="7" t="s">
        <v>16</v>
      </c>
    </row>
    <row r="100" spans="1:38" x14ac:dyDescent="0.3">
      <c r="A100" t="s">
        <v>54</v>
      </c>
      <c r="B100" t="s">
        <v>22</v>
      </c>
      <c r="C100" s="4">
        <f>(R90-R81)/R81</f>
        <v>-1.032959050126161E-2</v>
      </c>
      <c r="D100" s="10">
        <f>(AB90-AB81)/AB81</f>
        <v>-1.2610976413294495E-2</v>
      </c>
      <c r="E100" s="10">
        <f>(AL90-AL81)/AL81</f>
        <v>-1.1357238811300021E-2</v>
      </c>
    </row>
    <row r="101" spans="1:38" x14ac:dyDescent="0.3">
      <c r="B101" t="s">
        <v>7</v>
      </c>
      <c r="C101" s="4">
        <f t="shared" ref="C101:C107" si="6">(R91-R82)/R82</f>
        <v>-0.12721837925977622</v>
      </c>
      <c r="D101" s="4">
        <f t="shared" ref="D101:D107" si="7">(AB91-AB82)/AB82</f>
        <v>-0.11951077486293162</v>
      </c>
      <c r="E101" s="4">
        <f t="shared" ref="E101:E107" si="8">(AL91-AL82)/AL82</f>
        <v>-0.11956397948437253</v>
      </c>
      <c r="Q101" s="5"/>
      <c r="U101" s="5"/>
      <c r="V101" s="5"/>
      <c r="Y101" s="5"/>
      <c r="Z101" s="5"/>
      <c r="AA101" s="5"/>
    </row>
    <row r="102" spans="1:38" x14ac:dyDescent="0.3">
      <c r="B102" t="s">
        <v>96</v>
      </c>
      <c r="C102" s="4">
        <f t="shared" si="6"/>
        <v>-1.128643005188508E-2</v>
      </c>
      <c r="D102" s="4">
        <f t="shared" si="7"/>
        <v>-1.4019107058193649E-2</v>
      </c>
      <c r="E102" s="4">
        <f t="shared" si="8"/>
        <v>-1.1722984466223489E-2</v>
      </c>
      <c r="Q102" s="5"/>
      <c r="U102" s="5"/>
      <c r="V102" s="5"/>
      <c r="Y102" s="5"/>
      <c r="Z102" s="5"/>
      <c r="AA102" s="5"/>
    </row>
    <row r="103" spans="1:38" x14ac:dyDescent="0.3">
      <c r="B103" t="s">
        <v>11</v>
      </c>
      <c r="C103" s="4">
        <f t="shared" si="6"/>
        <v>-2.6109644708181126E-2</v>
      </c>
      <c r="D103" s="4">
        <f t="shared" si="7"/>
        <v>-2.2640763850476812E-2</v>
      </c>
      <c r="E103" s="4">
        <f t="shared" si="8"/>
        <v>-2.4791290249996722E-2</v>
      </c>
      <c r="Q103" s="5"/>
      <c r="U103" s="5"/>
      <c r="V103" s="5"/>
      <c r="Y103" s="5"/>
      <c r="Z103" s="5"/>
      <c r="AA103" s="5"/>
    </row>
    <row r="104" spans="1:38" x14ac:dyDescent="0.3">
      <c r="B104" t="s">
        <v>8</v>
      </c>
      <c r="C104" s="4">
        <f t="shared" si="6"/>
        <v>-2.3802953891532041E-2</v>
      </c>
      <c r="D104" s="4">
        <f t="shared" si="7"/>
        <v>-2.0423732176364718E-2</v>
      </c>
      <c r="E104" s="4">
        <f t="shared" si="8"/>
        <v>-1.8989114218434851E-2</v>
      </c>
      <c r="Q104" s="5"/>
      <c r="U104" s="5"/>
      <c r="V104" s="5"/>
      <c r="Y104" s="5"/>
      <c r="Z104" s="5"/>
      <c r="AA104" s="5"/>
    </row>
    <row r="105" spans="1:38" x14ac:dyDescent="0.3">
      <c r="B105" t="s">
        <v>24</v>
      </c>
      <c r="C105" s="4">
        <f t="shared" si="6"/>
        <v>-1.494640864100857E-2</v>
      </c>
      <c r="D105" s="4">
        <f t="shared" si="7"/>
        <v>-1.263491963264435E-2</v>
      </c>
      <c r="E105" s="4">
        <f t="shared" si="8"/>
        <v>-1.1849966878317963E-2</v>
      </c>
      <c r="Q105" s="5"/>
      <c r="U105" s="5"/>
      <c r="V105" s="5"/>
      <c r="Y105" s="5"/>
      <c r="Z105" s="5"/>
      <c r="AA105" s="5"/>
    </row>
    <row r="106" spans="1:38" x14ac:dyDescent="0.3">
      <c r="B106" t="s">
        <v>10</v>
      </c>
      <c r="C106" s="4">
        <f t="shared" si="6"/>
        <v>-5.8299930175336112E-3</v>
      </c>
      <c r="D106" s="4">
        <f t="shared" si="7"/>
        <v>-9.5133590456521235E-3</v>
      </c>
      <c r="E106" s="4">
        <f t="shared" si="8"/>
        <v>-8.5406518375786087E-3</v>
      </c>
      <c r="Q106" s="5"/>
      <c r="U106" s="5"/>
      <c r="V106" s="5"/>
      <c r="Y106" s="5"/>
      <c r="Z106" s="5"/>
      <c r="AA106" s="5"/>
    </row>
    <row r="107" spans="1:38" x14ac:dyDescent="0.3">
      <c r="B107" t="s">
        <v>9</v>
      </c>
      <c r="C107" s="4">
        <f t="shared" si="6"/>
        <v>-1.3145587241155693E-2</v>
      </c>
      <c r="D107" s="4">
        <f t="shared" si="7"/>
        <v>-1.3306040960416519E-2</v>
      </c>
      <c r="E107" s="4">
        <f t="shared" si="8"/>
        <v>-1.2163322469517842E-2</v>
      </c>
      <c r="Q107" s="5"/>
      <c r="U107" s="5"/>
      <c r="V107" s="5"/>
      <c r="Y107" s="5"/>
      <c r="Z107" s="5"/>
      <c r="AA107" s="5"/>
    </row>
    <row r="108" spans="1:38" x14ac:dyDescent="0.3">
      <c r="Q108" s="5"/>
      <c r="U108" s="5"/>
      <c r="V108" s="5"/>
      <c r="Y108" s="5"/>
      <c r="Z108" s="5"/>
      <c r="AA108" s="5"/>
    </row>
    <row r="109" spans="1:38" x14ac:dyDescent="0.3">
      <c r="A109" s="12" t="s">
        <v>53</v>
      </c>
      <c r="B109" t="s">
        <v>13</v>
      </c>
      <c r="C109" s="7" t="s">
        <v>14</v>
      </c>
      <c r="D109" s="7" t="s">
        <v>15</v>
      </c>
      <c r="E109" s="7" t="s">
        <v>16</v>
      </c>
      <c r="Q109" s="5"/>
      <c r="U109" s="5"/>
      <c r="V109" s="5"/>
      <c r="Y109" s="5"/>
      <c r="Z109" s="5"/>
      <c r="AA109" s="5"/>
    </row>
    <row r="110" spans="1:38" x14ac:dyDescent="0.3">
      <c r="A110" t="s">
        <v>97</v>
      </c>
      <c r="B110" t="s">
        <v>22</v>
      </c>
      <c r="C110" s="4">
        <f>C100</f>
        <v>-1.032959050126161E-2</v>
      </c>
      <c r="D110" s="10">
        <f t="shared" ref="D110:E110" si="9">D100</f>
        <v>-1.2610976413294495E-2</v>
      </c>
      <c r="E110" s="10">
        <f t="shared" si="9"/>
        <v>-1.1357238811300021E-2</v>
      </c>
      <c r="G110" s="6">
        <f>R81</f>
        <v>2430479.6009999998</v>
      </c>
      <c r="H110" s="6">
        <f>AB81</f>
        <v>2827358.7889999999</v>
      </c>
      <c r="I110" s="6">
        <f>AL81</f>
        <v>3259433.7069999999</v>
      </c>
      <c r="Q110" s="5"/>
      <c r="U110" s="5"/>
      <c r="V110" s="5"/>
      <c r="Y110" s="5"/>
      <c r="Z110" s="5"/>
      <c r="AA110" s="5"/>
    </row>
    <row r="111" spans="1:38" x14ac:dyDescent="0.3">
      <c r="B111" t="s">
        <v>7</v>
      </c>
      <c r="C111" s="4">
        <f>C101*G111/G$110</f>
        <v>-1.9472094717654855E-3</v>
      </c>
      <c r="D111" s="4">
        <f t="shared" ref="D111:E111" si="10">D101*H111/H$110</f>
        <v>-1.6226938044968447E-3</v>
      </c>
      <c r="E111" s="4">
        <f t="shared" si="10"/>
        <v>-1.4509939901041816E-3</v>
      </c>
      <c r="G111" s="6">
        <f>R82</f>
        <v>37201.015509999997</v>
      </c>
      <c r="H111" s="6">
        <f>AB82</f>
        <v>38389.321759999999</v>
      </c>
      <c r="I111" s="6">
        <f>AL82</f>
        <v>39555.547919999997</v>
      </c>
      <c r="Q111" s="5"/>
      <c r="U111" s="5"/>
      <c r="V111" s="5"/>
      <c r="Y111" s="5"/>
      <c r="Z111" s="5"/>
      <c r="AA111" s="5"/>
    </row>
    <row r="112" spans="1:38" x14ac:dyDescent="0.3">
      <c r="B112" t="s">
        <v>96</v>
      </c>
      <c r="C112" s="4">
        <f t="shared" ref="C112:E112" si="11">C102*G112/G$110</f>
        <v>-6.7481932344759076E-4</v>
      </c>
      <c r="D112" s="4">
        <f t="shared" si="11"/>
        <v>-8.0709965388124855E-4</v>
      </c>
      <c r="E112" s="4">
        <f t="shared" si="11"/>
        <v>-6.969184233204588E-4</v>
      </c>
      <c r="G112" s="6">
        <f t="shared" ref="G112:G117" si="12">R83</f>
        <v>145319.16579999999</v>
      </c>
      <c r="H112" s="6">
        <f t="shared" ref="H112:H117" si="13">AB83</f>
        <v>162775.01060000001</v>
      </c>
      <c r="I112" s="6">
        <f t="shared" ref="I112:I117" si="14">AL83</f>
        <v>193769.71849999999</v>
      </c>
      <c r="Q112" s="5"/>
      <c r="U112" s="5"/>
      <c r="V112" s="5"/>
      <c r="Y112" s="5"/>
      <c r="Z112" s="5"/>
      <c r="AA112" s="5"/>
    </row>
    <row r="113" spans="1:38" x14ac:dyDescent="0.3">
      <c r="B113" t="s">
        <v>11</v>
      </c>
      <c r="C113" s="4">
        <f t="shared" ref="C113:E113" si="15">C103*G113/G$110</f>
        <v>-1.6635124188396749E-4</v>
      </c>
      <c r="D113" s="4">
        <f t="shared" si="15"/>
        <v>-1.3416380031986105E-4</v>
      </c>
      <c r="E113" s="4">
        <f t="shared" si="15"/>
        <v>-1.3862439939478792E-4</v>
      </c>
      <c r="G113" s="6">
        <f t="shared" si="12"/>
        <v>15485.2088</v>
      </c>
      <c r="H113" s="6">
        <f t="shared" si="13"/>
        <v>16754.25805</v>
      </c>
      <c r="I113" s="6">
        <f t="shared" si="14"/>
        <v>18225.636320000001</v>
      </c>
      <c r="Q113" s="5"/>
      <c r="U113" s="5"/>
      <c r="V113" s="5"/>
      <c r="Y113" s="5"/>
      <c r="Z113" s="5"/>
      <c r="AA113" s="5"/>
    </row>
    <row r="114" spans="1:38" x14ac:dyDescent="0.3">
      <c r="B114" t="s">
        <v>8</v>
      </c>
      <c r="C114" s="4">
        <f t="shared" ref="C114:E114" si="16">C104*G114/G$110</f>
        <v>-2.6273541227717712E-3</v>
      </c>
      <c r="D114" s="4">
        <f t="shared" si="16"/>
        <v>-2.1853537386336943E-3</v>
      </c>
      <c r="E114" s="4">
        <f t="shared" si="16"/>
        <v>-1.9902420123067192E-3</v>
      </c>
      <c r="G114" s="6">
        <f t="shared" si="12"/>
        <v>268274.71200000006</v>
      </c>
      <c r="H114" s="6">
        <f t="shared" si="13"/>
        <v>302529.38329999999</v>
      </c>
      <c r="I114" s="6">
        <f t="shared" si="14"/>
        <v>341620.03690000006</v>
      </c>
      <c r="Q114" s="5"/>
      <c r="U114" s="5"/>
      <c r="V114" s="5"/>
      <c r="Y114" s="5"/>
      <c r="Z114" s="5"/>
      <c r="AA114" s="5"/>
    </row>
    <row r="115" spans="1:38" x14ac:dyDescent="0.3">
      <c r="B115" t="s">
        <v>24</v>
      </c>
      <c r="C115" s="4">
        <f t="shared" ref="C115:E115" si="17">C105*G115/G$110</f>
        <v>-3.1367246188214108E-5</v>
      </c>
      <c r="D115" s="4">
        <f t="shared" si="17"/>
        <v>-2.5223828074973059E-5</v>
      </c>
      <c r="E115" s="4">
        <f t="shared" si="17"/>
        <v>-2.2612813029978248E-5</v>
      </c>
      <c r="G115" s="6">
        <f t="shared" si="12"/>
        <v>5100.7204359999996</v>
      </c>
      <c r="H115" s="6">
        <f t="shared" si="13"/>
        <v>5644.4214979999997</v>
      </c>
      <c r="I115" s="6">
        <f t="shared" si="14"/>
        <v>6219.8456550000001</v>
      </c>
      <c r="Q115" s="5"/>
      <c r="U115" s="5"/>
      <c r="V115" s="5"/>
      <c r="Y115" s="5"/>
      <c r="Z115" s="5"/>
      <c r="AA115" s="5"/>
    </row>
    <row r="116" spans="1:38" x14ac:dyDescent="0.3">
      <c r="B116" t="s">
        <v>10</v>
      </c>
      <c r="C116" s="4">
        <f t="shared" ref="C116:E116" si="18">C106*G116/G$110</f>
        <v>-4.5532968042384598E-3</v>
      </c>
      <c r="D116" s="4">
        <f t="shared" si="18"/>
        <v>-7.5092782998048132E-3</v>
      </c>
      <c r="E116" s="4">
        <f t="shared" si="18"/>
        <v>-6.7631508972426247E-3</v>
      </c>
      <c r="G116" s="6">
        <f t="shared" si="12"/>
        <v>1898234.692</v>
      </c>
      <c r="H116" s="6">
        <f t="shared" si="13"/>
        <v>2231748.4180000001</v>
      </c>
      <c r="I116" s="6">
        <f t="shared" si="14"/>
        <v>2581072.548</v>
      </c>
      <c r="Q116" s="5"/>
      <c r="U116" s="5"/>
      <c r="V116" s="5"/>
      <c r="Y116" s="5"/>
      <c r="Z116" s="5"/>
      <c r="AA116" s="5"/>
    </row>
    <row r="117" spans="1:38" x14ac:dyDescent="0.3">
      <c r="B117" t="s">
        <v>9</v>
      </c>
      <c r="C117" s="4">
        <f t="shared" ref="C117:E117" si="19">C107*G117/G$110</f>
        <v>-3.2919188034773275E-4</v>
      </c>
      <c r="D117" s="4">
        <f t="shared" si="19"/>
        <v>-3.2716365662497618E-4</v>
      </c>
      <c r="E117" s="4">
        <f t="shared" si="19"/>
        <v>-2.9469601358577297E-4</v>
      </c>
      <c r="G117" s="6">
        <f t="shared" si="12"/>
        <v>60864.08582</v>
      </c>
      <c r="H117" s="6">
        <f t="shared" si="13"/>
        <v>69517.976290000006</v>
      </c>
      <c r="I117" s="6">
        <f t="shared" si="14"/>
        <v>78970.373630000002</v>
      </c>
      <c r="Q117" s="5"/>
      <c r="U117" s="5"/>
      <c r="V117" s="5"/>
      <c r="Y117" s="5"/>
      <c r="Z117" s="5"/>
      <c r="AA117" s="5"/>
    </row>
    <row r="118" spans="1:38" x14ac:dyDescent="0.3">
      <c r="Q118" s="5"/>
      <c r="U118" s="5"/>
      <c r="V118" s="5"/>
      <c r="Y118" s="5"/>
      <c r="Z118" s="5"/>
      <c r="AA118" s="5"/>
    </row>
    <row r="119" spans="1:38" x14ac:dyDescent="0.3">
      <c r="A119" s="12" t="s">
        <v>53</v>
      </c>
      <c r="B119" t="s">
        <v>13</v>
      </c>
      <c r="C119" s="7" t="s">
        <v>14</v>
      </c>
      <c r="D119" s="7" t="s">
        <v>15</v>
      </c>
      <c r="E119" s="7" t="s">
        <v>16</v>
      </c>
    </row>
    <row r="120" spans="1:38" x14ac:dyDescent="0.3">
      <c r="A120" t="s">
        <v>55</v>
      </c>
      <c r="B120" t="s">
        <v>7</v>
      </c>
      <c r="C120" s="4">
        <f t="shared" ref="C120:C126" si="20">R91/R$90-R82/R$81</f>
        <v>-1.8077779629934176E-3</v>
      </c>
      <c r="D120" s="4">
        <f t="shared" ref="D120:D126" si="21">AB91/AB$90-AB82/AB$81</f>
        <v>-1.4700026144551116E-3</v>
      </c>
      <c r="E120" s="4">
        <f t="shared" ref="E120:E126" si="22">AL91/AL$90-AL82/AL$81</f>
        <v>-1.3282510783698409E-3</v>
      </c>
    </row>
    <row r="121" spans="1:38" x14ac:dyDescent="0.3">
      <c r="B121" t="s">
        <v>96</v>
      </c>
      <c r="C121" s="4">
        <f t="shared" si="20"/>
        <v>-5.7806869208372469E-5</v>
      </c>
      <c r="D121" s="4">
        <f t="shared" si="21"/>
        <v>-8.2103460811597251E-5</v>
      </c>
      <c r="E121" s="4">
        <f t="shared" si="22"/>
        <v>-2.1992952714322556E-5</v>
      </c>
    </row>
    <row r="122" spans="1:38" x14ac:dyDescent="0.3">
      <c r="B122" t="s">
        <v>11</v>
      </c>
      <c r="C122" s="4">
        <f t="shared" si="20"/>
        <v>-1.0158813576566748E-4</v>
      </c>
      <c r="D122" s="4">
        <f t="shared" si="21"/>
        <v>-6.0193238629837297E-5</v>
      </c>
      <c r="E122" s="4">
        <f t="shared" si="22"/>
        <v>-7.5981552592021759E-5</v>
      </c>
    </row>
    <row r="123" spans="1:38" x14ac:dyDescent="0.3">
      <c r="B123" t="s">
        <v>8</v>
      </c>
      <c r="C123" s="4">
        <f t="shared" si="20"/>
        <v>-1.5027031434170085E-3</v>
      </c>
      <c r="D123" s="4">
        <f t="shared" si="21"/>
        <v>-8.4664742420277606E-4</v>
      </c>
      <c r="E123" s="4">
        <f t="shared" si="22"/>
        <v>-8.0908297698986664E-4</v>
      </c>
    </row>
    <row r="124" spans="1:38" x14ac:dyDescent="0.3">
      <c r="B124" t="s">
        <v>24</v>
      </c>
      <c r="C124" s="4">
        <f t="shared" si="20"/>
        <v>-9.7902035860429615E-6</v>
      </c>
      <c r="D124" s="4">
        <f t="shared" si="21"/>
        <v>-4.8409741431210823E-8</v>
      </c>
      <c r="E124" s="4">
        <f t="shared" si="22"/>
        <v>-9.5105441514156674E-7</v>
      </c>
    </row>
    <row r="125" spans="1:38" x14ac:dyDescent="0.3">
      <c r="B125" t="s">
        <v>10</v>
      </c>
      <c r="C125" s="4">
        <f t="shared" si="20"/>
        <v>3.5509209627218041E-3</v>
      </c>
      <c r="D125" s="4">
        <f t="shared" si="21"/>
        <v>2.4763030220660287E-3</v>
      </c>
      <c r="E125" s="4">
        <f t="shared" si="22"/>
        <v>2.2560142311524034E-3</v>
      </c>
    </row>
    <row r="126" spans="1:38" x14ac:dyDescent="0.3">
      <c r="B126" t="s">
        <v>9</v>
      </c>
      <c r="C126" s="4">
        <f t="shared" si="20"/>
        <v>-7.1254235569747498E-5</v>
      </c>
      <c r="D126" s="4">
        <f t="shared" si="21"/>
        <v>-1.7308245224639807E-5</v>
      </c>
      <c r="E126" s="4">
        <f t="shared" si="22"/>
        <v>-1.9754351006665005E-5</v>
      </c>
    </row>
    <row r="128" spans="1:38" x14ac:dyDescent="0.3">
      <c r="A128" s="12" t="s">
        <v>56</v>
      </c>
      <c r="C128" s="2">
        <v>42005</v>
      </c>
      <c r="D128" s="2">
        <v>42370</v>
      </c>
      <c r="E128" s="2">
        <v>42736</v>
      </c>
      <c r="F128" s="2">
        <v>43101</v>
      </c>
      <c r="G128" s="2">
        <v>43466</v>
      </c>
      <c r="H128" s="2">
        <v>43831</v>
      </c>
      <c r="I128" s="2">
        <v>44197</v>
      </c>
      <c r="J128" s="2">
        <v>44562</v>
      </c>
      <c r="K128" s="2">
        <v>44927</v>
      </c>
      <c r="L128" s="2">
        <v>45292</v>
      </c>
      <c r="M128" s="2">
        <v>45658</v>
      </c>
      <c r="N128" s="2">
        <v>46023</v>
      </c>
      <c r="O128" s="2">
        <v>46388</v>
      </c>
      <c r="P128" s="2">
        <v>46753</v>
      </c>
      <c r="Q128" s="2">
        <v>47119</v>
      </c>
      <c r="R128" s="2">
        <v>47484</v>
      </c>
      <c r="S128" s="2">
        <v>47849</v>
      </c>
      <c r="T128" s="2">
        <v>48214</v>
      </c>
      <c r="U128" s="2">
        <v>48580</v>
      </c>
      <c r="V128" s="2">
        <v>48945</v>
      </c>
      <c r="W128" s="2">
        <v>49310</v>
      </c>
      <c r="X128" s="2">
        <v>49675</v>
      </c>
      <c r="Y128" s="2">
        <v>50041</v>
      </c>
      <c r="Z128" s="2">
        <v>50406</v>
      </c>
      <c r="AA128" s="2">
        <v>50771</v>
      </c>
      <c r="AB128" s="2">
        <v>51136</v>
      </c>
      <c r="AC128" s="2">
        <v>51502</v>
      </c>
      <c r="AD128" s="2">
        <v>51867</v>
      </c>
      <c r="AE128" s="2">
        <v>52232</v>
      </c>
      <c r="AF128" s="2">
        <v>52597</v>
      </c>
      <c r="AG128" s="2">
        <v>52963</v>
      </c>
      <c r="AH128" s="2">
        <v>53328</v>
      </c>
      <c r="AI128" s="2">
        <v>53693</v>
      </c>
      <c r="AJ128" s="2">
        <v>54058</v>
      </c>
      <c r="AK128" s="2">
        <v>54424</v>
      </c>
      <c r="AL128" s="2">
        <v>54789</v>
      </c>
    </row>
    <row r="129" spans="1:38" x14ac:dyDescent="0.3">
      <c r="A129" t="s">
        <v>26</v>
      </c>
      <c r="B129" t="s">
        <v>22</v>
      </c>
      <c r="C129" s="6">
        <f>[1]Production!B3</f>
        <v>3869147.554</v>
      </c>
      <c r="D129" s="6">
        <f>[1]Production!C3</f>
        <v>3902911.9929999998</v>
      </c>
      <c r="E129" s="6">
        <f>[1]Production!D3</f>
        <v>3953427.3530000001</v>
      </c>
      <c r="F129" s="6">
        <f>[1]Production!E3</f>
        <v>4014120.7930000001</v>
      </c>
      <c r="G129" s="6">
        <f>[1]Production!F3</f>
        <v>4079606.835</v>
      </c>
      <c r="H129" s="6">
        <f>[1]Production!G3</f>
        <v>4146378.0419999999</v>
      </c>
      <c r="I129" s="6">
        <f>[1]Production!H3</f>
        <v>4206927.2180000003</v>
      </c>
      <c r="J129" s="6">
        <f>[1]Production!I3</f>
        <v>4264993.4450000003</v>
      </c>
      <c r="K129" s="6">
        <f>[1]Production!J3</f>
        <v>4320808.034</v>
      </c>
      <c r="L129" s="6">
        <f>[1]Production!K3</f>
        <v>4376463.2889999999</v>
      </c>
      <c r="M129" s="6">
        <f>[1]Production!L3</f>
        <v>4440624.8689999999</v>
      </c>
      <c r="N129" s="6">
        <f>[1]Production!M3</f>
        <v>4502469.2810000004</v>
      </c>
      <c r="O129" s="6">
        <f>[1]Production!N3</f>
        <v>4567851.1859999998</v>
      </c>
      <c r="P129" s="6">
        <f>[1]Production!O3</f>
        <v>4635812.9819999998</v>
      </c>
      <c r="Q129" s="6">
        <f>[1]Production!P3</f>
        <v>4705468.7050000001</v>
      </c>
      <c r="R129" s="6">
        <f>[1]Production!Q3</f>
        <v>4776224.6720000003</v>
      </c>
      <c r="S129" s="6">
        <f>[1]Production!R3</f>
        <v>4847851.034</v>
      </c>
      <c r="T129" s="6">
        <f>[1]Production!S3</f>
        <v>4920421.7980000004</v>
      </c>
      <c r="U129" s="6">
        <f>[1]Production!T3</f>
        <v>4994154.9740000004</v>
      </c>
      <c r="V129" s="6">
        <f>[1]Production!U3</f>
        <v>5069256.7529999996</v>
      </c>
      <c r="W129" s="6">
        <f>[1]Production!V3</f>
        <v>5140619.0609999998</v>
      </c>
      <c r="X129" s="6">
        <f>[1]Production!W3</f>
        <v>5218168.5779999997</v>
      </c>
      <c r="Y129" s="6">
        <f>[1]Production!X3</f>
        <v>5297625.1370000001</v>
      </c>
      <c r="Z129" s="6">
        <f>[1]Production!Y3</f>
        <v>5378475.5420000004</v>
      </c>
      <c r="AA129" s="6">
        <f>[1]Production!Z3</f>
        <v>5460408.8490000004</v>
      </c>
      <c r="AB129" s="6">
        <f>[1]Production!AA3</f>
        <v>5526530.8550000004</v>
      </c>
      <c r="AC129" s="6">
        <f>[1]Production!AB3</f>
        <v>5603533.0020000003</v>
      </c>
      <c r="AD129" s="6">
        <f>[1]Production!AC3</f>
        <v>5681756.0769999996</v>
      </c>
      <c r="AE129" s="6">
        <f>[1]Production!AD3</f>
        <v>5761409.8569999998</v>
      </c>
      <c r="AF129" s="6">
        <f>[1]Production!AE3</f>
        <v>5842607.7539999997</v>
      </c>
      <c r="AG129" s="6">
        <f>[1]Production!AF3</f>
        <v>5925090.2980000004</v>
      </c>
      <c r="AH129" s="6">
        <f>[1]Production!AG3</f>
        <v>6008472.5539999995</v>
      </c>
      <c r="AI129" s="6">
        <f>[1]Production!AH3</f>
        <v>6092494.7539999997</v>
      </c>
      <c r="AJ129" s="6">
        <f>[1]Production!AI3</f>
        <v>6177136.7259999998</v>
      </c>
      <c r="AK129" s="6">
        <f>[1]Production!AJ3</f>
        <v>6262587.7529999996</v>
      </c>
      <c r="AL129" s="6">
        <f>[1]Production!AK3</f>
        <v>6349128.1639999999</v>
      </c>
    </row>
    <row r="130" spans="1:38" x14ac:dyDescent="0.3">
      <c r="B130" t="s">
        <v>7</v>
      </c>
      <c r="C130" s="6">
        <f>[1]Production!B5+[1]Production!B7</f>
        <v>88407.792415000004</v>
      </c>
      <c r="D130" s="6">
        <f>[1]Production!C5+[1]Production!C7</f>
        <v>87829.627584999995</v>
      </c>
      <c r="E130" s="6">
        <f>[1]Production!D5+[1]Production!D7</f>
        <v>87570.315812000001</v>
      </c>
      <c r="F130" s="6">
        <f>[1]Production!E5+[1]Production!E7</f>
        <v>87629.958078999989</v>
      </c>
      <c r="G130" s="6">
        <f>[1]Production!F5+[1]Production!F7</f>
        <v>88014.540058999992</v>
      </c>
      <c r="H130" s="6">
        <f>[1]Production!G5+[1]Production!G7</f>
        <v>88656.137172000002</v>
      </c>
      <c r="I130" s="6">
        <f>[1]Production!H5+[1]Production!H7</f>
        <v>89390.080742000006</v>
      </c>
      <c r="J130" s="6">
        <f>[1]Production!I5+[1]Production!I7</f>
        <v>90148.151385000005</v>
      </c>
      <c r="K130" s="6">
        <f>[1]Production!J5+[1]Production!J7</f>
        <v>90858.985299000007</v>
      </c>
      <c r="L130" s="6">
        <f>[1]Production!K5+[1]Production!K7</f>
        <v>91482.988512999989</v>
      </c>
      <c r="M130" s="6">
        <f>[1]Production!L5+[1]Production!L7</f>
        <v>92109.901108000005</v>
      </c>
      <c r="N130" s="6">
        <f>[1]Production!M5+[1]Production!M7</f>
        <v>92580.927406999996</v>
      </c>
      <c r="O130" s="6">
        <f>[1]Production!N5+[1]Production!N7</f>
        <v>92947.796638999993</v>
      </c>
      <c r="P130" s="6">
        <f>[1]Production!O5+[1]Production!O7</f>
        <v>93224.790135000003</v>
      </c>
      <c r="Q130" s="6">
        <f>[1]Production!P5+[1]Production!P7</f>
        <v>93434.976450000002</v>
      </c>
      <c r="R130" s="6">
        <f>[1]Production!Q5+[1]Production!Q7</f>
        <v>93605.727444000004</v>
      </c>
      <c r="S130" s="6">
        <f>[1]Production!R5+[1]Production!R7</f>
        <v>93765.022207000002</v>
      </c>
      <c r="T130" s="6">
        <f>[1]Production!S5+[1]Production!S7</f>
        <v>93937.661325000008</v>
      </c>
      <c r="U130" s="6">
        <f>[1]Production!T5+[1]Production!T7</f>
        <v>94142.38328400001</v>
      </c>
      <c r="V130" s="6">
        <f>[1]Production!U5+[1]Production!U7</f>
        <v>94390.317582999996</v>
      </c>
      <c r="W130" s="6">
        <f>[1]Production!V5+[1]Production!V7</f>
        <v>94612.284447999991</v>
      </c>
      <c r="X130" s="6">
        <f>[1]Production!W5+[1]Production!W7</f>
        <v>94922.518605000005</v>
      </c>
      <c r="Y130" s="6">
        <f>[1]Production!X5+[1]Production!X7</f>
        <v>95281.505558000004</v>
      </c>
      <c r="Z130" s="6">
        <f>[1]Production!Y5+[1]Production!Y7</f>
        <v>95678.567948000011</v>
      </c>
      <c r="AA130" s="6">
        <f>[1]Production!Z5+[1]Production!Z7</f>
        <v>96099.405348</v>
      </c>
      <c r="AB130" s="6">
        <f>[1]Production!AA5+[1]Production!AA7</f>
        <v>96324.244306000008</v>
      </c>
      <c r="AC130" s="6">
        <f>[1]Production!AB5+[1]Production!AB7</f>
        <v>96586.533157000013</v>
      </c>
      <c r="AD130" s="6">
        <f>[1]Production!AC5+[1]Production!AC7</f>
        <v>96841.921646999996</v>
      </c>
      <c r="AE130" s="6">
        <f>[1]Production!AD5+[1]Production!AD7</f>
        <v>97099.581170999998</v>
      </c>
      <c r="AF130" s="6">
        <f>[1]Production!AE5+[1]Production!AE7</f>
        <v>97362.913442000005</v>
      </c>
      <c r="AG130" s="6">
        <f>[1]Production!AF5+[1]Production!AF7</f>
        <v>97631.085003</v>
      </c>
      <c r="AH130" s="6">
        <f>[1]Production!AG5+[1]Production!AG7</f>
        <v>97900.968808000005</v>
      </c>
      <c r="AI130" s="6">
        <f>[1]Production!AH5+[1]Production!AH7</f>
        <v>98169.369854999997</v>
      </c>
      <c r="AJ130" s="6">
        <f>[1]Production!AI5+[1]Production!AI7</f>
        <v>98434.453195000009</v>
      </c>
      <c r="AK130" s="6">
        <f>[1]Production!AJ5+[1]Production!AJ7</f>
        <v>98696.105226999993</v>
      </c>
      <c r="AL130" s="6">
        <f>[1]Production!AK5+[1]Production!AK7</f>
        <v>98955.481667</v>
      </c>
    </row>
    <row r="131" spans="1:38" x14ac:dyDescent="0.3">
      <c r="B131" t="s">
        <v>96</v>
      </c>
      <c r="C131" s="6">
        <f>[1]Production!B27</f>
        <v>271497.77740000002</v>
      </c>
      <c r="D131" s="6">
        <f>[1]Production!C27</f>
        <v>288739.83899999998</v>
      </c>
      <c r="E131" s="6">
        <f>[1]Production!D27</f>
        <v>306308.34960000002</v>
      </c>
      <c r="F131" s="6">
        <f>[1]Production!E27</f>
        <v>317500.20669999998</v>
      </c>
      <c r="G131" s="6">
        <f>[1]Production!F27</f>
        <v>324696.00579999998</v>
      </c>
      <c r="H131" s="6">
        <f>[1]Production!G27</f>
        <v>330019.89500000002</v>
      </c>
      <c r="I131" s="6">
        <f>[1]Production!H27</f>
        <v>328706.88449999999</v>
      </c>
      <c r="J131" s="6">
        <f>[1]Production!I27</f>
        <v>330269.94900000002</v>
      </c>
      <c r="K131" s="6">
        <f>[1]Production!J27</f>
        <v>332893.99359999999</v>
      </c>
      <c r="L131" s="6">
        <f>[1]Production!K27</f>
        <v>336055.78110000002</v>
      </c>
      <c r="M131" s="6">
        <f>[1]Production!L27</f>
        <v>348068.09669999999</v>
      </c>
      <c r="N131" s="6">
        <f>[1]Production!M27</f>
        <v>347483.79550000001</v>
      </c>
      <c r="O131" s="6">
        <f>[1]Production!N27</f>
        <v>350193.99119999999</v>
      </c>
      <c r="P131" s="6">
        <f>[1]Production!O27</f>
        <v>354535.23979999998</v>
      </c>
      <c r="Q131" s="6">
        <f>[1]Production!P27</f>
        <v>359710.32829999999</v>
      </c>
      <c r="R131" s="6">
        <f>[1]Production!Q27</f>
        <v>365247.7928</v>
      </c>
      <c r="S131" s="6">
        <f>[1]Production!R27</f>
        <v>370929.26549999998</v>
      </c>
      <c r="T131" s="6">
        <f>[1]Production!S27</f>
        <v>376734.25599999999</v>
      </c>
      <c r="U131" s="6">
        <f>[1]Production!T27</f>
        <v>382696.25530000002</v>
      </c>
      <c r="V131" s="6">
        <f>[1]Production!U27</f>
        <v>388842.37099999998</v>
      </c>
      <c r="W131" s="6">
        <f>[1]Production!V27</f>
        <v>389228.12849999999</v>
      </c>
      <c r="X131" s="6">
        <f>[1]Production!W27</f>
        <v>398904.56770000001</v>
      </c>
      <c r="Y131" s="6">
        <f>[1]Production!X27</f>
        <v>407121.03249999997</v>
      </c>
      <c r="Z131" s="6">
        <f>[1]Production!Y27</f>
        <v>414600.40149999998</v>
      </c>
      <c r="AA131" s="6">
        <f>[1]Production!Z27</f>
        <v>421771.45380000002</v>
      </c>
      <c r="AB131" s="6">
        <f>[1]Production!AA27</f>
        <v>411387.7524</v>
      </c>
      <c r="AC131" s="6">
        <f>[1]Production!AB27</f>
        <v>420591.0528</v>
      </c>
      <c r="AD131" s="6">
        <f>[1]Production!AC27</f>
        <v>428809.9178</v>
      </c>
      <c r="AE131" s="6">
        <f>[1]Production!AD27</f>
        <v>436452.35310000001</v>
      </c>
      <c r="AF131" s="6">
        <f>[1]Production!AE27</f>
        <v>443850.56479999999</v>
      </c>
      <c r="AG131" s="6">
        <f>[1]Production!AF27</f>
        <v>451152.3039</v>
      </c>
      <c r="AH131" s="6">
        <f>[1]Production!AG27</f>
        <v>458401.45429999998</v>
      </c>
      <c r="AI131" s="6">
        <f>[1]Production!AH27</f>
        <v>465609.8873</v>
      </c>
      <c r="AJ131" s="6">
        <f>[1]Production!AI27</f>
        <v>472796.1237</v>
      </c>
      <c r="AK131" s="6">
        <f>[1]Production!AJ27</f>
        <v>479994.7794</v>
      </c>
      <c r="AL131" s="6">
        <f>[1]Production!AK27</f>
        <v>487248.04139999999</v>
      </c>
    </row>
    <row r="132" spans="1:38" x14ac:dyDescent="0.3">
      <c r="B132" t="s">
        <v>11</v>
      </c>
      <c r="C132" s="6">
        <f>[1]Production!B51+[1]Production!B53+[1]Production!B55+[1]Production!B57+[1]Production!B59+[1]Production!B61+[1]Production!B63+[1]Production!B65+[1]Production!B67</f>
        <v>44610.098704169999</v>
      </c>
      <c r="D132" s="6">
        <f>[1]Production!C51+[1]Production!C53+[1]Production!C55+[1]Production!C57+[1]Production!C59+[1]Production!C61+[1]Production!C63+[1]Production!C65+[1]Production!C67</f>
        <v>44969.915408720015</v>
      </c>
      <c r="E132" s="6">
        <f>[1]Production!D51+[1]Production!D53+[1]Production!D55+[1]Production!D57+[1]Production!D59+[1]Production!D61+[1]Production!D63+[1]Production!D65+[1]Production!D67</f>
        <v>45200.36303380999</v>
      </c>
      <c r="F132" s="6">
        <f>[1]Production!E51+[1]Production!E53+[1]Production!E55+[1]Production!E57+[1]Production!E59+[1]Production!E61+[1]Production!E63+[1]Production!E65+[1]Production!E67</f>
        <v>45404.058548890003</v>
      </c>
      <c r="G132" s="6">
        <f>[1]Production!F51+[1]Production!F53+[1]Production!F55+[1]Production!F57+[1]Production!F59+[1]Production!F61+[1]Production!F63+[1]Production!F65+[1]Production!F67</f>
        <v>45653.322039070001</v>
      </c>
      <c r="H132" s="6">
        <f>[1]Production!G51+[1]Production!G53+[1]Production!G55+[1]Production!G57+[1]Production!G59+[1]Production!G61+[1]Production!G63+[1]Production!G65+[1]Production!G67</f>
        <v>45994.446899320006</v>
      </c>
      <c r="I132" s="6">
        <f>[1]Production!H51+[1]Production!H53+[1]Production!H55+[1]Production!H57+[1]Production!H59+[1]Production!H61+[1]Production!H63+[1]Production!H65+[1]Production!H67</f>
        <v>46417.768581569988</v>
      </c>
      <c r="J132" s="6">
        <f>[1]Production!I51+[1]Production!I53+[1]Production!I55+[1]Production!I57+[1]Production!I59+[1]Production!I61+[1]Production!I63+[1]Production!I65+[1]Production!I67</f>
        <v>46910.338516300006</v>
      </c>
      <c r="K132" s="6">
        <f>[1]Production!J51+[1]Production!J53+[1]Production!J55+[1]Production!J57+[1]Production!J59+[1]Production!J61+[1]Production!J63+[1]Production!J65+[1]Production!J67</f>
        <v>47433.059120170001</v>
      </c>
      <c r="L132" s="6">
        <f>[1]Production!K51+[1]Production!K53+[1]Production!K55+[1]Production!K57+[1]Production!K59+[1]Production!K61+[1]Production!K63+[1]Production!K65+[1]Production!K67</f>
        <v>47946.015338359997</v>
      </c>
      <c r="M132" s="6">
        <f>[1]Production!L51+[1]Production!L53+[1]Production!L55+[1]Production!L57+[1]Production!L59+[1]Production!L61+[1]Production!L63+[1]Production!L65+[1]Production!L67</f>
        <v>48448.145779759994</v>
      </c>
      <c r="N132" s="6">
        <f>[1]Production!M51+[1]Production!M53+[1]Production!M55+[1]Production!M57+[1]Production!M59+[1]Production!M61+[1]Production!M63+[1]Production!M65+[1]Production!M67</f>
        <v>48910.434622860004</v>
      </c>
      <c r="O132" s="6">
        <f>[1]Production!N51+[1]Production!N53+[1]Production!N55+[1]Production!N57+[1]Production!N59+[1]Production!N61+[1]Production!N63+[1]Production!N65+[1]Production!N67</f>
        <v>49345.846775080005</v>
      </c>
      <c r="P132" s="6">
        <f>[1]Production!O51+[1]Production!O53+[1]Production!O55+[1]Production!O57+[1]Production!O59+[1]Production!O61+[1]Production!O63+[1]Production!O65+[1]Production!O67</f>
        <v>49769.029449759997</v>
      </c>
      <c r="Q132" s="6">
        <f>[1]Production!P51+[1]Production!P53+[1]Production!P55+[1]Production!P57+[1]Production!P59+[1]Production!P61+[1]Production!P63+[1]Production!P65+[1]Production!P67</f>
        <v>50188.030615129996</v>
      </c>
      <c r="R132" s="6">
        <f>[1]Production!Q51+[1]Production!Q53+[1]Production!Q55+[1]Production!Q57+[1]Production!Q59+[1]Production!Q61+[1]Production!Q63+[1]Production!Q65+[1]Production!Q67</f>
        <v>50607.070147070001</v>
      </c>
      <c r="S132" s="6">
        <f>[1]Production!R51+[1]Production!R53+[1]Production!R55+[1]Production!R57+[1]Production!R59+[1]Production!R61+[1]Production!R63+[1]Production!R65+[1]Production!R67</f>
        <v>51027.560969850005</v>
      </c>
      <c r="T132" s="6">
        <f>[1]Production!S51+[1]Production!S53+[1]Production!S55+[1]Production!S57+[1]Production!S59+[1]Production!S61+[1]Production!S63+[1]Production!S65+[1]Production!S67</f>
        <v>51448.809395249998</v>
      </c>
      <c r="U132" s="6">
        <f>[1]Production!T51+[1]Production!T53+[1]Production!T55+[1]Production!T57+[1]Production!T59+[1]Production!T61+[1]Production!T63+[1]Production!T65+[1]Production!T67</f>
        <v>51870.06019014</v>
      </c>
      <c r="V132" s="6">
        <f>[1]Production!U51+[1]Production!U53+[1]Production!U55+[1]Production!U57+[1]Production!U59+[1]Production!U61+[1]Production!U63+[1]Production!U65+[1]Production!U67</f>
        <v>52292.06006286</v>
      </c>
      <c r="W132" s="6">
        <f>[1]Production!V51+[1]Production!V53+[1]Production!V55+[1]Production!V57+[1]Production!V59+[1]Production!V61+[1]Production!V63+[1]Production!V65+[1]Production!V67</f>
        <v>52696.79189565</v>
      </c>
      <c r="X132" s="6">
        <f>[1]Production!W51+[1]Production!W53+[1]Production!W55+[1]Production!W57+[1]Production!W59+[1]Production!W61+[1]Production!W63+[1]Production!W65+[1]Production!W67</f>
        <v>53113.662411880003</v>
      </c>
      <c r="Y132" s="6">
        <f>[1]Production!X51+[1]Production!X53+[1]Production!X55+[1]Production!X57+[1]Production!X59+[1]Production!X61+[1]Production!X63+[1]Production!X65+[1]Production!X67</f>
        <v>53544.672591599992</v>
      </c>
      <c r="Z132" s="6">
        <f>[1]Production!Y51+[1]Production!Y53+[1]Production!Y55+[1]Production!Y57+[1]Production!Y59+[1]Production!Y61+[1]Production!Y63+[1]Production!Y65+[1]Production!Y67</f>
        <v>53991.962016460006</v>
      </c>
      <c r="AA132" s="6">
        <f>[1]Production!Z51+[1]Production!Z53+[1]Production!Z55+[1]Production!Z57+[1]Production!Z59+[1]Production!Z61+[1]Production!Z63+[1]Production!Z65+[1]Production!Z67</f>
        <v>54458.208603049992</v>
      </c>
      <c r="AB132" s="6">
        <f>[1]Production!AA51+[1]Production!AA53+[1]Production!AA55+[1]Production!AA57+[1]Production!AA59+[1]Production!AA61+[1]Production!AA63+[1]Production!AA65+[1]Production!AA67</f>
        <v>54876.527673540004</v>
      </c>
      <c r="AC132" s="6">
        <f>[1]Production!AB51+[1]Production!AB53+[1]Production!AB55+[1]Production!AB57+[1]Production!AB59+[1]Production!AB61+[1]Production!AB63+[1]Production!AB65+[1]Production!AB67</f>
        <v>55311.341265629999</v>
      </c>
      <c r="AD132" s="6">
        <f>[1]Production!AC51+[1]Production!AC53+[1]Production!AC55+[1]Production!AC57+[1]Production!AC59+[1]Production!AC61+[1]Production!AC63+[1]Production!AC65+[1]Production!AC67</f>
        <v>55749.912262040008</v>
      </c>
      <c r="AE132" s="6">
        <f>[1]Production!AD51+[1]Production!AD53+[1]Production!AD55+[1]Production!AD57+[1]Production!AD59+[1]Production!AD61+[1]Production!AD63+[1]Production!AD65+[1]Production!AD67</f>
        <v>56190.58840488</v>
      </c>
      <c r="AF132" s="6">
        <f>[1]Production!AE51+[1]Production!AE53+[1]Production!AE55+[1]Production!AE57+[1]Production!AE59+[1]Production!AE61+[1]Production!AE63+[1]Production!AE65+[1]Production!AE67</f>
        <v>56639.617342939993</v>
      </c>
      <c r="AG132" s="6">
        <f>[1]Production!AF51+[1]Production!AF53+[1]Production!AF55+[1]Production!AF57+[1]Production!AF59+[1]Production!AF61+[1]Production!AF63+[1]Production!AF65+[1]Production!AF67</f>
        <v>57104.456749159996</v>
      </c>
      <c r="AH132" s="6">
        <f>[1]Production!AG51+[1]Production!AG53+[1]Production!AG55+[1]Production!AG57+[1]Production!AG59+[1]Production!AG61+[1]Production!AG63+[1]Production!AG65+[1]Production!AG67</f>
        <v>57589.628576969997</v>
      </c>
      <c r="AI132" s="6">
        <f>[1]Production!AH51+[1]Production!AH53+[1]Production!AH55+[1]Production!AH57+[1]Production!AH59+[1]Production!AH61+[1]Production!AH63+[1]Production!AH65+[1]Production!AH67</f>
        <v>58095.416416330001</v>
      </c>
      <c r="AJ132" s="6">
        <f>[1]Production!AI51+[1]Production!AI53+[1]Production!AI55+[1]Production!AI57+[1]Production!AI59+[1]Production!AI61+[1]Production!AI63+[1]Production!AI65+[1]Production!AI67</f>
        <v>58618.719518260004</v>
      </c>
      <c r="AK132" s="6">
        <f>[1]Production!AJ51+[1]Production!AJ53+[1]Production!AJ55+[1]Production!AJ57+[1]Production!AJ59+[1]Production!AJ61+[1]Production!AJ63+[1]Production!AJ65+[1]Production!AJ67</f>
        <v>59154.942513990005</v>
      </c>
      <c r="AL132" s="6">
        <f>[1]Production!AK51+[1]Production!AK53+[1]Production!AK55+[1]Production!AK57+[1]Production!AK59+[1]Production!AK61+[1]Production!AK63+[1]Production!AK65+[1]Production!AK67</f>
        <v>59700.306780939994</v>
      </c>
    </row>
    <row r="133" spans="1:38" x14ac:dyDescent="0.3">
      <c r="B133" t="s">
        <v>8</v>
      </c>
      <c r="C133" s="6">
        <f>-[1]Production!B27+[1]Production!B9+[1]Production!B11+[1]Production!B13+[1]Production!B15+[1]Production!B17+[1]Production!B19+[1]Production!B21+[1]Production!B23+[1]Production!B25+[1]Production!B27+[1]Production!B41</f>
        <v>709126.4324869999</v>
      </c>
      <c r="D133" s="6">
        <f>-[1]Production!C27+[1]Production!C9+[1]Production!C11+[1]Production!C13+[1]Production!C15+[1]Production!C17+[1]Production!C19+[1]Production!C21+[1]Production!C23+[1]Production!C25+[1]Production!C27+[1]Production!C41</f>
        <v>711941.00040300004</v>
      </c>
      <c r="E133" s="6">
        <f>-[1]Production!D27+[1]Production!D9+[1]Production!D11+[1]Production!D13+[1]Production!D15+[1]Production!D17+[1]Production!D19+[1]Production!D21+[1]Production!D23+[1]Production!D25+[1]Production!D27+[1]Production!D41</f>
        <v>717835.17698900006</v>
      </c>
      <c r="F133" s="6">
        <f>-[1]Production!E27+[1]Production!E9+[1]Production!E11+[1]Production!E13+[1]Production!E15+[1]Production!E17+[1]Production!E19+[1]Production!E21+[1]Production!E23+[1]Production!E25+[1]Production!E27+[1]Production!E41</f>
        <v>725598.93425099994</v>
      </c>
      <c r="G133" s="6">
        <f>-[1]Production!F27+[1]Production!F9+[1]Production!F11+[1]Production!F13+[1]Production!F15+[1]Production!F17+[1]Production!F19+[1]Production!F21+[1]Production!F23+[1]Production!F25+[1]Production!F27+[1]Production!F41</f>
        <v>734588.80614899984</v>
      </c>
      <c r="H133" s="6">
        <f>-[1]Production!G27+[1]Production!G9+[1]Production!G11+[1]Production!G13+[1]Production!G15+[1]Production!G17+[1]Production!G19+[1]Production!G21+[1]Production!G23+[1]Production!G25+[1]Production!G27+[1]Production!G41</f>
        <v>744275.90052200004</v>
      </c>
      <c r="I133" s="6">
        <f>-[1]Production!H27+[1]Production!H9+[1]Production!H11+[1]Production!H13+[1]Production!H15+[1]Production!H17+[1]Production!H19+[1]Production!H21+[1]Production!H23+[1]Production!H25+[1]Production!H27+[1]Production!H41</f>
        <v>753120.53900799993</v>
      </c>
      <c r="J133" s="6">
        <f>-[1]Production!I27+[1]Production!I9+[1]Production!I11+[1]Production!I13+[1]Production!I15+[1]Production!I17+[1]Production!I19+[1]Production!I21+[1]Production!I23+[1]Production!I25+[1]Production!I27+[1]Production!I41</f>
        <v>761810.71270399995</v>
      </c>
      <c r="K133" s="6">
        <f>-[1]Production!J27+[1]Production!J9+[1]Production!J11+[1]Production!J13+[1]Production!J15+[1]Production!J17+[1]Production!J19+[1]Production!J21+[1]Production!J23+[1]Production!J25+[1]Production!J27+[1]Production!J41</f>
        <v>770255.37622099998</v>
      </c>
      <c r="L133" s="6">
        <f>-[1]Production!K27+[1]Production!K9+[1]Production!K11+[1]Production!K13+[1]Production!K15+[1]Production!K17+[1]Production!K19+[1]Production!K21+[1]Production!K23+[1]Production!K25+[1]Production!K27+[1]Production!K41</f>
        <v>778571.38988999999</v>
      </c>
      <c r="M133" s="6">
        <f>-[1]Production!L27+[1]Production!L9+[1]Production!L11+[1]Production!L13+[1]Production!L15+[1]Production!L17+[1]Production!L19+[1]Production!L21+[1]Production!L23+[1]Production!L25+[1]Production!L27+[1]Production!L41</f>
        <v>788567.73012600013</v>
      </c>
      <c r="N133" s="6">
        <f>-[1]Production!M27+[1]Production!M9+[1]Production!M11+[1]Production!M13+[1]Production!M15+[1]Production!M17+[1]Production!M19+[1]Production!M21+[1]Production!M23+[1]Production!M25+[1]Production!M27+[1]Production!M41</f>
        <v>797310.18826299999</v>
      </c>
      <c r="O133" s="6">
        <f>-[1]Production!N27+[1]Production!N9+[1]Production!N11+[1]Production!N13+[1]Production!N15+[1]Production!N17+[1]Production!N19+[1]Production!N21+[1]Production!N23+[1]Production!N25+[1]Production!N27+[1]Production!N41</f>
        <v>806333.318921</v>
      </c>
      <c r="P133" s="6">
        <f>-[1]Production!O27+[1]Production!O9+[1]Production!O11+[1]Production!O13+[1]Production!O15+[1]Production!O17+[1]Production!O19+[1]Production!O21+[1]Production!O23+[1]Production!O25+[1]Production!O27+[1]Production!O41</f>
        <v>815684.65313999995</v>
      </c>
      <c r="Q133" s="6">
        <f>-[1]Production!P27+[1]Production!P9+[1]Production!P11+[1]Production!P13+[1]Production!P15+[1]Production!P17+[1]Production!P19+[1]Production!P21+[1]Production!P23+[1]Production!P25+[1]Production!P27+[1]Production!P41</f>
        <v>825260.02961999993</v>
      </c>
      <c r="R133" s="6">
        <f>-[1]Production!Q27+[1]Production!Q9+[1]Production!Q11+[1]Production!Q13+[1]Production!Q15+[1]Production!Q17+[1]Production!Q19+[1]Production!Q21+[1]Production!Q23+[1]Production!Q25+[1]Production!Q27+[1]Production!Q41</f>
        <v>834982.85704000003</v>
      </c>
      <c r="S133" s="6">
        <f>-[1]Production!R27+[1]Production!R9+[1]Production!R11+[1]Production!R13+[1]Production!R15+[1]Production!R17+[1]Production!R19+[1]Production!R21+[1]Production!R23+[1]Production!R25+[1]Production!R27+[1]Production!R41</f>
        <v>844828.94794999994</v>
      </c>
      <c r="T133" s="6">
        <f>-[1]Production!S27+[1]Production!S9+[1]Production!S11+[1]Production!S13+[1]Production!S15+[1]Production!S17+[1]Production!S19+[1]Production!S21+[1]Production!S23+[1]Production!S25+[1]Production!S27+[1]Production!S41</f>
        <v>854820.30449999997</v>
      </c>
      <c r="U133" s="6">
        <f>-[1]Production!T27+[1]Production!T9+[1]Production!T11+[1]Production!T13+[1]Production!T15+[1]Production!T17+[1]Production!T19+[1]Production!T21+[1]Production!T23+[1]Production!T25+[1]Production!T27+[1]Production!T41</f>
        <v>865000.04637</v>
      </c>
      <c r="V133" s="6">
        <f>-[1]Production!U27+[1]Production!U9+[1]Production!U11+[1]Production!U13+[1]Production!U15+[1]Production!U17+[1]Production!U19+[1]Production!U21+[1]Production!U23+[1]Production!U25+[1]Production!U27+[1]Production!U41</f>
        <v>875408.78950000007</v>
      </c>
      <c r="W133" s="6">
        <f>-[1]Production!V27+[1]Production!V9+[1]Production!V11+[1]Production!V13+[1]Production!V15+[1]Production!V17+[1]Production!V19+[1]Production!V21+[1]Production!V23+[1]Production!V25+[1]Production!V27+[1]Production!V41</f>
        <v>884914.26535999996</v>
      </c>
      <c r="X133" s="6">
        <f>-[1]Production!W27+[1]Production!W9+[1]Production!W11+[1]Production!W13+[1]Production!W15+[1]Production!W17+[1]Production!W19+[1]Production!W21+[1]Production!W23+[1]Production!W25+[1]Production!W27+[1]Production!W41</f>
        <v>895819.89593</v>
      </c>
      <c r="Y133" s="6">
        <f>-[1]Production!X27+[1]Production!X9+[1]Production!X11+[1]Production!X13+[1]Production!X15+[1]Production!X17+[1]Production!X19+[1]Production!X21+[1]Production!X23+[1]Production!X25+[1]Production!X27+[1]Production!X41</f>
        <v>907084.49708000012</v>
      </c>
      <c r="Z133" s="6">
        <f>-[1]Production!Y27+[1]Production!Y9+[1]Production!Y11+[1]Production!Y13+[1]Production!Y15+[1]Production!Y17+[1]Production!Y19+[1]Production!Y21+[1]Production!Y23+[1]Production!Y25+[1]Production!Y27+[1]Production!Y41</f>
        <v>918569.87578</v>
      </c>
      <c r="AA133" s="6">
        <f>-[1]Production!Z27+[1]Production!Z9+[1]Production!Z11+[1]Production!Z13+[1]Production!Z15+[1]Production!Z17+[1]Production!Z19+[1]Production!Z21+[1]Production!Z23+[1]Production!Z25+[1]Production!Z27+[1]Production!Z41</f>
        <v>930241.36479999998</v>
      </c>
      <c r="AB133" s="6">
        <f>-[1]Production!AA27+[1]Production!AA9+[1]Production!AA11+[1]Production!AA13+[1]Production!AA15+[1]Production!AA17+[1]Production!AA19+[1]Production!AA21+[1]Production!AA23+[1]Production!AA25+[1]Production!AA27+[1]Production!AA41</f>
        <v>938642.4779099999</v>
      </c>
      <c r="AC133" s="6">
        <f>-[1]Production!AB27+[1]Production!AB9+[1]Production!AB11+[1]Production!AB13+[1]Production!AB15+[1]Production!AB17+[1]Production!AB19+[1]Production!AB21+[1]Production!AB23+[1]Production!AB25+[1]Production!AB27+[1]Production!AB41</f>
        <v>949204.98853000009</v>
      </c>
      <c r="AD133" s="6">
        <f>-[1]Production!AC27+[1]Production!AC9+[1]Production!AC11+[1]Production!AC13+[1]Production!AC15+[1]Production!AC17+[1]Production!AC19+[1]Production!AC21+[1]Production!AC23+[1]Production!AC25+[1]Production!AC27+[1]Production!AC41</f>
        <v>960173.52260000003</v>
      </c>
      <c r="AE133" s="6">
        <f>-[1]Production!AD27+[1]Production!AD9+[1]Production!AD11+[1]Production!AD13+[1]Production!AD15+[1]Production!AD17+[1]Production!AD19+[1]Production!AD21+[1]Production!AD23+[1]Production!AD25+[1]Production!AD27+[1]Production!AD41</f>
        <v>971392.83820999996</v>
      </c>
      <c r="AF133" s="6">
        <f>-[1]Production!AE27+[1]Production!AE9+[1]Production!AE11+[1]Production!AE13+[1]Production!AE15+[1]Production!AE17+[1]Production!AE19+[1]Production!AE21+[1]Production!AE23+[1]Production!AE25+[1]Production!AE27+[1]Production!AE41</f>
        <v>982873.67135999992</v>
      </c>
      <c r="AG133" s="6">
        <f>-[1]Production!AF27+[1]Production!AF9+[1]Production!AF11+[1]Production!AF13+[1]Production!AF15+[1]Production!AF17+[1]Production!AF19+[1]Production!AF21+[1]Production!AF23+[1]Production!AF25+[1]Production!AF27+[1]Production!AF41</f>
        <v>994593.01358999987</v>
      </c>
      <c r="AH133" s="6">
        <f>-[1]Production!AG27+[1]Production!AG9+[1]Production!AG11+[1]Production!AG13+[1]Production!AG15+[1]Production!AG17+[1]Production!AG19+[1]Production!AG21+[1]Production!AG23+[1]Production!AG25+[1]Production!AG27+[1]Production!AG41</f>
        <v>1006499.8155700001</v>
      </c>
      <c r="AI133" s="6">
        <f>-[1]Production!AH27+[1]Production!AH9+[1]Production!AH11+[1]Production!AH13+[1]Production!AH15+[1]Production!AH17+[1]Production!AH19+[1]Production!AH21+[1]Production!AH23+[1]Production!AH25+[1]Production!AH27+[1]Production!AH41</f>
        <v>1018547.1849999999</v>
      </c>
      <c r="AJ133" s="6">
        <f>-[1]Production!AI27+[1]Production!AI9+[1]Production!AI11+[1]Production!AI13+[1]Production!AI15+[1]Production!AI17+[1]Production!AI19+[1]Production!AI21+[1]Production!AI23+[1]Production!AI25+[1]Production!AI27+[1]Production!AI41</f>
        <v>1030713.4657299999</v>
      </c>
      <c r="AK133" s="6">
        <f>-[1]Production!AJ27+[1]Production!AJ9+[1]Production!AJ11+[1]Production!AJ13+[1]Production!AJ15+[1]Production!AJ17+[1]Production!AJ19+[1]Production!AJ21+[1]Production!AJ23+[1]Production!AJ25+[1]Production!AJ27+[1]Production!AJ41</f>
        <v>1043005.29311</v>
      </c>
      <c r="AL133" s="6">
        <f>-[1]Production!AK27+[1]Production!AK9+[1]Production!AK11+[1]Production!AK13+[1]Production!AK15+[1]Production!AK17+[1]Production!AK19+[1]Production!AK21+[1]Production!AK23+[1]Production!AK25+[1]Production!AK27+[1]Production!AK41</f>
        <v>1055446.9519100001</v>
      </c>
    </row>
    <row r="134" spans="1:38" x14ac:dyDescent="0.3">
      <c r="B134" t="s">
        <v>24</v>
      </c>
      <c r="C134" s="6">
        <f>[1]Production!B43+[1]Production!B47+[1]Production!B45+[1]Production!B49</f>
        <v>68360.959371599994</v>
      </c>
      <c r="D134" s="6">
        <f>[1]Production!C43+[1]Production!C47+[1]Production!C45+[1]Production!C49</f>
        <v>70114.164225100001</v>
      </c>
      <c r="E134" s="6">
        <f>[1]Production!D43+[1]Production!D47+[1]Production!D45+[1]Production!D49</f>
        <v>71512.496634199997</v>
      </c>
      <c r="F134" s="6">
        <f>[1]Production!E43+[1]Production!E47+[1]Production!E45+[1]Production!E49</f>
        <v>72716.886871800016</v>
      </c>
      <c r="G134" s="6">
        <f>[1]Production!F43+[1]Production!F47+[1]Production!F45+[1]Production!F49</f>
        <v>73842.468303299989</v>
      </c>
      <c r="H134" s="6">
        <f>[1]Production!G43+[1]Production!G47+[1]Production!G45+[1]Production!G49</f>
        <v>74966.752912999989</v>
      </c>
      <c r="I134" s="6">
        <f>[1]Production!H43+[1]Production!H47+[1]Production!H45+[1]Production!H49</f>
        <v>76077.647926800011</v>
      </c>
      <c r="J134" s="6">
        <f>[1]Production!I43+[1]Production!I47+[1]Production!I45+[1]Production!I49</f>
        <v>77223.768115500003</v>
      </c>
      <c r="K134" s="6">
        <f>[1]Production!J43+[1]Production!J47+[1]Production!J45+[1]Production!J49</f>
        <v>78385.816218600012</v>
      </c>
      <c r="L134" s="6">
        <f>[1]Production!K43+[1]Production!K47+[1]Production!K45+[1]Production!K49</f>
        <v>79533.655267499998</v>
      </c>
      <c r="M134" s="6">
        <f>[1]Production!L43+[1]Production!L47+[1]Production!L45+[1]Production!L49</f>
        <v>80717.25812910001</v>
      </c>
      <c r="N134" s="6">
        <f>[1]Production!M43+[1]Production!M47+[1]Production!M45+[1]Production!M49</f>
        <v>81802.368892099999</v>
      </c>
      <c r="O134" s="6">
        <f>[1]Production!N43+[1]Production!N47+[1]Production!N45+[1]Production!N49</f>
        <v>82853.539843499995</v>
      </c>
      <c r="P134" s="6">
        <f>[1]Production!O43+[1]Production!O47+[1]Production!O45+[1]Production!O49</f>
        <v>83884.981688300002</v>
      </c>
      <c r="Q134" s="6">
        <f>[1]Production!P43+[1]Production!P47+[1]Production!P45+[1]Production!P49</f>
        <v>84904.4413049</v>
      </c>
      <c r="R134" s="6">
        <f>[1]Production!Q43+[1]Production!Q47+[1]Production!Q45+[1]Production!Q49</f>
        <v>85917.640940200014</v>
      </c>
      <c r="S134" s="6">
        <f>[1]Production!R43+[1]Production!R47+[1]Production!R45+[1]Production!R49</f>
        <v>86928.269998299991</v>
      </c>
      <c r="T134" s="6">
        <f>[1]Production!S43+[1]Production!S47+[1]Production!S45+[1]Production!S49</f>
        <v>87937.515113300004</v>
      </c>
      <c r="U134" s="6">
        <f>[1]Production!T43+[1]Production!T47+[1]Production!T45+[1]Production!T49</f>
        <v>88945.655089799984</v>
      </c>
      <c r="V134" s="6">
        <f>[1]Production!U43+[1]Production!U47+[1]Production!U45+[1]Production!U49</f>
        <v>89953.73545420001</v>
      </c>
      <c r="W134" s="6">
        <f>[1]Production!V43+[1]Production!V47+[1]Production!V45+[1]Production!V49</f>
        <v>90907.092220599996</v>
      </c>
      <c r="X134" s="6">
        <f>[1]Production!W43+[1]Production!W47+[1]Production!W45+[1]Production!W49</f>
        <v>91910.355331499988</v>
      </c>
      <c r="Y134" s="6">
        <f>[1]Production!X43+[1]Production!X47+[1]Production!X45+[1]Production!X49</f>
        <v>92926.416850799986</v>
      </c>
      <c r="Z134" s="6">
        <f>[1]Production!Y43+[1]Production!Y47+[1]Production!Y45+[1]Production!Y49</f>
        <v>93956.252671399998</v>
      </c>
      <c r="AA134" s="6">
        <f>[1]Production!Z43+[1]Production!Z47+[1]Production!Z45+[1]Production!Z49</f>
        <v>95004.119644699997</v>
      </c>
      <c r="AB134" s="6">
        <f>[1]Production!AA43+[1]Production!AA47+[1]Production!AA45+[1]Production!AA49</f>
        <v>95898.548453700001</v>
      </c>
      <c r="AC134" s="6">
        <f>[1]Production!AB43+[1]Production!AB47+[1]Production!AB45+[1]Production!AB49</f>
        <v>96876.468379199985</v>
      </c>
      <c r="AD134" s="6">
        <f>[1]Production!AC43+[1]Production!AC47+[1]Production!AC45+[1]Production!AC49</f>
        <v>97862.225249499999</v>
      </c>
      <c r="AE134" s="6">
        <f>[1]Production!AD43+[1]Production!AD47+[1]Production!AD45+[1]Production!AD49</f>
        <v>98848.961518900003</v>
      </c>
      <c r="AF134" s="6">
        <f>[1]Production!AE43+[1]Production!AE47+[1]Production!AE45+[1]Production!AE49</f>
        <v>99841.860744199992</v>
      </c>
      <c r="AG134" s="6">
        <f>[1]Production!AF43+[1]Production!AF47+[1]Production!AF45+[1]Production!AF49</f>
        <v>100848.4334231</v>
      </c>
      <c r="AH134" s="6">
        <f>[1]Production!AG43+[1]Production!AG47+[1]Production!AG45+[1]Production!AG49</f>
        <v>101874.13608920001</v>
      </c>
      <c r="AI134" s="6">
        <f>[1]Production!AH43+[1]Production!AH47+[1]Production!AH45+[1]Production!AH49</f>
        <v>102920.813574</v>
      </c>
      <c r="AJ134" s="6">
        <f>[1]Production!AI43+[1]Production!AI47+[1]Production!AI45+[1]Production!AI49</f>
        <v>103987.0372531</v>
      </c>
      <c r="AK134" s="6">
        <f>[1]Production!AJ43+[1]Production!AJ47+[1]Production!AJ45+[1]Production!AJ49</f>
        <v>105069.5830196</v>
      </c>
      <c r="AL134" s="6">
        <f>[1]Production!AK43+[1]Production!AK47+[1]Production!AK45+[1]Production!AK49</f>
        <v>106165.2068883</v>
      </c>
    </row>
    <row r="135" spans="1:38" x14ac:dyDescent="0.3">
      <c r="B135" t="s">
        <v>10</v>
      </c>
      <c r="C135" s="6">
        <f>[1]Production!B37+[1]Production!B39</f>
        <v>2566000.3823000002</v>
      </c>
      <c r="D135" s="6">
        <f>[1]Production!C37+[1]Production!C39</f>
        <v>2578021.9638</v>
      </c>
      <c r="E135" s="6">
        <f>[1]Production!D37+[1]Production!D39</f>
        <v>2603059.0733000003</v>
      </c>
      <c r="F135" s="6">
        <f>[1]Production!E37+[1]Production!E39</f>
        <v>2642196.2787000001</v>
      </c>
      <c r="G135" s="6">
        <f>[1]Production!F37+[1]Production!F39</f>
        <v>2688270.5267000003</v>
      </c>
      <c r="H135" s="6">
        <f>[1]Production!G37+[1]Production!G39</f>
        <v>2736274.2094000001</v>
      </c>
      <c r="I135" s="6">
        <f>[1]Production!H37+[1]Production!H39</f>
        <v>2785364.3464000002</v>
      </c>
      <c r="J135" s="6">
        <f>[1]Production!I37+[1]Production!I39</f>
        <v>2829175.4682999998</v>
      </c>
      <c r="K135" s="6">
        <f>[1]Production!J37+[1]Production!J39</f>
        <v>2869970.4172999999</v>
      </c>
      <c r="L135" s="6">
        <f>[1]Production!K37+[1]Production!K39</f>
        <v>2910312.9276999999</v>
      </c>
      <c r="M135" s="6">
        <f>[1]Production!L37+[1]Production!L39</f>
        <v>2948470.8343000002</v>
      </c>
      <c r="N135" s="6">
        <f>[1]Production!M37+[1]Production!M39</f>
        <v>2998379.0726000001</v>
      </c>
      <c r="O135" s="6">
        <f>[1]Production!N37+[1]Production!N39</f>
        <v>3048357.9334</v>
      </c>
      <c r="P135" s="6">
        <f>[1]Production!O37+[1]Production!O39</f>
        <v>3099028.4026000001</v>
      </c>
      <c r="Q135" s="6">
        <f>[1]Production!P37+[1]Production!P39</f>
        <v>3150377.9681000002</v>
      </c>
      <c r="R135" s="6">
        <f>[1]Production!Q37+[1]Production!Q39</f>
        <v>3202333.3757000002</v>
      </c>
      <c r="S135" s="6">
        <f>[1]Production!R37+[1]Production!R39</f>
        <v>3254878.9031999996</v>
      </c>
      <c r="T135" s="6">
        <f>[1]Production!S37+[1]Production!S39</f>
        <v>3308061.0131999999</v>
      </c>
      <c r="U135" s="6">
        <f>[1]Production!T37+[1]Production!T39</f>
        <v>3361998.196</v>
      </c>
      <c r="V135" s="6">
        <f>[1]Production!U37+[1]Production!U39</f>
        <v>3416810.4868000001</v>
      </c>
      <c r="W135" s="6">
        <f>[1]Production!V37+[1]Production!V39</f>
        <v>3474675.7996</v>
      </c>
      <c r="X135" s="6">
        <f>[1]Production!W37+[1]Production!W39</f>
        <v>3527827.9981000004</v>
      </c>
      <c r="Y135" s="6">
        <f>[1]Production!X37+[1]Production!X39</f>
        <v>3583842.2042</v>
      </c>
      <c r="Z135" s="6">
        <f>[1]Production!Y37+[1]Production!Y39</f>
        <v>3641641.0285999998</v>
      </c>
      <c r="AA135" s="6">
        <f>[1]Production!Z37+[1]Production!Z39</f>
        <v>3700540.6913000001</v>
      </c>
      <c r="AB135" s="6">
        <f>[1]Production!AA37+[1]Production!AA39</f>
        <v>3765044.2080999999</v>
      </c>
      <c r="AC135" s="6">
        <f>[1]Production!AB37+[1]Production!AB39</f>
        <v>3818523.7966</v>
      </c>
      <c r="AD135" s="6">
        <f>[1]Production!AC37+[1]Production!AC39</f>
        <v>3873751.5729999999</v>
      </c>
      <c r="AE135" s="6">
        <f>[1]Production!AD37+[1]Production!AD39</f>
        <v>3930672.7740000002</v>
      </c>
      <c r="AF135" s="6">
        <f>[1]Production!AE37+[1]Production!AE39</f>
        <v>3989044.068</v>
      </c>
      <c r="AG135" s="6">
        <f>[1]Production!AF37+[1]Production!AF39</f>
        <v>4048476.1340000001</v>
      </c>
      <c r="AH135" s="6">
        <f>[1]Production!AG37+[1]Production!AG39</f>
        <v>4108595.9029999999</v>
      </c>
      <c r="AI135" s="6">
        <f>[1]Production!AH37+[1]Production!AH39</f>
        <v>4169188.3990000002</v>
      </c>
      <c r="AJ135" s="6">
        <f>[1]Production!AI37+[1]Production!AI39</f>
        <v>4230245.92</v>
      </c>
      <c r="AK135" s="6">
        <f>[1]Production!AJ37+[1]Production!AJ39</f>
        <v>4291921.8820000002</v>
      </c>
      <c r="AL135" s="6">
        <f>[1]Production!AK37+[1]Production!AK39</f>
        <v>4354430.41</v>
      </c>
    </row>
    <row r="136" spans="1:38" x14ac:dyDescent="0.3">
      <c r="B136" t="s">
        <v>9</v>
      </c>
      <c r="C136" s="6">
        <f>[1]Production!B29+[1]Production!B31+[1]Production!B33+[1]Production!B35</f>
        <v>121144.11088999998</v>
      </c>
      <c r="D136" s="6">
        <f>[1]Production!C29+[1]Production!C31+[1]Production!C33+[1]Production!C35</f>
        <v>121295.48264</v>
      </c>
      <c r="E136" s="6">
        <f>[1]Production!D29+[1]Production!D31+[1]Production!D33+[1]Production!D35</f>
        <v>121941.57717</v>
      </c>
      <c r="F136" s="6">
        <f>[1]Production!E29+[1]Production!E31+[1]Production!E33+[1]Production!E35</f>
        <v>123074.46987</v>
      </c>
      <c r="G136" s="6">
        <f>[1]Production!F29+[1]Production!F31+[1]Production!F33+[1]Production!F35</f>
        <v>124541.16635</v>
      </c>
      <c r="H136" s="6">
        <f>[1]Production!G29+[1]Production!G31+[1]Production!G33+[1]Production!G35</f>
        <v>126190.70027</v>
      </c>
      <c r="I136" s="6">
        <f>[1]Production!H29+[1]Production!H31+[1]Production!H33+[1]Production!H35</f>
        <v>127849.95122</v>
      </c>
      <c r="J136" s="6">
        <f>[1]Production!I29+[1]Production!I31+[1]Production!I33+[1]Production!I35</f>
        <v>129455.05641</v>
      </c>
      <c r="K136" s="6">
        <f>[1]Production!J29+[1]Production!J31+[1]Production!J33+[1]Production!J35</f>
        <v>131010.38561000001</v>
      </c>
      <c r="L136" s="6">
        <f>[1]Production!K29+[1]Production!K31+[1]Production!K33+[1]Production!K35</f>
        <v>132560.53088000001</v>
      </c>
      <c r="M136" s="6">
        <f>[1]Production!L29+[1]Production!L31+[1]Production!L33+[1]Production!L35</f>
        <v>134242.90286999999</v>
      </c>
      <c r="N136" s="6">
        <f>[1]Production!M29+[1]Production!M31+[1]Production!M33+[1]Production!M35</f>
        <v>136002.4938</v>
      </c>
      <c r="O136" s="6">
        <f>[1]Production!N29+[1]Production!N31+[1]Production!N33+[1]Production!N35</f>
        <v>137818.75902</v>
      </c>
      <c r="P136" s="6">
        <f>[1]Production!O29+[1]Production!O31+[1]Production!O33+[1]Production!O35</f>
        <v>139685.88465000002</v>
      </c>
      <c r="Q136" s="6">
        <f>[1]Production!P29+[1]Production!P31+[1]Production!P33+[1]Production!P35</f>
        <v>141592.93077000001</v>
      </c>
      <c r="R136" s="6">
        <f>[1]Production!Q29+[1]Production!Q31+[1]Production!Q33+[1]Production!Q35</f>
        <v>143530.20851000003</v>
      </c>
      <c r="S136" s="6">
        <f>[1]Production!R29+[1]Production!R31+[1]Production!R33+[1]Production!R35</f>
        <v>145493.06381000002</v>
      </c>
      <c r="T136" s="6">
        <f>[1]Production!S29+[1]Production!S31+[1]Production!S33+[1]Production!S35</f>
        <v>147482.23842000001</v>
      </c>
      <c r="U136" s="6">
        <f>[1]Production!T29+[1]Production!T31+[1]Production!T33+[1]Production!T35</f>
        <v>149502.37860999999</v>
      </c>
      <c r="V136" s="6">
        <f>[1]Production!U29+[1]Production!U31+[1]Production!U33+[1]Production!U35</f>
        <v>151558.99298000001</v>
      </c>
      <c r="W136" s="6">
        <f>[1]Production!V29+[1]Production!V31+[1]Production!V33+[1]Production!V35</f>
        <v>153584.69918</v>
      </c>
      <c r="X136" s="6">
        <f>[1]Production!W29+[1]Production!W31+[1]Production!W33+[1]Production!W35</f>
        <v>155669.57996</v>
      </c>
      <c r="Y136" s="6">
        <f>[1]Production!X29+[1]Production!X31+[1]Production!X33+[1]Production!X35</f>
        <v>157824.80827000001</v>
      </c>
      <c r="Z136" s="6">
        <f>[1]Production!Y29+[1]Production!Y31+[1]Production!Y33+[1]Production!Y35</f>
        <v>160037.45381000001</v>
      </c>
      <c r="AA136" s="6">
        <f>[1]Production!Z29+[1]Production!Z31+[1]Production!Z33+[1]Production!Z35</f>
        <v>162293.60605</v>
      </c>
      <c r="AB136" s="6">
        <f>[1]Production!AA29+[1]Production!AA31+[1]Production!AA33+[1]Production!AA35</f>
        <v>164357.09662</v>
      </c>
      <c r="AC136" s="6">
        <f>[1]Production!AB29+[1]Production!AB31+[1]Production!AB33+[1]Production!AB35</f>
        <v>166438.82137999998</v>
      </c>
      <c r="AD136" s="6">
        <f>[1]Production!AC29+[1]Production!AC31+[1]Production!AC33+[1]Production!AC35</f>
        <v>168567.00532999999</v>
      </c>
      <c r="AE136" s="6">
        <f>[1]Production!AD29+[1]Production!AD31+[1]Production!AD33+[1]Production!AD35</f>
        <v>170752.76016000001</v>
      </c>
      <c r="AF136" s="6">
        <f>[1]Production!AE29+[1]Production!AE31+[1]Production!AE33+[1]Production!AE35</f>
        <v>172995.05789999999</v>
      </c>
      <c r="AG136" s="6">
        <f>[1]Production!AF29+[1]Production!AF31+[1]Production!AF33+[1]Production!AF35</f>
        <v>175284.87138</v>
      </c>
      <c r="AH136" s="6">
        <f>[1]Production!AG29+[1]Production!AG31+[1]Production!AG33+[1]Production!AG35</f>
        <v>177610.64769000001</v>
      </c>
      <c r="AI136" s="6">
        <f>[1]Production!AH29+[1]Production!AH31+[1]Production!AH33+[1]Production!AH35</f>
        <v>179963.682</v>
      </c>
      <c r="AJ136" s="6">
        <f>[1]Production!AI29+[1]Production!AI31+[1]Production!AI33+[1]Production!AI35</f>
        <v>182341.0062</v>
      </c>
      <c r="AK136" s="6">
        <f>[1]Production!AJ29+[1]Production!AJ31+[1]Production!AJ33+[1]Production!AJ35</f>
        <v>184745.16686</v>
      </c>
      <c r="AL136" s="6">
        <f>[1]Production!AK29+[1]Production!AK31+[1]Production!AK33+[1]Production!AK35</f>
        <v>187181.76590999999</v>
      </c>
    </row>
    <row r="138" spans="1:38" x14ac:dyDescent="0.3"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</row>
    <row r="139" spans="1:38" x14ac:dyDescent="0.3">
      <c r="C139" s="2"/>
    </row>
    <row r="140" spans="1:38" x14ac:dyDescent="0.3">
      <c r="A140" s="12" t="s">
        <v>56</v>
      </c>
      <c r="B140" t="s">
        <v>20</v>
      </c>
      <c r="C140" s="2">
        <v>42005</v>
      </c>
      <c r="D140" s="2">
        <v>42370</v>
      </c>
      <c r="E140" s="2">
        <v>42736</v>
      </c>
      <c r="F140" s="2">
        <v>43101</v>
      </c>
      <c r="G140" s="2">
        <v>43466</v>
      </c>
      <c r="H140" s="2">
        <v>43831</v>
      </c>
      <c r="I140" s="2">
        <v>44197</v>
      </c>
      <c r="J140" s="2">
        <v>44562</v>
      </c>
      <c r="K140" s="2">
        <v>44927</v>
      </c>
      <c r="L140" s="2">
        <v>45292</v>
      </c>
      <c r="M140" s="2">
        <v>45658</v>
      </c>
      <c r="N140" s="2">
        <v>46023</v>
      </c>
      <c r="O140" s="2">
        <v>46388</v>
      </c>
      <c r="P140" s="2">
        <v>46753</v>
      </c>
      <c r="Q140" s="2">
        <v>47119</v>
      </c>
      <c r="R140" s="2">
        <v>47484</v>
      </c>
      <c r="S140" s="2">
        <v>47849</v>
      </c>
      <c r="T140" s="2">
        <v>48214</v>
      </c>
      <c r="U140" s="2">
        <v>48580</v>
      </c>
      <c r="V140" s="2">
        <v>48945</v>
      </c>
      <c r="W140" s="2">
        <v>49310</v>
      </c>
      <c r="X140" s="2">
        <v>49675</v>
      </c>
      <c r="Y140" s="2">
        <v>50041</v>
      </c>
      <c r="Z140" s="2">
        <v>50406</v>
      </c>
      <c r="AA140" s="2">
        <v>50771</v>
      </c>
      <c r="AB140" s="2">
        <v>51136</v>
      </c>
      <c r="AC140" s="2">
        <v>51502</v>
      </c>
      <c r="AD140" s="2">
        <v>51867</v>
      </c>
      <c r="AE140" s="2">
        <v>52232</v>
      </c>
      <c r="AF140" s="2">
        <v>52597</v>
      </c>
      <c r="AG140" s="2">
        <v>52963</v>
      </c>
      <c r="AH140" s="2">
        <v>53328</v>
      </c>
      <c r="AI140" s="2">
        <v>53693</v>
      </c>
      <c r="AJ140" s="2">
        <v>54058</v>
      </c>
      <c r="AK140" s="2">
        <v>54424</v>
      </c>
      <c r="AL140" s="2">
        <v>54789</v>
      </c>
    </row>
    <row r="141" spans="1:38" x14ac:dyDescent="0.3">
      <c r="A141" t="s">
        <v>27</v>
      </c>
      <c r="B141" t="s">
        <v>22</v>
      </c>
      <c r="C141" s="6">
        <f>[1]Production!B2</f>
        <v>3869147.554</v>
      </c>
      <c r="D141" s="6">
        <f>[1]Production!C2</f>
        <v>3902911.9929999998</v>
      </c>
      <c r="E141" s="6">
        <f>[1]Production!D2</f>
        <v>3953427.3530000001</v>
      </c>
      <c r="F141" s="6">
        <f>[1]Production!E2</f>
        <v>4014120.7930000001</v>
      </c>
      <c r="G141" s="6">
        <f>[1]Production!F2</f>
        <v>4079606.835</v>
      </c>
      <c r="H141" s="6">
        <f>[1]Production!G2</f>
        <v>4146378.0419999999</v>
      </c>
      <c r="I141" s="6">
        <f>[1]Production!H2</f>
        <v>4169170.9339999999</v>
      </c>
      <c r="J141" s="6">
        <f>[1]Production!I2</f>
        <v>4194733.4589999998</v>
      </c>
      <c r="K141" s="6">
        <f>[1]Production!J2</f>
        <v>4225996.4740000004</v>
      </c>
      <c r="L141" s="6">
        <f>[1]Production!K2</f>
        <v>4269893.8150000004</v>
      </c>
      <c r="M141" s="6">
        <f>[1]Production!L2</f>
        <v>4334842.2070000004</v>
      </c>
      <c r="N141" s="6">
        <f>[1]Production!M2</f>
        <v>4406242.4850000003</v>
      </c>
      <c r="O141" s="6">
        <f>[1]Production!N2</f>
        <v>4485232.7570000002</v>
      </c>
      <c r="P141" s="6">
        <f>[1]Production!O2</f>
        <v>4566049.9440000001</v>
      </c>
      <c r="Q141" s="6">
        <f>[1]Production!P2</f>
        <v>4644533.7460000003</v>
      </c>
      <c r="R141" s="6">
        <f>[1]Production!Q2</f>
        <v>4718975.9979999997</v>
      </c>
      <c r="S141" s="6">
        <f>[1]Production!R2</f>
        <v>4789929.432</v>
      </c>
      <c r="T141" s="6">
        <f>[1]Production!S2</f>
        <v>4859293.1109999996</v>
      </c>
      <c r="U141" s="6">
        <f>[1]Production!T2</f>
        <v>4929189.5829999996</v>
      </c>
      <c r="V141" s="6">
        <f>[1]Production!U2</f>
        <v>5001130.46</v>
      </c>
      <c r="W141" s="6">
        <f>[1]Production!V2</f>
        <v>5070541.1169999996</v>
      </c>
      <c r="X141" s="6">
        <f>[1]Production!W2</f>
        <v>5147083.8569999998</v>
      </c>
      <c r="Y141" s="6">
        <f>[1]Production!X2</f>
        <v>5225985.8830000004</v>
      </c>
      <c r="Z141" s="6">
        <f>[1]Production!Y2</f>
        <v>5306255.12</v>
      </c>
      <c r="AA141" s="6">
        <f>[1]Production!Z2</f>
        <v>5387349.9749999996</v>
      </c>
      <c r="AB141" s="6">
        <f>[1]Production!AA2</f>
        <v>5452521.9069999997</v>
      </c>
      <c r="AC141" s="6">
        <f>[1]Production!AB2</f>
        <v>5528635.3159999996</v>
      </c>
      <c r="AD141" s="6">
        <f>[1]Production!AC2</f>
        <v>5606209.6619999995</v>
      </c>
      <c r="AE141" s="6">
        <f>[1]Production!AD2</f>
        <v>5685540.3320000004</v>
      </c>
      <c r="AF141" s="6">
        <f>[1]Production!AE2</f>
        <v>5766700.6710000001</v>
      </c>
      <c r="AG141" s="6">
        <f>[1]Production!AF2</f>
        <v>5849298.9230000004</v>
      </c>
      <c r="AH141" s="6">
        <f>[1]Production!AG2</f>
        <v>5932788.1770000001</v>
      </c>
      <c r="AI141" s="6">
        <f>[1]Production!AH2</f>
        <v>6016779.7139999997</v>
      </c>
      <c r="AJ141" s="6">
        <f>[1]Production!AI2</f>
        <v>6101195.551</v>
      </c>
      <c r="AK141" s="6">
        <f>[1]Production!AJ2</f>
        <v>6186242.6529999999</v>
      </c>
      <c r="AL141" s="6">
        <f>[1]Production!AK2</f>
        <v>6272269.858</v>
      </c>
    </row>
    <row r="142" spans="1:38" x14ac:dyDescent="0.3">
      <c r="B142" t="s">
        <v>7</v>
      </c>
      <c r="C142" s="6">
        <f>[1]Production!B4+[1]Production!B6</f>
        <v>88407.792415000004</v>
      </c>
      <c r="D142" s="6">
        <f>[1]Production!C4+[1]Production!C6</f>
        <v>87829.627584999995</v>
      </c>
      <c r="E142" s="6">
        <f>[1]Production!D4+[1]Production!D6</f>
        <v>87570.315812000001</v>
      </c>
      <c r="F142" s="6">
        <f>[1]Production!E4+[1]Production!E6</f>
        <v>87629.958078999989</v>
      </c>
      <c r="G142" s="6">
        <f>[1]Production!F4+[1]Production!F6</f>
        <v>88014.540058999992</v>
      </c>
      <c r="H142" s="6">
        <f>[1]Production!G4+[1]Production!G6</f>
        <v>88656.137172000002</v>
      </c>
      <c r="I142" s="6">
        <f>[1]Production!H4+[1]Production!H6</f>
        <v>88976.00671300001</v>
      </c>
      <c r="J142" s="6">
        <f>[1]Production!I4+[1]Production!I6</f>
        <v>88630.871722000011</v>
      </c>
      <c r="K142" s="6">
        <f>[1]Production!J4+[1]Production!J6</f>
        <v>87828.404945000002</v>
      </c>
      <c r="L142" s="6">
        <f>[1]Production!K4+[1]Production!K6</f>
        <v>87038.776113</v>
      </c>
      <c r="M142" s="6">
        <f>[1]Production!L4+[1]Production!L6</f>
        <v>86597.337070000009</v>
      </c>
      <c r="N142" s="6">
        <f>[1]Production!M4+[1]Production!M6</f>
        <v>86451.602325999993</v>
      </c>
      <c r="O142" s="6">
        <f>[1]Production!N4+[1]Production!N6</f>
        <v>86631.240021000005</v>
      </c>
      <c r="P142" s="6">
        <f>[1]Production!O4+[1]Production!O6</f>
        <v>87061.846291000009</v>
      </c>
      <c r="Q142" s="6">
        <f>[1]Production!P4+[1]Production!P6</f>
        <v>87647.113810999988</v>
      </c>
      <c r="R142" s="6">
        <f>[1]Production!Q4+[1]Production!Q6</f>
        <v>88296.083304</v>
      </c>
      <c r="S142" s="6">
        <f>[1]Production!R4+[1]Production!R6</f>
        <v>88938.820949000001</v>
      </c>
      <c r="T142" s="6">
        <f>[1]Production!S4+[1]Production!S6</f>
        <v>89531.318738000002</v>
      </c>
      <c r="U142" s="6">
        <f>[1]Production!T4+[1]Production!T6</f>
        <v>90052.51565999999</v>
      </c>
      <c r="V142" s="6">
        <f>[1]Production!U4+[1]Production!U6</f>
        <v>90497.941779000001</v>
      </c>
      <c r="W142" s="6">
        <f>[1]Production!V4+[1]Production!V6</f>
        <v>90803.747849000007</v>
      </c>
      <c r="X142" s="6">
        <f>[1]Production!W4+[1]Production!W6</f>
        <v>91094.682176000002</v>
      </c>
      <c r="Y142" s="6">
        <f>[1]Production!X4+[1]Production!X6</f>
        <v>91355.930074000004</v>
      </c>
      <c r="Z142" s="6">
        <f>[1]Production!Y4+[1]Production!Y6</f>
        <v>91604.008796000009</v>
      </c>
      <c r="AA142" s="6">
        <f>[1]Production!Z4+[1]Production!Z6</f>
        <v>91852.603895000007</v>
      </c>
      <c r="AB142" s="6">
        <f>[1]Production!AA4+[1]Production!AA6</f>
        <v>91916.325268000001</v>
      </c>
      <c r="AC142" s="6">
        <f>[1]Production!AB4+[1]Production!AB6</f>
        <v>92037.980330999999</v>
      </c>
      <c r="AD142" s="6">
        <f>[1]Production!AC4+[1]Production!AC6</f>
        <v>92188.177066000004</v>
      </c>
      <c r="AE142" s="6">
        <f>[1]Production!AD4+[1]Production!AD6</f>
        <v>92380.354642000006</v>
      </c>
      <c r="AF142" s="6">
        <f>[1]Production!AE4+[1]Production!AE6</f>
        <v>92616.167740999997</v>
      </c>
      <c r="AG142" s="6">
        <f>[1]Production!AF4+[1]Production!AF6</f>
        <v>92888.492707999991</v>
      </c>
      <c r="AH142" s="6">
        <f>[1]Production!AG4+[1]Production!AG6</f>
        <v>93185.268912999993</v>
      </c>
      <c r="AI142" s="6">
        <f>[1]Production!AH4+[1]Production!AH6</f>
        <v>93493.553457000002</v>
      </c>
      <c r="AJ142" s="6">
        <f>[1]Production!AI4+[1]Production!AI6</f>
        <v>93802.445628999994</v>
      </c>
      <c r="AK142" s="6">
        <f>[1]Production!AJ4+[1]Production!AJ6</f>
        <v>94104.468572999991</v>
      </c>
      <c r="AL142" s="6">
        <f>[1]Production!AK4+[1]Production!AK6</f>
        <v>94395.623398000011</v>
      </c>
    </row>
    <row r="143" spans="1:38" x14ac:dyDescent="0.3">
      <c r="B143" t="s">
        <v>96</v>
      </c>
      <c r="C143" s="6">
        <f>[1]Production!B26</f>
        <v>271497.77740000002</v>
      </c>
      <c r="D143" s="6">
        <f>[1]Production!C26</f>
        <v>288739.83899999998</v>
      </c>
      <c r="E143" s="6">
        <f>[1]Production!D26</f>
        <v>306308.34960000002</v>
      </c>
      <c r="F143" s="6">
        <f>[1]Production!E26</f>
        <v>317500.20669999998</v>
      </c>
      <c r="G143" s="6">
        <f>[1]Production!F26</f>
        <v>324696.00579999998</v>
      </c>
      <c r="H143" s="6">
        <f>[1]Production!G26</f>
        <v>330019.89500000002</v>
      </c>
      <c r="I143" s="6">
        <f>[1]Production!H26</f>
        <v>324012.22720000002</v>
      </c>
      <c r="J143" s="6">
        <f>[1]Production!I26</f>
        <v>321868.50640000001</v>
      </c>
      <c r="K143" s="6">
        <f>[1]Production!J26</f>
        <v>321883.61869999999</v>
      </c>
      <c r="L143" s="6">
        <f>[1]Production!K26</f>
        <v>323985.61259999999</v>
      </c>
      <c r="M143" s="6">
        <f>[1]Production!L26</f>
        <v>336448.55420000001</v>
      </c>
      <c r="N143" s="6">
        <f>[1]Production!M26</f>
        <v>337412.00809999998</v>
      </c>
      <c r="O143" s="6">
        <f>[1]Production!N26</f>
        <v>342168.92180000001</v>
      </c>
      <c r="P143" s="6">
        <f>[1]Production!O26</f>
        <v>348432.81150000001</v>
      </c>
      <c r="Q143" s="6">
        <f>[1]Production!P26</f>
        <v>354946.06819999998</v>
      </c>
      <c r="R143" s="6">
        <f>[1]Production!Q26</f>
        <v>361150.1925</v>
      </c>
      <c r="S143" s="6">
        <f>[1]Production!R26</f>
        <v>366956.10820000002</v>
      </c>
      <c r="T143" s="6">
        <f>[1]Production!S26</f>
        <v>372533.66190000001</v>
      </c>
      <c r="U143" s="6">
        <f>[1]Production!T26</f>
        <v>378126.79229999997</v>
      </c>
      <c r="V143" s="6">
        <f>[1]Production!U26</f>
        <v>383926.9007</v>
      </c>
      <c r="W143" s="6">
        <f>[1]Production!V26</f>
        <v>384064.60330000002</v>
      </c>
      <c r="X143" s="6">
        <f>[1]Production!W26</f>
        <v>393597.90149999998</v>
      </c>
      <c r="Y143" s="6">
        <f>[1]Production!X26</f>
        <v>401726.88709999999</v>
      </c>
      <c r="Z143" s="6">
        <f>[1]Production!Y26</f>
        <v>409120.02799999999</v>
      </c>
      <c r="AA143" s="6">
        <f>[1]Production!Z26</f>
        <v>416178.09620000003</v>
      </c>
      <c r="AB143" s="6">
        <f>[1]Production!AA26</f>
        <v>405652.4449</v>
      </c>
      <c r="AC143" s="6">
        <f>[1]Production!AB26</f>
        <v>414741.17489999998</v>
      </c>
      <c r="AD143" s="6">
        <f>[1]Production!AC26</f>
        <v>422883.73629999999</v>
      </c>
      <c r="AE143" s="6">
        <f>[1]Production!AD26</f>
        <v>430499.62209999998</v>
      </c>
      <c r="AF143" s="6">
        <f>[1]Production!AE26</f>
        <v>437917.8763</v>
      </c>
      <c r="AG143" s="6">
        <f>[1]Production!AF26</f>
        <v>445270.3971</v>
      </c>
      <c r="AH143" s="6">
        <f>[1]Production!AG26</f>
        <v>452579.9301</v>
      </c>
      <c r="AI143" s="6">
        <f>[1]Production!AH26</f>
        <v>459840.30910000001</v>
      </c>
      <c r="AJ143" s="6">
        <f>[1]Production!AI26</f>
        <v>467060.73670000001</v>
      </c>
      <c r="AK143" s="6">
        <f>[1]Production!AJ26</f>
        <v>474276.32980000001</v>
      </c>
      <c r="AL143" s="6">
        <f>[1]Production!AK26</f>
        <v>481536.83010000002</v>
      </c>
    </row>
    <row r="144" spans="1:38" x14ac:dyDescent="0.3">
      <c r="B144" t="s">
        <v>11</v>
      </c>
      <c r="C144" s="6">
        <f>[1]Production!B50+[1]Production!B52+[1]Production!B54+[1]Production!B56+[1]Production!B58+[1]Production!B60+[1]Production!B62+[1]Production!B64+[1]Production!B66</f>
        <v>44610.098704169999</v>
      </c>
      <c r="D144" s="6">
        <f>[1]Production!C50+[1]Production!C52+[1]Production!C54+[1]Production!C56+[1]Production!C58+[1]Production!C60+[1]Production!C62+[1]Production!C64+[1]Production!C66</f>
        <v>44969.915408720015</v>
      </c>
      <c r="E144" s="6">
        <f>[1]Production!D50+[1]Production!D52+[1]Production!D54+[1]Production!D56+[1]Production!D58+[1]Production!D60+[1]Production!D62+[1]Production!D64+[1]Production!D66</f>
        <v>45200.36303380999</v>
      </c>
      <c r="F144" s="6">
        <f>[1]Production!E50+[1]Production!E52+[1]Production!E54+[1]Production!E56+[1]Production!E58+[1]Production!E60+[1]Production!E62+[1]Production!E64+[1]Production!E66</f>
        <v>45404.058548890003</v>
      </c>
      <c r="G144" s="6">
        <f>[1]Production!F50+[1]Production!F52+[1]Production!F54+[1]Production!F56+[1]Production!F58+[1]Production!F60+[1]Production!F62+[1]Production!F64+[1]Production!F66</f>
        <v>45653.322039070001</v>
      </c>
      <c r="H144" s="6">
        <f>[1]Production!G50+[1]Production!G52+[1]Production!G54+[1]Production!G56+[1]Production!G58+[1]Production!G60+[1]Production!G62+[1]Production!G64+[1]Production!G66</f>
        <v>45994.446899320006</v>
      </c>
      <c r="I144" s="6">
        <f>[1]Production!H50+[1]Production!H52+[1]Production!H54+[1]Production!H56+[1]Production!H58+[1]Production!H60+[1]Production!H62+[1]Production!H64+[1]Production!H66</f>
        <v>46855.27173623001</v>
      </c>
      <c r="J144" s="6">
        <f>[1]Production!I50+[1]Production!I52+[1]Production!I54+[1]Production!I56+[1]Production!I58+[1]Production!I60+[1]Production!I62+[1]Production!I64+[1]Production!I66</f>
        <v>47370.169937369988</v>
      </c>
      <c r="K144" s="6">
        <f>[1]Production!J50+[1]Production!J52+[1]Production!J54+[1]Production!J56+[1]Production!J58+[1]Production!J60+[1]Production!J62+[1]Production!J64+[1]Production!J66</f>
        <v>47721.664429489989</v>
      </c>
      <c r="L144" s="6">
        <f>[1]Production!K50+[1]Production!K52+[1]Production!K54+[1]Production!K56+[1]Production!K58+[1]Production!K60+[1]Production!K62+[1]Production!K64+[1]Production!K66</f>
        <v>47927.074498869995</v>
      </c>
      <c r="M144" s="6">
        <f>[1]Production!L50+[1]Production!L52+[1]Production!L54+[1]Production!L56+[1]Production!L58+[1]Production!L60+[1]Production!L62+[1]Production!L64+[1]Production!L66</f>
        <v>48051.62878418</v>
      </c>
      <c r="N144" s="6">
        <f>[1]Production!M50+[1]Production!M52+[1]Production!M54+[1]Production!M56+[1]Production!M58+[1]Production!M60+[1]Production!M62+[1]Production!M64+[1]Production!M66</f>
        <v>48150.525813679997</v>
      </c>
      <c r="O144" s="6">
        <f>[1]Production!N50+[1]Production!N52+[1]Production!N54+[1]Production!N56+[1]Production!N58+[1]Production!N60+[1]Production!N62+[1]Production!N64+[1]Production!N66</f>
        <v>48296.257776090002</v>
      </c>
      <c r="P144" s="6">
        <f>[1]Production!O50+[1]Production!O52+[1]Production!O54+[1]Production!O56+[1]Production!O58+[1]Production!O60+[1]Production!O62+[1]Production!O64+[1]Production!O66</f>
        <v>48534.566706209996</v>
      </c>
      <c r="Q144" s="6">
        <f>[1]Production!P50+[1]Production!P52+[1]Production!P54+[1]Production!P56+[1]Production!P58+[1]Production!P60+[1]Production!P62+[1]Production!P64+[1]Production!P66</f>
        <v>48872.862365710003</v>
      </c>
      <c r="R144" s="6">
        <f>[1]Production!Q50+[1]Production!Q52+[1]Production!Q54+[1]Production!Q56+[1]Production!Q58+[1]Production!Q60+[1]Production!Q62+[1]Production!Q64+[1]Production!Q66</f>
        <v>49289.67078475</v>
      </c>
      <c r="S144" s="6">
        <f>[1]Production!R50+[1]Production!R52+[1]Production!R54+[1]Production!R56+[1]Production!R58+[1]Production!R60+[1]Production!R62+[1]Production!R64+[1]Production!R66</f>
        <v>49746.467947519996</v>
      </c>
      <c r="T144" s="6">
        <f>[1]Production!S50+[1]Production!S52+[1]Production!S54+[1]Production!S56+[1]Production!S58+[1]Production!S60+[1]Production!S62+[1]Production!S64+[1]Production!S66</f>
        <v>50209.634641620003</v>
      </c>
      <c r="U144" s="6">
        <f>[1]Production!T50+[1]Production!T52+[1]Production!T54+[1]Production!T56+[1]Production!T58+[1]Production!T60+[1]Production!T62+[1]Production!T64+[1]Production!T66</f>
        <v>50659.231584319998</v>
      </c>
      <c r="V144" s="6">
        <f>[1]Production!U50+[1]Production!U52+[1]Production!U54+[1]Production!U56+[1]Production!U58+[1]Production!U60+[1]Production!U62+[1]Production!U64+[1]Production!U66</f>
        <v>51091.087322539992</v>
      </c>
      <c r="W144" s="6">
        <f>[1]Production!V50+[1]Production!V52+[1]Production!V54+[1]Production!V56+[1]Production!V58+[1]Production!V60+[1]Production!V62+[1]Production!V64+[1]Production!V66</f>
        <v>51491.945700939999</v>
      </c>
      <c r="X144" s="6">
        <f>[1]Production!W50+[1]Production!W52+[1]Production!W54+[1]Production!W56+[1]Production!W58+[1]Production!W60+[1]Production!W62+[1]Production!W64+[1]Production!W66</f>
        <v>51900.819802899998</v>
      </c>
      <c r="Y144" s="6">
        <f>[1]Production!X50+[1]Production!X52+[1]Production!X54+[1]Production!X56+[1]Production!X58+[1]Production!X60+[1]Production!X62+[1]Production!X64+[1]Production!X66</f>
        <v>52326.192480410005</v>
      </c>
      <c r="Z144" s="6">
        <f>[1]Production!Y50+[1]Production!Y52+[1]Production!Y54+[1]Production!Y56+[1]Production!Y58+[1]Production!Y60+[1]Production!Y62+[1]Production!Y64+[1]Production!Y66</f>
        <v>52772.214247390002</v>
      </c>
      <c r="AA144" s="6">
        <f>[1]Production!Z50+[1]Production!Z52+[1]Production!Z54+[1]Production!Z56+[1]Production!Z58+[1]Production!Z60+[1]Production!Z62+[1]Production!Z64+[1]Production!Z66</f>
        <v>53239.770451089993</v>
      </c>
      <c r="AB144" s="6">
        <f>[1]Production!AA50+[1]Production!AA52+[1]Production!AA54+[1]Production!AA56+[1]Production!AA58+[1]Production!AA60+[1]Production!AA62+[1]Production!AA64+[1]Production!AA66</f>
        <v>53657.797114280009</v>
      </c>
      <c r="AC144" s="6">
        <f>[1]Production!AB50+[1]Production!AB52+[1]Production!AB54+[1]Production!AB56+[1]Production!AB58+[1]Production!AB60+[1]Production!AB62+[1]Production!AB64+[1]Production!AB66</f>
        <v>54086.89983848</v>
      </c>
      <c r="AD144" s="6">
        <f>[1]Production!AC50+[1]Production!AC52+[1]Production!AC54+[1]Production!AC56+[1]Production!AC58+[1]Production!AC60+[1]Production!AC62+[1]Production!AC64+[1]Production!AC66</f>
        <v>54512.855458100006</v>
      </c>
      <c r="AE144" s="6">
        <f>[1]Production!AD50+[1]Production!AD52+[1]Production!AD54+[1]Production!AD56+[1]Production!AD58+[1]Production!AD60+[1]Production!AD62+[1]Production!AD64+[1]Production!AD66</f>
        <v>54934.946290469998</v>
      </c>
      <c r="AF144" s="6">
        <f>[1]Production!AE50+[1]Production!AE52+[1]Production!AE54+[1]Production!AE56+[1]Production!AE58+[1]Production!AE60+[1]Production!AE62+[1]Production!AE64+[1]Production!AE66</f>
        <v>55360.950505940003</v>
      </c>
      <c r="AG144" s="6">
        <f>[1]Production!AF50+[1]Production!AF52+[1]Production!AF54+[1]Production!AF56+[1]Production!AF58+[1]Production!AF60+[1]Production!AF62+[1]Production!AF64+[1]Production!AF66</f>
        <v>55800.392430889988</v>
      </c>
      <c r="AH144" s="6">
        <f>[1]Production!AG50+[1]Production!AG52+[1]Production!AG54+[1]Production!AG56+[1]Production!AG58+[1]Production!AG60+[1]Production!AG62+[1]Production!AG64+[1]Production!AG66</f>
        <v>56259.476836989983</v>
      </c>
      <c r="AI144" s="6">
        <f>[1]Production!AH50+[1]Production!AH52+[1]Production!AH54+[1]Production!AH56+[1]Production!AH58+[1]Production!AH60+[1]Production!AH62+[1]Production!AH64+[1]Production!AH66</f>
        <v>56739.251065629993</v>
      </c>
      <c r="AJ144" s="6">
        <f>[1]Production!AI50+[1]Production!AI52+[1]Production!AI54+[1]Production!AI56+[1]Production!AI58+[1]Production!AI60+[1]Production!AI62+[1]Production!AI64+[1]Production!AI66</f>
        <v>57236.099010709993</v>
      </c>
      <c r="AK144" s="6">
        <f>[1]Production!AJ50+[1]Production!AJ52+[1]Production!AJ54+[1]Production!AJ56+[1]Production!AJ58+[1]Production!AJ60+[1]Production!AJ62+[1]Production!AJ64+[1]Production!AJ66</f>
        <v>57744.68136604</v>
      </c>
      <c r="AL144" s="6">
        <f>[1]Production!AK50+[1]Production!AK52+[1]Production!AK54+[1]Production!AK56+[1]Production!AK58+[1]Production!AK60+[1]Production!AK62+[1]Production!AK64+[1]Production!AK66</f>
        <v>58260.380728960001</v>
      </c>
    </row>
    <row r="145" spans="1:38" x14ac:dyDescent="0.3">
      <c r="B145" t="s">
        <v>8</v>
      </c>
      <c r="C145" s="6">
        <f>-[1]Production!B26+[1]Production!B8+[1]Production!B10+[1]Production!B12+[1]Production!B14+[1]Production!B16+[1]Production!B18+[1]Production!B20+[1]Production!B22+[1]Production!B24+[1]Production!B26+[1]Production!B40</f>
        <v>709126.4324869999</v>
      </c>
      <c r="D145" s="6">
        <f>-[1]Production!C26+[1]Production!C8+[1]Production!C10+[1]Production!C12+[1]Production!C14+[1]Production!C16+[1]Production!C18+[1]Production!C20+[1]Production!C22+[1]Production!C24+[1]Production!C26+[1]Production!C40</f>
        <v>711941.00040300004</v>
      </c>
      <c r="E145" s="6">
        <f>-[1]Production!D26+[1]Production!D8+[1]Production!D10+[1]Production!D12+[1]Production!D14+[1]Production!D16+[1]Production!D18+[1]Production!D20+[1]Production!D22+[1]Production!D24+[1]Production!D26+[1]Production!D40</f>
        <v>717835.17698900006</v>
      </c>
      <c r="F145" s="6">
        <f>-[1]Production!E26+[1]Production!E8+[1]Production!E10+[1]Production!E12+[1]Production!E14+[1]Production!E16+[1]Production!E18+[1]Production!E20+[1]Production!E22+[1]Production!E24+[1]Production!E26+[1]Production!E40</f>
        <v>725598.93425099994</v>
      </c>
      <c r="G145" s="6">
        <f>-[1]Production!F26+[1]Production!F8+[1]Production!F10+[1]Production!F12+[1]Production!F14+[1]Production!F16+[1]Production!F18+[1]Production!F20+[1]Production!F22+[1]Production!F24+[1]Production!F26+[1]Production!F40</f>
        <v>734588.80614899984</v>
      </c>
      <c r="H145" s="6">
        <f>-[1]Production!G26+[1]Production!G8+[1]Production!G10+[1]Production!G12+[1]Production!G14+[1]Production!G16+[1]Production!G18+[1]Production!G20+[1]Production!G22+[1]Production!G24+[1]Production!G26+[1]Production!G40</f>
        <v>744275.90052200004</v>
      </c>
      <c r="I145" s="6">
        <f>-[1]Production!H26+[1]Production!H8+[1]Production!H10+[1]Production!H12+[1]Production!H14+[1]Production!H16+[1]Production!H18+[1]Production!H20+[1]Production!H22+[1]Production!H24+[1]Production!H26+[1]Production!H40</f>
        <v>747274.59020699991</v>
      </c>
      <c r="J145" s="6">
        <f>-[1]Production!I26+[1]Production!I8+[1]Production!I10+[1]Production!I12+[1]Production!I14+[1]Production!I16+[1]Production!I18+[1]Production!I20+[1]Production!I22+[1]Production!I24+[1]Production!I26+[1]Production!I40</f>
        <v>749334.70778899989</v>
      </c>
      <c r="K145" s="6">
        <f>-[1]Production!J26+[1]Production!J8+[1]Production!J10+[1]Production!J12+[1]Production!J14+[1]Production!J16+[1]Production!J18+[1]Production!J20+[1]Production!J22+[1]Production!J24+[1]Production!J26+[1]Production!J40</f>
        <v>751472.45713700005</v>
      </c>
      <c r="L145" s="6">
        <f>-[1]Production!K26+[1]Production!K8+[1]Production!K10+[1]Production!K12+[1]Production!K14+[1]Production!K16+[1]Production!K18+[1]Production!K20+[1]Production!K22+[1]Production!K24+[1]Production!K26+[1]Production!K40</f>
        <v>755204.43993400002</v>
      </c>
      <c r="M145" s="6">
        <f>-[1]Production!L26+[1]Production!L8+[1]Production!L10+[1]Production!L12+[1]Production!L14+[1]Production!L16+[1]Production!L18+[1]Production!L20+[1]Production!L22+[1]Production!L24+[1]Production!L26+[1]Production!L40</f>
        <v>762751.06606600003</v>
      </c>
      <c r="N145" s="6">
        <f>-[1]Production!M26+[1]Production!M8+[1]Production!M10+[1]Production!M12+[1]Production!M14+[1]Production!M16+[1]Production!M18+[1]Production!M20+[1]Production!M22+[1]Production!M24+[1]Production!M26+[1]Production!M40</f>
        <v>770993.93371400004</v>
      </c>
      <c r="O145" s="6">
        <f>-[1]Production!N26+[1]Production!N8+[1]Production!N10+[1]Production!N12+[1]Production!N14+[1]Production!N16+[1]Production!N18+[1]Production!N20+[1]Production!N22+[1]Production!N24+[1]Production!N26+[1]Production!N40</f>
        <v>780853.33837400004</v>
      </c>
      <c r="P145" s="6">
        <f>-[1]Production!O26+[1]Production!O8+[1]Production!O10+[1]Production!O12+[1]Production!O14+[1]Production!O16+[1]Production!O18+[1]Production!O20+[1]Production!O22+[1]Production!O24+[1]Production!O26+[1]Production!O40</f>
        <v>791664.28964799992</v>
      </c>
      <c r="Q145" s="6">
        <f>-[1]Production!P26+[1]Production!P8+[1]Production!P10+[1]Production!P12+[1]Production!P14+[1]Production!P16+[1]Production!P18+[1]Production!P20+[1]Production!P22+[1]Production!P24+[1]Production!P26+[1]Production!P40</f>
        <v>802714.49040000013</v>
      </c>
      <c r="R145" s="6">
        <f>-[1]Production!Q26+[1]Production!Q8+[1]Production!Q10+[1]Production!Q12+[1]Production!Q14+[1]Production!Q16+[1]Production!Q18+[1]Production!Q20+[1]Production!Q22+[1]Production!Q24+[1]Production!Q26+[1]Production!Q40</f>
        <v>813565.65460000001</v>
      </c>
      <c r="S145" s="6">
        <f>-[1]Production!R26+[1]Production!R8+[1]Production!R10+[1]Production!R12+[1]Production!R14+[1]Production!R16+[1]Production!R18+[1]Production!R20+[1]Production!R22+[1]Production!R24+[1]Production!R26+[1]Production!R40</f>
        <v>824094.35898999998</v>
      </c>
      <c r="T145" s="6">
        <f>-[1]Production!S26+[1]Production!S8+[1]Production!S10+[1]Production!S12+[1]Production!S14+[1]Production!S16+[1]Production!S18+[1]Production!S20+[1]Production!S22+[1]Production!S24+[1]Production!S26+[1]Production!S40</f>
        <v>834409.49823999999</v>
      </c>
      <c r="U145" s="6">
        <f>-[1]Production!T26+[1]Production!T8+[1]Production!T10+[1]Production!T12+[1]Production!T14+[1]Production!T16+[1]Production!T18+[1]Production!T20+[1]Production!T22+[1]Production!T24+[1]Production!T26+[1]Production!T40</f>
        <v>844717.63629000005</v>
      </c>
      <c r="V145" s="6">
        <f>-[1]Production!U26+[1]Production!U8+[1]Production!U10+[1]Production!U12+[1]Production!U14+[1]Production!U16+[1]Production!U18+[1]Production!U20+[1]Production!U22+[1]Production!U24+[1]Production!U26+[1]Production!U40</f>
        <v>855202.77297000005</v>
      </c>
      <c r="W145" s="6">
        <f>-[1]Production!V26+[1]Production!V8+[1]Production!V10+[1]Production!V12+[1]Production!V14+[1]Production!V16+[1]Production!V18+[1]Production!V20+[1]Production!V22+[1]Production!V24+[1]Production!V26+[1]Production!V40</f>
        <v>864824.25633</v>
      </c>
      <c r="X145" s="6">
        <f>-[1]Production!W26+[1]Production!W8+[1]Production!W10+[1]Production!W12+[1]Production!W14+[1]Production!W16+[1]Production!W18+[1]Production!W20+[1]Production!W22+[1]Production!W24+[1]Production!W26+[1]Production!W40</f>
        <v>875851.36797999998</v>
      </c>
      <c r="Y145" s="6">
        <f>-[1]Production!X26+[1]Production!X8+[1]Production!X10+[1]Production!X12+[1]Production!X14+[1]Production!X16+[1]Production!X18+[1]Production!X20+[1]Production!X22+[1]Production!X24+[1]Production!X26+[1]Production!X40</f>
        <v>887213.48488000012</v>
      </c>
      <c r="Z145" s="6">
        <f>-[1]Production!Y26+[1]Production!Y8+[1]Production!Y10+[1]Production!Y12+[1]Production!Y14+[1]Production!Y16+[1]Production!Y18+[1]Production!Y20+[1]Production!Y22+[1]Production!Y24+[1]Production!Y26+[1]Production!Y40</f>
        <v>898727.12252999994</v>
      </c>
      <c r="AA145" s="6">
        <f>-[1]Production!Z26+[1]Production!Z8+[1]Production!Z10+[1]Production!Z12+[1]Production!Z14+[1]Production!Z16+[1]Production!Z18+[1]Production!Z20+[1]Production!Z22+[1]Production!Z24+[1]Production!Z26+[1]Production!Z40</f>
        <v>910337.30298000004</v>
      </c>
      <c r="AB145" s="6">
        <f>-[1]Production!AA26+[1]Production!AA8+[1]Production!AA10+[1]Production!AA12+[1]Production!AA14+[1]Production!AA16+[1]Production!AA18+[1]Production!AA20+[1]Production!AA22+[1]Production!AA24+[1]Production!AA26+[1]Production!AA40</f>
        <v>918646.66515000002</v>
      </c>
      <c r="AC145" s="6">
        <f>-[1]Production!AB26+[1]Production!AB8+[1]Production!AB10+[1]Production!AB12+[1]Production!AB14+[1]Production!AB16+[1]Production!AB18+[1]Production!AB20+[1]Production!AB22+[1]Production!AB24+[1]Production!AB26+[1]Production!AB40</f>
        <v>929065.55328999984</v>
      </c>
      <c r="AD145" s="6">
        <f>-[1]Production!AC26+[1]Production!AC8+[1]Production!AC10+[1]Production!AC12+[1]Production!AC14+[1]Production!AC16+[1]Production!AC18+[1]Production!AC20+[1]Production!AC22+[1]Production!AC24+[1]Production!AC26+[1]Production!AC40</f>
        <v>939891.3934399999</v>
      </c>
      <c r="AE145" s="6">
        <f>-[1]Production!AD26+[1]Production!AD8+[1]Production!AD10+[1]Production!AD12+[1]Production!AD14+[1]Production!AD16+[1]Production!AD18+[1]Production!AD20+[1]Production!AD22+[1]Production!AD24+[1]Production!AD26+[1]Production!AD40</f>
        <v>950992.20238000003</v>
      </c>
      <c r="AF145" s="6">
        <f>-[1]Production!AE26+[1]Production!AE8+[1]Production!AE10+[1]Production!AE12+[1]Production!AE14+[1]Production!AE16+[1]Production!AE18+[1]Production!AE20+[1]Production!AE22+[1]Production!AE24+[1]Production!AE26+[1]Production!AE40</f>
        <v>962385.13777999999</v>
      </c>
      <c r="AG145" s="6">
        <f>-[1]Production!AF26+[1]Production!AF8+[1]Production!AF10+[1]Production!AF12+[1]Production!AF14+[1]Production!AF16+[1]Production!AF18+[1]Production!AF20+[1]Production!AF22+[1]Production!AF24+[1]Production!AF26+[1]Production!AF40</f>
        <v>974039.0538799999</v>
      </c>
      <c r="AH145" s="6">
        <f>-[1]Production!AG26+[1]Production!AG8+[1]Production!AG10+[1]Production!AG12+[1]Production!AG14+[1]Production!AG16+[1]Production!AG18+[1]Production!AG20+[1]Production!AG22+[1]Production!AG24+[1]Production!AG26+[1]Production!AG40</f>
        <v>985886.97862999991</v>
      </c>
      <c r="AI145" s="6">
        <f>-[1]Production!AH26+[1]Production!AH8+[1]Production!AH10+[1]Production!AH12+[1]Production!AH14+[1]Production!AH16+[1]Production!AH18+[1]Production!AH20+[1]Production!AH22+[1]Production!AH24+[1]Production!AH26+[1]Production!AH40</f>
        <v>997866.37387999997</v>
      </c>
      <c r="AJ145" s="6">
        <f>-[1]Production!AI26+[1]Production!AI8+[1]Production!AI10+[1]Production!AI12+[1]Production!AI14+[1]Production!AI16+[1]Production!AI18+[1]Production!AI20+[1]Production!AI22+[1]Production!AI24+[1]Production!AI26+[1]Production!AI40</f>
        <v>1009946.32101</v>
      </c>
      <c r="AK145" s="6">
        <f>-[1]Production!AJ26+[1]Production!AJ8+[1]Production!AJ10+[1]Production!AJ12+[1]Production!AJ14+[1]Production!AJ16+[1]Production!AJ18+[1]Production!AJ20+[1]Production!AJ22+[1]Production!AJ24+[1]Production!AJ26+[1]Production!AJ40</f>
        <v>1022132.87313</v>
      </c>
      <c r="AL145" s="6">
        <f>-[1]Production!AK26+[1]Production!AK8+[1]Production!AK10+[1]Production!AK12+[1]Production!AK14+[1]Production!AK16+[1]Production!AK18+[1]Production!AK20+[1]Production!AK22+[1]Production!AK24+[1]Production!AK26+[1]Production!AK40</f>
        <v>1034456.8885999999</v>
      </c>
    </row>
    <row r="146" spans="1:38" x14ac:dyDescent="0.3">
      <c r="B146" t="s">
        <v>24</v>
      </c>
      <c r="C146" s="6">
        <f>[1]Production!B42+[1]Production!B46+[1]Production!B44+[1]Production!B48</f>
        <v>68360.959371599994</v>
      </c>
      <c r="D146" s="6">
        <f>[1]Production!C42+[1]Production!C46+[1]Production!C44+[1]Production!C48</f>
        <v>70114.164225100001</v>
      </c>
      <c r="E146" s="6">
        <f>[1]Production!D42+[1]Production!D46+[1]Production!D44+[1]Production!D48</f>
        <v>71512.496634199997</v>
      </c>
      <c r="F146" s="6">
        <f>[1]Production!E42+[1]Production!E46+[1]Production!E44+[1]Production!E48</f>
        <v>72716.886871800016</v>
      </c>
      <c r="G146" s="6">
        <f>[1]Production!F42+[1]Production!F46+[1]Production!F44+[1]Production!F48</f>
        <v>73842.468303299989</v>
      </c>
      <c r="H146" s="6">
        <f>[1]Production!G42+[1]Production!G46+[1]Production!G44+[1]Production!G48</f>
        <v>74966.752912999989</v>
      </c>
      <c r="I146" s="6">
        <f>[1]Production!H42+[1]Production!H46+[1]Production!H44+[1]Production!H48</f>
        <v>76586.017704400001</v>
      </c>
      <c r="J146" s="6">
        <f>[1]Production!I42+[1]Production!I46+[1]Production!I44+[1]Production!I48</f>
        <v>77862.089143300007</v>
      </c>
      <c r="K146" s="6">
        <f>[1]Production!J42+[1]Production!J46+[1]Production!J44+[1]Production!J48</f>
        <v>78979.951084600005</v>
      </c>
      <c r="L146" s="6">
        <f>[1]Production!K42+[1]Production!K46+[1]Production!K44+[1]Production!K48</f>
        <v>79942.613012600006</v>
      </c>
      <c r="M146" s="6">
        <f>[1]Production!L42+[1]Production!L46+[1]Production!L44+[1]Production!L48</f>
        <v>80849.029295300003</v>
      </c>
      <c r="N146" s="6">
        <f>[1]Production!M42+[1]Production!M46+[1]Production!M44+[1]Production!M48</f>
        <v>81634.284818000015</v>
      </c>
      <c r="O146" s="6">
        <f>[1]Production!N42+[1]Production!N46+[1]Production!N44+[1]Production!N48</f>
        <v>82419.923644300012</v>
      </c>
      <c r="P146" s="6">
        <f>[1]Production!O42+[1]Production!O46+[1]Production!O44+[1]Production!O48</f>
        <v>83257.772269100009</v>
      </c>
      <c r="Q146" s="6">
        <f>[1]Production!P42+[1]Production!P46+[1]Production!P44+[1]Production!P48</f>
        <v>84166.957636599996</v>
      </c>
      <c r="R146" s="6">
        <f>[1]Production!Q42+[1]Production!Q46+[1]Production!Q44+[1]Production!Q48</f>
        <v>85140.895468099989</v>
      </c>
      <c r="S146" s="6">
        <f>[1]Production!R42+[1]Production!R46+[1]Production!R44+[1]Production!R48</f>
        <v>86156.737383700005</v>
      </c>
      <c r="T146" s="6">
        <f>[1]Production!S42+[1]Production!S46+[1]Production!S44+[1]Production!S48</f>
        <v>87188.905725100005</v>
      </c>
      <c r="U146" s="6">
        <f>[1]Production!T42+[1]Production!T46+[1]Production!T44+[1]Production!T48</f>
        <v>88219.009569900009</v>
      </c>
      <c r="V146" s="6">
        <f>[1]Production!U42+[1]Production!U46+[1]Production!U44+[1]Production!U48</f>
        <v>89240.154728600013</v>
      </c>
      <c r="W146" s="6">
        <f>[1]Production!V42+[1]Production!V46+[1]Production!V44+[1]Production!V48</f>
        <v>90198.12064529999</v>
      </c>
      <c r="X146" s="6">
        <f>[1]Production!W42+[1]Production!W46+[1]Production!W44+[1]Production!W48</f>
        <v>91203.93110680001</v>
      </c>
      <c r="Y146" s="6">
        <f>[1]Production!X42+[1]Production!X46+[1]Production!X44+[1]Production!X48</f>
        <v>92225.375300800006</v>
      </c>
      <c r="Z146" s="6">
        <f>[1]Production!Y42+[1]Production!Y46+[1]Production!Y44+[1]Production!Y48</f>
        <v>93266.00075620001</v>
      </c>
      <c r="AA146" s="6">
        <f>[1]Production!Z42+[1]Production!Z46+[1]Production!Z44+[1]Production!Z48</f>
        <v>94329.280087699997</v>
      </c>
      <c r="AB146" s="6">
        <f>[1]Production!AA42+[1]Production!AA46+[1]Production!AA44+[1]Production!AA48</f>
        <v>95240.327154800005</v>
      </c>
      <c r="AC146" s="6">
        <f>[1]Production!AB42+[1]Production!AB46+[1]Production!AB44+[1]Production!AB48</f>
        <v>96233.517292100005</v>
      </c>
      <c r="AD146" s="6">
        <f>[1]Production!AC42+[1]Production!AC46+[1]Production!AC44+[1]Production!AC48</f>
        <v>97231.010932599995</v>
      </c>
      <c r="AE146" s="6">
        <f>[1]Production!AD42+[1]Production!AD46+[1]Production!AD44+[1]Production!AD48</f>
        <v>98225.823457799997</v>
      </c>
      <c r="AF146" s="6">
        <f>[1]Production!AE42+[1]Production!AE46+[1]Production!AE44+[1]Production!AE48</f>
        <v>99224.161195799985</v>
      </c>
      <c r="AG146" s="6">
        <f>[1]Production!AF42+[1]Production!AF46+[1]Production!AF44+[1]Production!AF48</f>
        <v>100235.18875509998</v>
      </c>
      <c r="AH146" s="6">
        <f>[1]Production!AG42+[1]Production!AG46+[1]Production!AG44+[1]Production!AG48</f>
        <v>101265.9398031</v>
      </c>
      <c r="AI146" s="6">
        <f>[1]Production!AH42+[1]Production!AH46+[1]Production!AH44+[1]Production!AH48</f>
        <v>102319.1792917</v>
      </c>
      <c r="AJ146" s="6">
        <f>[1]Production!AI42+[1]Production!AI46+[1]Production!AI44+[1]Production!AI48</f>
        <v>103393.6070773</v>
      </c>
      <c r="AK146" s="6">
        <f>[1]Production!AJ42+[1]Production!AJ46+[1]Production!AJ44+[1]Production!AJ48</f>
        <v>104485.5879057</v>
      </c>
      <c r="AL146" s="6">
        <f>[1]Production!AK42+[1]Production!AK46+[1]Production!AK44+[1]Production!AK48</f>
        <v>105591.25862159999</v>
      </c>
    </row>
    <row r="147" spans="1:38" x14ac:dyDescent="0.3">
      <c r="B147" t="s">
        <v>10</v>
      </c>
      <c r="C147" s="6">
        <f>[1]Production!B36+[1]Production!B38</f>
        <v>2566000.3823000002</v>
      </c>
      <c r="D147" s="6">
        <f>[1]Production!C36+[1]Production!C38</f>
        <v>2578021.9638</v>
      </c>
      <c r="E147" s="6">
        <f>[1]Production!D36+[1]Production!D38</f>
        <v>2603059.0733000003</v>
      </c>
      <c r="F147" s="6">
        <f>[1]Production!E36+[1]Production!E38</f>
        <v>2642196.2787000001</v>
      </c>
      <c r="G147" s="6">
        <f>[1]Production!F36+[1]Production!F38</f>
        <v>2688270.5267000003</v>
      </c>
      <c r="H147" s="6">
        <f>[1]Production!G36+[1]Production!G38</f>
        <v>2736274.2094000001</v>
      </c>
      <c r="I147" s="6">
        <f>[1]Production!H36+[1]Production!H38</f>
        <v>2758508.8931</v>
      </c>
      <c r="J147" s="6">
        <f>[1]Production!I36+[1]Production!I38</f>
        <v>2781957.6793</v>
      </c>
      <c r="K147" s="6">
        <f>[1]Production!J36+[1]Production!J38</f>
        <v>2809546.6477000001</v>
      </c>
      <c r="L147" s="6">
        <f>[1]Production!K36+[1]Production!K38</f>
        <v>2846095.9476999999</v>
      </c>
      <c r="M147" s="6">
        <f>[1]Production!L36+[1]Production!L38</f>
        <v>2888870.5586000001</v>
      </c>
      <c r="N147" s="6">
        <f>[1]Production!M36+[1]Production!M38</f>
        <v>2948433.4515</v>
      </c>
      <c r="O147" s="6">
        <f>[1]Production!N36+[1]Production!N38</f>
        <v>3009614.2821</v>
      </c>
      <c r="P147" s="6">
        <f>[1]Production!O36+[1]Production!O38</f>
        <v>3069697.7475000001</v>
      </c>
      <c r="Q147" s="6">
        <f>[1]Production!P36+[1]Production!P38</f>
        <v>3126659.7054999997</v>
      </c>
      <c r="R147" s="6">
        <f>[1]Production!Q36+[1]Production!Q38</f>
        <v>3179957.8103</v>
      </c>
      <c r="S147" s="6">
        <f>[1]Production!R36+[1]Production!R38</f>
        <v>3230487.7266999995</v>
      </c>
      <c r="T147" s="6">
        <f>[1]Production!S36+[1]Production!S38</f>
        <v>3279936.3000999996</v>
      </c>
      <c r="U147" s="6">
        <f>[1]Production!T36+[1]Production!T38</f>
        <v>3329986.6354</v>
      </c>
      <c r="V147" s="6">
        <f>[1]Production!U36+[1]Production!U38</f>
        <v>3381751.5906000002</v>
      </c>
      <c r="W147" s="6">
        <f>[1]Production!V36+[1]Production!V38</f>
        <v>3437748.3955999999</v>
      </c>
      <c r="X147" s="6">
        <f>[1]Production!W36+[1]Production!W38</f>
        <v>3489951.9069000003</v>
      </c>
      <c r="Y147" s="6">
        <f>[1]Production!X36+[1]Production!X38</f>
        <v>3545497.8159000003</v>
      </c>
      <c r="Z147" s="6">
        <f>[1]Production!Y36+[1]Production!Y38</f>
        <v>3602910.3698000005</v>
      </c>
      <c r="AA147" s="6">
        <f>[1]Production!Z36+[1]Production!Z38</f>
        <v>3661305.8289999999</v>
      </c>
      <c r="AB147" s="6">
        <f>[1]Production!AA36+[1]Production!AA38</f>
        <v>3725246.4127000002</v>
      </c>
      <c r="AC147" s="6">
        <f>[1]Production!AB36+[1]Production!AB38</f>
        <v>3778239.4196000001</v>
      </c>
      <c r="AD147" s="6">
        <f>[1]Production!AC36+[1]Production!AC38</f>
        <v>3833155.2230000002</v>
      </c>
      <c r="AE147" s="6">
        <f>[1]Production!AD36+[1]Production!AD38</f>
        <v>3889982.1660000002</v>
      </c>
      <c r="AF147" s="6">
        <f>[1]Production!AE36+[1]Production!AE38</f>
        <v>3948432.6180000002</v>
      </c>
      <c r="AG147" s="6">
        <f>[1]Production!AF36+[1]Production!AF38</f>
        <v>4008013.59</v>
      </c>
      <c r="AH147" s="6">
        <f>[1]Production!AG36+[1]Production!AG38</f>
        <v>4068235.8360000001</v>
      </c>
      <c r="AI147" s="6">
        <f>[1]Production!AH36+[1]Production!AH38</f>
        <v>4128799.8509999998</v>
      </c>
      <c r="AJ147" s="6">
        <f>[1]Production!AI36+[1]Production!AI38</f>
        <v>4189669.4239999996</v>
      </c>
      <c r="AK147" s="6">
        <f>[1]Production!AJ36+[1]Production!AJ38</f>
        <v>4251023.8619999997</v>
      </c>
      <c r="AL147" s="6">
        <f>[1]Production!AK36+[1]Production!AK38</f>
        <v>4313136.6310000001</v>
      </c>
    </row>
    <row r="148" spans="1:38" x14ac:dyDescent="0.3">
      <c r="B148" t="s">
        <v>9</v>
      </c>
      <c r="C148" s="6">
        <f>[1]Production!B28+[1]Production!B30+[1]Production!B32+[1]Production!B34</f>
        <v>121144.11088999998</v>
      </c>
      <c r="D148" s="6">
        <f>[1]Production!C28+[1]Production!C30+[1]Production!C32+[1]Production!C34</f>
        <v>121295.48264</v>
      </c>
      <c r="E148" s="6">
        <f>[1]Production!D28+[1]Production!D30+[1]Production!D32+[1]Production!D34</f>
        <v>121941.57717</v>
      </c>
      <c r="F148" s="6">
        <f>[1]Production!E28+[1]Production!E30+[1]Production!E32+[1]Production!E34</f>
        <v>123074.46987</v>
      </c>
      <c r="G148" s="6">
        <f>[1]Production!F28+[1]Production!F30+[1]Production!F32+[1]Production!F34</f>
        <v>124541.16635</v>
      </c>
      <c r="H148" s="6">
        <f>[1]Production!G28+[1]Production!G30+[1]Production!G32+[1]Production!G34</f>
        <v>126190.70027</v>
      </c>
      <c r="I148" s="6">
        <f>[1]Production!H28+[1]Production!H30+[1]Production!H32+[1]Production!H34</f>
        <v>126957.92731</v>
      </c>
      <c r="J148" s="6">
        <f>[1]Production!I28+[1]Production!I30+[1]Production!I32+[1]Production!I34</f>
        <v>127709.43461</v>
      </c>
      <c r="K148" s="6">
        <f>[1]Production!J28+[1]Production!J30+[1]Production!J32+[1]Production!J34</f>
        <v>128563.72968</v>
      </c>
      <c r="L148" s="6">
        <f>[1]Production!K28+[1]Production!K30+[1]Production!K32+[1]Production!K34</f>
        <v>129699.35174</v>
      </c>
      <c r="M148" s="6">
        <f>[1]Production!L28+[1]Production!L30+[1]Production!L32+[1]Production!L34</f>
        <v>131274.03322000001</v>
      </c>
      <c r="N148" s="6">
        <f>[1]Production!M28+[1]Production!M30+[1]Production!M32+[1]Production!M34</f>
        <v>133166.67903999999</v>
      </c>
      <c r="O148" s="6">
        <f>[1]Production!N28+[1]Production!N30+[1]Production!N32+[1]Production!N34</f>
        <v>135248.7936</v>
      </c>
      <c r="P148" s="6">
        <f>[1]Production!O28+[1]Production!O30+[1]Production!O32+[1]Production!O34</f>
        <v>137400.90969</v>
      </c>
      <c r="Q148" s="6">
        <f>[1]Production!P28+[1]Production!P30+[1]Production!P32+[1]Production!P34</f>
        <v>139526.54853999999</v>
      </c>
      <c r="R148" s="6">
        <f>[1]Production!Q28+[1]Production!Q30+[1]Production!Q32+[1]Production!Q34</f>
        <v>141575.69158000001</v>
      </c>
      <c r="S148" s="6">
        <f>[1]Production!R28+[1]Production!R30+[1]Production!R32+[1]Production!R34</f>
        <v>143549.21178000001</v>
      </c>
      <c r="T148" s="6">
        <f>[1]Production!S28+[1]Production!S30+[1]Production!S32+[1]Production!S34</f>
        <v>145483.79099000001</v>
      </c>
      <c r="U148" s="6">
        <f>[1]Production!T28+[1]Production!T30+[1]Production!T32+[1]Production!T34</f>
        <v>147427.7617</v>
      </c>
      <c r="V148" s="6">
        <f>[1]Production!U28+[1]Production!U30+[1]Production!U32+[1]Production!U34</f>
        <v>149420.01220999999</v>
      </c>
      <c r="W148" s="6">
        <f>[1]Production!V28+[1]Production!V30+[1]Production!V32+[1]Production!V34</f>
        <v>151410.04706000001</v>
      </c>
      <c r="X148" s="6">
        <f>[1]Production!W28+[1]Production!W30+[1]Production!W32+[1]Production!W34</f>
        <v>153483.24742</v>
      </c>
      <c r="Y148" s="6">
        <f>[1]Production!X28+[1]Production!X30+[1]Production!X32+[1]Production!X34</f>
        <v>155640.19721000001</v>
      </c>
      <c r="Z148" s="6">
        <f>[1]Production!Y28+[1]Production!Y30+[1]Production!Y32+[1]Production!Y34</f>
        <v>157855.37591</v>
      </c>
      <c r="AA148" s="6">
        <f>[1]Production!Z28+[1]Production!Z30+[1]Production!Z32+[1]Production!Z34</f>
        <v>160107.09237999999</v>
      </c>
      <c r="AB148" s="6">
        <f>[1]Production!AA28+[1]Production!AA30+[1]Production!AA32+[1]Production!AA34</f>
        <v>162161.93473000001</v>
      </c>
      <c r="AC148" s="6">
        <f>[1]Production!AB28+[1]Production!AB30+[1]Production!AB32+[1]Production!AB34</f>
        <v>164230.77128999998</v>
      </c>
      <c r="AD148" s="6">
        <f>[1]Production!AC28+[1]Production!AC30+[1]Production!AC32+[1]Production!AC34</f>
        <v>166347.26586000001</v>
      </c>
      <c r="AE148" s="6">
        <f>[1]Production!AD28+[1]Production!AD30+[1]Production!AD32+[1]Production!AD34</f>
        <v>168525.21726999999</v>
      </c>
      <c r="AF148" s="6">
        <f>[1]Production!AE28+[1]Production!AE30+[1]Production!AE32+[1]Production!AE34</f>
        <v>170763.75920000003</v>
      </c>
      <c r="AG148" s="6">
        <f>[1]Production!AF28+[1]Production!AF30+[1]Production!AF32+[1]Production!AF34</f>
        <v>173051.80847000002</v>
      </c>
      <c r="AH148" s="6">
        <f>[1]Production!AG28+[1]Production!AG30+[1]Production!AG32+[1]Production!AG34</f>
        <v>175374.74601</v>
      </c>
      <c r="AI148" s="6">
        <f>[1]Production!AH28+[1]Production!AH30+[1]Production!AH32+[1]Production!AH34</f>
        <v>177721.19623</v>
      </c>
      <c r="AJ148" s="6">
        <f>[1]Production!AI28+[1]Production!AI30+[1]Production!AI32+[1]Production!AI34</f>
        <v>180086.9173</v>
      </c>
      <c r="AK148" s="6">
        <f>[1]Production!AJ28+[1]Production!AJ30+[1]Production!AJ32+[1]Production!AJ34</f>
        <v>182474.84983000002</v>
      </c>
      <c r="AL148" s="6">
        <f>[1]Production!AK28+[1]Production!AK30+[1]Production!AK32+[1]Production!AK34</f>
        <v>184892.24583999999</v>
      </c>
    </row>
    <row r="150" spans="1:38" x14ac:dyDescent="0.3">
      <c r="A150" s="12" t="s">
        <v>57</v>
      </c>
      <c r="B150" t="s">
        <v>13</v>
      </c>
      <c r="C150" s="7" t="s">
        <v>14</v>
      </c>
      <c r="D150" s="7" t="s">
        <v>15</v>
      </c>
      <c r="E150" s="7" t="s">
        <v>16</v>
      </c>
    </row>
    <row r="151" spans="1:38" x14ac:dyDescent="0.3">
      <c r="A151" t="s">
        <v>54</v>
      </c>
      <c r="B151" t="s">
        <v>28</v>
      </c>
      <c r="C151" s="4">
        <f>(R141-R129)/R129</f>
        <v>-1.1986176935020149E-2</v>
      </c>
      <c r="D151" s="4">
        <f>(AB141-AB129)/AB129</f>
        <v>-1.3391574197589599E-2</v>
      </c>
      <c r="E151" s="4">
        <f>(AL141-AL129)/AL129</f>
        <v>-1.2105332262119361E-2</v>
      </c>
    </row>
    <row r="152" spans="1:38" x14ac:dyDescent="0.3">
      <c r="B152" t="s">
        <v>7</v>
      </c>
      <c r="C152" s="4">
        <f t="shared" ref="C152:C158" si="23">(R142-R130)/R130</f>
        <v>-5.6723496360588828E-2</v>
      </c>
      <c r="D152" s="4">
        <f t="shared" ref="D152:D158" si="24">(AB142-AB130)/AB130</f>
        <v>-4.5761262595500472E-2</v>
      </c>
      <c r="E152" s="4">
        <f t="shared" ref="E152:E158" si="25">(AL142-AL130)/AL130</f>
        <v>-4.6079895647869157E-2</v>
      </c>
    </row>
    <row r="153" spans="1:38" x14ac:dyDescent="0.3">
      <c r="B153" t="s">
        <v>96</v>
      </c>
      <c r="C153" s="4">
        <f t="shared" si="23"/>
        <v>-1.1218686001050603E-2</v>
      </c>
      <c r="D153" s="4">
        <f t="shared" si="24"/>
        <v>-1.3941366670594143E-2</v>
      </c>
      <c r="E153" s="4">
        <f t="shared" si="25"/>
        <v>-1.1721363278526596E-2</v>
      </c>
    </row>
    <row r="154" spans="1:38" x14ac:dyDescent="0.3">
      <c r="B154" t="s">
        <v>11</v>
      </c>
      <c r="C154" s="4">
        <f t="shared" si="23"/>
        <v>-2.6031923177759261E-2</v>
      </c>
      <c r="D154" s="4">
        <f t="shared" si="24"/>
        <v>-2.2208594656538998E-2</v>
      </c>
      <c r="E154" s="4">
        <f t="shared" si="25"/>
        <v>-2.4119240413010851E-2</v>
      </c>
    </row>
    <row r="155" spans="1:38" x14ac:dyDescent="0.3">
      <c r="B155" t="s">
        <v>8</v>
      </c>
      <c r="C155" s="4">
        <f t="shared" si="23"/>
        <v>-2.5649870843963959E-2</v>
      </c>
      <c r="D155" s="4">
        <f t="shared" si="24"/>
        <v>-2.1302906304137184E-2</v>
      </c>
      <c r="E155" s="4">
        <f t="shared" si="25"/>
        <v>-1.9887369300764228E-2</v>
      </c>
    </row>
    <row r="156" spans="1:38" x14ac:dyDescent="0.3">
      <c r="B156" t="s">
        <v>24</v>
      </c>
      <c r="C156" s="4">
        <f t="shared" si="23"/>
        <v>-9.0405819293927266E-3</v>
      </c>
      <c r="D156" s="4">
        <f t="shared" si="24"/>
        <v>-6.8637253588649137E-3</v>
      </c>
      <c r="E156" s="4">
        <f t="shared" si="25"/>
        <v>-5.4061804570670917E-3</v>
      </c>
    </row>
    <row r="157" spans="1:38" x14ac:dyDescent="0.3">
      <c r="B157" t="s">
        <v>10</v>
      </c>
      <c r="C157" s="4">
        <f t="shared" si="23"/>
        <v>-6.9872692111917004E-3</v>
      </c>
      <c r="D157" s="4">
        <f t="shared" si="24"/>
        <v>-1.0570339470219224E-2</v>
      </c>
      <c r="E157" s="4">
        <f t="shared" si="25"/>
        <v>-9.4831642974861768E-3</v>
      </c>
    </row>
    <row r="158" spans="1:38" x14ac:dyDescent="0.3">
      <c r="B158" t="s">
        <v>9</v>
      </c>
      <c r="C158" s="4">
        <f t="shared" si="23"/>
        <v>-1.3617460395898732E-2</v>
      </c>
      <c r="D158" s="4">
        <f t="shared" si="24"/>
        <v>-1.3356051762555093E-2</v>
      </c>
      <c r="E158" s="4">
        <f t="shared" si="25"/>
        <v>-1.2231533658576748E-2</v>
      </c>
    </row>
    <row r="159" spans="1:38" x14ac:dyDescent="0.3">
      <c r="C159" s="5"/>
      <c r="D159" s="5"/>
      <c r="E159" s="5"/>
    </row>
    <row r="160" spans="1:38" x14ac:dyDescent="0.3">
      <c r="A160" s="12" t="s">
        <v>57</v>
      </c>
      <c r="B160" t="s">
        <v>13</v>
      </c>
      <c r="C160" s="7" t="s">
        <v>14</v>
      </c>
      <c r="D160" s="7" t="s">
        <v>15</v>
      </c>
      <c r="E160" s="7" t="s">
        <v>16</v>
      </c>
    </row>
    <row r="161" spans="1:9" x14ac:dyDescent="0.3">
      <c r="A161" t="s">
        <v>98</v>
      </c>
      <c r="B161" t="s">
        <v>22</v>
      </c>
      <c r="C161" s="4">
        <f>C151</f>
        <v>-1.1986176935020149E-2</v>
      </c>
      <c r="D161" s="4">
        <f>D151</f>
        <v>-1.3391574197589599E-2</v>
      </c>
      <c r="E161" s="4">
        <f>E151</f>
        <v>-1.2105332262119361E-2</v>
      </c>
      <c r="G161" s="6">
        <f t="shared" ref="G161:G168" si="26">R129</f>
        <v>4776224.6720000003</v>
      </c>
      <c r="H161" s="6">
        <f t="shared" ref="H161:H168" si="27">AB129</f>
        <v>5526530.8550000004</v>
      </c>
      <c r="I161" s="6">
        <f t="shared" ref="I161:I168" si="28">AL129</f>
        <v>6349128.1639999999</v>
      </c>
    </row>
    <row r="162" spans="1:9" x14ac:dyDescent="0.3">
      <c r="B162" t="s">
        <v>7</v>
      </c>
      <c r="C162" s="4">
        <f t="shared" ref="C162:E168" si="29">C152*G162/G$161</f>
        <v>-1.1116822395577633E-3</v>
      </c>
      <c r="D162" s="4">
        <f t="shared" si="29"/>
        <v>-7.9759240537163466E-4</v>
      </c>
      <c r="E162" s="4">
        <f t="shared" si="29"/>
        <v>-7.1818652123841256E-4</v>
      </c>
      <c r="G162" s="6">
        <f t="shared" si="26"/>
        <v>93605.727444000004</v>
      </c>
      <c r="H162" s="6">
        <f t="shared" si="27"/>
        <v>96324.244306000008</v>
      </c>
      <c r="I162" s="6">
        <f t="shared" si="28"/>
        <v>98955.481667</v>
      </c>
    </row>
    <row r="163" spans="1:9" x14ac:dyDescent="0.3">
      <c r="B163" t="s">
        <v>96</v>
      </c>
      <c r="C163" s="4">
        <f t="shared" si="29"/>
        <v>-8.5791615373992836E-4</v>
      </c>
      <c r="D163" s="4">
        <f t="shared" si="29"/>
        <v>-1.037777160840622E-3</v>
      </c>
      <c r="E163" s="4">
        <f t="shared" si="29"/>
        <v>-8.9952685667662742E-4</v>
      </c>
      <c r="G163" s="6">
        <f t="shared" si="26"/>
        <v>365247.7928</v>
      </c>
      <c r="H163" s="6">
        <f t="shared" si="27"/>
        <v>411387.7524</v>
      </c>
      <c r="I163" s="6">
        <f t="shared" si="28"/>
        <v>487248.04139999999</v>
      </c>
    </row>
    <row r="164" spans="1:9" x14ac:dyDescent="0.3">
      <c r="B164" t="s">
        <v>11</v>
      </c>
      <c r="C164" s="4">
        <f t="shared" si="29"/>
        <v>-2.7582441212262979E-4</v>
      </c>
      <c r="D164" s="4">
        <f t="shared" si="29"/>
        <v>-2.2052361440403012E-4</v>
      </c>
      <c r="E164" s="4">
        <f t="shared" si="29"/>
        <v>-2.267911459315745E-4</v>
      </c>
      <c r="G164" s="6">
        <f t="shared" si="26"/>
        <v>50607.070147070001</v>
      </c>
      <c r="H164" s="6">
        <f t="shared" si="27"/>
        <v>54876.527673540004</v>
      </c>
      <c r="I164" s="6">
        <f t="shared" si="28"/>
        <v>59700.306780939994</v>
      </c>
    </row>
    <row r="165" spans="1:9" x14ac:dyDescent="0.3">
      <c r="B165" t="s">
        <v>8</v>
      </c>
      <c r="C165" s="4">
        <f t="shared" si="29"/>
        <v>-4.4841279275565915E-3</v>
      </c>
      <c r="D165" s="4">
        <f t="shared" si="29"/>
        <v>-3.6181491218689457E-3</v>
      </c>
      <c r="E165" s="4">
        <f t="shared" si="29"/>
        <v>-3.3059756816715782E-3</v>
      </c>
      <c r="G165" s="6">
        <f t="shared" si="26"/>
        <v>834982.85704000003</v>
      </c>
      <c r="H165" s="6">
        <f t="shared" si="27"/>
        <v>938642.4779099999</v>
      </c>
      <c r="I165" s="6">
        <f t="shared" si="28"/>
        <v>1055446.9519100001</v>
      </c>
    </row>
    <row r="166" spans="1:9" x14ac:dyDescent="0.3">
      <c r="B166" t="s">
        <v>24</v>
      </c>
      <c r="C166" s="4">
        <f t="shared" si="29"/>
        <v>-1.6262749879702998E-4</v>
      </c>
      <c r="D166" s="4">
        <f t="shared" si="29"/>
        <v>-1.1910207617939668E-4</v>
      </c>
      <c r="E166" s="4">
        <f t="shared" si="29"/>
        <v>-9.0397965181162785E-5</v>
      </c>
      <c r="G166" s="6">
        <f t="shared" si="26"/>
        <v>85917.640940200014</v>
      </c>
      <c r="H166" s="6">
        <f t="shared" si="27"/>
        <v>95898.548453700001</v>
      </c>
      <c r="I166" s="6">
        <f t="shared" si="28"/>
        <v>106165.2068883</v>
      </c>
    </row>
    <row r="167" spans="1:9" x14ac:dyDescent="0.3">
      <c r="B167" t="s">
        <v>10</v>
      </c>
      <c r="C167" s="4">
        <f t="shared" si="29"/>
        <v>-4.6847807497779692E-3</v>
      </c>
      <c r="D167" s="4">
        <f t="shared" si="29"/>
        <v>-7.2012255869328187E-3</v>
      </c>
      <c r="E167" s="4">
        <f t="shared" si="29"/>
        <v>-6.5038502820180429E-3</v>
      </c>
      <c r="G167" s="6">
        <f t="shared" si="26"/>
        <v>3202333.3757000002</v>
      </c>
      <c r="H167" s="6">
        <f t="shared" si="27"/>
        <v>3765044.2080999999</v>
      </c>
      <c r="I167" s="6">
        <f t="shared" si="28"/>
        <v>4354430.41</v>
      </c>
    </row>
    <row r="168" spans="1:9" x14ac:dyDescent="0.3">
      <c r="B168" t="s">
        <v>9</v>
      </c>
      <c r="C168" s="4">
        <f t="shared" si="29"/>
        <v>-4.0921796276840062E-4</v>
      </c>
      <c r="D168" s="4">
        <f t="shared" si="29"/>
        <v>-3.9720431272250416E-4</v>
      </c>
      <c r="E168" s="4">
        <f t="shared" si="29"/>
        <v>-3.6060385156213057E-4</v>
      </c>
      <c r="G168" s="6">
        <f t="shared" si="26"/>
        <v>143530.20851000003</v>
      </c>
      <c r="H168" s="6">
        <f t="shared" si="27"/>
        <v>164357.09662</v>
      </c>
      <c r="I168" s="6">
        <f t="shared" si="28"/>
        <v>187181.76590999999</v>
      </c>
    </row>
    <row r="169" spans="1:9" x14ac:dyDescent="0.3">
      <c r="C169" s="5"/>
      <c r="D169" s="5"/>
      <c r="E169" s="5"/>
    </row>
    <row r="170" spans="1:9" x14ac:dyDescent="0.3">
      <c r="A170" s="12" t="s">
        <v>57</v>
      </c>
      <c r="B170" t="s">
        <v>13</v>
      </c>
      <c r="C170" s="7" t="s">
        <v>14</v>
      </c>
      <c r="D170" s="7" t="s">
        <v>15</v>
      </c>
      <c r="E170" s="7" t="s">
        <v>16</v>
      </c>
    </row>
    <row r="171" spans="1:9" x14ac:dyDescent="0.3">
      <c r="A171" t="s">
        <v>58</v>
      </c>
      <c r="B171" t="s">
        <v>7</v>
      </c>
      <c r="C171" s="4">
        <f t="shared" ref="C171:C177" si="30">R142/R$141-R130/R$129</f>
        <v>-8.8741060147366074E-4</v>
      </c>
      <c r="D171" s="4">
        <f t="shared" ref="D171:E177" si="31">AB142/AB$141-AB130/AB$129</f>
        <v>-5.7184286950714633E-4</v>
      </c>
      <c r="E171" s="4">
        <f t="shared" si="31"/>
        <v>-5.8921635212122805E-4</v>
      </c>
    </row>
    <row r="172" spans="1:9" x14ac:dyDescent="0.3">
      <c r="B172" t="s">
        <v>96</v>
      </c>
      <c r="C172" s="4">
        <f t="shared" si="30"/>
        <v>5.9403643872135703E-5</v>
      </c>
      <c r="D172" s="4">
        <f t="shared" si="31"/>
        <v>-4.1481335355184057E-5</v>
      </c>
      <c r="E172" s="4">
        <f t="shared" si="31"/>
        <v>-4.1274750967629226E-5</v>
      </c>
    </row>
    <row r="173" spans="1:9" x14ac:dyDescent="0.3">
      <c r="B173" t="s">
        <v>11</v>
      </c>
      <c r="C173" s="4">
        <f t="shared" si="30"/>
        <v>-1.5062887916266268E-4</v>
      </c>
      <c r="D173" s="4">
        <f t="shared" si="31"/>
        <v>-8.8738289449609778E-5</v>
      </c>
      <c r="E173" s="4">
        <f t="shared" si="31"/>
        <v>-8.7750680724781385E-5</v>
      </c>
    </row>
    <row r="174" spans="1:9" x14ac:dyDescent="0.3">
      <c r="B174" t="s">
        <v>8</v>
      </c>
      <c r="C174" s="4">
        <f t="shared" si="30"/>
        <v>-2.4176749749617865E-3</v>
      </c>
      <c r="D174" s="4">
        <f t="shared" si="31"/>
        <v>-1.361922519288794E-3</v>
      </c>
      <c r="E174" s="4">
        <f t="shared" si="31"/>
        <v>-1.3479302935840154E-3</v>
      </c>
    </row>
    <row r="175" spans="1:9" x14ac:dyDescent="0.3">
      <c r="B175" t="s">
        <v>24</v>
      </c>
      <c r="C175" s="4">
        <f t="shared" si="30"/>
        <v>5.3629976960255232E-5</v>
      </c>
      <c r="D175" s="4">
        <f t="shared" si="31"/>
        <v>1.1481131829203448E-4</v>
      </c>
      <c r="E175" s="4">
        <f t="shared" si="31"/>
        <v>1.1791602943866247E-4</v>
      </c>
    </row>
    <row r="176" spans="1:9" x14ac:dyDescent="0.3">
      <c r="B176" t="s">
        <v>10</v>
      </c>
      <c r="C176" s="4">
        <f t="shared" si="30"/>
        <v>3.3922971960113069E-3</v>
      </c>
      <c r="D176" s="4">
        <f t="shared" si="31"/>
        <v>1.9481028505983211E-3</v>
      </c>
      <c r="E176" s="4">
        <f t="shared" si="31"/>
        <v>1.9452541452827932E-3</v>
      </c>
    </row>
    <row r="177" spans="1:38" x14ac:dyDescent="0.3">
      <c r="B177" t="s">
        <v>9</v>
      </c>
      <c r="C177" s="4">
        <f t="shared" si="30"/>
        <v>-4.9616369182221842E-5</v>
      </c>
      <c r="D177" s="4">
        <f t="shared" si="31"/>
        <v>1.0707640219938253E-6</v>
      </c>
      <c r="E177" s="4">
        <f t="shared" si="31"/>
        <v>3.0019806783292136E-6</v>
      </c>
    </row>
    <row r="178" spans="1:38" x14ac:dyDescent="0.3">
      <c r="C178" s="4"/>
      <c r="D178" s="4"/>
      <c r="E178" s="4"/>
    </row>
    <row r="179" spans="1:38" x14ac:dyDescent="0.3">
      <c r="A179" s="12" t="s">
        <v>29</v>
      </c>
      <c r="C179" s="4"/>
      <c r="D179" s="4"/>
      <c r="E179" s="4"/>
    </row>
    <row r="180" spans="1:38" x14ac:dyDescent="0.3">
      <c r="A180" t="s">
        <v>26</v>
      </c>
      <c r="B180" t="s">
        <v>28</v>
      </c>
      <c r="C180" s="6">
        <f>[1]Capital!B3</f>
        <v>8841723.6779999994</v>
      </c>
      <c r="D180" s="6">
        <f>[1]Capital!C3</f>
        <v>8942337.3829999994</v>
      </c>
      <c r="E180" s="6">
        <f>[1]Capital!D3</f>
        <v>9043757.6429999992</v>
      </c>
      <c r="F180" s="6">
        <f>[1]Capital!E3</f>
        <v>9148363.6730000004</v>
      </c>
      <c r="G180" s="6">
        <f>[1]Capital!F3</f>
        <v>9257580.8259999994</v>
      </c>
      <c r="H180" s="6">
        <f>[1]Capital!G3</f>
        <v>9371598.6850000005</v>
      </c>
      <c r="I180" s="6">
        <f>[1]Capital!H3</f>
        <v>9489673.5830000006</v>
      </c>
      <c r="J180" s="6">
        <f>[1]Capital!I3</f>
        <v>9610445.4869999997</v>
      </c>
      <c r="K180" s="6">
        <f>[1]Capital!J3</f>
        <v>9732808.182</v>
      </c>
      <c r="L180" s="6">
        <f>[1]Capital!K3</f>
        <v>9856296.3530000001</v>
      </c>
      <c r="M180" s="6">
        <f>[1]Capital!L3</f>
        <v>9981070.7660000008</v>
      </c>
      <c r="N180" s="6">
        <f>[1]Capital!M3</f>
        <v>10108092.98</v>
      </c>
      <c r="O180" s="6">
        <f>[1]Capital!N3</f>
        <v>10237900.050000001</v>
      </c>
      <c r="P180" s="6">
        <f>[1]Capital!O3</f>
        <v>10370843.43</v>
      </c>
      <c r="Q180" s="6">
        <f>[1]Capital!P3</f>
        <v>10507145.710000001</v>
      </c>
      <c r="R180" s="6">
        <f>[1]Capital!Q3</f>
        <v>10646942.58</v>
      </c>
      <c r="S180" s="6">
        <f>[1]Capital!R3</f>
        <v>10790333.779999999</v>
      </c>
      <c r="T180" s="6">
        <f>[1]Capital!S3</f>
        <v>10937425.68</v>
      </c>
      <c r="U180" s="6">
        <f>[1]Capital!T3</f>
        <v>11088354.01</v>
      </c>
      <c r="V180" s="6">
        <f>[1]Capital!U3</f>
        <v>11243280.369999999</v>
      </c>
      <c r="W180" s="6">
        <f>[1]Capital!V3</f>
        <v>11402322.960000001</v>
      </c>
      <c r="X180" s="6">
        <f>[1]Capital!W3</f>
        <v>11565392.279999999</v>
      </c>
      <c r="Y180" s="6">
        <f>[1]Capital!X3</f>
        <v>11732708.609999999</v>
      </c>
      <c r="Z180" s="6">
        <f>[1]Capital!Y3</f>
        <v>11904457.560000001</v>
      </c>
      <c r="AA180" s="6">
        <f>[1]Capital!Z3</f>
        <v>12080707.85</v>
      </c>
      <c r="AB180" s="6">
        <f>[1]Capital!AA3</f>
        <v>12261177.689999999</v>
      </c>
      <c r="AC180" s="6">
        <f>[1]Capital!AB3</f>
        <v>12445245.960000001</v>
      </c>
      <c r="AD180" s="6">
        <f>[1]Capital!AC3</f>
        <v>12632873.369999999</v>
      </c>
      <c r="AE180" s="6">
        <f>[1]Capital!AD3</f>
        <v>12824220.890000001</v>
      </c>
      <c r="AF180" s="6">
        <f>[1]Capital!AE3</f>
        <v>13019450.029999999</v>
      </c>
      <c r="AG180" s="6">
        <f>[1]Capital!AF3</f>
        <v>13218627.359999999</v>
      </c>
      <c r="AH180" s="6">
        <f>[1]Capital!AG3</f>
        <v>13421705.07</v>
      </c>
      <c r="AI180" s="6">
        <f>[1]Capital!AH3</f>
        <v>13628557.810000001</v>
      </c>
      <c r="AJ180" s="6">
        <f>[1]Capital!AI3</f>
        <v>13839044.289999999</v>
      </c>
      <c r="AK180" s="6">
        <f>[1]Capital!AJ3</f>
        <v>14053061.039999999</v>
      </c>
      <c r="AL180" s="6">
        <f>[1]Capital!AK3</f>
        <v>14270567.890000001</v>
      </c>
    </row>
    <row r="181" spans="1:38" x14ac:dyDescent="0.3">
      <c r="B181" t="s">
        <v>7</v>
      </c>
      <c r="C181" s="6">
        <f>[1]Capital!B5+[1]Capital!B7</f>
        <v>195861.40085000001</v>
      </c>
      <c r="D181" s="6">
        <f>[1]Capital!C5+[1]Capital!C7</f>
        <v>197982.69553</v>
      </c>
      <c r="E181" s="6">
        <f>[1]Capital!D5+[1]Capital!D7</f>
        <v>199974.60016</v>
      </c>
      <c r="F181" s="6">
        <f>[1]Capital!E5+[1]Capital!E7</f>
        <v>201876.03704999998</v>
      </c>
      <c r="G181" s="6">
        <f>[1]Capital!F5+[1]Capital!F7</f>
        <v>203729.14130000002</v>
      </c>
      <c r="H181" s="6">
        <f>[1]Capital!G5+[1]Capital!G7</f>
        <v>205562.12104</v>
      </c>
      <c r="I181" s="6">
        <f>[1]Capital!H5+[1]Capital!H7</f>
        <v>207378.45301</v>
      </c>
      <c r="J181" s="6">
        <f>[1]Capital!I5+[1]Capital!I7</f>
        <v>209169.90489000001</v>
      </c>
      <c r="K181" s="6">
        <f>[1]Capital!J5+[1]Capital!J7</f>
        <v>210923.62236000001</v>
      </c>
      <c r="L181" s="6">
        <f>[1]Capital!K5+[1]Capital!K7</f>
        <v>212627.81826999999</v>
      </c>
      <c r="M181" s="6">
        <f>[1]Capital!L5+[1]Capital!L7</f>
        <v>214286.07679000002</v>
      </c>
      <c r="N181" s="6">
        <f>[1]Capital!M5+[1]Capital!M7</f>
        <v>215887.32277</v>
      </c>
      <c r="O181" s="6">
        <f>[1]Capital!N5+[1]Capital!N7</f>
        <v>217422.47846000001</v>
      </c>
      <c r="P181" s="6">
        <f>[1]Capital!O5+[1]Capital!O7</f>
        <v>218883.11418</v>
      </c>
      <c r="Q181" s="6">
        <f>[1]Capital!P5+[1]Capital!P7</f>
        <v>220262.42455</v>
      </c>
      <c r="R181" s="6">
        <f>[1]Capital!Q5+[1]Capital!Q7</f>
        <v>221556.46549999999</v>
      </c>
      <c r="S181" s="6">
        <f>[1]Capital!R5+[1]Capital!R7</f>
        <v>222765.02896999998</v>
      </c>
      <c r="T181" s="6">
        <f>[1]Capital!S5+[1]Capital!S7</f>
        <v>223891.78859000001</v>
      </c>
      <c r="U181" s="6">
        <f>[1]Capital!T5+[1]Capital!T7</f>
        <v>224943.67045999999</v>
      </c>
      <c r="V181" s="6">
        <f>[1]Capital!U5+[1]Capital!U7</f>
        <v>225929.67395999999</v>
      </c>
      <c r="W181" s="6">
        <f>[1]Capital!V5+[1]Capital!V7</f>
        <v>226851.63389</v>
      </c>
      <c r="X181" s="6">
        <f>[1]Capital!W5+[1]Capital!W7</f>
        <v>227722.23957000001</v>
      </c>
      <c r="Y181" s="6">
        <f>[1]Capital!X5+[1]Capital!X7</f>
        <v>228552.01285</v>
      </c>
      <c r="Z181" s="6">
        <f>[1]Capital!Y5+[1]Capital!Y7</f>
        <v>229349.12556000001</v>
      </c>
      <c r="AA181" s="6">
        <f>[1]Capital!Z5+[1]Capital!Z7</f>
        <v>230119.07106999998</v>
      </c>
      <c r="AB181" s="6">
        <f>[1]Capital!AA5+[1]Capital!AA7</f>
        <v>230843.51233999999</v>
      </c>
      <c r="AC181" s="6">
        <f>[1]Capital!AB5+[1]Capital!AB7</f>
        <v>231523.92108</v>
      </c>
      <c r="AD181" s="6">
        <f>[1]Capital!AC5+[1]Capital!AC7</f>
        <v>232162.88670999999</v>
      </c>
      <c r="AE181" s="6">
        <f>[1]Capital!AD5+[1]Capital!AD7</f>
        <v>232764.15513</v>
      </c>
      <c r="AF181" s="6">
        <f>[1]Capital!AE5+[1]Capital!AE7</f>
        <v>233331.40150000001</v>
      </c>
      <c r="AG181" s="6">
        <f>[1]Capital!AF5+[1]Capital!AF7</f>
        <v>233867.35973999999</v>
      </c>
      <c r="AH181" s="6">
        <f>[1]Capital!AG5+[1]Capital!AG7</f>
        <v>234373.62162999998</v>
      </c>
      <c r="AI181" s="6">
        <f>[1]Capital!AH5+[1]Capital!AH7</f>
        <v>234851.00000999999</v>
      </c>
      <c r="AJ181" s="6">
        <f>[1]Capital!AI5+[1]Capital!AI7</f>
        <v>235300.12880999999</v>
      </c>
      <c r="AK181" s="6">
        <f>[1]Capital!AJ5+[1]Capital!AJ7</f>
        <v>235721.97232</v>
      </c>
      <c r="AL181" s="6">
        <f>[1]Capital!AK5+[1]Capital!AK7</f>
        <v>236118.05252000003</v>
      </c>
    </row>
    <row r="182" spans="1:38" x14ac:dyDescent="0.3">
      <c r="B182" t="s">
        <v>96</v>
      </c>
      <c r="C182" s="6">
        <f>[1]Capital!B27</f>
        <v>84747.706489999997</v>
      </c>
      <c r="D182" s="6">
        <f>[1]Capital!C27</f>
        <v>86006.648239999995</v>
      </c>
      <c r="E182" s="6">
        <f>[1]Capital!D27</f>
        <v>87642.60067</v>
      </c>
      <c r="F182" s="6">
        <f>[1]Capital!E27</f>
        <v>89557.527919999993</v>
      </c>
      <c r="G182" s="6">
        <f>[1]Capital!F27</f>
        <v>91633.056800000006</v>
      </c>
      <c r="H182" s="6">
        <f>[1]Capital!G27</f>
        <v>93784.694759999998</v>
      </c>
      <c r="I182" s="6">
        <f>[1]Capital!H27</f>
        <v>95843.326010000004</v>
      </c>
      <c r="J182" s="6">
        <f>[1]Capital!I27</f>
        <v>97807.136710000006</v>
      </c>
      <c r="K182" s="6">
        <f>[1]Capital!J27</f>
        <v>99695.403340000004</v>
      </c>
      <c r="L182" s="6">
        <f>[1]Capital!K27</f>
        <v>101525.0928</v>
      </c>
      <c r="M182" s="6">
        <f>[1]Capital!L27</f>
        <v>103481.02770000001</v>
      </c>
      <c r="N182" s="6">
        <f>[1]Capital!M27</f>
        <v>105367.0303</v>
      </c>
      <c r="O182" s="6">
        <f>[1]Capital!N27</f>
        <v>107187.21799999999</v>
      </c>
      <c r="P182" s="6">
        <f>[1]Capital!O27</f>
        <v>108978.55</v>
      </c>
      <c r="Q182" s="6">
        <f>[1]Capital!P27</f>
        <v>110769.6306</v>
      </c>
      <c r="R182" s="6">
        <f>[1]Capital!Q27</f>
        <v>112575.95140000001</v>
      </c>
      <c r="S182" s="6">
        <f>[1]Capital!R27</f>
        <v>114404.1905</v>
      </c>
      <c r="T182" s="6">
        <f>[1]Capital!S27</f>
        <v>116257.8631</v>
      </c>
      <c r="U182" s="6">
        <f>[1]Capital!T27</f>
        <v>118140.2219</v>
      </c>
      <c r="V182" s="6">
        <f>[1]Capital!U27</f>
        <v>120054.9167</v>
      </c>
      <c r="W182" s="6">
        <f>[1]Capital!V27</f>
        <v>121885.3168</v>
      </c>
      <c r="X182" s="6">
        <f>[1]Capital!W27</f>
        <v>123783.60890000001</v>
      </c>
      <c r="Y182" s="6">
        <f>[1]Capital!X27</f>
        <v>125767.15850000001</v>
      </c>
      <c r="Z182" s="6">
        <f>[1]Capital!Y27</f>
        <v>127822.58</v>
      </c>
      <c r="AA182" s="6">
        <f>[1]Capital!Z27</f>
        <v>129936.1743</v>
      </c>
      <c r="AB182" s="6">
        <f>[1]Capital!AA27</f>
        <v>131744.04790000001</v>
      </c>
      <c r="AC182" s="6">
        <f>[1]Capital!AB27</f>
        <v>133536.4344</v>
      </c>
      <c r="AD182" s="6">
        <f>[1]Capital!AC27</f>
        <v>135386.5037</v>
      </c>
      <c r="AE182" s="6">
        <f>[1]Capital!AD27</f>
        <v>137302.41250000001</v>
      </c>
      <c r="AF182" s="6">
        <f>[1]Capital!AE27</f>
        <v>139279.40789999999</v>
      </c>
      <c r="AG182" s="6">
        <f>[1]Capital!AF27</f>
        <v>141311.58480000001</v>
      </c>
      <c r="AH182" s="6">
        <f>[1]Capital!AG27</f>
        <v>143393.36799999999</v>
      </c>
      <c r="AI182" s="6">
        <f>[1]Capital!AH27</f>
        <v>145519.51560000001</v>
      </c>
      <c r="AJ182" s="6">
        <f>[1]Capital!AI27</f>
        <v>147685.47719999999</v>
      </c>
      <c r="AK182" s="6">
        <f>[1]Capital!AJ27</f>
        <v>149887.94519999999</v>
      </c>
      <c r="AL182" s="6">
        <f>[1]Capital!AK27</f>
        <v>152125.14989999999</v>
      </c>
    </row>
    <row r="183" spans="1:38" x14ac:dyDescent="0.3">
      <c r="B183" t="s">
        <v>11</v>
      </c>
      <c r="C183" s="6">
        <f>[1]Capital!B51+[1]Capital!B53+[1]Capital!B55+[1]Capital!B57+[1]Capital!B59+[1]Capital!B61+[1]Capital!B63+[1]Capital!B65+[1]Capital!B67</f>
        <v>83896.122387800016</v>
      </c>
      <c r="D183" s="6">
        <f>[1]Capital!C51+[1]Capital!C53+[1]Capital!C55+[1]Capital!C57+[1]Capital!C59+[1]Capital!C61+[1]Capital!C63+[1]Capital!C65+[1]Capital!C67</f>
        <v>84849.200790099989</v>
      </c>
      <c r="E183" s="6">
        <f>[1]Capital!D51+[1]Capital!D53+[1]Capital!D55+[1]Capital!D57+[1]Capital!D59+[1]Capital!D61+[1]Capital!D63+[1]Capital!D65+[1]Capital!D67</f>
        <v>85777.948826399996</v>
      </c>
      <c r="F183" s="6">
        <f>[1]Capital!E51+[1]Capital!E53+[1]Capital!E55+[1]Capital!E57+[1]Capital!E59+[1]Capital!E61+[1]Capital!E63+[1]Capital!E65+[1]Capital!E67</f>
        <v>86673.518366199991</v>
      </c>
      <c r="G183" s="6">
        <f>[1]Capital!F51+[1]Capital!F53+[1]Capital!F55+[1]Capital!F57+[1]Capital!F59+[1]Capital!F61+[1]Capital!F63+[1]Capital!F65+[1]Capital!F67</f>
        <v>87538.420896499985</v>
      </c>
      <c r="H183" s="6">
        <f>[1]Capital!G51+[1]Capital!G53+[1]Capital!G55+[1]Capital!G57+[1]Capital!G59+[1]Capital!G61+[1]Capital!G63+[1]Capital!G65+[1]Capital!G67</f>
        <v>88383.617141099967</v>
      </c>
      <c r="I183" s="6">
        <f>[1]Capital!H51+[1]Capital!H53+[1]Capital!H55+[1]Capital!H57+[1]Capital!H59+[1]Capital!H61+[1]Capital!H63+[1]Capital!H65+[1]Capital!H67</f>
        <v>89221.477644700033</v>
      </c>
      <c r="J183" s="6">
        <f>[1]Capital!I51+[1]Capital!I53+[1]Capital!I55+[1]Capital!I57+[1]Capital!I59+[1]Capital!I61+[1]Capital!I63+[1]Capital!I65+[1]Capital!I67</f>
        <v>90063.186508400016</v>
      </c>
      <c r="K183" s="6">
        <f>[1]Capital!J51+[1]Capital!J53+[1]Capital!J55+[1]Capital!J57+[1]Capital!J59+[1]Capital!J61+[1]Capital!J63+[1]Capital!J65+[1]Capital!J67</f>
        <v>90915.220147100015</v>
      </c>
      <c r="L183" s="6">
        <f>[1]Capital!K51+[1]Capital!K53+[1]Capital!K55+[1]Capital!K57+[1]Capital!K59+[1]Capital!K61+[1]Capital!K63+[1]Capital!K65+[1]Capital!K67</f>
        <v>91778.241835599998</v>
      </c>
      <c r="M183" s="6">
        <f>[1]Capital!L51+[1]Capital!L53+[1]Capital!L55+[1]Capital!L57+[1]Capital!L59+[1]Capital!L61+[1]Capital!L63+[1]Capital!L65+[1]Capital!L67</f>
        <v>92650.966779000009</v>
      </c>
      <c r="N183" s="6">
        <f>[1]Capital!M51+[1]Capital!M53+[1]Capital!M55+[1]Capital!M57+[1]Capital!M59+[1]Capital!M61+[1]Capital!M63+[1]Capital!M65+[1]Capital!M67</f>
        <v>93528.491777300005</v>
      </c>
      <c r="O183" s="6">
        <f>[1]Capital!N51+[1]Capital!N53+[1]Capital!N55+[1]Capital!N57+[1]Capital!N59+[1]Capital!N61+[1]Capital!N63+[1]Capital!N65+[1]Capital!N67</f>
        <v>94406.222048900017</v>
      </c>
      <c r="P183" s="6">
        <f>[1]Capital!O51+[1]Capital!O53+[1]Capital!O55+[1]Capital!O57+[1]Capital!O59+[1]Capital!O61+[1]Capital!O63+[1]Capital!O65+[1]Capital!O67</f>
        <v>95281.312150399986</v>
      </c>
      <c r="Q183" s="6">
        <f>[1]Capital!P51+[1]Capital!P53+[1]Capital!P55+[1]Capital!P57+[1]Capital!P59+[1]Capital!P61+[1]Capital!P63+[1]Capital!P65+[1]Capital!P67</f>
        <v>96152.375163299977</v>
      </c>
      <c r="R183" s="6">
        <f>[1]Capital!Q51+[1]Capital!Q53+[1]Capital!Q55+[1]Capital!Q57+[1]Capital!Q59+[1]Capital!Q61+[1]Capital!Q63+[1]Capital!Q65+[1]Capital!Q67</f>
        <v>97018.9542908</v>
      </c>
      <c r="S183" s="6">
        <f>[1]Capital!R51+[1]Capital!R53+[1]Capital!R55+[1]Capital!R57+[1]Capital!R59+[1]Capital!R61+[1]Capital!R63+[1]Capital!R65+[1]Capital!R67</f>
        <v>97881.046498299998</v>
      </c>
      <c r="T183" s="6">
        <f>[1]Capital!S51+[1]Capital!S53+[1]Capital!S55+[1]Capital!S57+[1]Capital!S59+[1]Capital!S61+[1]Capital!S63+[1]Capital!S65+[1]Capital!S67</f>
        <v>98738.72590330003</v>
      </c>
      <c r="U183" s="6">
        <f>[1]Capital!T51+[1]Capital!T53+[1]Capital!T55+[1]Capital!T57+[1]Capital!T59+[1]Capital!T61+[1]Capital!T63+[1]Capital!T65+[1]Capital!T67</f>
        <v>99592.019217000008</v>
      </c>
      <c r="V183" s="6">
        <f>[1]Capital!U51+[1]Capital!U53+[1]Capital!U55+[1]Capital!U57+[1]Capital!U59+[1]Capital!U61+[1]Capital!U63+[1]Capital!U65+[1]Capital!U67</f>
        <v>100441.02638010001</v>
      </c>
      <c r="W183" s="6">
        <f>[1]Capital!V51+[1]Capital!V53+[1]Capital!V55+[1]Capital!V57+[1]Capital!V59+[1]Capital!V61+[1]Capital!V63+[1]Capital!V65+[1]Capital!V67</f>
        <v>101283.99793219999</v>
      </c>
      <c r="X183" s="6">
        <f>[1]Capital!W51+[1]Capital!W53+[1]Capital!W55+[1]Capital!W57+[1]Capital!W59+[1]Capital!W61+[1]Capital!W63+[1]Capital!W65+[1]Capital!W67</f>
        <v>102121.71022489999</v>
      </c>
      <c r="Y183" s="6">
        <f>[1]Capital!X51+[1]Capital!X53+[1]Capital!X55+[1]Capital!X57+[1]Capital!X59+[1]Capital!X61+[1]Capital!X63+[1]Capital!X65+[1]Capital!X67</f>
        <v>102955.95858880001</v>
      </c>
      <c r="Z183" s="6">
        <f>[1]Capital!Y51+[1]Capital!Y53+[1]Capital!Y55+[1]Capital!Y57+[1]Capital!Y59+[1]Capital!Y61+[1]Capital!Y63+[1]Capital!Y65+[1]Capital!Y67</f>
        <v>103789.0403485</v>
      </c>
      <c r="AA183" s="6">
        <f>[1]Capital!Z51+[1]Capital!Z53+[1]Capital!Z55+[1]Capital!Z57+[1]Capital!Z59+[1]Capital!Z61+[1]Capital!Z63+[1]Capital!Z65+[1]Capital!Z67</f>
        <v>104623.6450069</v>
      </c>
      <c r="AB183" s="6">
        <f>[1]Capital!AA51+[1]Capital!AA53+[1]Capital!AA55+[1]Capital!AA57+[1]Capital!AA59+[1]Capital!AA61+[1]Capital!AA63+[1]Capital!AA65+[1]Capital!AA67</f>
        <v>105455.58703319999</v>
      </c>
      <c r="AC183" s="6">
        <f>[1]Capital!AB51+[1]Capital!AB53+[1]Capital!AB55+[1]Capital!AB57+[1]Capital!AB59+[1]Capital!AB61+[1]Capital!AB63+[1]Capital!AB65+[1]Capital!AB67</f>
        <v>106285.26441860003</v>
      </c>
      <c r="AD183" s="6">
        <f>[1]Capital!AC51+[1]Capital!AC53+[1]Capital!AC55+[1]Capital!AC57+[1]Capital!AC59+[1]Capital!AC61+[1]Capital!AC63+[1]Capital!AC65+[1]Capital!AC67</f>
        <v>107113.25525459999</v>
      </c>
      <c r="AE183" s="6">
        <f>[1]Capital!AD51+[1]Capital!AD53+[1]Capital!AD55+[1]Capital!AD57+[1]Capital!AD59+[1]Capital!AD61+[1]Capital!AD63+[1]Capital!AD65+[1]Capital!AD67</f>
        <v>107939.98283150002</v>
      </c>
      <c r="AF183" s="6">
        <f>[1]Capital!AE51+[1]Capital!AE53+[1]Capital!AE55+[1]Capital!AE57+[1]Capital!AE59+[1]Capital!AE61+[1]Capital!AE63+[1]Capital!AE65+[1]Capital!AE67</f>
        <v>108766.462157</v>
      </c>
      <c r="AG183" s="6">
        <f>[1]Capital!AF51+[1]Capital!AF53+[1]Capital!AF55+[1]Capital!AF57+[1]Capital!AF59+[1]Capital!AF61+[1]Capital!AF63+[1]Capital!AF65+[1]Capital!AF67</f>
        <v>109594.64984759998</v>
      </c>
      <c r="AH183" s="6">
        <f>[1]Capital!AG51+[1]Capital!AG53+[1]Capital!AG55+[1]Capital!AG57+[1]Capital!AG59+[1]Capital!AG61+[1]Capital!AG63+[1]Capital!AG65+[1]Capital!AG67</f>
        <v>110427.22589140001</v>
      </c>
      <c r="AI183" s="6">
        <f>[1]Capital!AH51+[1]Capital!AH53+[1]Capital!AH55+[1]Capital!AH57+[1]Capital!AH59+[1]Capital!AH61+[1]Capital!AH63+[1]Capital!AH65+[1]Capital!AH67</f>
        <v>111267.06782719998</v>
      </c>
      <c r="AJ183" s="6">
        <f>[1]Capital!AI51+[1]Capital!AI53+[1]Capital!AI55+[1]Capital!AI57+[1]Capital!AI59+[1]Capital!AI61+[1]Capital!AI63+[1]Capital!AI65+[1]Capital!AI67</f>
        <v>112116.72988720001</v>
      </c>
      <c r="AK183" s="6">
        <f>[1]Capital!AJ51+[1]Capital!AJ53+[1]Capital!AJ55+[1]Capital!AJ57+[1]Capital!AJ59+[1]Capital!AJ61+[1]Capital!AJ63+[1]Capital!AJ65+[1]Capital!AJ67</f>
        <v>112978.1308749</v>
      </c>
      <c r="AL183" s="6">
        <f>[1]Capital!AK51+[1]Capital!AK53+[1]Capital!AK55+[1]Capital!AK57+[1]Capital!AK59+[1]Capital!AK61+[1]Capital!AK63+[1]Capital!AK65+[1]Capital!AK67</f>
        <v>113852.55197710003</v>
      </c>
    </row>
    <row r="184" spans="1:38" x14ac:dyDescent="0.3">
      <c r="B184" t="s">
        <v>8</v>
      </c>
      <c r="C184" s="6">
        <f>-[1]Capital!B27+[1]Capital!B9+[1]Capital!B11+[1]Capital!B13+[1]Capital!B15+[1]Capital!B17+[1]Capital!B19+[1]Capital!B21+[1]Capital!B23+[1]Capital!B25+[1]Capital!B27+[1]Capital!B41</f>
        <v>622048.26579500001</v>
      </c>
      <c r="D184" s="6">
        <f>-[1]Capital!C27+[1]Capital!C9+[1]Capital!C11+[1]Capital!C13+[1]Capital!C15+[1]Capital!C17+[1]Capital!C19+[1]Capital!C21+[1]Capital!C23+[1]Capital!C25+[1]Capital!C27+[1]Capital!C41</f>
        <v>629042.06738699996</v>
      </c>
      <c r="E184" s="6">
        <f>-[1]Capital!D27+[1]Capital!D9+[1]Capital!D11+[1]Capital!D13+[1]Capital!D15+[1]Capital!D17+[1]Capital!D19+[1]Capital!D21+[1]Capital!D23+[1]Capital!D25+[1]Capital!D27+[1]Capital!D41</f>
        <v>636009.34868099994</v>
      </c>
      <c r="F184" s="6">
        <f>-[1]Capital!E27+[1]Capital!E9+[1]Capital!E11+[1]Capital!E13+[1]Capital!E15+[1]Capital!E17+[1]Capital!E19+[1]Capital!E21+[1]Capital!E23+[1]Capital!E25+[1]Capital!E27+[1]Capital!E41</f>
        <v>643139.612524</v>
      </c>
      <c r="G184" s="6">
        <f>-[1]Capital!F27+[1]Capital!F9+[1]Capital!F11+[1]Capital!F13+[1]Capital!F15+[1]Capital!F17+[1]Capital!F19+[1]Capital!F21+[1]Capital!F23+[1]Capital!F25+[1]Capital!F27+[1]Capital!F41</f>
        <v>650551.76066499995</v>
      </c>
      <c r="H184" s="6">
        <f>-[1]Capital!G27+[1]Capital!G9+[1]Capital!G11+[1]Capital!G13+[1]Capital!G15+[1]Capital!G17+[1]Capital!G19+[1]Capital!G21+[1]Capital!G23+[1]Capital!G25+[1]Capital!G27+[1]Capital!G41</f>
        <v>658283.98387700005</v>
      </c>
      <c r="I184" s="6">
        <f>-[1]Capital!H27+[1]Capital!H9+[1]Capital!H11+[1]Capital!H13+[1]Capital!H15+[1]Capital!H17+[1]Capital!H19+[1]Capital!H21+[1]Capital!H23+[1]Capital!H25+[1]Capital!H27+[1]Capital!H41</f>
        <v>666240.55317699991</v>
      </c>
      <c r="J184" s="6">
        <f>-[1]Capital!I27+[1]Capital!I9+[1]Capital!I11+[1]Capital!I13+[1]Capital!I15+[1]Capital!I17+[1]Capital!I19+[1]Capital!I21+[1]Capital!I23+[1]Capital!I25+[1]Capital!I27+[1]Capital!I41</f>
        <v>674341.68916299997</v>
      </c>
      <c r="K184" s="6">
        <f>-[1]Capital!J27+[1]Capital!J9+[1]Capital!J11+[1]Capital!J13+[1]Capital!J15+[1]Capital!J17+[1]Capital!J19+[1]Capital!J21+[1]Capital!J23+[1]Capital!J25+[1]Capital!J27+[1]Capital!J41</f>
        <v>682526.70476499991</v>
      </c>
      <c r="L184" s="6">
        <f>-[1]Capital!K27+[1]Capital!K9+[1]Capital!K11+[1]Capital!K13+[1]Capital!K15+[1]Capital!K17+[1]Capital!K19+[1]Capital!K21+[1]Capital!K23+[1]Capital!K25+[1]Capital!K27+[1]Capital!K41</f>
        <v>690767.18415700004</v>
      </c>
      <c r="M184" s="6">
        <f>-[1]Capital!L27+[1]Capital!L9+[1]Capital!L11+[1]Capital!L13+[1]Capital!L15+[1]Capital!L17+[1]Capital!L19+[1]Capital!L21+[1]Capital!L23+[1]Capital!L25+[1]Capital!L27+[1]Capital!L41</f>
        <v>699178.6922899998</v>
      </c>
      <c r="N184" s="6">
        <f>-[1]Capital!M27+[1]Capital!M9+[1]Capital!M11+[1]Capital!M13+[1]Capital!M15+[1]Capital!M17+[1]Capital!M19+[1]Capital!M21+[1]Capital!M23+[1]Capital!M25+[1]Capital!M27+[1]Capital!M41</f>
        <v>707713.53884000005</v>
      </c>
      <c r="O184" s="6">
        <f>-[1]Capital!N27+[1]Capital!N9+[1]Capital!N11+[1]Capital!N13+[1]Capital!N15+[1]Capital!N17+[1]Capital!N19+[1]Capital!N21+[1]Capital!N23+[1]Capital!N25+[1]Capital!N27+[1]Capital!N41</f>
        <v>716380.75712999993</v>
      </c>
      <c r="P184" s="6">
        <f>-[1]Capital!O27+[1]Capital!O9+[1]Capital!O11+[1]Capital!O13+[1]Capital!O15+[1]Capital!O17+[1]Capital!O19+[1]Capital!O21+[1]Capital!O23+[1]Capital!O25+[1]Capital!O27+[1]Capital!O41</f>
        <v>725206.33273999998</v>
      </c>
      <c r="Q184" s="6">
        <f>-[1]Capital!P27+[1]Capital!P9+[1]Capital!P11+[1]Capital!P13+[1]Capital!P15+[1]Capital!P17+[1]Capital!P19+[1]Capital!P21+[1]Capital!P23+[1]Capital!P25+[1]Capital!P27+[1]Capital!P41</f>
        <v>734210.18014999991</v>
      </c>
      <c r="R184" s="6">
        <f>-[1]Capital!Q27+[1]Capital!Q9+[1]Capital!Q11+[1]Capital!Q13+[1]Capital!Q15+[1]Capital!Q17+[1]Capital!Q19+[1]Capital!Q21+[1]Capital!Q23+[1]Capital!Q25+[1]Capital!Q27+[1]Capital!Q41</f>
        <v>743402.50537000003</v>
      </c>
      <c r="S184" s="6">
        <f>-[1]Capital!R27+[1]Capital!R9+[1]Capital!R11+[1]Capital!R13+[1]Capital!R15+[1]Capital!R17+[1]Capital!R19+[1]Capital!R21+[1]Capital!R23+[1]Capital!R25+[1]Capital!R27+[1]Capital!R41</f>
        <v>752787.87266999995</v>
      </c>
      <c r="T184" s="6">
        <f>-[1]Capital!S27+[1]Capital!S9+[1]Capital!S11+[1]Capital!S13+[1]Capital!S15+[1]Capital!S17+[1]Capital!S19+[1]Capital!S21+[1]Capital!S23+[1]Capital!S25+[1]Capital!S27+[1]Capital!S41</f>
        <v>762370.50936000003</v>
      </c>
      <c r="U184" s="6">
        <f>-[1]Capital!T27+[1]Capital!T9+[1]Capital!T11+[1]Capital!T13+[1]Capital!T15+[1]Capital!T17+[1]Capital!T19+[1]Capital!T21+[1]Capital!T23+[1]Capital!T25+[1]Capital!T27+[1]Capital!T41</f>
        <v>772157.41870999988</v>
      </c>
      <c r="V184" s="6">
        <f>-[1]Capital!U27+[1]Capital!U9+[1]Capital!U11+[1]Capital!U13+[1]Capital!U15+[1]Capital!U17+[1]Capital!U19+[1]Capital!U21+[1]Capital!U23+[1]Capital!U25+[1]Capital!U27+[1]Capital!U41</f>
        <v>782158.64201000007</v>
      </c>
      <c r="W184" s="6">
        <f>-[1]Capital!V27+[1]Capital!V9+[1]Capital!V11+[1]Capital!V13+[1]Capital!V15+[1]Capital!V17+[1]Capital!V19+[1]Capital!V21+[1]Capital!V23+[1]Capital!V25+[1]Capital!V27+[1]Capital!V41</f>
        <v>792307.33920000016</v>
      </c>
      <c r="X184" s="6">
        <f>-[1]Capital!W27+[1]Capital!W9+[1]Capital!W11+[1]Capital!W13+[1]Capital!W15+[1]Capital!W17+[1]Capital!W19+[1]Capital!W21+[1]Capital!W23+[1]Capital!W25+[1]Capital!W27+[1]Capital!W41</f>
        <v>802673.98098999995</v>
      </c>
      <c r="Y184" s="6">
        <f>-[1]Capital!X27+[1]Capital!X9+[1]Capital!X11+[1]Capital!X13+[1]Capital!X15+[1]Capital!X17+[1]Capital!X19+[1]Capital!X21+[1]Capital!X23+[1]Capital!X25+[1]Capital!X27+[1]Capital!X41</f>
        <v>813293.72410999995</v>
      </c>
      <c r="Z184" s="6">
        <f>-[1]Capital!Y27+[1]Capital!Y9+[1]Capital!Y11+[1]Capital!Y13+[1]Capital!Y15+[1]Capital!Y17+[1]Capital!Y19+[1]Capital!Y21+[1]Capital!Y23+[1]Capital!Y25+[1]Capital!Y27+[1]Capital!Y41</f>
        <v>824177.92283000005</v>
      </c>
      <c r="AA184" s="6">
        <f>-[1]Capital!Z27+[1]Capital!Z9+[1]Capital!Z11+[1]Capital!Z13+[1]Capital!Z15+[1]Capital!Z17+[1]Capital!Z19+[1]Capital!Z21+[1]Capital!Z23+[1]Capital!Z25+[1]Capital!Z27+[1]Capital!Z41</f>
        <v>835326.49497</v>
      </c>
      <c r="AB184" s="6">
        <f>-[1]Capital!AA27+[1]Capital!AA9+[1]Capital!AA11+[1]Capital!AA13+[1]Capital!AA15+[1]Capital!AA17+[1]Capital!AA19+[1]Capital!AA21+[1]Capital!AA23+[1]Capital!AA25+[1]Capital!AA27+[1]Capital!AA41</f>
        <v>846501.98259999987</v>
      </c>
      <c r="AC184" s="6">
        <f>-[1]Capital!AB27+[1]Capital!AB9+[1]Capital!AB11+[1]Capital!AB13+[1]Capital!AB15+[1]Capital!AB17+[1]Capital!AB19+[1]Capital!AB21+[1]Capital!AB23+[1]Capital!AB25+[1]Capital!AB27+[1]Capital!AB41</f>
        <v>857779.88653000013</v>
      </c>
      <c r="AD184" s="6">
        <f>-[1]Capital!AC27+[1]Capital!AC9+[1]Capital!AC11+[1]Capital!AC13+[1]Capital!AC15+[1]Capital!AC17+[1]Capital!AC19+[1]Capital!AC21+[1]Capital!AC23+[1]Capital!AC25+[1]Capital!AC27+[1]Capital!AC41</f>
        <v>869208.55690000008</v>
      </c>
      <c r="AE184" s="6">
        <f>-[1]Capital!AD27+[1]Capital!AD9+[1]Capital!AD11+[1]Capital!AD13+[1]Capital!AD15+[1]Capital!AD17+[1]Capital!AD19+[1]Capital!AD21+[1]Capital!AD23+[1]Capital!AD25+[1]Capital!AD27+[1]Capital!AD41</f>
        <v>880813.42831999995</v>
      </c>
      <c r="AF184" s="6">
        <f>-[1]Capital!AE27+[1]Capital!AE9+[1]Capital!AE11+[1]Capital!AE13+[1]Capital!AE15+[1]Capital!AE17+[1]Capital!AE19+[1]Capital!AE21+[1]Capital!AE23+[1]Capital!AE25+[1]Capital!AE27+[1]Capital!AE41</f>
        <v>892610.08532999991</v>
      </c>
      <c r="AG184" s="6">
        <f>-[1]Capital!AF27+[1]Capital!AF9+[1]Capital!AF11+[1]Capital!AF13+[1]Capital!AF15+[1]Capital!AF17+[1]Capital!AF19+[1]Capital!AF21+[1]Capital!AF23+[1]Capital!AF25+[1]Capital!AF27+[1]Capital!AF41</f>
        <v>904606.23544999992</v>
      </c>
      <c r="AH184" s="6">
        <f>-[1]Capital!AG27+[1]Capital!AG9+[1]Capital!AG11+[1]Capital!AG13+[1]Capital!AG15+[1]Capital!AG17+[1]Capital!AG19+[1]Capital!AG21+[1]Capital!AG23+[1]Capital!AG25+[1]Capital!AG27+[1]Capital!AG41</f>
        <v>916801.63598000014</v>
      </c>
      <c r="AI184" s="6">
        <f>-[1]Capital!AH27+[1]Capital!AH9+[1]Capital!AH11+[1]Capital!AH13+[1]Capital!AH15+[1]Capital!AH17+[1]Capital!AH19+[1]Capital!AH21+[1]Capital!AH23+[1]Capital!AH25+[1]Capital!AH27+[1]Capital!AH41</f>
        <v>929190.08653000009</v>
      </c>
      <c r="AJ184" s="6">
        <f>-[1]Capital!AI27+[1]Capital!AI9+[1]Capital!AI11+[1]Capital!AI13+[1]Capital!AI15+[1]Capital!AI17+[1]Capital!AI19+[1]Capital!AI21+[1]Capital!AI23+[1]Capital!AI25+[1]Capital!AI27+[1]Capital!AI41</f>
        <v>941763.21221000003</v>
      </c>
      <c r="AK184" s="6">
        <f>-[1]Capital!AJ27+[1]Capital!AJ9+[1]Capital!AJ11+[1]Capital!AJ13+[1]Capital!AJ15+[1]Capital!AJ17+[1]Capital!AJ19+[1]Capital!AJ21+[1]Capital!AJ23+[1]Capital!AJ25+[1]Capital!AJ27+[1]Capital!AJ41</f>
        <v>954514.21923999989</v>
      </c>
      <c r="AL184" s="6">
        <f>-[1]Capital!AK27+[1]Capital!AK9+[1]Capital!AK11+[1]Capital!AK13+[1]Capital!AK15+[1]Capital!AK17+[1]Capital!AK19+[1]Capital!AK21+[1]Capital!AK23+[1]Capital!AK25+[1]Capital!AK27+[1]Capital!AK41</f>
        <v>967440.06322000001</v>
      </c>
    </row>
    <row r="185" spans="1:38" x14ac:dyDescent="0.3">
      <c r="B185" t="s">
        <v>24</v>
      </c>
      <c r="C185" s="6">
        <f>[1]Capital!B43+[1]Capital!B47+[1]Capital!B45+[1]Capital!B49</f>
        <v>48092.682222199997</v>
      </c>
      <c r="D185" s="6">
        <f>[1]Capital!C43+[1]Capital!C47+[1]Capital!C45+[1]Capital!C49</f>
        <v>48734.338672400001</v>
      </c>
      <c r="E185" s="6">
        <f>[1]Capital!D43+[1]Capital!D47+[1]Capital!D45+[1]Capital!D49</f>
        <v>49468.481308300004</v>
      </c>
      <c r="F185" s="6">
        <f>[1]Capital!E43+[1]Capital!E47+[1]Capital!E45+[1]Capital!E49</f>
        <v>50276.169236399997</v>
      </c>
      <c r="G185" s="6">
        <f>[1]Capital!F43+[1]Capital!F47+[1]Capital!F45+[1]Capital!F49</f>
        <v>51140.257036000003</v>
      </c>
      <c r="H185" s="6">
        <f>[1]Capital!G43+[1]Capital!G47+[1]Capital!G45+[1]Capital!G49</f>
        <v>52050.081209299999</v>
      </c>
      <c r="I185" s="6">
        <f>[1]Capital!H43+[1]Capital!H47+[1]Capital!H45+[1]Capital!H49</f>
        <v>52998.268819800003</v>
      </c>
      <c r="J185" s="6">
        <f>[1]Capital!I43+[1]Capital!I47+[1]Capital!I45+[1]Capital!I49</f>
        <v>53980.975089200001</v>
      </c>
      <c r="K185" s="6">
        <f>[1]Capital!J43+[1]Capital!J47+[1]Capital!J45+[1]Capital!J49</f>
        <v>54994.767831700003</v>
      </c>
      <c r="L185" s="6">
        <f>[1]Capital!K43+[1]Capital!K47+[1]Capital!K45+[1]Capital!K49</f>
        <v>56034.708671400003</v>
      </c>
      <c r="M185" s="6">
        <f>[1]Capital!L43+[1]Capital!L47+[1]Capital!L45+[1]Capital!L49</f>
        <v>57096.8601805</v>
      </c>
      <c r="N185" s="6">
        <f>[1]Capital!M43+[1]Capital!M47+[1]Capital!M45+[1]Capital!M49</f>
        <v>58173.277896400003</v>
      </c>
      <c r="O185" s="6">
        <f>[1]Capital!N43+[1]Capital!N47+[1]Capital!N45+[1]Capital!N49</f>
        <v>59256.937369699997</v>
      </c>
      <c r="P185" s="6">
        <f>[1]Capital!O43+[1]Capital!O47+[1]Capital!O45+[1]Capital!O49</f>
        <v>60342.403363800004</v>
      </c>
      <c r="Q185" s="6">
        <f>[1]Capital!P43+[1]Capital!P47+[1]Capital!P45+[1]Capital!P49</f>
        <v>61425.543832200005</v>
      </c>
      <c r="R185" s="6">
        <f>[1]Capital!Q43+[1]Capital!Q47+[1]Capital!Q45+[1]Capital!Q49</f>
        <v>62503.283570699998</v>
      </c>
      <c r="S185" s="6">
        <f>[1]Capital!R43+[1]Capital!R47+[1]Capital!R45+[1]Capital!R49</f>
        <v>63573.360429</v>
      </c>
      <c r="T185" s="6">
        <f>[1]Capital!S43+[1]Capital!S47+[1]Capital!S45+[1]Capital!S49</f>
        <v>64634.010734099997</v>
      </c>
      <c r="U185" s="6">
        <f>[1]Capital!T43+[1]Capital!T47+[1]Capital!T45+[1]Capital!T49</f>
        <v>65683.758422700004</v>
      </c>
      <c r="V185" s="6">
        <f>[1]Capital!U43+[1]Capital!U47+[1]Capital!U45+[1]Capital!U49</f>
        <v>66721.377371299997</v>
      </c>
      <c r="W185" s="6">
        <f>[1]Capital!V43+[1]Capital!V47+[1]Capital!V45+[1]Capital!V49</f>
        <v>67743.717767800001</v>
      </c>
      <c r="X185" s="6">
        <f>[1]Capital!W43+[1]Capital!W47+[1]Capital!W45+[1]Capital!W49</f>
        <v>68750.928344999993</v>
      </c>
      <c r="Y185" s="6">
        <f>[1]Capital!X43+[1]Capital!X47+[1]Capital!X45+[1]Capital!X49</f>
        <v>69743.513559200001</v>
      </c>
      <c r="Z185" s="6">
        <f>[1]Capital!Y43+[1]Capital!Y47+[1]Capital!Y45+[1]Capital!Y49</f>
        <v>70722.145673000006</v>
      </c>
      <c r="AA185" s="6">
        <f>[1]Capital!Z43+[1]Capital!Z47+[1]Capital!Z45+[1]Capital!Z49</f>
        <v>71687.833645100007</v>
      </c>
      <c r="AB185" s="6">
        <f>[1]Capital!AA43+[1]Capital!AA47+[1]Capital!AA45+[1]Capital!AA49</f>
        <v>72634.829926599996</v>
      </c>
      <c r="AC185" s="6">
        <f>[1]Capital!AB43+[1]Capital!AB47+[1]Capital!AB45+[1]Capital!AB49</f>
        <v>73564.018505899992</v>
      </c>
      <c r="AD185" s="6">
        <f>[1]Capital!AC43+[1]Capital!AC47+[1]Capital!AC45+[1]Capital!AC49</f>
        <v>74476.165359399994</v>
      </c>
      <c r="AE185" s="6">
        <f>[1]Capital!AD43+[1]Capital!AD47+[1]Capital!AD45+[1]Capital!AD49</f>
        <v>75371.505144399998</v>
      </c>
      <c r="AF185" s="6">
        <f>[1]Capital!AE43+[1]Capital!AE47+[1]Capital!AE45+[1]Capital!AE49</f>
        <v>76250.454561700011</v>
      </c>
      <c r="AG185" s="6">
        <f>[1]Capital!AF43+[1]Capital!AF47+[1]Capital!AF45+[1]Capital!AF49</f>
        <v>77114.013532400015</v>
      </c>
      <c r="AH185" s="6">
        <f>[1]Capital!AG43+[1]Capital!AG47+[1]Capital!AG45+[1]Capital!AG49</f>
        <v>77963.738511000003</v>
      </c>
      <c r="AI185" s="6">
        <f>[1]Capital!AH43+[1]Capital!AH47+[1]Capital!AH45+[1]Capital!AH49</f>
        <v>78801.467612299995</v>
      </c>
      <c r="AJ185" s="6">
        <f>[1]Capital!AI43+[1]Capital!AI47+[1]Capital!AI45+[1]Capital!AI49</f>
        <v>79628.99727800001</v>
      </c>
      <c r="AK185" s="6">
        <f>[1]Capital!AJ43+[1]Capital!AJ47+[1]Capital!AJ45+[1]Capital!AJ49</f>
        <v>80447.855223000006</v>
      </c>
      <c r="AL185" s="6">
        <f>[1]Capital!AK43+[1]Capital!AK47+[1]Capital!AK45+[1]Capital!AK49</f>
        <v>81259.234770999989</v>
      </c>
    </row>
    <row r="186" spans="1:38" x14ac:dyDescent="0.3">
      <c r="B186" t="s">
        <v>10</v>
      </c>
      <c r="C186" s="6">
        <f>[1]Capital!B37+[1]Capital!B39</f>
        <v>7642285.642</v>
      </c>
      <c r="D186" s="6">
        <f>[1]Capital!C37+[1]Capital!C39</f>
        <v>7729123.9100000001</v>
      </c>
      <c r="E186" s="6">
        <f>[1]Capital!D37+[1]Capital!D39</f>
        <v>7816548.1559999995</v>
      </c>
      <c r="F186" s="6">
        <f>[1]Capital!E37+[1]Capital!E39</f>
        <v>7906775.5959999999</v>
      </c>
      <c r="G186" s="6">
        <f>[1]Capital!F37+[1]Capital!F39</f>
        <v>8001156.4710000008</v>
      </c>
      <c r="H186" s="6">
        <f>[1]Capital!G37+[1]Capital!G39</f>
        <v>8099876.6860000007</v>
      </c>
      <c r="I186" s="6">
        <f>[1]Capital!H37+[1]Capital!H39</f>
        <v>8202455.318</v>
      </c>
      <c r="J186" s="6">
        <f>[1]Capital!I37+[1]Capital!I39</f>
        <v>8307633.6169999996</v>
      </c>
      <c r="K186" s="6">
        <f>[1]Capital!J37+[1]Capital!J39</f>
        <v>8414373.6439999994</v>
      </c>
      <c r="L186" s="6">
        <f>[1]Capital!K37+[1]Capital!K39</f>
        <v>8522244.3890000004</v>
      </c>
      <c r="M186" s="6">
        <f>[1]Capital!L37+[1]Capital!L39</f>
        <v>8631093.6239999998</v>
      </c>
      <c r="N186" s="6">
        <f>[1]Capital!M37+[1]Capital!M39</f>
        <v>8742138.5519999992</v>
      </c>
      <c r="O186" s="6">
        <f>[1]Capital!N37+[1]Capital!N39</f>
        <v>8855913.2070000004</v>
      </c>
      <c r="P186" s="6">
        <f>[1]Capital!O37+[1]Capital!O39</f>
        <v>8972714.8699999992</v>
      </c>
      <c r="Q186" s="6">
        <f>[1]Capital!P37+[1]Capital!P39</f>
        <v>9092724.925999999</v>
      </c>
      <c r="R186" s="6">
        <f>[1]Capital!Q37+[1]Capital!Q39</f>
        <v>9216058.2620000001</v>
      </c>
      <c r="S186" s="6">
        <f>[1]Capital!R37+[1]Capital!R39</f>
        <v>9342804.6380000003</v>
      </c>
      <c r="T186" s="6">
        <f>[1]Capital!S37+[1]Capital!S39</f>
        <v>9473059.7689999994</v>
      </c>
      <c r="U186" s="6">
        <f>[1]Capital!T37+[1]Capital!T39</f>
        <v>9606942.3259999994</v>
      </c>
      <c r="V186" s="6">
        <f>[1]Capital!U37+[1]Capital!U39</f>
        <v>9744590.506000001</v>
      </c>
      <c r="W186" s="6">
        <f>[1]Capital!V37+[1]Capital!V39</f>
        <v>9886314.4719999991</v>
      </c>
      <c r="X186" s="6">
        <f>[1]Capital!W37+[1]Capital!W39</f>
        <v>10031785.596000001</v>
      </c>
      <c r="Y186" s="6">
        <f>[1]Capital!X37+[1]Capital!X39</f>
        <v>10181154.26</v>
      </c>
      <c r="Z186" s="6">
        <f>[1]Capital!Y37+[1]Capital!Y39</f>
        <v>10334593.822000001</v>
      </c>
      <c r="AA186" s="6">
        <f>[1]Capital!Z37+[1]Capital!Z39</f>
        <v>10492176.842</v>
      </c>
      <c r="AB186" s="6">
        <f>[1]Capital!AA37+[1]Capital!AA39</f>
        <v>10654275.396</v>
      </c>
      <c r="AC186" s="6">
        <f>[1]Capital!AB37+[1]Capital!AB39</f>
        <v>10819906.355</v>
      </c>
      <c r="AD186" s="6">
        <f>[1]Capital!AC37+[1]Capital!AC39</f>
        <v>10988904.329</v>
      </c>
      <c r="AE186" s="6">
        <f>[1]Capital!AD37+[1]Capital!AD39</f>
        <v>11161388.384</v>
      </c>
      <c r="AF186" s="6">
        <f>[1]Capital!AE37+[1]Capital!AE39</f>
        <v>11337500.1</v>
      </c>
      <c r="AG186" s="6">
        <f>[1]Capital!AF37+[1]Capital!AF39</f>
        <v>11517296.346000001</v>
      </c>
      <c r="AH186" s="6">
        <f>[1]Capital!AG37+[1]Capital!AG39</f>
        <v>11700729.392999999</v>
      </c>
      <c r="AI186" s="6">
        <f>[1]Capital!AH37+[1]Capital!AH39</f>
        <v>11887681.598999999</v>
      </c>
      <c r="AJ186" s="6">
        <f>[1]Capital!AI37+[1]Capital!AI39</f>
        <v>12078021.923999999</v>
      </c>
      <c r="AK186" s="6">
        <f>[1]Capital!AJ37+[1]Capital!AJ39</f>
        <v>12271654.338</v>
      </c>
      <c r="AL186" s="6">
        <f>[1]Capital!AK37+[1]Capital!AK39</f>
        <v>12468540.048999999</v>
      </c>
    </row>
    <row r="187" spans="1:38" x14ac:dyDescent="0.3">
      <c r="B187" t="s">
        <v>9</v>
      </c>
      <c r="C187" s="6">
        <f>[1]Capital!B29+[1]Capital!B31+[1]Capital!B33+[1]Capital!B35</f>
        <v>164791.85856999998</v>
      </c>
      <c r="D187" s="6">
        <f>[1]Capital!C29+[1]Capital!C31+[1]Capital!C33+[1]Capital!C35</f>
        <v>166598.52296999999</v>
      </c>
      <c r="E187" s="6">
        <f>[1]Capital!D29+[1]Capital!D31+[1]Capital!D33+[1]Capital!D35</f>
        <v>168336.50771999999</v>
      </c>
      <c r="F187" s="6">
        <f>[1]Capital!E29+[1]Capital!E31+[1]Capital!E33+[1]Capital!E35</f>
        <v>170065.21231999999</v>
      </c>
      <c r="G187" s="6">
        <f>[1]Capital!F29+[1]Capital!F31+[1]Capital!F33+[1]Capital!F35</f>
        <v>171831.71909999999</v>
      </c>
      <c r="H187" s="6">
        <f>[1]Capital!G29+[1]Capital!G31+[1]Capital!G33+[1]Capital!G35</f>
        <v>173657.50086</v>
      </c>
      <c r="I187" s="6">
        <f>[1]Capital!H29+[1]Capital!H31+[1]Capital!H33+[1]Capital!H35</f>
        <v>175536.18651000003</v>
      </c>
      <c r="J187" s="6">
        <f>[1]Capital!I29+[1]Capital!I31+[1]Capital!I33+[1]Capital!I35</f>
        <v>177448.97740999999</v>
      </c>
      <c r="K187" s="6">
        <f>[1]Capital!J29+[1]Capital!J31+[1]Capital!J33+[1]Capital!J35</f>
        <v>179378.81945000001</v>
      </c>
      <c r="L187" s="6">
        <f>[1]Capital!K29+[1]Capital!K31+[1]Capital!K33+[1]Capital!K35</f>
        <v>181318.91878000001</v>
      </c>
      <c r="M187" s="6">
        <f>[1]Capital!L29+[1]Capital!L31+[1]Capital!L33+[1]Capital!L35</f>
        <v>183283.51832999999</v>
      </c>
      <c r="N187" s="6">
        <f>[1]Capital!M29+[1]Capital!M31+[1]Capital!M33+[1]Capital!M35</f>
        <v>185284.76799999998</v>
      </c>
      <c r="O187" s="6">
        <f>[1]Capital!N29+[1]Capital!N31+[1]Capital!N33+[1]Capital!N35</f>
        <v>187333.23206000001</v>
      </c>
      <c r="P187" s="6">
        <f>[1]Capital!O29+[1]Capital!O31+[1]Capital!O33+[1]Capital!O35</f>
        <v>189436.84555999999</v>
      </c>
      <c r="Q187" s="6">
        <f>[1]Capital!P29+[1]Capital!P31+[1]Capital!P33+[1]Capital!P35</f>
        <v>191600.62500999999</v>
      </c>
      <c r="R187" s="6">
        <f>[1]Capital!Q29+[1]Capital!Q31+[1]Capital!Q33+[1]Capital!Q35</f>
        <v>193827.15351999999</v>
      </c>
      <c r="S187" s="6">
        <f>[1]Capital!R29+[1]Capital!R31+[1]Capital!R33+[1]Capital!R35</f>
        <v>196117.64346999998</v>
      </c>
      <c r="T187" s="6">
        <f>[1]Capital!S29+[1]Capital!S31+[1]Capital!S33+[1]Capital!S35</f>
        <v>198473.01618000001</v>
      </c>
      <c r="U187" s="6">
        <f>[1]Capital!T29+[1]Capital!T31+[1]Capital!T33+[1]Capital!T35</f>
        <v>200894.59506000002</v>
      </c>
      <c r="V187" s="6">
        <f>[1]Capital!U29+[1]Capital!U31+[1]Capital!U33+[1]Capital!U35</f>
        <v>203384.22256000002</v>
      </c>
      <c r="W187" s="6">
        <f>[1]Capital!V29+[1]Capital!V31+[1]Capital!V33+[1]Capital!V35</f>
        <v>205936.48035999999</v>
      </c>
      <c r="X187" s="6">
        <f>[1]Capital!W29+[1]Capital!W31+[1]Capital!W33+[1]Capital!W35</f>
        <v>208554.22072000001</v>
      </c>
      <c r="Y187" s="6">
        <f>[1]Capital!X29+[1]Capital!X31+[1]Capital!X33+[1]Capital!X35</f>
        <v>211241.98206000001</v>
      </c>
      <c r="Z187" s="6">
        <f>[1]Capital!Y29+[1]Capital!Y31+[1]Capital!Y33+[1]Capital!Y35</f>
        <v>214002.92090999999</v>
      </c>
      <c r="AA187" s="6">
        <f>[1]Capital!Z29+[1]Capital!Z31+[1]Capital!Z33+[1]Capital!Z35</f>
        <v>216837.79130999997</v>
      </c>
      <c r="AB187" s="6">
        <f>[1]Capital!AA29+[1]Capital!AA31+[1]Capital!AA33+[1]Capital!AA35</f>
        <v>219722.337</v>
      </c>
      <c r="AC187" s="6">
        <f>[1]Capital!AB29+[1]Capital!AB31+[1]Capital!AB33+[1]Capital!AB35</f>
        <v>222650.07967000004</v>
      </c>
      <c r="AD187" s="6">
        <f>[1]Capital!AC29+[1]Capital!AC31+[1]Capital!AC33+[1]Capital!AC35</f>
        <v>225621.6691</v>
      </c>
      <c r="AE187" s="6">
        <f>[1]Capital!AD29+[1]Capital!AD31+[1]Capital!AD33+[1]Capital!AD35</f>
        <v>228641.01878999997</v>
      </c>
      <c r="AF187" s="6">
        <f>[1]Capital!AE29+[1]Capital!AE31+[1]Capital!AE33+[1]Capital!AE35</f>
        <v>231712.11924</v>
      </c>
      <c r="AG187" s="6">
        <f>[1]Capital!AF29+[1]Capital!AF31+[1]Capital!AF33+[1]Capital!AF35</f>
        <v>234837.17468999999</v>
      </c>
      <c r="AH187" s="6">
        <f>[1]Capital!AG29+[1]Capital!AG31+[1]Capital!AG33+[1]Capital!AG35</f>
        <v>238016.09065</v>
      </c>
      <c r="AI187" s="6">
        <f>[1]Capital!AH29+[1]Capital!AH31+[1]Capital!AH33+[1]Capital!AH35</f>
        <v>241247.07779000001</v>
      </c>
      <c r="AJ187" s="6">
        <f>[1]Capital!AI29+[1]Capital!AI31+[1]Capital!AI33+[1]Capital!AI35</f>
        <v>244527.82064000002</v>
      </c>
      <c r="AK187" s="6">
        <f>[1]Capital!AJ29+[1]Capital!AJ31+[1]Capital!AJ33+[1]Capital!AJ35</f>
        <v>247856.58049000002</v>
      </c>
      <c r="AL187" s="6">
        <f>[1]Capital!AK29+[1]Capital!AK31+[1]Capital!AK33+[1]Capital!AK35</f>
        <v>251232.79103999998</v>
      </c>
    </row>
    <row r="188" spans="1:38" x14ac:dyDescent="0.3"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</row>
    <row r="189" spans="1:38" x14ac:dyDescent="0.3">
      <c r="A189" s="12" t="s">
        <v>29</v>
      </c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</row>
    <row r="190" spans="1:38" x14ac:dyDescent="0.3">
      <c r="A190" t="s">
        <v>27</v>
      </c>
      <c r="B190" t="s">
        <v>28</v>
      </c>
      <c r="C190" s="6">
        <f>[1]Capital!B2</f>
        <v>8841723.6779999994</v>
      </c>
      <c r="D190" s="6">
        <f>[1]Capital!C2</f>
        <v>8942337.3829999994</v>
      </c>
      <c r="E190" s="6">
        <f>[1]Capital!D2</f>
        <v>9043757.6429999992</v>
      </c>
      <c r="F190" s="6">
        <f>[1]Capital!E2</f>
        <v>9148363.6730000004</v>
      </c>
      <c r="G190" s="6">
        <f>[1]Capital!F2</f>
        <v>9257580.8259999994</v>
      </c>
      <c r="H190" s="6">
        <f>[1]Capital!G2</f>
        <v>9371598.6850000005</v>
      </c>
      <c r="I190" s="6">
        <f>[1]Capital!H2</f>
        <v>9481186.2949999999</v>
      </c>
      <c r="J190" s="6">
        <f>[1]Capital!I2</f>
        <v>9587065.1410000008</v>
      </c>
      <c r="K190" s="6">
        <f>[1]Capital!J2</f>
        <v>9690147.3169999998</v>
      </c>
      <c r="L190" s="6">
        <f>[1]Capital!K2</f>
        <v>9792828.7679999992</v>
      </c>
      <c r="M190" s="6">
        <f>[1]Capital!L2</f>
        <v>9898058.5800000001</v>
      </c>
      <c r="N190" s="6">
        <f>[1]Capital!M2</f>
        <v>10008797.01</v>
      </c>
      <c r="O190" s="6">
        <f>[1]Capital!N2</f>
        <v>10126517.779999999</v>
      </c>
      <c r="P190" s="6">
        <f>[1]Capital!O2</f>
        <v>10251387.279999999</v>
      </c>
      <c r="Q190" s="6">
        <f>[1]Capital!P2</f>
        <v>10382629.98</v>
      </c>
      <c r="R190" s="6">
        <f>[1]Capital!Q2</f>
        <v>10519067.98</v>
      </c>
      <c r="S190" s="6">
        <f>[1]Capital!R2</f>
        <v>10659637.529999999</v>
      </c>
      <c r="T190" s="6">
        <f>[1]Capital!S2</f>
        <v>10803701.960000001</v>
      </c>
      <c r="U190" s="6">
        <f>[1]Capital!T2</f>
        <v>10951111.41</v>
      </c>
      <c r="V190" s="6">
        <f>[1]Capital!U2</f>
        <v>11102073.41</v>
      </c>
      <c r="W190" s="6">
        <f>[1]Capital!V2</f>
        <v>11256905.619999999</v>
      </c>
      <c r="X190" s="6">
        <f>[1]Capital!W2</f>
        <v>11415702.359999999</v>
      </c>
      <c r="Y190" s="6">
        <f>[1]Capital!X2</f>
        <v>11578772.25</v>
      </c>
      <c r="Z190" s="6">
        <f>[1]Capital!Y2</f>
        <v>11746294.74</v>
      </c>
      <c r="AA190" s="6">
        <f>[1]Capital!Z2</f>
        <v>11918287.050000001</v>
      </c>
      <c r="AB190" s="6">
        <f>[1]Capital!AA2</f>
        <v>12094437.17</v>
      </c>
      <c r="AC190" s="6">
        <f>[1]Capital!AB2</f>
        <v>12274156.76</v>
      </c>
      <c r="AD190" s="6">
        <f>[1]Capital!AC2</f>
        <v>12457475.460000001</v>
      </c>
      <c r="AE190" s="6">
        <f>[1]Capital!AD2</f>
        <v>12644643.16</v>
      </c>
      <c r="AF190" s="6">
        <f>[1]Capital!AE2</f>
        <v>12835902.26</v>
      </c>
      <c r="AG190" s="6">
        <f>[1]Capital!AF2</f>
        <v>13031369.710000001</v>
      </c>
      <c r="AH190" s="6">
        <f>[1]Capital!AG2</f>
        <v>13231008.810000001</v>
      </c>
      <c r="AI190" s="6">
        <f>[1]Capital!AH2</f>
        <v>13434672.380000001</v>
      </c>
      <c r="AJ190" s="6">
        <f>[1]Capital!AI2</f>
        <v>13642180.439999999</v>
      </c>
      <c r="AK190" s="6">
        <f>[1]Capital!AJ2</f>
        <v>13853391.800000001</v>
      </c>
      <c r="AL190" s="6">
        <f>[1]Capital!AK2</f>
        <v>14068242.119999999</v>
      </c>
    </row>
    <row r="191" spans="1:38" x14ac:dyDescent="0.3">
      <c r="B191" t="s">
        <v>7</v>
      </c>
      <c r="C191" s="6">
        <f>[1]Capital!B4+[1]Capital!B6</f>
        <v>195861.40085000001</v>
      </c>
      <c r="D191" s="6">
        <f>[1]Capital!C4+[1]Capital!C6</f>
        <v>197982.69553</v>
      </c>
      <c r="E191" s="6">
        <f>[1]Capital!D4+[1]Capital!D6</f>
        <v>199974.60016</v>
      </c>
      <c r="F191" s="6">
        <f>[1]Capital!E4+[1]Capital!E6</f>
        <v>201876.03704999998</v>
      </c>
      <c r="G191" s="6">
        <f>[1]Capital!F4+[1]Capital!F6</f>
        <v>203729.14130000002</v>
      </c>
      <c r="H191" s="6">
        <f>[1]Capital!G4+[1]Capital!G6</f>
        <v>205562.12104</v>
      </c>
      <c r="I191" s="6">
        <f>[1]Capital!H4+[1]Capital!H6</f>
        <v>207223.16373</v>
      </c>
      <c r="J191" s="6">
        <f>[1]Capital!I4+[1]Capital!I6</f>
        <v>208713.78378999999</v>
      </c>
      <c r="K191" s="6">
        <f>[1]Capital!J4+[1]Capital!J6</f>
        <v>209986.61344999998</v>
      </c>
      <c r="L191" s="6">
        <f>[1]Capital!K4+[1]Capital!K6</f>
        <v>211052.37222000002</v>
      </c>
      <c r="M191" s="6">
        <f>[1]Capital!L4+[1]Capital!L6</f>
        <v>211971.23320999998</v>
      </c>
      <c r="N191" s="6">
        <f>[1]Capital!M4+[1]Capital!M6</f>
        <v>212800.30619999999</v>
      </c>
      <c r="O191" s="6">
        <f>[1]Capital!N4+[1]Capital!N6</f>
        <v>213591.27410000001</v>
      </c>
      <c r="P191" s="6">
        <f>[1]Capital!O4+[1]Capital!O6</f>
        <v>214379.05438000002</v>
      </c>
      <c r="Q191" s="6">
        <f>[1]Capital!P4+[1]Capital!P6</f>
        <v>215180.70960999999</v>
      </c>
      <c r="R191" s="6">
        <f>[1]Capital!Q4+[1]Capital!Q6</f>
        <v>215999.89242000002</v>
      </c>
      <c r="S191" s="6">
        <f>[1]Capital!R4+[1]Capital!R6</f>
        <v>216832.80012</v>
      </c>
      <c r="T191" s="6">
        <f>[1]Capital!S4+[1]Capital!S6</f>
        <v>217672.91743</v>
      </c>
      <c r="U191" s="6">
        <f>[1]Capital!T4+[1]Capital!T6</f>
        <v>218513.57550000001</v>
      </c>
      <c r="V191" s="6">
        <f>[1]Capital!U4+[1]Capital!U6</f>
        <v>219348.67374999999</v>
      </c>
      <c r="W191" s="6">
        <f>[1]Capital!V4+[1]Capital!V6</f>
        <v>220164.94014999998</v>
      </c>
      <c r="X191" s="6">
        <f>[1]Capital!W4+[1]Capital!W6</f>
        <v>220960.12959</v>
      </c>
      <c r="Y191" s="6">
        <f>[1]Capital!X4+[1]Capital!X6</f>
        <v>221731.66373</v>
      </c>
      <c r="Z191" s="6">
        <f>[1]Capital!Y4+[1]Capital!Y6</f>
        <v>222477.54288999998</v>
      </c>
      <c r="AA191" s="6">
        <f>[1]Capital!Z4+[1]Capital!Z6</f>
        <v>223196.86223999999</v>
      </c>
      <c r="AB191" s="6">
        <f>[1]Capital!AA4+[1]Capital!AA6</f>
        <v>223869.60521000001</v>
      </c>
      <c r="AC191" s="6">
        <f>[1]Capital!AB4+[1]Capital!AB6</f>
        <v>224498.48668999999</v>
      </c>
      <c r="AD191" s="6">
        <f>[1]Capital!AC4+[1]Capital!AC6</f>
        <v>225089.69073999999</v>
      </c>
      <c r="AE191" s="6">
        <f>[1]Capital!AD4+[1]Capital!AD6</f>
        <v>225651.67379999999</v>
      </c>
      <c r="AF191" s="6">
        <f>[1]Capital!AE4+[1]Capital!AE6</f>
        <v>226192.85485</v>
      </c>
      <c r="AG191" s="6">
        <f>[1]Capital!AF4+[1]Capital!AF6</f>
        <v>226719.91993</v>
      </c>
      <c r="AH191" s="6">
        <f>[1]Capital!AG4+[1]Capital!AG6</f>
        <v>227237.13375000001</v>
      </c>
      <c r="AI191" s="6">
        <f>[1]Capital!AH4+[1]Capital!AH6</f>
        <v>227746.55267</v>
      </c>
      <c r="AJ191" s="6">
        <f>[1]Capital!AI4+[1]Capital!AI6</f>
        <v>228248.74242</v>
      </c>
      <c r="AK191" s="6">
        <f>[1]Capital!AJ4+[1]Capital!AJ6</f>
        <v>228743.56086999999</v>
      </c>
      <c r="AL191" s="6">
        <f>[1]Capital!AK4+[1]Capital!AK6</f>
        <v>229230.71487000003</v>
      </c>
    </row>
    <row r="192" spans="1:38" x14ac:dyDescent="0.3">
      <c r="B192" t="s">
        <v>96</v>
      </c>
      <c r="C192" s="6">
        <f>[1]Capital!B26</f>
        <v>84747.706489999997</v>
      </c>
      <c r="D192" s="6">
        <f>[1]Capital!C26</f>
        <v>86006.648239999995</v>
      </c>
      <c r="E192" s="6">
        <f>[1]Capital!D26</f>
        <v>87642.60067</v>
      </c>
      <c r="F192" s="6">
        <f>[1]Capital!E26</f>
        <v>89557.527919999993</v>
      </c>
      <c r="G192" s="6">
        <f>[1]Capital!F26</f>
        <v>91633.056800000006</v>
      </c>
      <c r="H192" s="6">
        <f>[1]Capital!G26</f>
        <v>93784.694759999998</v>
      </c>
      <c r="I192" s="6">
        <f>[1]Capital!H26</f>
        <v>95698.872560000003</v>
      </c>
      <c r="J192" s="6">
        <f>[1]Capital!I26</f>
        <v>97394.347580000001</v>
      </c>
      <c r="K192" s="6">
        <f>[1]Capital!J26</f>
        <v>98928.238530000002</v>
      </c>
      <c r="L192" s="6">
        <f>[1]Capital!K26</f>
        <v>100373.2838</v>
      </c>
      <c r="M192" s="6">
        <f>[1]Capital!L26</f>
        <v>101968.0382</v>
      </c>
      <c r="N192" s="6">
        <f>[1]Capital!M26</f>
        <v>103561.3012</v>
      </c>
      <c r="O192" s="6">
        <f>[1]Capital!N26</f>
        <v>105178.11229999999</v>
      </c>
      <c r="P192" s="6">
        <f>[1]Capital!O26</f>
        <v>106853.02439999999</v>
      </c>
      <c r="Q192" s="6">
        <f>[1]Capital!P26</f>
        <v>108594.6563</v>
      </c>
      <c r="R192" s="6">
        <f>[1]Capital!Q26</f>
        <v>110392.2023</v>
      </c>
      <c r="S192" s="6">
        <f>[1]Capital!R26</f>
        <v>112228.90519999999</v>
      </c>
      <c r="T192" s="6">
        <f>[1]Capital!S26</f>
        <v>114092.00509999999</v>
      </c>
      <c r="U192" s="6">
        <f>[1]Capital!T26</f>
        <v>115976.7457</v>
      </c>
      <c r="V192" s="6">
        <f>[1]Capital!U26</f>
        <v>117885.4975</v>
      </c>
      <c r="W192" s="6">
        <f>[1]Capital!V26</f>
        <v>119704.35950000001</v>
      </c>
      <c r="X192" s="6">
        <f>[1]Capital!W26</f>
        <v>121588.30100000001</v>
      </c>
      <c r="Y192" s="6">
        <f>[1]Capital!X26</f>
        <v>123556.66469999999</v>
      </c>
      <c r="Z192" s="6">
        <f>[1]Capital!Y26</f>
        <v>125596.4458</v>
      </c>
      <c r="AA192" s="6">
        <f>[1]Capital!Z26</f>
        <v>127693.28389999999</v>
      </c>
      <c r="AB192" s="6">
        <f>[1]Capital!AA26</f>
        <v>129483.3031</v>
      </c>
      <c r="AC192" s="6">
        <f>[1]Capital!AB26</f>
        <v>131256.7065</v>
      </c>
      <c r="AD192" s="6">
        <f>[1]Capital!AC26</f>
        <v>133087.81400000001</v>
      </c>
      <c r="AE192" s="6">
        <f>[1]Capital!AD26</f>
        <v>134986.52119999999</v>
      </c>
      <c r="AF192" s="6">
        <f>[1]Capital!AE26</f>
        <v>136949.7654</v>
      </c>
      <c r="AG192" s="6">
        <f>[1]Capital!AF26</f>
        <v>138972.79120000001</v>
      </c>
      <c r="AH192" s="6">
        <f>[1]Capital!AG26</f>
        <v>141050.4038</v>
      </c>
      <c r="AI192" s="6">
        <f>[1]Capital!AH26</f>
        <v>143177.04180000001</v>
      </c>
      <c r="AJ192" s="6">
        <f>[1]Capital!AI26</f>
        <v>145347.42079999999</v>
      </c>
      <c r="AK192" s="6">
        <f>[1]Capital!AJ26</f>
        <v>147557.43640000001</v>
      </c>
      <c r="AL192" s="6">
        <f>[1]Capital!AK26</f>
        <v>149804.7341</v>
      </c>
    </row>
    <row r="193" spans="1:38" x14ac:dyDescent="0.3">
      <c r="B193" t="s">
        <v>11</v>
      </c>
      <c r="C193" s="6">
        <f>[1]Capital!B50+[1]Capital!B52+[1]Capital!B54+[1]Capital!B56+[1]Capital!B58+[1]Capital!B60+[1]Capital!B62+[1]Capital!B64+[1]Capital!B66</f>
        <v>83896.122387800016</v>
      </c>
      <c r="D193" s="6">
        <f>[1]Capital!C50+[1]Capital!C52+[1]Capital!C54+[1]Capital!C56+[1]Capital!C58+[1]Capital!C60+[1]Capital!C62+[1]Capital!C64+[1]Capital!C66</f>
        <v>84849.200790099989</v>
      </c>
      <c r="E193" s="6">
        <f>[1]Capital!D50+[1]Capital!D52+[1]Capital!D54+[1]Capital!D56+[1]Capital!D58+[1]Capital!D60+[1]Capital!D62+[1]Capital!D64+[1]Capital!D66</f>
        <v>85777.948826399996</v>
      </c>
      <c r="F193" s="6">
        <f>[1]Capital!E50+[1]Capital!E52+[1]Capital!E54+[1]Capital!E56+[1]Capital!E58+[1]Capital!E60+[1]Capital!E62+[1]Capital!E64+[1]Capital!E66</f>
        <v>86673.518366199991</v>
      </c>
      <c r="G193" s="6">
        <f>[1]Capital!F50+[1]Capital!F52+[1]Capital!F54+[1]Capital!F56+[1]Capital!F58+[1]Capital!F60+[1]Capital!F62+[1]Capital!F64+[1]Capital!F66</f>
        <v>87538.420896499985</v>
      </c>
      <c r="H193" s="6">
        <f>[1]Capital!G50+[1]Capital!G52+[1]Capital!G54+[1]Capital!G56+[1]Capital!G58+[1]Capital!G60+[1]Capital!G62+[1]Capital!G64+[1]Capital!G66</f>
        <v>88383.617141099967</v>
      </c>
      <c r="I193" s="6">
        <f>[1]Capital!H50+[1]Capital!H52+[1]Capital!H54+[1]Capital!H56+[1]Capital!H58+[1]Capital!H60+[1]Capital!H62+[1]Capital!H64+[1]Capital!H66</f>
        <v>89267.681033099987</v>
      </c>
      <c r="J193" s="6">
        <f>[1]Capital!I50+[1]Capital!I52+[1]Capital!I54+[1]Capital!I56+[1]Capital!I58+[1]Capital!I60+[1]Capital!I62+[1]Capital!I64+[1]Capital!I66</f>
        <v>90171.849673699995</v>
      </c>
      <c r="K193" s="6">
        <f>[1]Capital!J50+[1]Capital!J52+[1]Capital!J54+[1]Capital!J56+[1]Capital!J58+[1]Capital!J60+[1]Capital!J62+[1]Capital!J64+[1]Capital!J66</f>
        <v>91071.92063980001</v>
      </c>
      <c r="L193" s="6">
        <f>[1]Capital!K50+[1]Capital!K52+[1]Capital!K54+[1]Capital!K56+[1]Capital!K58+[1]Capital!K60+[1]Capital!K62+[1]Capital!K64+[1]Capital!K66</f>
        <v>91944.782033199997</v>
      </c>
      <c r="M193" s="6">
        <f>[1]Capital!L50+[1]Capital!L52+[1]Capital!L54+[1]Capital!L56+[1]Capital!L58+[1]Capital!L60+[1]Capital!L62+[1]Capital!L64+[1]Capital!L66</f>
        <v>92775.063494700007</v>
      </c>
      <c r="N193" s="6">
        <f>[1]Capital!M50+[1]Capital!M52+[1]Capital!M54+[1]Capital!M56+[1]Capital!M58+[1]Capital!M60+[1]Capital!M62+[1]Capital!M64+[1]Capital!M66</f>
        <v>93556.053599199993</v>
      </c>
      <c r="O193" s="6">
        <f>[1]Capital!N50+[1]Capital!N52+[1]Capital!N54+[1]Capital!N56+[1]Capital!N58+[1]Capital!N60+[1]Capital!N62+[1]Capital!N64+[1]Capital!N66</f>
        <v>94291.599755200004</v>
      </c>
      <c r="P193" s="6">
        <f>[1]Capital!O50+[1]Capital!O52+[1]Capital!O54+[1]Capital!O56+[1]Capital!O58+[1]Capital!O60+[1]Capital!O62+[1]Capital!O64+[1]Capital!O66</f>
        <v>94993.636382900004</v>
      </c>
      <c r="Q193" s="6">
        <f>[1]Capital!P50+[1]Capital!P52+[1]Capital!P54+[1]Capital!P56+[1]Capital!P58+[1]Capital!P60+[1]Capital!P62+[1]Capital!P64+[1]Capital!P66</f>
        <v>95677.159502099996</v>
      </c>
      <c r="R193" s="6">
        <f>[1]Capital!Q50+[1]Capital!Q52+[1]Capital!Q54+[1]Capital!Q56+[1]Capital!Q58+[1]Capital!Q60+[1]Capital!Q62+[1]Capital!Q64+[1]Capital!Q66</f>
        <v>96355.551497400011</v>
      </c>
      <c r="S193" s="6">
        <f>[1]Capital!R50+[1]Capital!R52+[1]Capital!R54+[1]Capital!R56+[1]Capital!R58+[1]Capital!R60+[1]Capital!R62+[1]Capital!R64+[1]Capital!R66</f>
        <v>97037.386575300014</v>
      </c>
      <c r="T193" s="6">
        <f>[1]Capital!S50+[1]Capital!S52+[1]Capital!S54+[1]Capital!S56+[1]Capital!S58+[1]Capital!S60+[1]Capital!S62+[1]Capital!S64+[1]Capital!S66</f>
        <v>97726.057862899994</v>
      </c>
      <c r="U193" s="6">
        <f>[1]Capital!T50+[1]Capital!T52+[1]Capital!T54+[1]Capital!T56+[1]Capital!T58+[1]Capital!T60+[1]Capital!T62+[1]Capital!T64+[1]Capital!T66</f>
        <v>98421.202462899993</v>
      </c>
      <c r="V193" s="6">
        <f>[1]Capital!U50+[1]Capital!U52+[1]Capital!U54+[1]Capital!U56+[1]Capital!U58+[1]Capital!U60+[1]Capital!U62+[1]Capital!U64+[1]Capital!U66</f>
        <v>99120.864340699991</v>
      </c>
      <c r="W193" s="6">
        <f>[1]Capital!V50+[1]Capital!V52+[1]Capital!V54+[1]Capital!V56+[1]Capital!V58+[1]Capital!V60+[1]Capital!V62+[1]Capital!V64+[1]Capital!V66</f>
        <v>99821.259696399997</v>
      </c>
      <c r="X193" s="6">
        <f>[1]Capital!W50+[1]Capital!W52+[1]Capital!W54+[1]Capital!W56+[1]Capital!W58+[1]Capital!W60+[1]Capital!W62+[1]Capital!W64+[1]Capital!W66</f>
        <v>100522.14185499999</v>
      </c>
      <c r="Y193" s="6">
        <f>[1]Capital!X50+[1]Capital!X52+[1]Capital!X54+[1]Capital!X56+[1]Capital!X58+[1]Capital!X60+[1]Capital!X62+[1]Capital!X64+[1]Capital!X66</f>
        <v>101225.27241889999</v>
      </c>
      <c r="Z193" s="6">
        <f>[1]Capital!Y50+[1]Capital!Y52+[1]Capital!Y54+[1]Capital!Y56+[1]Capital!Y58+[1]Capital!Y60+[1]Capital!Y62+[1]Capital!Y64+[1]Capital!Y66</f>
        <v>101933.4099846</v>
      </c>
      <c r="AA193" s="6">
        <f>[1]Capital!Z50+[1]Capital!Z52+[1]Capital!Z54+[1]Capital!Z56+[1]Capital!Z58+[1]Capital!Z60+[1]Capital!Z62+[1]Capital!Z64+[1]Capital!Z66</f>
        <v>102649.64287479999</v>
      </c>
      <c r="AB193" s="6">
        <f>[1]Capital!AA50+[1]Capital!AA52+[1]Capital!AA54+[1]Capital!AA56+[1]Capital!AA58+[1]Capital!AA60+[1]Capital!AA62+[1]Capital!AA64+[1]Capital!AA66</f>
        <v>103369.76800950001</v>
      </c>
      <c r="AC193" s="6">
        <f>[1]Capital!AB50+[1]Capital!AB52+[1]Capital!AB54+[1]Capital!AB56+[1]Capital!AB58+[1]Capital!AB60+[1]Capital!AB62+[1]Capital!AB64+[1]Capital!AB66</f>
        <v>104093.57147530001</v>
      </c>
      <c r="AD193" s="6">
        <f>[1]Capital!AC50+[1]Capital!AC52+[1]Capital!AC54+[1]Capital!AC56+[1]Capital!AC58+[1]Capital!AC60+[1]Capital!AC62+[1]Capital!AC64+[1]Capital!AC66</f>
        <v>104820.69067029998</v>
      </c>
      <c r="AE193" s="6">
        <f>[1]Capital!AD50+[1]Capital!AD52+[1]Capital!AD54+[1]Capital!AD56+[1]Capital!AD58+[1]Capital!AD60+[1]Capital!AD62+[1]Capital!AD64+[1]Capital!AD66</f>
        <v>105550.6114311</v>
      </c>
      <c r="AF193" s="6">
        <f>[1]Capital!AE50+[1]Capital!AE52+[1]Capital!AE54+[1]Capital!AE56+[1]Capital!AE58+[1]Capital!AE60+[1]Capital!AE62+[1]Capital!AE64+[1]Capital!AE66</f>
        <v>106283.57356980002</v>
      </c>
      <c r="AG193" s="6">
        <f>[1]Capital!AF50+[1]Capital!AF52+[1]Capital!AF54+[1]Capital!AF56+[1]Capital!AF58+[1]Capital!AF60+[1]Capital!AF62+[1]Capital!AF64+[1]Capital!AF66</f>
        <v>107021.0211829</v>
      </c>
      <c r="AH193" s="6">
        <f>[1]Capital!AG50+[1]Capital!AG52+[1]Capital!AG54+[1]Capital!AG56+[1]Capital!AG58+[1]Capital!AG60+[1]Capital!AG62+[1]Capital!AG64+[1]Capital!AG66</f>
        <v>107765.37480050001</v>
      </c>
      <c r="AI193" s="6">
        <f>[1]Capital!AH50+[1]Capital!AH52+[1]Capital!AH54+[1]Capital!AH56+[1]Capital!AH58+[1]Capital!AH60+[1]Capital!AH62+[1]Capital!AH64+[1]Capital!AH66</f>
        <v>108519.40815070002</v>
      </c>
      <c r="AJ193" s="6">
        <f>[1]Capital!AI50+[1]Capital!AI52+[1]Capital!AI54+[1]Capital!AI56+[1]Capital!AI58+[1]Capital!AI60+[1]Capital!AI62+[1]Capital!AI64+[1]Capital!AI66</f>
        <v>109285.5666068</v>
      </c>
      <c r="AK193" s="6">
        <f>[1]Capital!AJ50+[1]Capital!AJ52+[1]Capital!AJ54+[1]Capital!AJ56+[1]Capital!AJ58+[1]Capital!AJ60+[1]Capital!AJ62+[1]Capital!AJ64+[1]Capital!AJ66</f>
        <v>110065.58354570001</v>
      </c>
      <c r="AL193" s="6">
        <f>[1]Capital!AK50+[1]Capital!AK52+[1]Capital!AK54+[1]Capital!AK56+[1]Capital!AK58+[1]Capital!AK60+[1]Capital!AK62+[1]Capital!AK64+[1]Capital!AK66</f>
        <v>110860.44797279999</v>
      </c>
    </row>
    <row r="194" spans="1:38" x14ac:dyDescent="0.3">
      <c r="B194" t="s">
        <v>8</v>
      </c>
      <c r="C194" s="6">
        <f>-[1]Capital!B26+[1]Capital!B8+[1]Capital!B10+[1]Capital!B13+[1]Capital!B14+[1]Capital!B16+[1]Capital!B18+[1]Capital!B20+[1]Capital!B22+[1]Capital!B24+[1]Capital!B26+[1]Capital!B40</f>
        <v>622048.26579500001</v>
      </c>
      <c r="D194" s="6">
        <f>-[1]Capital!C26+[1]Capital!C8+[1]Capital!C10+[1]Capital!C13+[1]Capital!C14+[1]Capital!C16+[1]Capital!C18+[1]Capital!C20+[1]Capital!C22+[1]Capital!C24+[1]Capital!C26+[1]Capital!C40</f>
        <v>629042.06738699996</v>
      </c>
      <c r="E194" s="6">
        <f>-[1]Capital!D26+[1]Capital!D8+[1]Capital!D10+[1]Capital!D13+[1]Capital!D14+[1]Capital!D16+[1]Capital!D18+[1]Capital!D20+[1]Capital!D22+[1]Capital!D24+[1]Capital!D26+[1]Capital!D40</f>
        <v>636009.34868099994</v>
      </c>
      <c r="F194" s="6">
        <f>-[1]Capital!E26+[1]Capital!E8+[1]Capital!E10+[1]Capital!E13+[1]Capital!E14+[1]Capital!E16+[1]Capital!E18+[1]Capital!E20+[1]Capital!E22+[1]Capital!E24+[1]Capital!E26+[1]Capital!E40</f>
        <v>643139.612524</v>
      </c>
      <c r="G194" s="6">
        <f>-[1]Capital!F26+[1]Capital!F8+[1]Capital!F10+[1]Capital!F13+[1]Capital!F14+[1]Capital!F16+[1]Capital!F18+[1]Capital!F20+[1]Capital!F22+[1]Capital!F24+[1]Capital!F26+[1]Capital!F40</f>
        <v>650551.76066499995</v>
      </c>
      <c r="H194" s="6">
        <f>-[1]Capital!G26+[1]Capital!G8+[1]Capital!G10+[1]Capital!G13+[1]Capital!G14+[1]Capital!G16+[1]Capital!G18+[1]Capital!G20+[1]Capital!G22+[1]Capital!G24+[1]Capital!G26+[1]Capital!G40</f>
        <v>658283.98387700005</v>
      </c>
      <c r="I194" s="6">
        <f>-[1]Capital!H26+[1]Capital!H8+[1]Capital!H10+[1]Capital!H13+[1]Capital!H14+[1]Capital!H16+[1]Capital!H18+[1]Capital!H20+[1]Capital!H22+[1]Capital!H24+[1]Capital!H26+[1]Capital!H40</f>
        <v>665625.37759799999</v>
      </c>
      <c r="J194" s="6">
        <f>-[1]Capital!I26+[1]Capital!I8+[1]Capital!I10+[1]Capital!I13+[1]Capital!I14+[1]Capital!I16+[1]Capital!I18+[1]Capital!I20+[1]Capital!I22+[1]Capital!I24+[1]Capital!I26+[1]Capital!I40</f>
        <v>672536.57884700014</v>
      </c>
      <c r="K194" s="6">
        <f>-[1]Capital!J26+[1]Capital!J8+[1]Capital!J10+[1]Capital!J13+[1]Capital!J14+[1]Capital!J16+[1]Capital!J18+[1]Capital!J20+[1]Capital!J22+[1]Capital!J24+[1]Capital!J26+[1]Capital!J40</f>
        <v>679054.46829199989</v>
      </c>
      <c r="L194" s="6">
        <f>-[1]Capital!K26+[1]Capital!K8+[1]Capital!K10+[1]Capital!K13+[1]Capital!K14+[1]Capital!K16+[1]Capital!K18+[1]Capital!K20+[1]Capital!K22+[1]Capital!K24+[1]Capital!K26+[1]Capital!K40</f>
        <v>685356.05799200002</v>
      </c>
      <c r="M194" s="6">
        <f>-[1]Capital!L26+[1]Capital!L8+[1]Capital!L10+[1]Capital!L13+[1]Capital!L14+[1]Capital!L16+[1]Capital!L18+[1]Capital!L20+[1]Capital!L22+[1]Capital!L24+[1]Capital!L26+[1]Capital!L40</f>
        <v>691786.81625199993</v>
      </c>
      <c r="N194" s="6">
        <f>-[1]Capital!M26+[1]Capital!M8+[1]Capital!M10+[1]Capital!M13+[1]Capital!M14+[1]Capital!M16+[1]Capital!M18+[1]Capital!M20+[1]Capital!M22+[1]Capital!M24+[1]Capital!M26+[1]Capital!M40</f>
        <v>698492.59644699993</v>
      </c>
      <c r="O194" s="6">
        <f>-[1]Capital!N26+[1]Capital!N8+[1]Capital!N10+[1]Capital!N13+[1]Capital!N14+[1]Capital!N16+[1]Capital!N18+[1]Capital!N20+[1]Capital!N22+[1]Capital!N24+[1]Capital!N26+[1]Capital!N40</f>
        <v>705600.11202999996</v>
      </c>
      <c r="P194" s="6">
        <f>-[1]Capital!O26+[1]Capital!O8+[1]Capital!O10+[1]Capital!O13+[1]Capital!O14+[1]Capital!O16+[1]Capital!O18+[1]Capital!O20+[1]Capital!O22+[1]Capital!O24+[1]Capital!O26+[1]Capital!O40</f>
        <v>713168.21705999982</v>
      </c>
      <c r="Q194" s="6">
        <f>-[1]Capital!P26+[1]Capital!P8+[1]Capital!P10+[1]Capital!P13+[1]Capital!P14+[1]Capital!P16+[1]Capital!P18+[1]Capital!P20+[1]Capital!P22+[1]Capital!P24+[1]Capital!P26+[1]Capital!P40</f>
        <v>721182.02703</v>
      </c>
      <c r="R194" s="6">
        <f>-[1]Capital!Q26+[1]Capital!Q8+[1]Capital!Q10+[1]Capital!Q13+[1]Capital!Q14+[1]Capital!Q16+[1]Capital!Q18+[1]Capital!Q20+[1]Capital!Q22+[1]Capital!Q24+[1]Capital!Q26+[1]Capital!Q40</f>
        <v>729581.51429000008</v>
      </c>
      <c r="S194" s="6">
        <f>-[1]Capital!R26+[1]Capital!R8+[1]Capital!R10+[1]Capital!R13+[1]Capital!R14+[1]Capital!R16+[1]Capital!R18+[1]Capital!R20+[1]Capital!R22+[1]Capital!R24+[1]Capital!R26+[1]Capital!R40</f>
        <v>738298.20440000005</v>
      </c>
      <c r="T194" s="6">
        <f>-[1]Capital!S26+[1]Capital!S8+[1]Capital!S10+[1]Capital!S13+[1]Capital!S14+[1]Capital!S16+[1]Capital!S18+[1]Capital!S20+[1]Capital!S22+[1]Capital!S24+[1]Capital!S26+[1]Capital!S40</f>
        <v>747282.21161</v>
      </c>
      <c r="U194" s="6">
        <f>-[1]Capital!T26+[1]Capital!T8+[1]Capital!T10+[1]Capital!T13+[1]Capital!T14+[1]Capital!T16+[1]Capital!T18+[1]Capital!T20+[1]Capital!T22+[1]Capital!T24+[1]Capital!T26+[1]Capital!T40</f>
        <v>756512.4929999999</v>
      </c>
      <c r="V194" s="6">
        <f>-[1]Capital!U26+[1]Capital!U8+[1]Capital!U10+[1]Capital!U13+[1]Capital!U14+[1]Capital!U16+[1]Capital!U18+[1]Capital!U20+[1]Capital!U22+[1]Capital!U24+[1]Capital!U26+[1]Capital!U40</f>
        <v>765992.42428000004</v>
      </c>
      <c r="W194" s="6">
        <f>-[1]Capital!V26+[1]Capital!V8+[1]Capital!V10+[1]Capital!V13+[1]Capital!V14+[1]Capital!V16+[1]Capital!V18+[1]Capital!V20+[1]Capital!V22+[1]Capital!V24+[1]Capital!V26+[1]Capital!V40</f>
        <v>775660.97171000007</v>
      </c>
      <c r="X194" s="6">
        <f>-[1]Capital!W26+[1]Capital!W8+[1]Capital!W10+[1]Capital!W13+[1]Capital!W14+[1]Capital!W16+[1]Capital!W18+[1]Capital!W20+[1]Capital!W22+[1]Capital!W24+[1]Capital!W26+[1]Capital!W40</f>
        <v>785592.89496999991</v>
      </c>
      <c r="Y194" s="6">
        <f>-[1]Capital!X26+[1]Capital!X8+[1]Capital!X10+[1]Capital!X13+[1]Capital!X14+[1]Capital!X16+[1]Capital!X18+[1]Capital!X20+[1]Capital!X22+[1]Capital!X24+[1]Capital!X26+[1]Capital!X40</f>
        <v>795822.86660000007</v>
      </c>
      <c r="Z194" s="6">
        <f>-[1]Capital!Y26+[1]Capital!Y8+[1]Capital!Y10+[1]Capital!Y13+[1]Capital!Y14+[1]Capital!Y16+[1]Capital!Y18+[1]Capital!Y20+[1]Capital!Y22+[1]Capital!Y24+[1]Capital!Y26+[1]Capital!Y40</f>
        <v>806356.07591999997</v>
      </c>
      <c r="AA194" s="6">
        <f>-[1]Capital!Z26+[1]Capital!Z8+[1]Capital!Z10+[1]Capital!Z13+[1]Capital!Z14+[1]Capital!Z16+[1]Capital!Z18+[1]Capital!Z20+[1]Capital!Z22+[1]Capital!Z24+[1]Capital!Z26+[1]Capital!Z40</f>
        <v>817183.32351999998</v>
      </c>
      <c r="AB194" s="6">
        <f>-[1]Capital!AA26+[1]Capital!AA8+[1]Capital!AA10+[1]Capital!AA13+[1]Capital!AA14+[1]Capital!AA16+[1]Capital!AA18+[1]Capital!AA20+[1]Capital!AA22+[1]Capital!AA24+[1]Capital!AA26+[1]Capital!AA40</f>
        <v>828062.38436999999</v>
      </c>
      <c r="AC194" s="6">
        <f>-[1]Capital!AB26+[1]Capital!AB8+[1]Capital!AB10+[1]Capital!AB13+[1]Capital!AB14+[1]Capital!AB16+[1]Capital!AB18+[1]Capital!AB20+[1]Capital!AB22+[1]Capital!AB24+[1]Capital!AB26+[1]Capital!AB40</f>
        <v>839064.50317000004</v>
      </c>
      <c r="AD194" s="6">
        <f>-[1]Capital!AC26+[1]Capital!AC8+[1]Capital!AC10+[1]Capital!AC13+[1]Capital!AC14+[1]Capital!AC16+[1]Capital!AC18+[1]Capital!AC20+[1]Capital!AC22+[1]Capital!AC24+[1]Capital!AC26+[1]Capital!AC40</f>
        <v>850237.62824999995</v>
      </c>
      <c r="AE194" s="6">
        <f>-[1]Capital!AD26+[1]Capital!AD8+[1]Capital!AD10+[1]Capital!AD13+[1]Capital!AD14+[1]Capital!AD16+[1]Capital!AD18+[1]Capital!AD20+[1]Capital!AD22+[1]Capital!AD24+[1]Capital!AD26+[1]Capital!AD40</f>
        <v>861609.39054000005</v>
      </c>
      <c r="AF194" s="6">
        <f>-[1]Capital!AE26+[1]Capital!AE8+[1]Capital!AE10+[1]Capital!AE13+[1]Capital!AE14+[1]Capital!AE16+[1]Capital!AE18+[1]Capital!AE20+[1]Capital!AE22+[1]Capital!AE24+[1]Capital!AE26+[1]Capital!AE40</f>
        <v>873198.11794000003</v>
      </c>
      <c r="AG194" s="6">
        <f>-[1]Capital!AF26+[1]Capital!AF8+[1]Capital!AF10+[1]Capital!AF13+[1]Capital!AF14+[1]Capital!AF16+[1]Capital!AF18+[1]Capital!AF20+[1]Capital!AF22+[1]Capital!AF24+[1]Capital!AF26+[1]Capital!AF40</f>
        <v>885013.06706999987</v>
      </c>
      <c r="AH194" s="6">
        <f>-[1]Capital!AG26+[1]Capital!AG8+[1]Capital!AG10+[1]Capital!AG13+[1]Capital!AG14+[1]Capital!AG16+[1]Capital!AG18+[1]Capital!AG20+[1]Capital!AG22+[1]Capital!AG24+[1]Capital!AG26+[1]Capital!AG40</f>
        <v>897053.46418000001</v>
      </c>
      <c r="AI194" s="6">
        <f>-[1]Capital!AH26+[1]Capital!AH8+[1]Capital!AH10+[1]Capital!AH13+[1]Capital!AH14+[1]Capital!AH16+[1]Capital!AH18+[1]Capital!AH20+[1]Capital!AH22+[1]Capital!AH24+[1]Capital!AH26+[1]Capital!AH40</f>
        <v>909310.60557000001</v>
      </c>
      <c r="AJ194" s="6">
        <f>-[1]Capital!AI26+[1]Capital!AI8+[1]Capital!AI10+[1]Capital!AI13+[1]Capital!AI14+[1]Capital!AI16+[1]Capital!AI18+[1]Capital!AI20+[1]Capital!AI22+[1]Capital!AI24+[1]Capital!AI26+[1]Capital!AI40</f>
        <v>921772.48537000001</v>
      </c>
      <c r="AK194" s="6">
        <f>-[1]Capital!AJ26+[1]Capital!AJ8+[1]Capital!AJ10+[1]Capital!AJ13+[1]Capital!AJ14+[1]Capital!AJ16+[1]Capital!AJ18+[1]Capital!AJ20+[1]Capital!AJ22+[1]Capital!AJ24+[1]Capital!AJ26+[1]Capital!AJ40</f>
        <v>934428.65179999988</v>
      </c>
      <c r="AL194" s="6">
        <f>-[1]Capital!AK26+[1]Capital!AK8+[1]Capital!AK10+[1]Capital!AK13+[1]Capital!AK14+[1]Capital!AK16+[1]Capital!AK18+[1]Capital!AK20+[1]Capital!AK22+[1]Capital!AK24+[1]Capital!AK26+[1]Capital!AK40</f>
        <v>947273.25919999985</v>
      </c>
    </row>
    <row r="195" spans="1:38" x14ac:dyDescent="0.3">
      <c r="B195" t="s">
        <v>24</v>
      </c>
      <c r="C195" s="6">
        <f>[1]Capital!B42+[1]Capital!B46+[1]Capital!B44+[1]Capital!B48</f>
        <v>48092.682222199997</v>
      </c>
      <c r="D195" s="6">
        <f>[1]Capital!C42+[1]Capital!C46+[1]Capital!C44+[1]Capital!C48</f>
        <v>48734.338672400001</v>
      </c>
      <c r="E195" s="6">
        <f>[1]Capital!D42+[1]Capital!D46+[1]Capital!D44+[1]Capital!D48</f>
        <v>49468.481308300004</v>
      </c>
      <c r="F195" s="6">
        <f>[1]Capital!E42+[1]Capital!E46+[1]Capital!E44+[1]Capital!E48</f>
        <v>50276.169236399997</v>
      </c>
      <c r="G195" s="6">
        <f>[1]Capital!F42+[1]Capital!F46+[1]Capital!F44+[1]Capital!F48</f>
        <v>51140.257036000003</v>
      </c>
      <c r="H195" s="6">
        <f>[1]Capital!G42+[1]Capital!G46+[1]Capital!G44+[1]Capital!G48</f>
        <v>52050.081209299999</v>
      </c>
      <c r="I195" s="6">
        <f>[1]Capital!H42+[1]Capital!H46+[1]Capital!H44+[1]Capital!H48</f>
        <v>53025.795662100005</v>
      </c>
      <c r="J195" s="6">
        <f>[1]Capital!I42+[1]Capital!I46+[1]Capital!I44+[1]Capital!I48</f>
        <v>54051.954459699999</v>
      </c>
      <c r="K195" s="6">
        <f>[1]Capital!J42+[1]Capital!J46+[1]Capital!J44+[1]Capital!J48</f>
        <v>55108.749612200001</v>
      </c>
      <c r="L195" s="6">
        <f>[1]Capital!K42+[1]Capital!K46+[1]Capital!K44+[1]Capital!K48</f>
        <v>56176.468096600001</v>
      </c>
      <c r="M195" s="6">
        <f>[1]Capital!L42+[1]Capital!L46+[1]Capital!L44+[1]Capital!L48</f>
        <v>57240.599613500002</v>
      </c>
      <c r="N195" s="6">
        <f>[1]Capital!M42+[1]Capital!M46+[1]Capital!M44+[1]Capital!M48</f>
        <v>58289.049008499998</v>
      </c>
      <c r="O195" s="6">
        <f>[1]Capital!N42+[1]Capital!N46+[1]Capital!N44+[1]Capital!N48</f>
        <v>59316.841207899997</v>
      </c>
      <c r="P195" s="6">
        <f>[1]Capital!O42+[1]Capital!O46+[1]Capital!O44+[1]Capital!O48</f>
        <v>60325.14531510001</v>
      </c>
      <c r="Q195" s="6">
        <f>[1]Capital!P42+[1]Capital!P46+[1]Capital!P44+[1]Capital!P48</f>
        <v>61318.5202986</v>
      </c>
      <c r="R195" s="6">
        <f>[1]Capital!Q42+[1]Capital!Q46+[1]Capital!Q44+[1]Capital!Q48</f>
        <v>62302.134507800001</v>
      </c>
      <c r="S195" s="6">
        <f>[1]Capital!R42+[1]Capital!R46+[1]Capital!R44+[1]Capital!R48</f>
        <v>63279.701137699994</v>
      </c>
      <c r="T195" s="6">
        <f>[1]Capital!S42+[1]Capital!S46+[1]Capital!S44+[1]Capital!S48</f>
        <v>64252.630478500003</v>
      </c>
      <c r="U195" s="6">
        <f>[1]Capital!T42+[1]Capital!T46+[1]Capital!T44+[1]Capital!T48</f>
        <v>65220.313718899997</v>
      </c>
      <c r="V195" s="6">
        <f>[1]Capital!U42+[1]Capital!U46+[1]Capital!U44+[1]Capital!U48</f>
        <v>66181.066370900007</v>
      </c>
      <c r="W195" s="6">
        <f>[1]Capital!V42+[1]Capital!V46+[1]Capital!V44+[1]Capital!V48</f>
        <v>67130.901765800008</v>
      </c>
      <c r="X195" s="6">
        <f>[1]Capital!W42+[1]Capital!W46+[1]Capital!W44+[1]Capital!W48</f>
        <v>68069.443338199999</v>
      </c>
      <c r="Y195" s="6">
        <f>[1]Capital!X42+[1]Capital!X46+[1]Capital!X44+[1]Capital!X48</f>
        <v>68997.116392699987</v>
      </c>
      <c r="Z195" s="6">
        <f>[1]Capital!Y42+[1]Capital!Y46+[1]Capital!Y44+[1]Capital!Y48</f>
        <v>69914.833863699998</v>
      </c>
      <c r="AA195" s="6">
        <f>[1]Capital!Z42+[1]Capital!Z46+[1]Capital!Z44+[1]Capital!Z48</f>
        <v>70823.883588800003</v>
      </c>
      <c r="AB195" s="6">
        <f>[1]Capital!AA42+[1]Capital!AA46+[1]Capital!AA44+[1]Capital!AA48</f>
        <v>71718.606962000005</v>
      </c>
      <c r="AC195" s="6">
        <f>[1]Capital!AB42+[1]Capital!AB46+[1]Capital!AB44+[1]Capital!AB48</f>
        <v>72599.694467299996</v>
      </c>
      <c r="AD195" s="6">
        <f>[1]Capital!AC42+[1]Capital!AC46+[1]Capital!AC44+[1]Capital!AC48</f>
        <v>73467.477026699999</v>
      </c>
      <c r="AE195" s="6">
        <f>[1]Capital!AD42+[1]Capital!AD46+[1]Capital!AD44+[1]Capital!AD48</f>
        <v>74321.6817782</v>
      </c>
      <c r="AF195" s="6">
        <f>[1]Capital!AE42+[1]Capital!AE46+[1]Capital!AE44+[1]Capital!AE48</f>
        <v>75162.277497299991</v>
      </c>
      <c r="AG195" s="6">
        <f>[1]Capital!AF42+[1]Capital!AF46+[1]Capital!AF44+[1]Capital!AF48</f>
        <v>75989.9561713</v>
      </c>
      <c r="AH195" s="6">
        <f>[1]Capital!AG42+[1]Capital!AG46+[1]Capital!AG44+[1]Capital!AG48</f>
        <v>76806.1208816</v>
      </c>
      <c r="AI195" s="6">
        <f>[1]Capital!AH42+[1]Capital!AH46+[1]Capital!AH44+[1]Capital!AH48</f>
        <v>77612.569438700011</v>
      </c>
      <c r="AJ195" s="6">
        <f>[1]Capital!AI42+[1]Capital!AI46+[1]Capital!AI44+[1]Capital!AI48</f>
        <v>78411.100634000002</v>
      </c>
      <c r="AK195" s="6">
        <f>[1]Capital!AJ42+[1]Capital!AJ46+[1]Capital!AJ44+[1]Capital!AJ48</f>
        <v>79203.225527799994</v>
      </c>
      <c r="AL195" s="6">
        <f>[1]Capital!AK42+[1]Capital!AK46+[1]Capital!AK44+[1]Capital!AK48</f>
        <v>79990.066145000004</v>
      </c>
    </row>
    <row r="196" spans="1:38" x14ac:dyDescent="0.3">
      <c r="B196" t="s">
        <v>10</v>
      </c>
      <c r="C196" s="6">
        <f>[1]Capital!B36+[1]Capital!B38</f>
        <v>7642285.642</v>
      </c>
      <c r="D196" s="6">
        <f>[1]Capital!C36+[1]Capital!C38</f>
        <v>7729123.9100000001</v>
      </c>
      <c r="E196" s="6">
        <f>[1]Capital!D36+[1]Capital!D38</f>
        <v>7816548.1559999995</v>
      </c>
      <c r="F196" s="6">
        <f>[1]Capital!E36+[1]Capital!E38</f>
        <v>7906775.5959999999</v>
      </c>
      <c r="G196" s="6">
        <f>[1]Capital!F36+[1]Capital!F38</f>
        <v>8001156.4710000008</v>
      </c>
      <c r="H196" s="6">
        <f>[1]Capital!G36+[1]Capital!G38</f>
        <v>8099876.6860000007</v>
      </c>
      <c r="I196" s="6">
        <f>[1]Capital!H36+[1]Capital!H38</f>
        <v>8195013.21</v>
      </c>
      <c r="J196" s="6">
        <f>[1]Capital!I36+[1]Capital!I38</f>
        <v>8287323.1880000001</v>
      </c>
      <c r="K196" s="6">
        <f>[1]Capital!J36+[1]Capital!J38</f>
        <v>8377686.8370000003</v>
      </c>
      <c r="L196" s="6">
        <f>[1]Capital!K36+[1]Capital!K38</f>
        <v>8468216.4179999996</v>
      </c>
      <c r="M196" s="6">
        <f>[1]Capital!L36+[1]Capital!L38</f>
        <v>8561159.1760000009</v>
      </c>
      <c r="N196" s="6">
        <f>[1]Capital!M36+[1]Capital!M38</f>
        <v>8659374.6219999995</v>
      </c>
      <c r="O196" s="6">
        <f>[1]Capital!N36+[1]Capital!N38</f>
        <v>8764096.2050000001</v>
      </c>
      <c r="P196" s="6">
        <f>[1]Capital!O36+[1]Capital!O38</f>
        <v>8875342.5749999993</v>
      </c>
      <c r="Q196" s="6">
        <f>[1]Capital!P36+[1]Capital!P38</f>
        <v>8992325.8110000007</v>
      </c>
      <c r="R196" s="6">
        <f>[1]Capital!Q36+[1]Capital!Q38</f>
        <v>9113946.1620000005</v>
      </c>
      <c r="S196" s="6">
        <f>[1]Capital!R36+[1]Capital!R38</f>
        <v>9239245.057</v>
      </c>
      <c r="T196" s="6">
        <f>[1]Capital!S36+[1]Capital!S38</f>
        <v>9367669.2860000003</v>
      </c>
      <c r="U196" s="6">
        <f>[1]Capital!T36+[1]Capital!T38</f>
        <v>9499109.7960000001</v>
      </c>
      <c r="V196" s="6">
        <f>[1]Capital!U36+[1]Capital!U38</f>
        <v>9633776.2340000011</v>
      </c>
      <c r="W196" s="6">
        <f>[1]Capital!V36+[1]Capital!V38</f>
        <v>9772182.8849999998</v>
      </c>
      <c r="X196" s="6">
        <f>[1]Capital!W36+[1]Capital!W38</f>
        <v>9914189.7599999998</v>
      </c>
      <c r="Y196" s="6">
        <f>[1]Capital!X36+[1]Capital!X38</f>
        <v>10060044.739</v>
      </c>
      <c r="Z196" s="6">
        <f>[1]Capital!Y36+[1]Capital!Y38</f>
        <v>10209930.052999999</v>
      </c>
      <c r="AA196" s="6">
        <f>[1]Capital!Z36+[1]Capital!Z38</f>
        <v>10363883.540999999</v>
      </c>
      <c r="AB196" s="6">
        <f>[1]Capital!AA36+[1]Capital!AA38</f>
        <v>10522254.104</v>
      </c>
      <c r="AC196" s="6">
        <f>[1]Capital!AB36+[1]Capital!AB38</f>
        <v>10684095.428000001</v>
      </c>
      <c r="AD196" s="6">
        <f>[1]Capital!AC36+[1]Capital!AC38</f>
        <v>10849307.297999999</v>
      </c>
      <c r="AE196" s="6">
        <f>[1]Capital!AD36+[1]Capital!AD38</f>
        <v>11018089.079</v>
      </c>
      <c r="AF196" s="6">
        <f>[1]Capital!AE36+[1]Capital!AE38</f>
        <v>11190653.985000001</v>
      </c>
      <c r="AG196" s="6">
        <f>[1]Capital!AF36+[1]Capital!AF38</f>
        <v>11367102.726</v>
      </c>
      <c r="AH196" s="6">
        <f>[1]Capital!AG36+[1]Capital!AG38</f>
        <v>11547396.748</v>
      </c>
      <c r="AI196" s="6">
        <f>[1]Capital!AH36+[1]Capital!AH38</f>
        <v>11731399.206</v>
      </c>
      <c r="AJ196" s="6">
        <f>[1]Capital!AI36+[1]Capital!AI38</f>
        <v>11918946.199000001</v>
      </c>
      <c r="AK196" s="6">
        <f>[1]Capital!AJ36+[1]Capital!AJ38</f>
        <v>12109910.978</v>
      </c>
      <c r="AL196" s="6">
        <f>[1]Capital!AK36+[1]Capital!AK38</f>
        <v>12304237.024</v>
      </c>
    </row>
    <row r="197" spans="1:38" x14ac:dyDescent="0.3">
      <c r="B197" t="s">
        <v>9</v>
      </c>
      <c r="C197" s="6">
        <f>[1]Capital!B28+[1]Capital!B30+[1]Capital!B32+[1]Capital!B34</f>
        <v>164791.85856999998</v>
      </c>
      <c r="D197" s="6">
        <f>[1]Capital!C28+[1]Capital!C30+[1]Capital!C32+[1]Capital!C34</f>
        <v>166598.52296999999</v>
      </c>
      <c r="E197" s="6">
        <f>[1]Capital!D28+[1]Capital!D30+[1]Capital!D32+[1]Capital!D34</f>
        <v>168336.50771999999</v>
      </c>
      <c r="F197" s="6">
        <f>[1]Capital!E28+[1]Capital!E30+[1]Capital!E32+[1]Capital!E34</f>
        <v>170065.21231999999</v>
      </c>
      <c r="G197" s="6">
        <f>[1]Capital!F28+[1]Capital!F30+[1]Capital!F32+[1]Capital!F34</f>
        <v>171831.71909999999</v>
      </c>
      <c r="H197" s="6">
        <f>[1]Capital!G28+[1]Capital!G30+[1]Capital!G32+[1]Capital!G34</f>
        <v>173657.50086</v>
      </c>
      <c r="I197" s="6">
        <f>[1]Capital!H28+[1]Capital!H30+[1]Capital!H32+[1]Capital!H34</f>
        <v>175365.31771</v>
      </c>
      <c r="J197" s="6">
        <f>[1]Capital!I28+[1]Capital!I30+[1]Capital!I32+[1]Capital!I34</f>
        <v>176965.53146999999</v>
      </c>
      <c r="K197" s="6">
        <f>[1]Capital!J28+[1]Capital!J30+[1]Capital!J32+[1]Capital!J34</f>
        <v>178479.55396999998</v>
      </c>
      <c r="L197" s="6">
        <f>[1]Capital!K28+[1]Capital!K30+[1]Capital!K32+[1]Capital!K34</f>
        <v>179961.69662</v>
      </c>
      <c r="M197" s="6">
        <f>[1]Capital!L28+[1]Capital!L30+[1]Capital!L32+[1]Capital!L34</f>
        <v>181488.29475</v>
      </c>
      <c r="N197" s="6">
        <f>[1]Capital!M28+[1]Capital!M30+[1]Capital!M32+[1]Capital!M34</f>
        <v>183118.14286999998</v>
      </c>
      <c r="O197" s="6">
        <f>[1]Capital!N28+[1]Capital!N30+[1]Capital!N32+[1]Capital!N34</f>
        <v>184885.0239</v>
      </c>
      <c r="P197" s="6">
        <f>[1]Capital!O28+[1]Capital!O30+[1]Capital!O32+[1]Capital!O34</f>
        <v>186795.83389000001</v>
      </c>
      <c r="Q197" s="6">
        <f>[1]Capital!P28+[1]Capital!P30+[1]Capital!P32+[1]Capital!P34</f>
        <v>188836.64170000001</v>
      </c>
      <c r="R197" s="6">
        <f>[1]Capital!Q28+[1]Capital!Q30+[1]Capital!Q32+[1]Capital!Q34</f>
        <v>190983.2439</v>
      </c>
      <c r="S197" s="6">
        <f>[1]Capital!R28+[1]Capital!R30+[1]Capital!R32+[1]Capital!R34</f>
        <v>193211.95627000002</v>
      </c>
      <c r="T197" s="6">
        <f>[1]Capital!S28+[1]Capital!S30+[1]Capital!S32+[1]Capital!S34</f>
        <v>195506.85592</v>
      </c>
      <c r="U197" s="6">
        <f>[1]Capital!T28+[1]Capital!T30+[1]Capital!T32+[1]Capital!T34</f>
        <v>197861.9725</v>
      </c>
      <c r="V197" s="6">
        <f>[1]Capital!U28+[1]Capital!U30+[1]Capital!U32+[1]Capital!U34</f>
        <v>200279.28313</v>
      </c>
      <c r="W197" s="6">
        <f>[1]Capital!V28+[1]Capital!V30+[1]Capital!V32+[1]Capital!V34</f>
        <v>202757.43109999999</v>
      </c>
      <c r="X197" s="6">
        <f>[1]Capital!W28+[1]Capital!W30+[1]Capital!W32+[1]Capital!W34</f>
        <v>205303.32692000002</v>
      </c>
      <c r="Y197" s="6">
        <f>[1]Capital!X28+[1]Capital!X30+[1]Capital!X32+[1]Capital!X34</f>
        <v>207923.80486999999</v>
      </c>
      <c r="Z197" s="6">
        <f>[1]Capital!Y28+[1]Capital!Y30+[1]Capital!Y32+[1]Capital!Y34</f>
        <v>210622.23149999999</v>
      </c>
      <c r="AA197" s="6">
        <f>[1]Capital!Z28+[1]Capital!Z30+[1]Capital!Z32+[1]Capital!Z34</f>
        <v>213398.30364999999</v>
      </c>
      <c r="AB197" s="6">
        <f>[1]Capital!AA28+[1]Capital!AA30+[1]Capital!AA32+[1]Capital!AA34</f>
        <v>216227.03876000002</v>
      </c>
      <c r="AC197" s="6">
        <f>[1]Capital!AB28+[1]Capital!AB30+[1]Capital!AB32+[1]Capital!AB34</f>
        <v>219101.85904000001</v>
      </c>
      <c r="AD197" s="6">
        <f>[1]Capital!AC28+[1]Capital!AC30+[1]Capital!AC32+[1]Capital!AC34</f>
        <v>222024.06959</v>
      </c>
      <c r="AE197" s="6">
        <f>[1]Capital!AD28+[1]Capital!AD30+[1]Capital!AD32+[1]Capital!AD34</f>
        <v>224998.69214999999</v>
      </c>
      <c r="AF197" s="6">
        <f>[1]Capital!AE28+[1]Capital!AE30+[1]Capital!AE32+[1]Capital!AE34</f>
        <v>228030.75034999999</v>
      </c>
      <c r="AG197" s="6">
        <f>[1]Capital!AF28+[1]Capital!AF30+[1]Capital!AF32+[1]Capital!AF34</f>
        <v>231122.96242999999</v>
      </c>
      <c r="AH197" s="6">
        <f>[1]Capital!AG28+[1]Capital!AG30+[1]Capital!AG32+[1]Capital!AG34</f>
        <v>234275.03713000001</v>
      </c>
      <c r="AI197" s="6">
        <f>[1]Capital!AH28+[1]Capital!AH30+[1]Capital!AH32+[1]Capital!AH34</f>
        <v>237484.37729</v>
      </c>
      <c r="AJ197" s="6">
        <f>[1]Capital!AI28+[1]Capital!AI30+[1]Capital!AI32+[1]Capital!AI34</f>
        <v>240747.55051999999</v>
      </c>
      <c r="AK197" s="6">
        <f>[1]Capital!AJ28+[1]Capital!AJ30+[1]Capital!AJ32+[1]Capital!AJ34</f>
        <v>244061.74182000002</v>
      </c>
      <c r="AL197" s="6">
        <f>[1]Capital!AK28+[1]Capital!AK30+[1]Capital!AK32+[1]Capital!AK34</f>
        <v>247425.61186</v>
      </c>
    </row>
    <row r="198" spans="1:38" x14ac:dyDescent="0.3"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</row>
    <row r="199" spans="1:38" x14ac:dyDescent="0.3">
      <c r="C199" s="2">
        <v>42005</v>
      </c>
      <c r="D199" s="2">
        <v>42370</v>
      </c>
      <c r="E199" s="2">
        <v>42736</v>
      </c>
      <c r="F199" s="2">
        <v>43101</v>
      </c>
      <c r="G199" s="2">
        <v>43466</v>
      </c>
      <c r="H199" s="2">
        <v>43831</v>
      </c>
      <c r="I199" s="2">
        <v>44197</v>
      </c>
      <c r="J199" s="2">
        <v>44562</v>
      </c>
      <c r="K199" s="2">
        <v>44927</v>
      </c>
      <c r="L199" s="2">
        <v>45292</v>
      </c>
      <c r="M199" s="2">
        <v>45658</v>
      </c>
      <c r="N199" s="2">
        <v>46023</v>
      </c>
      <c r="O199" s="2">
        <v>46388</v>
      </c>
      <c r="P199" s="2">
        <v>46753</v>
      </c>
      <c r="Q199" s="2">
        <v>47119</v>
      </c>
      <c r="R199" s="2">
        <v>47484</v>
      </c>
      <c r="S199" s="2">
        <v>47849</v>
      </c>
      <c r="T199" s="2">
        <v>48214</v>
      </c>
      <c r="U199" s="2">
        <v>48580</v>
      </c>
      <c r="V199" s="2">
        <v>48945</v>
      </c>
      <c r="W199" s="2">
        <v>49310</v>
      </c>
      <c r="X199" s="2">
        <v>49675</v>
      </c>
      <c r="Y199" s="2">
        <v>50041</v>
      </c>
      <c r="Z199" s="2">
        <v>50406</v>
      </c>
      <c r="AA199" s="2">
        <v>50771</v>
      </c>
      <c r="AB199" s="2">
        <v>51136</v>
      </c>
      <c r="AC199" s="2">
        <v>51502</v>
      </c>
      <c r="AD199" s="2">
        <v>51867</v>
      </c>
      <c r="AE199" s="2">
        <v>52232</v>
      </c>
      <c r="AF199" s="2">
        <v>52597</v>
      </c>
      <c r="AG199" s="2">
        <v>52963</v>
      </c>
      <c r="AH199" s="2">
        <v>53328</v>
      </c>
      <c r="AI199" s="2">
        <v>53693</v>
      </c>
      <c r="AJ199" s="2">
        <v>54058</v>
      </c>
      <c r="AK199" s="2">
        <v>54424</v>
      </c>
      <c r="AL199" s="2">
        <v>54789</v>
      </c>
    </row>
    <row r="200" spans="1:38" x14ac:dyDescent="0.3">
      <c r="A200" s="12" t="s">
        <v>30</v>
      </c>
      <c r="B200" t="s">
        <v>28</v>
      </c>
      <c r="C200" s="9">
        <f t="shared" ref="C200:AL200" si="32">C190/C141/(C180/C129)-1</f>
        <v>0</v>
      </c>
      <c r="D200" s="9">
        <f t="shared" si="32"/>
        <v>0</v>
      </c>
      <c r="E200" s="9">
        <f t="shared" si="32"/>
        <v>0</v>
      </c>
      <c r="F200" s="9">
        <f t="shared" si="32"/>
        <v>0</v>
      </c>
      <c r="G200" s="9">
        <f t="shared" si="32"/>
        <v>0</v>
      </c>
      <c r="H200" s="9">
        <f t="shared" si="32"/>
        <v>0</v>
      </c>
      <c r="I200" s="9">
        <f t="shared" si="32"/>
        <v>8.1535948544682046E-3</v>
      </c>
      <c r="J200" s="9">
        <f t="shared" si="32"/>
        <v>1.4276016931831004E-2</v>
      </c>
      <c r="K200" s="9">
        <f t="shared" si="32"/>
        <v>1.7953773916966398E-2</v>
      </c>
      <c r="L200" s="9">
        <f t="shared" si="32"/>
        <v>1.835833531328479E-2</v>
      </c>
      <c r="M200" s="9">
        <f t="shared" si="32"/>
        <v>1.588296656374788E-2</v>
      </c>
      <c r="N200" s="9">
        <f t="shared" si="32"/>
        <v>1.1800798933352397E-2</v>
      </c>
      <c r="O200" s="9">
        <f t="shared" si="32"/>
        <v>7.3402928527939171E-3</v>
      </c>
      <c r="P200" s="9">
        <f t="shared" si="32"/>
        <v>3.584194141769137E-3</v>
      </c>
      <c r="Q200" s="9">
        <f t="shared" si="32"/>
        <v>1.11366269081703E-3</v>
      </c>
      <c r="R200" s="9">
        <f t="shared" si="32"/>
        <v>-2.4570244163024668E-5</v>
      </c>
      <c r="S200" s="9">
        <f t="shared" si="32"/>
        <v>-1.6644176215596662E-4</v>
      </c>
      <c r="T200" s="9">
        <f t="shared" si="32"/>
        <v>1.9969392596541624E-4</v>
      </c>
      <c r="U200" s="9">
        <f t="shared" si="32"/>
        <v>6.3941849585358312E-4</v>
      </c>
      <c r="V200" s="9">
        <f t="shared" si="32"/>
        <v>8.9186322701895193E-4</v>
      </c>
      <c r="W200" s="9">
        <f t="shared" si="32"/>
        <v>8.91037894825919E-4</v>
      </c>
      <c r="X200" s="9">
        <f t="shared" si="32"/>
        <v>6.8901048651937025E-4</v>
      </c>
      <c r="Y200" s="9">
        <f t="shared" si="32"/>
        <v>4.0814440850156508E-4</v>
      </c>
      <c r="Z200" s="9">
        <f t="shared" si="32"/>
        <v>1.435865767283051E-4</v>
      </c>
      <c r="AA200" s="9">
        <f t="shared" si="32"/>
        <v>-6.5778480757061608E-5</v>
      </c>
      <c r="AB200" s="9">
        <f t="shared" si="32"/>
        <v>-2.1030446922531976E-4</v>
      </c>
      <c r="AC200" s="9">
        <f t="shared" si="32"/>
        <v>-3.8636388249246867E-4</v>
      </c>
      <c r="AD200" s="9">
        <f t="shared" si="32"/>
        <v>-5.9585336422829371E-4</v>
      </c>
      <c r="AE200" s="9">
        <f t="shared" si="32"/>
        <v>-8.4557861164180625E-4</v>
      </c>
      <c r="AF200" s="9">
        <f t="shared" si="32"/>
        <v>-1.1205376506492337E-3</v>
      </c>
      <c r="AG200" s="9">
        <f t="shared" si="32"/>
        <v>-1.3924076030148447E-3</v>
      </c>
      <c r="AH200" s="9">
        <f t="shared" si="32"/>
        <v>-1.6323358681233913E-3</v>
      </c>
      <c r="AI200" s="9">
        <f t="shared" si="32"/>
        <v>-1.8214525669073556E-3</v>
      </c>
      <c r="AJ200" s="9">
        <f t="shared" si="32"/>
        <v>-1.9553762064905555E-3</v>
      </c>
      <c r="AK200" s="9">
        <f t="shared" si="32"/>
        <v>-2.0424738945946652E-3</v>
      </c>
      <c r="AL200" s="9">
        <f t="shared" si="32"/>
        <v>-2.0978994254005068E-3</v>
      </c>
    </row>
    <row r="201" spans="1:38" x14ac:dyDescent="0.3">
      <c r="A201" t="s">
        <v>59</v>
      </c>
      <c r="B201" t="s">
        <v>7</v>
      </c>
      <c r="C201" s="9">
        <f t="shared" ref="C201:AL201" si="33">C191/C142/(C181/C130)-1</f>
        <v>0</v>
      </c>
      <c r="D201" s="9">
        <f t="shared" si="33"/>
        <v>0</v>
      </c>
      <c r="E201" s="9">
        <f t="shared" si="33"/>
        <v>0</v>
      </c>
      <c r="F201" s="9">
        <f t="shared" si="33"/>
        <v>0</v>
      </c>
      <c r="G201" s="9">
        <f t="shared" si="33"/>
        <v>0</v>
      </c>
      <c r="H201" s="9">
        <f t="shared" si="33"/>
        <v>0</v>
      </c>
      <c r="I201" s="9">
        <f t="shared" si="33"/>
        <v>3.9014662298038072E-3</v>
      </c>
      <c r="J201" s="9">
        <f t="shared" si="33"/>
        <v>1.4901132472303624E-2</v>
      </c>
      <c r="K201" s="9">
        <f t="shared" si="33"/>
        <v>2.9910000297193484E-2</v>
      </c>
      <c r="L201" s="9">
        <f t="shared" si="33"/>
        <v>4.3272411109344766E-2</v>
      </c>
      <c r="M201" s="9">
        <f t="shared" si="33"/>
        <v>5.2167181413352193E-2</v>
      </c>
      <c r="N201" s="9">
        <f t="shared" si="33"/>
        <v>5.5585917583453659E-2</v>
      </c>
      <c r="O201" s="9">
        <f t="shared" si="33"/>
        <v>5.4007333458779394E-2</v>
      </c>
      <c r="P201" s="9">
        <f t="shared" si="33"/>
        <v>4.8754007553371892E-2</v>
      </c>
      <c r="Q201" s="9">
        <f t="shared" si="33"/>
        <v>4.1441263049339039E-2</v>
      </c>
      <c r="R201" s="9">
        <f t="shared" si="33"/>
        <v>3.3546665190674174E-2</v>
      </c>
      <c r="S201" s="9">
        <f t="shared" si="33"/>
        <v>2.6189242462764772E-2</v>
      </c>
      <c r="T201" s="9">
        <f t="shared" si="33"/>
        <v>2.0072394346277278E-2</v>
      </c>
      <c r="U201" s="9">
        <f t="shared" si="33"/>
        <v>1.5532870434490142E-2</v>
      </c>
      <c r="V201" s="9">
        <f t="shared" si="33"/>
        <v>1.2629284136221441E-2</v>
      </c>
      <c r="W201" s="9">
        <f t="shared" si="33"/>
        <v>1.123013839551823E-2</v>
      </c>
      <c r="X201" s="9">
        <f t="shared" si="33"/>
        <v>1.1078086013209809E-2</v>
      </c>
      <c r="Y201" s="9">
        <f t="shared" si="33"/>
        <v>1.1846264421490726E-2</v>
      </c>
      <c r="Z201" s="9">
        <f t="shared" si="33"/>
        <v>1.3186226965312686E-2</v>
      </c>
      <c r="AA201" s="9">
        <f t="shared" si="33"/>
        <v>1.4763179418471717E-2</v>
      </c>
      <c r="AB201" s="9">
        <f t="shared" si="33"/>
        <v>1.6296469772333788E-2</v>
      </c>
      <c r="AC201" s="9">
        <f t="shared" si="33"/>
        <v>1.7576448339217565E-2</v>
      </c>
      <c r="AD201" s="9">
        <f t="shared" si="33"/>
        <v>1.8476424898954624E-2</v>
      </c>
      <c r="AE201" s="9">
        <f t="shared" si="33"/>
        <v>1.8967164743090681E-2</v>
      </c>
      <c r="AF201" s="9">
        <f t="shared" si="33"/>
        <v>1.9089780649665267E-2</v>
      </c>
      <c r="AG201" s="9">
        <f t="shared" si="33"/>
        <v>1.8934499326641152E-2</v>
      </c>
      <c r="AH201" s="9">
        <f t="shared" si="33"/>
        <v>1.8615542139813757E-2</v>
      </c>
      <c r="AI201" s="9">
        <f t="shared" si="33"/>
        <v>1.8248396567132064E-2</v>
      </c>
      <c r="AJ201" s="9">
        <f t="shared" si="33"/>
        <v>1.7933014652318002E-2</v>
      </c>
      <c r="AK201" s="9">
        <f t="shared" si="33"/>
        <v>1.7744067544266606E-2</v>
      </c>
      <c r="AL201" s="9">
        <f t="shared" si="33"/>
        <v>1.7727745199459521E-2</v>
      </c>
    </row>
    <row r="202" spans="1:38" x14ac:dyDescent="0.3">
      <c r="B202" t="s">
        <v>96</v>
      </c>
      <c r="C202" s="9">
        <f t="shared" ref="C202:AL202" si="34">C192/C143/(C182/C131)-1</f>
        <v>0</v>
      </c>
      <c r="D202" s="9">
        <f t="shared" si="34"/>
        <v>0</v>
      </c>
      <c r="E202" s="9">
        <f t="shared" si="34"/>
        <v>0</v>
      </c>
      <c r="F202" s="9">
        <f t="shared" si="34"/>
        <v>0</v>
      </c>
      <c r="G202" s="9">
        <f t="shared" si="34"/>
        <v>0</v>
      </c>
      <c r="H202" s="9">
        <f t="shared" si="34"/>
        <v>0</v>
      </c>
      <c r="I202" s="9">
        <f t="shared" si="34"/>
        <v>1.2960115255433502E-2</v>
      </c>
      <c r="J202" s="9">
        <f t="shared" si="34"/>
        <v>2.177149373605558E-2</v>
      </c>
      <c r="K202" s="9">
        <f t="shared" si="34"/>
        <v>2.6247768263424565E-2</v>
      </c>
      <c r="L202" s="9">
        <f t="shared" si="34"/>
        <v>2.5487530187544127E-2</v>
      </c>
      <c r="M202" s="9">
        <f t="shared" si="34"/>
        <v>1.9409984071949937E-2</v>
      </c>
      <c r="N202" s="9">
        <f t="shared" si="34"/>
        <v>1.2201043291618197E-2</v>
      </c>
      <c r="O202" s="9">
        <f t="shared" si="34"/>
        <v>4.2700279135827746E-3</v>
      </c>
      <c r="P202" s="9">
        <f t="shared" si="34"/>
        <v>-2.3317348101937752E-3</v>
      </c>
      <c r="Q202" s="9">
        <f t="shared" si="34"/>
        <v>-6.4761757610690696E-3</v>
      </c>
      <c r="R202" s="9">
        <f t="shared" si="34"/>
        <v>-8.2721234137040911E-3</v>
      </c>
      <c r="S202" s="9">
        <f t="shared" si="34"/>
        <v>-8.3925699157643141E-3</v>
      </c>
      <c r="T202" s="9">
        <f t="shared" si="34"/>
        <v>-7.5640973103379139E-3</v>
      </c>
      <c r="U202" s="9">
        <f t="shared" si="34"/>
        <v>-6.4496099586188738E-3</v>
      </c>
      <c r="V202" s="9">
        <f t="shared" si="34"/>
        <v>-5.4984381681673078E-3</v>
      </c>
      <c r="W202" s="9">
        <f t="shared" si="34"/>
        <v>-4.6896691712340344E-3</v>
      </c>
      <c r="X202" s="9">
        <f t="shared" si="34"/>
        <v>-4.4917016467316273E-3</v>
      </c>
      <c r="Y202" s="9">
        <f t="shared" si="34"/>
        <v>-4.3846877420764541E-3</v>
      </c>
      <c r="Z202" s="9">
        <f t="shared" si="34"/>
        <v>-4.2535921095092633E-3</v>
      </c>
      <c r="AA202" s="9">
        <f t="shared" si="34"/>
        <v>-4.0536516469399375E-3</v>
      </c>
      <c r="AB202" s="9">
        <f t="shared" si="34"/>
        <v>-3.2642702861280792E-3</v>
      </c>
      <c r="AC202" s="9">
        <f t="shared" si="34"/>
        <v>-3.207864074525002E-3</v>
      </c>
      <c r="AD202" s="9">
        <f t="shared" si="34"/>
        <v>-3.2029194411261619E-3</v>
      </c>
      <c r="AE202" s="9">
        <f t="shared" si="34"/>
        <v>-3.2728191845223797E-3</v>
      </c>
      <c r="AF202" s="9">
        <f t="shared" si="34"/>
        <v>-3.4055054452275524E-3</v>
      </c>
      <c r="AG202" s="9">
        <f t="shared" si="34"/>
        <v>-3.5595026900211435E-3</v>
      </c>
      <c r="AH202" s="9">
        <f t="shared" si="34"/>
        <v>-3.6866169540524796E-3</v>
      </c>
      <c r="AI202" s="9">
        <f t="shared" si="34"/>
        <v>-3.7523718749465917E-3</v>
      </c>
      <c r="AJ202" s="9">
        <f t="shared" si="34"/>
        <v>-3.7459814442950545E-3</v>
      </c>
      <c r="AK202" s="9">
        <f t="shared" si="34"/>
        <v>-3.678599437675234E-3</v>
      </c>
      <c r="AL202" s="9">
        <f t="shared" si="34"/>
        <v>-3.5738617714352605E-3</v>
      </c>
    </row>
    <row r="203" spans="1:38" x14ac:dyDescent="0.3">
      <c r="B203" t="s">
        <v>25</v>
      </c>
      <c r="C203" s="9">
        <f t="shared" ref="C203:AL203" si="35">C193/C144/(C183/C132)-1</f>
        <v>0</v>
      </c>
      <c r="D203" s="9">
        <f t="shared" si="35"/>
        <v>0</v>
      </c>
      <c r="E203" s="9">
        <f t="shared" si="35"/>
        <v>0</v>
      </c>
      <c r="F203" s="9">
        <f t="shared" si="35"/>
        <v>0</v>
      </c>
      <c r="G203" s="9">
        <f t="shared" si="35"/>
        <v>0</v>
      </c>
      <c r="H203" s="9">
        <f t="shared" si="35"/>
        <v>0</v>
      </c>
      <c r="I203" s="9">
        <f t="shared" si="35"/>
        <v>-8.8243152550920856E-3</v>
      </c>
      <c r="J203" s="9">
        <f t="shared" si="35"/>
        <v>-8.5123843236745156E-3</v>
      </c>
      <c r="K203" s="9">
        <f t="shared" si="35"/>
        <v>-4.334513533344353E-3</v>
      </c>
      <c r="L203" s="9">
        <f t="shared" si="35"/>
        <v>2.2105118362758525E-3</v>
      </c>
      <c r="M203" s="9">
        <f t="shared" si="35"/>
        <v>9.6023477113591493E-3</v>
      </c>
      <c r="N203" s="9">
        <f t="shared" si="35"/>
        <v>1.6081281883280729E-2</v>
      </c>
      <c r="O203" s="9">
        <f t="shared" si="35"/>
        <v>2.0491779658908138E-2</v>
      </c>
      <c r="P203" s="9">
        <f t="shared" si="35"/>
        <v>2.2338693723028991E-2</v>
      </c>
      <c r="Q203" s="9">
        <f t="shared" si="35"/>
        <v>2.183467401544581E-2</v>
      </c>
      <c r="R203" s="9">
        <f t="shared" si="35"/>
        <v>1.9707068160488284E-2</v>
      </c>
      <c r="S203" s="9">
        <f t="shared" si="35"/>
        <v>1.6911238588550148E-2</v>
      </c>
      <c r="T203" s="9">
        <f t="shared" si="35"/>
        <v>1.4170862993613476E-2</v>
      </c>
      <c r="U203" s="9">
        <f t="shared" si="35"/>
        <v>1.1864321686299029E-2</v>
      </c>
      <c r="V203" s="9">
        <f t="shared" si="35"/>
        <v>1.0053887153502972E-2</v>
      </c>
      <c r="W203" s="9">
        <f t="shared" si="35"/>
        <v>8.6188598632170876E-3</v>
      </c>
      <c r="X203" s="9">
        <f t="shared" si="35"/>
        <v>7.3390859842599188E-3</v>
      </c>
      <c r="Y203" s="9">
        <f t="shared" si="35"/>
        <v>6.0848299285263252E-3</v>
      </c>
      <c r="Z203" s="9">
        <f t="shared" si="35"/>
        <v>4.8213384395576764E-3</v>
      </c>
      <c r="AA203" s="9">
        <f t="shared" si="35"/>
        <v>3.5864134342991072E-3</v>
      </c>
      <c r="AB203" s="9">
        <f t="shared" si="35"/>
        <v>2.4846523238404306E-3</v>
      </c>
      <c r="AC203" s="9">
        <f t="shared" si="35"/>
        <v>1.5507326627055562E-3</v>
      </c>
      <c r="AD203" s="9">
        <f t="shared" si="35"/>
        <v>8.0405327175370189E-4</v>
      </c>
      <c r="AE203" s="9">
        <f t="shared" si="35"/>
        <v>2.1481833351177926E-4</v>
      </c>
      <c r="AF203" s="9">
        <f t="shared" si="35"/>
        <v>-2.5804423317965508E-4</v>
      </c>
      <c r="AG203" s="9">
        <f t="shared" si="35"/>
        <v>-6.6180106584257103E-4</v>
      </c>
      <c r="AH203" s="9">
        <f t="shared" si="35"/>
        <v>-1.0317856831209005E-3</v>
      </c>
      <c r="AI203" s="9">
        <f t="shared" si="35"/>
        <v>-1.3827974804504484E-3</v>
      </c>
      <c r="AJ203" s="9">
        <f t="shared" si="35"/>
        <v>-1.7054798741470423E-3</v>
      </c>
      <c r="AK203" s="9">
        <f t="shared" si="35"/>
        <v>-1.9869907217890947E-3</v>
      </c>
      <c r="AL203" s="9">
        <f t="shared" si="35"/>
        <v>-2.2146939964899914E-3</v>
      </c>
    </row>
    <row r="204" spans="1:38" x14ac:dyDescent="0.3">
      <c r="B204" t="s">
        <v>8</v>
      </c>
      <c r="C204" s="9">
        <f t="shared" ref="C204:AL204" si="36">C194/C145/(C184/C133)-1</f>
        <v>0</v>
      </c>
      <c r="D204" s="9">
        <f t="shared" si="36"/>
        <v>0</v>
      </c>
      <c r="E204" s="9">
        <f t="shared" si="36"/>
        <v>0</v>
      </c>
      <c r="F204" s="9">
        <f t="shared" si="36"/>
        <v>0</v>
      </c>
      <c r="G204" s="9">
        <f t="shared" si="36"/>
        <v>0</v>
      </c>
      <c r="H204" s="9">
        <f t="shared" si="36"/>
        <v>0</v>
      </c>
      <c r="I204" s="9">
        <f t="shared" si="36"/>
        <v>6.892449370389464E-3</v>
      </c>
      <c r="J204" s="9">
        <f t="shared" si="36"/>
        <v>1.3928026014268458E-2</v>
      </c>
      <c r="K204" s="9">
        <f t="shared" si="36"/>
        <v>1.9780336642567953E-2</v>
      </c>
      <c r="L204" s="9">
        <f t="shared" si="36"/>
        <v>2.2865344072125371E-2</v>
      </c>
      <c r="M204" s="9">
        <f t="shared" si="36"/>
        <v>2.2916712379843052E-2</v>
      </c>
      <c r="N204" s="9">
        <f t="shared" si="36"/>
        <v>2.0658968441778169E-2</v>
      </c>
      <c r="O204" s="9">
        <f t="shared" si="36"/>
        <v>1.7091123132213282E-2</v>
      </c>
      <c r="P204" s="9">
        <f t="shared" si="36"/>
        <v>1.3238371917548841E-2</v>
      </c>
      <c r="Q204" s="9">
        <f t="shared" si="36"/>
        <v>9.8437950594953971E-3</v>
      </c>
      <c r="R204" s="9">
        <f t="shared" si="36"/>
        <v>7.244150900133528E-3</v>
      </c>
      <c r="S204" s="9">
        <f t="shared" si="36"/>
        <v>5.4281565357754413E-3</v>
      </c>
      <c r="T204" s="9">
        <f t="shared" si="36"/>
        <v>4.1859633423073639E-3</v>
      </c>
      <c r="U204" s="9">
        <f t="shared" si="36"/>
        <v>3.2630673310252156E-3</v>
      </c>
      <c r="V204" s="9">
        <f t="shared" si="36"/>
        <v>2.4701014854333625E-3</v>
      </c>
      <c r="W204" s="9">
        <f t="shared" si="36"/>
        <v>1.7321104778751373E-3</v>
      </c>
      <c r="X204" s="9">
        <f t="shared" si="36"/>
        <v>1.0335949400417377E-3</v>
      </c>
      <c r="Y204" s="9">
        <f t="shared" si="36"/>
        <v>4.3436897134374597E-4</v>
      </c>
      <c r="Z204" s="9">
        <f t="shared" si="36"/>
        <v>-2.2481837428145468E-5</v>
      </c>
      <c r="AA204" s="9">
        <f t="shared" si="36"/>
        <v>-3.3025886584792108E-4</v>
      </c>
      <c r="AB204" s="9">
        <f t="shared" si="36"/>
        <v>-4.9084008405020363E-4</v>
      </c>
      <c r="AC204" s="9">
        <f t="shared" si="36"/>
        <v>-6.1427035279004727E-4</v>
      </c>
      <c r="AD204" s="9">
        <f t="shared" si="36"/>
        <v>-7.1727133919841091E-4</v>
      </c>
      <c r="AE204" s="9">
        <f t="shared" si="36"/>
        <v>-8.1837698061815178E-4</v>
      </c>
      <c r="AF204" s="9">
        <f t="shared" si="36"/>
        <v>-9.210803338483009E-4</v>
      </c>
      <c r="AG204" s="9">
        <f t="shared" si="36"/>
        <v>-1.0146023696722128E-3</v>
      </c>
      <c r="AH204" s="9">
        <f t="shared" si="36"/>
        <v>-1.0827402690832821E-3</v>
      </c>
      <c r="AI204" s="9">
        <f t="shared" si="36"/>
        <v>-1.1127872131158068E-3</v>
      </c>
      <c r="AJ204" s="9">
        <f t="shared" si="36"/>
        <v>-1.1007728732962407E-3</v>
      </c>
      <c r="AK204" s="9">
        <f t="shared" si="36"/>
        <v>-1.0519567812398156E-3</v>
      </c>
      <c r="AL204" s="9">
        <f t="shared" si="36"/>
        <v>-9.7760597556495465E-4</v>
      </c>
    </row>
    <row r="205" spans="1:38" x14ac:dyDescent="0.3">
      <c r="B205" t="s">
        <v>24</v>
      </c>
      <c r="C205" s="9">
        <f t="shared" ref="C205:AL205" si="37">C195/C146/(C185/C134)-1</f>
        <v>0</v>
      </c>
      <c r="D205" s="9">
        <f t="shared" si="37"/>
        <v>0</v>
      </c>
      <c r="E205" s="9">
        <f t="shared" si="37"/>
        <v>0</v>
      </c>
      <c r="F205" s="9">
        <f t="shared" si="37"/>
        <v>0</v>
      </c>
      <c r="G205" s="9">
        <f t="shared" si="37"/>
        <v>0</v>
      </c>
      <c r="H205" s="9">
        <f t="shared" si="37"/>
        <v>0</v>
      </c>
      <c r="I205" s="9">
        <f t="shared" si="37"/>
        <v>-6.1219491432138451E-3</v>
      </c>
      <c r="J205" s="9">
        <f t="shared" si="37"/>
        <v>-6.8939814824602319E-3</v>
      </c>
      <c r="K205" s="9">
        <f t="shared" si="37"/>
        <v>-5.4656017421624847E-3</v>
      </c>
      <c r="L205" s="9">
        <f t="shared" si="37"/>
        <v>-2.5987329497950684E-3</v>
      </c>
      <c r="M205" s="9">
        <f t="shared" si="37"/>
        <v>8.8352115138978782E-4</v>
      </c>
      <c r="N205" s="9">
        <f t="shared" si="37"/>
        <v>4.0531944703039446E-3</v>
      </c>
      <c r="O205" s="9">
        <f t="shared" si="37"/>
        <v>6.2772958073420426E-3</v>
      </c>
      <c r="P205" s="9">
        <f t="shared" si="37"/>
        <v>7.2451871977732285E-3</v>
      </c>
      <c r="Q205" s="9">
        <f t="shared" si="37"/>
        <v>7.0045559075395669E-3</v>
      </c>
      <c r="R205" s="9">
        <f t="shared" si="37"/>
        <v>5.8754837914165581E-3</v>
      </c>
      <c r="S205" s="9">
        <f t="shared" si="37"/>
        <v>4.2944044342496657E-3</v>
      </c>
      <c r="T205" s="9">
        <f t="shared" si="37"/>
        <v>2.6347868462881507E-3</v>
      </c>
      <c r="U205" s="9">
        <f t="shared" si="37"/>
        <v>1.1230223478539969E-3</v>
      </c>
      <c r="V205" s="9">
        <f t="shared" si="37"/>
        <v>-1.6658821963000392E-4</v>
      </c>
      <c r="W205" s="9">
        <f t="shared" si="37"/>
        <v>-1.2570381284056076E-3</v>
      </c>
      <c r="X205" s="9">
        <f t="shared" si="37"/>
        <v>-2.2436063072083234E-3</v>
      </c>
      <c r="Y205" s="9">
        <f t="shared" si="37"/>
        <v>-3.1819847783260968E-3</v>
      </c>
      <c r="Z205" s="9">
        <f t="shared" si="37"/>
        <v>-4.0988495864668906E-3</v>
      </c>
      <c r="AA205" s="9">
        <f t="shared" si="37"/>
        <v>-4.9836918353971527E-3</v>
      </c>
      <c r="AB205" s="9">
        <f t="shared" si="37"/>
        <v>-5.7901158058744073E-3</v>
      </c>
      <c r="AC205" s="9">
        <f t="shared" si="37"/>
        <v>-6.5150627311221232E-3</v>
      </c>
      <c r="AD205" s="9">
        <f t="shared" si="37"/>
        <v>-7.139795349020317E-3</v>
      </c>
      <c r="AE205" s="9">
        <f t="shared" si="37"/>
        <v>-7.6730799214159706E-3</v>
      </c>
      <c r="AF205" s="9">
        <f t="shared" si="37"/>
        <v>-8.134637534263689E-3</v>
      </c>
      <c r="AG205" s="9">
        <f t="shared" si="37"/>
        <v>-8.5476866617789637E-3</v>
      </c>
      <c r="AH205" s="9">
        <f t="shared" si="37"/>
        <v>-8.9314000422775486E-3</v>
      </c>
      <c r="AI205" s="9">
        <f t="shared" si="37"/>
        <v>-9.2959963527822209E-3</v>
      </c>
      <c r="AJ205" s="9">
        <f t="shared" si="37"/>
        <v>-9.642896566176451E-3</v>
      </c>
      <c r="AK205" s="9">
        <f t="shared" si="37"/>
        <v>-9.9684919022084983E-3</v>
      </c>
      <c r="AL205" s="9">
        <f t="shared" si="37"/>
        <v>-1.0268092430480436E-2</v>
      </c>
    </row>
    <row r="206" spans="1:38" x14ac:dyDescent="0.3">
      <c r="B206" t="s">
        <v>10</v>
      </c>
      <c r="C206" s="9">
        <f t="shared" ref="C206:AL206" si="38">C196/C147/(C186/C135)-1</f>
        <v>0</v>
      </c>
      <c r="D206" s="9">
        <f t="shared" si="38"/>
        <v>0</v>
      </c>
      <c r="E206" s="9">
        <f t="shared" si="38"/>
        <v>0</v>
      </c>
      <c r="F206" s="9">
        <f t="shared" si="38"/>
        <v>0</v>
      </c>
      <c r="G206" s="9">
        <f t="shared" si="38"/>
        <v>0</v>
      </c>
      <c r="H206" s="9">
        <f t="shared" si="38"/>
        <v>0</v>
      </c>
      <c r="I206" s="9">
        <f t="shared" si="38"/>
        <v>8.8193608508411181E-3</v>
      </c>
      <c r="J206" s="9">
        <f t="shared" si="38"/>
        <v>1.448657763642891E-2</v>
      </c>
      <c r="K206" s="9">
        <f t="shared" si="38"/>
        <v>1.7052805149464945E-2</v>
      </c>
      <c r="L206" s="9">
        <f t="shared" si="38"/>
        <v>1.6080498099827256E-2</v>
      </c>
      <c r="M206" s="9">
        <f t="shared" si="38"/>
        <v>1.2361213270470683E-2</v>
      </c>
      <c r="N206" s="9">
        <f t="shared" si="38"/>
        <v>7.3121015046624382E-3</v>
      </c>
      <c r="O206" s="9">
        <f t="shared" si="38"/>
        <v>2.3719507971617926E-3</v>
      </c>
      <c r="P206" s="9">
        <f t="shared" si="38"/>
        <v>-1.4008339889377552E-3</v>
      </c>
      <c r="Q206" s="9">
        <f t="shared" si="38"/>
        <v>-3.539642272733734E-3</v>
      </c>
      <c r="R206" s="9">
        <f t="shared" si="38"/>
        <v>-4.1213295450109877E-3</v>
      </c>
      <c r="S206" s="9">
        <f t="shared" si="38"/>
        <v>-3.6178041612227041E-3</v>
      </c>
      <c r="T206" s="9">
        <f t="shared" si="38"/>
        <v>-2.6459069071160801E-3</v>
      </c>
      <c r="U206" s="9">
        <f t="shared" si="38"/>
        <v>-1.7192201819880015E-3</v>
      </c>
      <c r="V206" s="9">
        <f t="shared" si="38"/>
        <v>-1.122686823993746E-3</v>
      </c>
      <c r="W206" s="9">
        <f t="shared" si="38"/>
        <v>-9.2666749693748329E-4</v>
      </c>
      <c r="X206" s="9">
        <f t="shared" si="38"/>
        <v>-9.9664692384759945E-4</v>
      </c>
      <c r="Y206" s="9">
        <f t="shared" si="38"/>
        <v>-1.2091577080988181E-3</v>
      </c>
      <c r="Z206" s="9">
        <f t="shared" si="38"/>
        <v>-1.4426110879544041E-3</v>
      </c>
      <c r="AA206" s="9">
        <f t="shared" si="38"/>
        <v>-1.6424666167444979E-3</v>
      </c>
      <c r="AB206" s="9">
        <f t="shared" si="38"/>
        <v>-1.8405062821856832E-3</v>
      </c>
      <c r="AC206" s="9">
        <f t="shared" si="38"/>
        <v>-2.0235731856066419E-3</v>
      </c>
      <c r="AD206" s="9">
        <f t="shared" si="38"/>
        <v>-2.2471491527981113E-3</v>
      </c>
      <c r="AE206" s="9">
        <f t="shared" si="38"/>
        <v>-2.5127826688050581E-3</v>
      </c>
      <c r="AF206" s="9">
        <f t="shared" si="38"/>
        <v>-2.8000069462080779E-3</v>
      </c>
      <c r="AG206" s="9">
        <f t="shared" si="38"/>
        <v>-3.0769415331219907E-3</v>
      </c>
      <c r="AH206" s="9">
        <f t="shared" si="38"/>
        <v>-3.3137659384784302E-3</v>
      </c>
      <c r="AI206" s="9">
        <f t="shared" si="38"/>
        <v>-3.4930328216653539E-3</v>
      </c>
      <c r="AJ206" s="9">
        <f t="shared" si="38"/>
        <v>-3.6133415109216305E-3</v>
      </c>
      <c r="AK206" s="9">
        <f t="shared" si="38"/>
        <v>-3.6862988051413748E-3</v>
      </c>
      <c r="AL206" s="9">
        <f t="shared" si="38"/>
        <v>-3.7296110628830537E-3</v>
      </c>
    </row>
    <row r="207" spans="1:38" x14ac:dyDescent="0.3">
      <c r="B207" t="s">
        <v>9</v>
      </c>
      <c r="C207" s="9">
        <f t="shared" ref="C207:AL207" si="39">C197/C148/(C187/C136)-1</f>
        <v>0</v>
      </c>
      <c r="D207" s="9">
        <f t="shared" si="39"/>
        <v>0</v>
      </c>
      <c r="E207" s="9">
        <f t="shared" si="39"/>
        <v>0</v>
      </c>
      <c r="F207" s="9">
        <f t="shared" si="39"/>
        <v>0</v>
      </c>
      <c r="G207" s="9">
        <f t="shared" si="39"/>
        <v>0</v>
      </c>
      <c r="H207" s="9">
        <f t="shared" si="39"/>
        <v>0</v>
      </c>
      <c r="I207" s="9">
        <f t="shared" si="39"/>
        <v>6.0458879358191719E-3</v>
      </c>
      <c r="J207" s="9">
        <f t="shared" si="39"/>
        <v>1.0907037290314614E-2</v>
      </c>
      <c r="K207" s="9">
        <f t="shared" si="39"/>
        <v>1.3922060700452876E-2</v>
      </c>
      <c r="L207" s="9">
        <f t="shared" si="39"/>
        <v>1.4409686309682534E-2</v>
      </c>
      <c r="M207" s="9">
        <f t="shared" si="39"/>
        <v>1.2599510819747195E-2</v>
      </c>
      <c r="N207" s="9">
        <f t="shared" si="39"/>
        <v>9.352724715775862E-3</v>
      </c>
      <c r="O207" s="9">
        <f t="shared" si="39"/>
        <v>5.6846993735231166E-3</v>
      </c>
      <c r="P207" s="9">
        <f t="shared" si="39"/>
        <v>2.45675596335726E-3</v>
      </c>
      <c r="Q207" s="9">
        <f t="shared" si="39"/>
        <v>1.7055944122024158E-4</v>
      </c>
      <c r="R207" s="9">
        <f t="shared" si="39"/>
        <v>-1.0695040108379406E-3</v>
      </c>
      <c r="S207" s="9">
        <f t="shared" si="39"/>
        <v>-1.4753078745162185E-3</v>
      </c>
      <c r="T207" s="9">
        <f t="shared" si="39"/>
        <v>-1.4136319093916994E-3</v>
      </c>
      <c r="U207" s="9">
        <f t="shared" si="39"/>
        <v>-1.235925910712643E-3</v>
      </c>
      <c r="V207" s="9">
        <f t="shared" si="39"/>
        <v>-1.1696918316996818E-3</v>
      </c>
      <c r="W207" s="9">
        <f t="shared" si="39"/>
        <v>-1.2960877540654225E-3</v>
      </c>
      <c r="X207" s="9">
        <f t="shared" si="39"/>
        <v>-1.5650437993375288E-3</v>
      </c>
      <c r="Y207" s="9">
        <f t="shared" si="39"/>
        <v>-1.8921343554484382E-3</v>
      </c>
      <c r="Z207" s="9">
        <f t="shared" si="39"/>
        <v>-2.1924975437667138E-3</v>
      </c>
      <c r="AA207" s="9">
        <f t="shared" si="39"/>
        <v>-2.4220817071284317E-3</v>
      </c>
      <c r="AB207" s="9">
        <f t="shared" si="39"/>
        <v>-2.5862874009374703E-3</v>
      </c>
      <c r="AC207" s="9">
        <f t="shared" si="39"/>
        <v>-2.7057689271458019E-3</v>
      </c>
      <c r="AD207" s="9">
        <f t="shared" si="39"/>
        <v>-2.8140393310198686E-3</v>
      </c>
      <c r="AE207" s="9">
        <f t="shared" si="39"/>
        <v>-2.9230328603679911E-3</v>
      </c>
      <c r="AF207" s="9">
        <f t="shared" si="39"/>
        <v>-3.0286993355188585E-3</v>
      </c>
      <c r="AG207" s="9">
        <f t="shared" si="39"/>
        <v>-3.1161948008767704E-3</v>
      </c>
      <c r="AH207" s="9">
        <f t="shared" si="39"/>
        <v>-3.1687586966456793E-3</v>
      </c>
      <c r="AI207" s="9">
        <f t="shared" si="39"/>
        <v>-3.1756778731389934E-3</v>
      </c>
      <c r="AJ207" s="9">
        <f t="shared" si="39"/>
        <v>-3.1362973765426405E-3</v>
      </c>
      <c r="AK207" s="9">
        <f t="shared" si="39"/>
        <v>-3.059306953176022E-3</v>
      </c>
      <c r="AL207" s="9">
        <f t="shared" si="39"/>
        <v>-2.9586450155995037E-3</v>
      </c>
    </row>
    <row r="209" spans="1:38" x14ac:dyDescent="0.3">
      <c r="A209" s="12" t="s">
        <v>60</v>
      </c>
      <c r="B209" t="s">
        <v>22</v>
      </c>
      <c r="C209" s="6">
        <f>[1]Results!F1434</f>
        <v>27367.648700000002</v>
      </c>
      <c r="D209" s="6">
        <f>[1]Results!G1434</f>
        <v>27332.478599999999</v>
      </c>
      <c r="E209" s="6">
        <f>[1]Results!H1434</f>
        <v>27312.15624</v>
      </c>
      <c r="F209" s="6">
        <f>[1]Results!I1434</f>
        <v>27336.220120000002</v>
      </c>
      <c r="G209" s="6">
        <f>[1]Results!J1434</f>
        <v>27400.34274</v>
      </c>
      <c r="H209" s="6">
        <f>[1]Results!K1434</f>
        <v>27493.324339999999</v>
      </c>
      <c r="I209" s="6">
        <f>[1]Results!L1434</f>
        <v>27541.148109999998</v>
      </c>
      <c r="J209" s="6">
        <f>[1]Results!M1434</f>
        <v>27526.98057</v>
      </c>
      <c r="K209" s="6">
        <f>[1]Results!N1434</f>
        <v>27489.721379999999</v>
      </c>
      <c r="L209" s="6">
        <f>[1]Results!O1434</f>
        <v>27465.443630000002</v>
      </c>
      <c r="M209" s="6">
        <f>[1]Results!P1434</f>
        <v>27495.099849999999</v>
      </c>
      <c r="N209" s="6">
        <f>[1]Results!Q1434</f>
        <v>27565.128189999999</v>
      </c>
      <c r="O209" s="6">
        <f>[1]Results!R1434</f>
        <v>27670.831330000001</v>
      </c>
      <c r="P209" s="6">
        <f>[1]Results!S1434</f>
        <v>27797.840349999999</v>
      </c>
      <c r="Q209" s="6">
        <f>[1]Results!T1434</f>
        <v>27929.910100000001</v>
      </c>
      <c r="R209" s="6">
        <f>[1]Results!U1434</f>
        <v>28054.778109999999</v>
      </c>
      <c r="S209" s="6">
        <f>[1]Results!V1434</f>
        <v>28166.857670000001</v>
      </c>
      <c r="T209" s="6">
        <f>[1]Results!W1434</f>
        <v>28266.832129999999</v>
      </c>
      <c r="U209" s="6">
        <f>[1]Results!X1434</f>
        <v>28359.227480000001</v>
      </c>
      <c r="V209" s="6">
        <f>[1]Results!Y1434</f>
        <v>28449.468390000002</v>
      </c>
      <c r="W209" s="6">
        <f>[1]Results!Z1434</f>
        <v>28528.11953</v>
      </c>
      <c r="X209" s="6">
        <f>[1]Results!AA1434</f>
        <v>28614.23487</v>
      </c>
      <c r="Y209" s="6">
        <f>[1]Results!AB1434</f>
        <v>28708.11161</v>
      </c>
      <c r="Z209" s="6">
        <f>[1]Results!AC1434</f>
        <v>28807.350610000001</v>
      </c>
      <c r="AA209" s="6">
        <f>[1]Results!AD1434</f>
        <v>28909.266530000001</v>
      </c>
      <c r="AB209" s="6">
        <f>[1]Results!AE1434</f>
        <v>28969.194510000001</v>
      </c>
      <c r="AC209" s="6">
        <f>[1]Results!AF1434</f>
        <v>29029.829099999999</v>
      </c>
      <c r="AD209" s="6">
        <f>[1]Results!AG1434</f>
        <v>29090.908609999999</v>
      </c>
      <c r="AE209" s="6">
        <f>[1]Results!AH1434</f>
        <v>29153.176100000001</v>
      </c>
      <c r="AF209" s="6">
        <f>[1]Results!AI1434</f>
        <v>29217.499940000002</v>
      </c>
      <c r="AG209" s="6">
        <f>[1]Results!AJ1434</f>
        <v>29283.873039999999</v>
      </c>
      <c r="AH209" s="6">
        <f>[1]Results!AK1434</f>
        <v>29351.418310000001</v>
      </c>
      <c r="AI209" s="6">
        <f>[1]Results!AL1434</f>
        <v>29418.95867</v>
      </c>
      <c r="AJ209" s="6">
        <f>[1]Results!AM1434</f>
        <v>29485.61692</v>
      </c>
      <c r="AK209" s="6">
        <f>[1]Results!AN1434</f>
        <v>29551.12659</v>
      </c>
      <c r="AL209" s="6">
        <f>[1]Results!AO1434</f>
        <v>29615.789089999998</v>
      </c>
    </row>
    <row r="210" spans="1:38" x14ac:dyDescent="0.3">
      <c r="A210" t="s">
        <v>27</v>
      </c>
      <c r="B210" t="s">
        <v>7</v>
      </c>
      <c r="C210" s="6">
        <f>[1]Results!F1435</f>
        <v>760.47401260000004</v>
      </c>
      <c r="D210" s="6">
        <f>[1]Results!G1435</f>
        <v>752.85472030000005</v>
      </c>
      <c r="E210" s="6">
        <f>[1]Results!H1435</f>
        <v>742.15650110000001</v>
      </c>
      <c r="F210" s="6">
        <f>[1]Results!I1435</f>
        <v>731.59538550000002</v>
      </c>
      <c r="G210" s="6">
        <f>[1]Results!J1435</f>
        <v>723.00946750000003</v>
      </c>
      <c r="H210" s="6">
        <f>[1]Results!K1435</f>
        <v>717.06894269999998</v>
      </c>
      <c r="I210" s="6">
        <f>[1]Results!L1435</f>
        <v>735.72899710000002</v>
      </c>
      <c r="J210" s="6">
        <f>[1]Results!M1435</f>
        <v>740.49197489999995</v>
      </c>
      <c r="K210" s="6">
        <f>[1]Results!N1435</f>
        <v>734.70765779999999</v>
      </c>
      <c r="L210" s="6">
        <f>[1]Results!O1435</f>
        <v>722.92149089999998</v>
      </c>
      <c r="M210" s="6">
        <f>[1]Results!P1435</f>
        <v>709.44594979999999</v>
      </c>
      <c r="N210" s="6">
        <f>[1]Results!Q1435</f>
        <v>696.62683730000003</v>
      </c>
      <c r="O210" s="6">
        <f>[1]Results!R1435</f>
        <v>685.91818369999999</v>
      </c>
      <c r="P210" s="6">
        <f>[1]Results!S1435</f>
        <v>677.7776877</v>
      </c>
      <c r="Q210" s="6">
        <f>[1]Results!T1435</f>
        <v>671.97297709999998</v>
      </c>
      <c r="R210" s="6">
        <f>[1]Results!U1435</f>
        <v>667.87608639999996</v>
      </c>
      <c r="S210" s="6">
        <f>[1]Results!V1435</f>
        <v>664.71749290000002</v>
      </c>
      <c r="T210" s="6">
        <f>[1]Results!W1435</f>
        <v>661.78062079999995</v>
      </c>
      <c r="U210" s="6">
        <f>[1]Results!X1435</f>
        <v>658.52534939999998</v>
      </c>
      <c r="V210" s="6">
        <f>[1]Results!Y1435</f>
        <v>654.63853349999999</v>
      </c>
      <c r="W210" s="6">
        <f>[1]Results!Z1435</f>
        <v>649.75247430000002</v>
      </c>
      <c r="X210" s="6">
        <f>[1]Results!AA1435</f>
        <v>644.2159494</v>
      </c>
      <c r="Y210" s="6">
        <f>[1]Results!AB1435</f>
        <v>638.23807939999995</v>
      </c>
      <c r="Z210" s="6">
        <f>[1]Results!AC1435</f>
        <v>632.04711559999998</v>
      </c>
      <c r="AA210" s="6">
        <f>[1]Results!AD1435</f>
        <v>625.83813889999999</v>
      </c>
      <c r="AB210" s="6">
        <f>[1]Results!AE1435</f>
        <v>619.03146449999997</v>
      </c>
      <c r="AC210" s="6">
        <f>[1]Results!AF1435</f>
        <v>612.16641870000001</v>
      </c>
      <c r="AD210" s="6">
        <f>[1]Results!AG1435</f>
        <v>605.41554970000004</v>
      </c>
      <c r="AE210" s="6">
        <f>[1]Results!AH1435</f>
        <v>598.91249349999998</v>
      </c>
      <c r="AF210" s="6">
        <f>[1]Results!AI1435</f>
        <v>592.73219119999999</v>
      </c>
      <c r="AG210" s="6">
        <f>[1]Results!AJ1435</f>
        <v>586.89147419999995</v>
      </c>
      <c r="AH210" s="6">
        <f>[1]Results!AK1435</f>
        <v>581.35731469999996</v>
      </c>
      <c r="AI210" s="6">
        <f>[1]Results!AL1435</f>
        <v>576.06195920000005</v>
      </c>
      <c r="AJ210" s="6">
        <f>[1]Results!AM1435</f>
        <v>570.9215858</v>
      </c>
      <c r="AK210" s="6">
        <f>[1]Results!AN1435</f>
        <v>565.85439699999995</v>
      </c>
      <c r="AL210" s="6">
        <f>[1]Results!AO1435</f>
        <v>560.794579</v>
      </c>
    </row>
    <row r="211" spans="1:38" x14ac:dyDescent="0.3">
      <c r="B211" t="s">
        <v>96</v>
      </c>
      <c r="C211" s="6">
        <f>[1]Results!F1448</f>
        <v>1769.125442</v>
      </c>
      <c r="D211" s="6">
        <f>[1]Results!G1448</f>
        <v>1823.699975</v>
      </c>
      <c r="E211" s="6">
        <f>[1]Results!H1448</f>
        <v>1904.1874110000001</v>
      </c>
      <c r="F211" s="6">
        <f>[1]Results!I1448</f>
        <v>1971.8884210000001</v>
      </c>
      <c r="G211" s="6">
        <f>[1]Results!J1448</f>
        <v>2015.5150430000001</v>
      </c>
      <c r="H211" s="6">
        <f>[1]Results!K1448</f>
        <v>2038.3940689999999</v>
      </c>
      <c r="I211" s="6">
        <f>[1]Results!L1448</f>
        <v>2009.4791889999999</v>
      </c>
      <c r="J211" s="6">
        <f>[1]Results!M1448</f>
        <v>1969.788235</v>
      </c>
      <c r="K211" s="6">
        <f>[1]Results!N1448</f>
        <v>1934.609727</v>
      </c>
      <c r="L211" s="6">
        <f>[1]Results!O1448</f>
        <v>1910.4862370000001</v>
      </c>
      <c r="M211" s="6">
        <f>[1]Results!P1448</f>
        <v>1928.374575</v>
      </c>
      <c r="N211" s="6">
        <f>[1]Results!Q1448</f>
        <v>1927.431231</v>
      </c>
      <c r="O211" s="6">
        <f>[1]Results!R1448</f>
        <v>1929.212178</v>
      </c>
      <c r="P211" s="6">
        <f>[1]Results!S1448</f>
        <v>1937.199218</v>
      </c>
      <c r="Q211" s="6">
        <f>[1]Results!T1448</f>
        <v>1948.810663</v>
      </c>
      <c r="R211" s="6">
        <f>[1]Results!U1448</f>
        <v>1960.791714</v>
      </c>
      <c r="S211" s="6">
        <f>[1]Results!V1448</f>
        <v>1971.1915320000001</v>
      </c>
      <c r="T211" s="6">
        <f>[1]Results!W1448</f>
        <v>1979.6262400000001</v>
      </c>
      <c r="U211" s="6">
        <f>[1]Results!X1448</f>
        <v>1986.75307</v>
      </c>
      <c r="V211" s="6">
        <f>[1]Results!Y1448</f>
        <v>1993.5582219999999</v>
      </c>
      <c r="W211" s="6">
        <f>[1]Results!Z1448</f>
        <v>1982.4422460000001</v>
      </c>
      <c r="X211" s="6">
        <f>[1]Results!AA1448</f>
        <v>1991.1680140000001</v>
      </c>
      <c r="Y211" s="6">
        <f>[1]Results!AB1448</f>
        <v>2005.483166</v>
      </c>
      <c r="Z211" s="6">
        <f>[1]Results!AC1448</f>
        <v>2019.875534</v>
      </c>
      <c r="AA211" s="6">
        <f>[1]Results!AD1448</f>
        <v>2032.7313059999999</v>
      </c>
      <c r="AB211" s="6">
        <f>[1]Results!AE1448</f>
        <v>1992.9349110000001</v>
      </c>
      <c r="AC211" s="6">
        <f>[1]Results!AF1448</f>
        <v>1984.532637</v>
      </c>
      <c r="AD211" s="6">
        <f>[1]Results!AG1448</f>
        <v>1989.5485719999999</v>
      </c>
      <c r="AE211" s="6">
        <f>[1]Results!AH1448</f>
        <v>1999.5321369999999</v>
      </c>
      <c r="AF211" s="6">
        <f>[1]Results!AI1448</f>
        <v>2010.8965659999999</v>
      </c>
      <c r="AG211" s="6">
        <f>[1]Results!AJ1448</f>
        <v>2022.1691049999999</v>
      </c>
      <c r="AH211" s="6">
        <f>[1]Results!AK1448</f>
        <v>2032.7288390000001</v>
      </c>
      <c r="AI211" s="6">
        <f>[1]Results!AL1448</f>
        <v>2042.3265369999999</v>
      </c>
      <c r="AJ211" s="6">
        <f>[1]Results!AM1448</f>
        <v>2050.9356090000001</v>
      </c>
      <c r="AK211" s="6">
        <f>[1]Results!AN1448</f>
        <v>2058.6943919999999</v>
      </c>
      <c r="AL211" s="6">
        <f>[1]Results!AO1448</f>
        <v>2065.8433989999999</v>
      </c>
    </row>
    <row r="212" spans="1:38" x14ac:dyDescent="0.3">
      <c r="B212" t="s">
        <v>11</v>
      </c>
      <c r="C212" s="6">
        <f>[1]Results!F1463</f>
        <v>57.16075163</v>
      </c>
      <c r="D212" s="6">
        <f>[1]Results!G1463</f>
        <v>57.04108643</v>
      </c>
      <c r="E212" s="6">
        <f>[1]Results!H1463</f>
        <v>56.736730629999997</v>
      </c>
      <c r="F212" s="6">
        <f>[1]Results!I1463</f>
        <v>56.327398350000003</v>
      </c>
      <c r="G212" s="6">
        <f>[1]Results!J1463</f>
        <v>55.909958090000003</v>
      </c>
      <c r="H212" s="6">
        <f>[1]Results!K1463</f>
        <v>55.565039740000003</v>
      </c>
      <c r="I212" s="6">
        <f>[1]Results!L1463</f>
        <v>55.633233480000001</v>
      </c>
      <c r="J212" s="6">
        <f>[1]Results!M1463</f>
        <v>55.657291549999997</v>
      </c>
      <c r="K212" s="6">
        <f>[1]Results!N1463</f>
        <v>55.533762269999997</v>
      </c>
      <c r="L212" s="6">
        <f>[1]Results!O1463</f>
        <v>55.229754909999997</v>
      </c>
      <c r="M212" s="6">
        <f>[1]Results!P1463</f>
        <v>54.78213719</v>
      </c>
      <c r="N212" s="6">
        <f>[1]Results!Q1463</f>
        <v>54.25332264</v>
      </c>
      <c r="O212" s="6">
        <f>[1]Results!R1463</f>
        <v>53.72578875</v>
      </c>
      <c r="P212" s="6">
        <f>[1]Results!S1463</f>
        <v>53.269466790000003</v>
      </c>
      <c r="Q212" s="6">
        <f>[1]Results!T1463</f>
        <v>52.919548249999998</v>
      </c>
      <c r="R212" s="6">
        <f>[1]Results!U1463</f>
        <v>52.67426038</v>
      </c>
      <c r="S212" s="6">
        <f>[1]Results!V1463</f>
        <v>52.503503219999999</v>
      </c>
      <c r="T212" s="6">
        <f>[1]Results!W1463</f>
        <v>52.368194959999997</v>
      </c>
      <c r="U212" s="6">
        <f>[1]Results!X1463</f>
        <v>52.235469530000003</v>
      </c>
      <c r="V212" s="6">
        <f>[1]Results!Y1463</f>
        <v>52.086935349999997</v>
      </c>
      <c r="W212" s="6">
        <f>[1]Results!Z1463</f>
        <v>51.906798719999998</v>
      </c>
      <c r="X212" s="6">
        <f>[1]Results!AA1463</f>
        <v>51.712403649999999</v>
      </c>
      <c r="Y212" s="6">
        <f>[1]Results!AB1463</f>
        <v>51.518571139999999</v>
      </c>
      <c r="Z212" s="6">
        <f>[1]Results!AC1463</f>
        <v>51.335334189999998</v>
      </c>
      <c r="AA212" s="6">
        <f>[1]Results!AD1463</f>
        <v>51.167847190000003</v>
      </c>
      <c r="AB212" s="6">
        <f>[1]Results!AE1463</f>
        <v>50.97756476</v>
      </c>
      <c r="AC212" s="6">
        <f>[1]Results!AF1463</f>
        <v>50.780173509999997</v>
      </c>
      <c r="AD212" s="6">
        <f>[1]Results!AG1463</f>
        <v>50.576135119999996</v>
      </c>
      <c r="AE212" s="6">
        <f>[1]Results!AH1463</f>
        <v>50.36555577</v>
      </c>
      <c r="AF212" s="6">
        <f>[1]Results!AI1463</f>
        <v>50.152947609999998</v>
      </c>
      <c r="AG212" s="6">
        <f>[1]Results!AJ1463</f>
        <v>49.945720510000001</v>
      </c>
      <c r="AH212" s="6">
        <f>[1]Results!AK1463</f>
        <v>49.750590209999999</v>
      </c>
      <c r="AI212" s="6">
        <f>[1]Results!AL1463</f>
        <v>49.570902390000001</v>
      </c>
      <c r="AJ212" s="6">
        <f>[1]Results!AM1463</f>
        <v>49.405784230000002</v>
      </c>
      <c r="AK212" s="6">
        <f>[1]Results!AN1463</f>
        <v>49.251480090000001</v>
      </c>
      <c r="AL212" s="6">
        <f>[1]Results!AO1463</f>
        <v>49.103403530000001</v>
      </c>
    </row>
    <row r="213" spans="1:38" x14ac:dyDescent="0.3">
      <c r="B213" t="s">
        <v>8</v>
      </c>
      <c r="C213" s="6">
        <f>[1]Results!F1438-[1]Results!F1448</f>
        <v>2595.4916959999996</v>
      </c>
      <c r="D213" s="6">
        <f>[1]Results!G1438-[1]Results!G1448</f>
        <v>2583.6951809999996</v>
      </c>
      <c r="E213" s="6">
        <f>[1]Results!H1438-[1]Results!H1448</f>
        <v>2570.065893</v>
      </c>
      <c r="F213" s="6">
        <f>[1]Results!I1438-[1]Results!I1448</f>
        <v>2559.8671589999999</v>
      </c>
      <c r="G213" s="6">
        <f>[1]Results!J1438-[1]Results!J1448</f>
        <v>2554.3654529999994</v>
      </c>
      <c r="H213" s="6">
        <f>[1]Results!K1438-[1]Results!K1448</f>
        <v>2553.0639819999997</v>
      </c>
      <c r="I213" s="6">
        <f>[1]Results!L1438-[1]Results!L1448</f>
        <v>2542.9385620000003</v>
      </c>
      <c r="J213" s="6">
        <f>[1]Results!M1438-[1]Results!M1448</f>
        <v>2525.3590329999997</v>
      </c>
      <c r="K213" s="6">
        <f>[1]Results!N1438-[1]Results!N1448</f>
        <v>2503.836628</v>
      </c>
      <c r="L213" s="6">
        <f>[1]Results!O1438-[1]Results!O1448</f>
        <v>2483.260209</v>
      </c>
      <c r="M213" s="6">
        <f>[1]Results!P1438-[1]Results!P1448</f>
        <v>2470.3357530000003</v>
      </c>
      <c r="N213" s="6">
        <f>[1]Results!Q1438-[1]Results!Q1448</f>
        <v>2462.2955820000002</v>
      </c>
      <c r="O213" s="6">
        <f>[1]Results!R1438-[1]Results!R1448</f>
        <v>2459.5605210000003</v>
      </c>
      <c r="P213" s="6">
        <f>[1]Results!S1438-[1]Results!S1448</f>
        <v>2461.1547289999999</v>
      </c>
      <c r="Q213" s="6">
        <f>[1]Results!T1438-[1]Results!T1448</f>
        <v>2465.2392810000001</v>
      </c>
      <c r="R213" s="6">
        <f>[1]Results!U1438-[1]Results!U1448</f>
        <v>2470.0235940000002</v>
      </c>
      <c r="S213" s="6">
        <f>[1]Results!V1438-[1]Results!V1448</f>
        <v>2474.3082510000004</v>
      </c>
      <c r="T213" s="6">
        <f>[1]Results!W1438-[1]Results!W1448</f>
        <v>2477.6211959999996</v>
      </c>
      <c r="U213" s="6">
        <f>[1]Results!X1438-[1]Results!X1448</f>
        <v>2480.0568090000006</v>
      </c>
      <c r="V213" s="6">
        <f>[1]Results!Y1438-[1]Results!Y1448</f>
        <v>2481.9848550000006</v>
      </c>
      <c r="W213" s="6">
        <f>[1]Results!Z1438-[1]Results!Z1448</f>
        <v>2481.8104499999995</v>
      </c>
      <c r="X213" s="6">
        <f>[1]Results!AA1438-[1]Results!AA1448</f>
        <v>2482.7244449999998</v>
      </c>
      <c r="Y213" s="6">
        <f>[1]Results!AB1438-[1]Results!AB1448</f>
        <v>2484.5291340000003</v>
      </c>
      <c r="Z213" s="6">
        <f>[1]Results!AC1438-[1]Results!AC1448</f>
        <v>2486.7823669999998</v>
      </c>
      <c r="AA213" s="6">
        <f>[1]Results!AD1438-[1]Results!AD1448</f>
        <v>2489.1730540000008</v>
      </c>
      <c r="AB213" s="6">
        <f>[1]Results!AE1438-[1]Results!AE1448</f>
        <v>2485.9456110000001</v>
      </c>
      <c r="AC213" s="6">
        <f>[1]Results!AF1438-[1]Results!AF1448</f>
        <v>2483.2534820000001</v>
      </c>
      <c r="AD213" s="6">
        <f>[1]Results!AG1438-[1]Results!AG1448</f>
        <v>2481.374339</v>
      </c>
      <c r="AE213" s="6">
        <f>[1]Results!AH1438-[1]Results!AH1448</f>
        <v>2480.1331039999995</v>
      </c>
      <c r="AF213" s="6">
        <f>[1]Results!AI1438-[1]Results!AI1448</f>
        <v>2479.4485529999997</v>
      </c>
      <c r="AG213" s="6">
        <f>[1]Results!AJ1438-[1]Results!AJ1448</f>
        <v>2479.2364360000001</v>
      </c>
      <c r="AH213" s="6">
        <f>[1]Results!AK1438-[1]Results!AK1448</f>
        <v>2479.3586519999999</v>
      </c>
      <c r="AI213" s="6">
        <f>[1]Results!AL1438-[1]Results!AL1448</f>
        <v>2479.6509599999999</v>
      </c>
      <c r="AJ213" s="6">
        <f>[1]Results!AM1438-[1]Results!AM1448</f>
        <v>2479.9762220000002</v>
      </c>
      <c r="AK213" s="6">
        <f>[1]Results!AN1438-[1]Results!AN1448</f>
        <v>2480.2611590000001</v>
      </c>
      <c r="AL213" s="6">
        <f>[1]Results!AO1438-[1]Results!AO1448</f>
        <v>2480.5003510000001</v>
      </c>
    </row>
    <row r="214" spans="1:38" x14ac:dyDescent="0.3">
      <c r="B214" t="s">
        <v>24</v>
      </c>
      <c r="C214" s="6">
        <f>[1]Results!F1458</f>
        <v>43.707144669999998</v>
      </c>
      <c r="D214" s="6">
        <f>[1]Results!G1458</f>
        <v>44.379338859999997</v>
      </c>
      <c r="E214" s="6">
        <f>[1]Results!H1458</f>
        <v>45.135641120000003</v>
      </c>
      <c r="F214" s="6">
        <f>[1]Results!I1458</f>
        <v>45.774896480000002</v>
      </c>
      <c r="G214" s="6">
        <f>[1]Results!J1458</f>
        <v>46.263263449999997</v>
      </c>
      <c r="H214" s="6">
        <f>[1]Results!K1458</f>
        <v>46.640835070000001</v>
      </c>
      <c r="I214" s="6">
        <f>[1]Results!L1458</f>
        <v>47.227123650000003</v>
      </c>
      <c r="J214" s="6">
        <f>[1]Results!M1458</f>
        <v>47.71575249</v>
      </c>
      <c r="K214" s="6">
        <f>[1]Results!N1458</f>
        <v>48.04049577</v>
      </c>
      <c r="L214" s="6">
        <f>[1]Results!O1458</f>
        <v>48.172019849999998</v>
      </c>
      <c r="M214" s="6">
        <f>[1]Results!P1458</f>
        <v>48.142219900000001</v>
      </c>
      <c r="N214" s="6">
        <f>[1]Results!Q1458</f>
        <v>47.977871890000003</v>
      </c>
      <c r="O214" s="6">
        <f>[1]Results!R1458</f>
        <v>47.750263609999998</v>
      </c>
      <c r="P214" s="6">
        <f>[1]Results!S1458</f>
        <v>47.527472090000003</v>
      </c>
      <c r="Q214" s="6">
        <f>[1]Results!T1458</f>
        <v>47.35352288</v>
      </c>
      <c r="R214" s="6">
        <f>[1]Results!U1458</f>
        <v>47.243376900000001</v>
      </c>
      <c r="S214" s="6">
        <f>[1]Results!V1458</f>
        <v>47.187791009999998</v>
      </c>
      <c r="T214" s="6">
        <f>[1]Results!W1458</f>
        <v>47.164470549999997</v>
      </c>
      <c r="U214" s="6">
        <f>[1]Results!X1458</f>
        <v>47.14983865</v>
      </c>
      <c r="V214" s="6">
        <f>[1]Results!Y1458</f>
        <v>47.127288190000002</v>
      </c>
      <c r="W214" s="6">
        <f>[1]Results!Z1458</f>
        <v>47.073952380000001</v>
      </c>
      <c r="X214" s="6">
        <f>[1]Results!AA1458</f>
        <v>47.010317540000003</v>
      </c>
      <c r="Y214" s="6">
        <f>[1]Results!AB1458</f>
        <v>46.943276109999999</v>
      </c>
      <c r="Z214" s="6">
        <f>[1]Results!AC1458</f>
        <v>46.878504309999997</v>
      </c>
      <c r="AA214" s="6">
        <f>[1]Results!AD1458</f>
        <v>46.820331490000001</v>
      </c>
      <c r="AB214" s="6">
        <f>[1]Results!AE1458</f>
        <v>46.722828999999997</v>
      </c>
      <c r="AC214" s="6">
        <f>[1]Results!AF1458</f>
        <v>46.621508120000001</v>
      </c>
      <c r="AD214" s="6">
        <f>[1]Results!AG1458</f>
        <v>46.516152839999997</v>
      </c>
      <c r="AE214" s="6">
        <f>[1]Results!AH1458</f>
        <v>46.40381369</v>
      </c>
      <c r="AF214" s="6">
        <f>[1]Results!AI1458</f>
        <v>46.285848280000003</v>
      </c>
      <c r="AG214" s="6">
        <f>[1]Results!AJ1458</f>
        <v>46.167129520000003</v>
      </c>
      <c r="AH214" s="6">
        <f>[1]Results!AK1458</f>
        <v>46.053148030000003</v>
      </c>
      <c r="AI214" s="6">
        <f>[1]Results!AL1458</f>
        <v>45.947546850000002</v>
      </c>
      <c r="AJ214" s="6">
        <f>[1]Results!AM1458</f>
        <v>45.851059159999998</v>
      </c>
      <c r="AK214" s="6">
        <f>[1]Results!AN1458</f>
        <v>45.761901600000002</v>
      </c>
      <c r="AL214" s="6">
        <f>[1]Results!AO1458</f>
        <v>45.67704483</v>
      </c>
    </row>
    <row r="215" spans="1:38" x14ac:dyDescent="0.3">
      <c r="B215" t="s">
        <v>10</v>
      </c>
      <c r="C215" s="6">
        <f>[1]Results!F1455</f>
        <v>21273.564770000001</v>
      </c>
      <c r="D215" s="6">
        <f>[1]Results!G1455</f>
        <v>21209.840990000001</v>
      </c>
      <c r="E215" s="6">
        <f>[1]Results!H1455</f>
        <v>21142.218349999999</v>
      </c>
      <c r="F215" s="6">
        <f>[1]Results!I1455</f>
        <v>21127.073840000001</v>
      </c>
      <c r="G215" s="6">
        <f>[1]Results!J1455</f>
        <v>21167.089830000001</v>
      </c>
      <c r="H215" s="6">
        <f>[1]Results!K1455</f>
        <v>21247.541450000001</v>
      </c>
      <c r="I215" s="6">
        <f>[1]Results!L1455</f>
        <v>21318.444899999999</v>
      </c>
      <c r="J215" s="6">
        <f>[1]Results!M1455</f>
        <v>21360.42643</v>
      </c>
      <c r="K215" s="6">
        <f>[1]Results!N1455</f>
        <v>21389.82807</v>
      </c>
      <c r="L215" s="6">
        <f>[1]Results!O1455</f>
        <v>21426.017199999998</v>
      </c>
      <c r="M215" s="6">
        <f>[1]Results!P1455</f>
        <v>21467.118589999998</v>
      </c>
      <c r="N215" s="6">
        <f>[1]Results!Q1455</f>
        <v>21560.376700000001</v>
      </c>
      <c r="O215" s="6">
        <f>[1]Results!R1455</f>
        <v>21677.885300000002</v>
      </c>
      <c r="P215" s="6">
        <f>[1]Results!S1455</f>
        <v>21802.673699999999</v>
      </c>
      <c r="Q215" s="6">
        <f>[1]Results!T1455</f>
        <v>21923.58079</v>
      </c>
      <c r="R215" s="6">
        <f>[1]Results!U1455</f>
        <v>22034.409500000002</v>
      </c>
      <c r="S215" s="6">
        <f>[1]Results!V1455</f>
        <v>22133.755659999999</v>
      </c>
      <c r="T215" s="6">
        <f>[1]Results!W1455</f>
        <v>22223.971460000001</v>
      </c>
      <c r="U215" s="6">
        <f>[1]Results!X1455</f>
        <v>22309.32933</v>
      </c>
      <c r="V215" s="6">
        <f>[1]Results!Y1455</f>
        <v>22394.096519999999</v>
      </c>
      <c r="W215" s="6">
        <f>[1]Results!Z1455</f>
        <v>22488.44731</v>
      </c>
      <c r="X215" s="6">
        <f>[1]Results!AA1455</f>
        <v>22570.021909999999</v>
      </c>
      <c r="Y215" s="6">
        <f>[1]Results!AB1455</f>
        <v>22653.156360000001</v>
      </c>
      <c r="Z215" s="6">
        <f>[1]Results!AC1455</f>
        <v>22741.14343</v>
      </c>
      <c r="AA215" s="6">
        <f>[1]Results!AD1455</f>
        <v>22833.075789999999</v>
      </c>
      <c r="AB215" s="6">
        <f>[1]Results!AE1455</f>
        <v>22942.35312</v>
      </c>
      <c r="AC215" s="6">
        <f>[1]Results!AF1455</f>
        <v>23020.9136</v>
      </c>
      <c r="AD215" s="6">
        <f>[1]Results!AG1455</f>
        <v>23085.768619999999</v>
      </c>
      <c r="AE215" s="6">
        <f>[1]Results!AH1455</f>
        <v>23145.983550000001</v>
      </c>
      <c r="AF215" s="6">
        <f>[1]Results!AI1455</f>
        <v>23205.920839999999</v>
      </c>
      <c r="AG215" s="6">
        <f>[1]Results!AJ1455</f>
        <v>23267.075140000001</v>
      </c>
      <c r="AH215" s="6">
        <f>[1]Results!AK1455</f>
        <v>23329.369159999998</v>
      </c>
      <c r="AI215" s="6">
        <f>[1]Results!AL1455</f>
        <v>23392.13967</v>
      </c>
      <c r="AJ215" s="6">
        <f>[1]Results!AM1455</f>
        <v>23454.793150000001</v>
      </c>
      <c r="AK215" s="6">
        <f>[1]Results!AN1455</f>
        <v>23517.104350000001</v>
      </c>
      <c r="AL215" s="6">
        <f>[1]Results!AO1455</f>
        <v>23579.21286</v>
      </c>
    </row>
    <row r="216" spans="1:38" x14ac:dyDescent="0.3">
      <c r="B216" t="s">
        <v>23</v>
      </c>
      <c r="C216" s="6">
        <f>[1]Results!F1450</f>
        <v>868.12487880000003</v>
      </c>
      <c r="D216" s="6">
        <f>[1]Results!G1450</f>
        <v>860.96730460000003</v>
      </c>
      <c r="E216" s="6">
        <f>[1]Results!H1450</f>
        <v>851.65571120000004</v>
      </c>
      <c r="F216" s="6">
        <f>[1]Results!I1450</f>
        <v>843.69302449999998</v>
      </c>
      <c r="G216" s="6">
        <f>[1]Results!J1450</f>
        <v>838.18972459999998</v>
      </c>
      <c r="H216" s="6">
        <f>[1]Results!K1450</f>
        <v>835.05002460000003</v>
      </c>
      <c r="I216" s="6">
        <f>[1]Results!L1450</f>
        <v>831.69610420000004</v>
      </c>
      <c r="J216" s="6">
        <f>[1]Results!M1450</f>
        <v>827.54185489999998</v>
      </c>
      <c r="K216" s="6">
        <f>[1]Results!N1450</f>
        <v>823.16504399999997</v>
      </c>
      <c r="L216" s="6">
        <f>[1]Results!O1450</f>
        <v>819.35671400000001</v>
      </c>
      <c r="M216" s="6">
        <f>[1]Results!P1450</f>
        <v>816.90063399999997</v>
      </c>
      <c r="N216" s="6">
        <f>[1]Results!Q1450</f>
        <v>816.16665049999995</v>
      </c>
      <c r="O216" s="6">
        <f>[1]Results!R1450</f>
        <v>816.77909890000001</v>
      </c>
      <c r="P216" s="6">
        <f>[1]Results!S1450</f>
        <v>818.23808499999996</v>
      </c>
      <c r="Q216" s="6">
        <f>[1]Results!T1450</f>
        <v>820.03331800000001</v>
      </c>
      <c r="R216" s="6">
        <f>[1]Results!U1450</f>
        <v>821.75957940000001</v>
      </c>
      <c r="S216" s="6">
        <f>[1]Results!V1450</f>
        <v>823.19343579999997</v>
      </c>
      <c r="T216" s="6">
        <f>[1]Results!W1450</f>
        <v>824.29994529999999</v>
      </c>
      <c r="U216" s="6">
        <f>[1]Results!X1450</f>
        <v>825.17761410000003</v>
      </c>
      <c r="V216" s="6">
        <f>[1]Results!Y1450</f>
        <v>825.97603360000005</v>
      </c>
      <c r="W216" s="6">
        <f>[1]Results!Z1450</f>
        <v>826.68629550000003</v>
      </c>
      <c r="X216" s="6">
        <f>[1]Results!AA1450</f>
        <v>827.38182619999998</v>
      </c>
      <c r="Y216" s="6">
        <f>[1]Results!AB1450</f>
        <v>828.24302350000005</v>
      </c>
      <c r="Z216" s="6">
        <f>[1]Results!AC1450</f>
        <v>829.28832880000004</v>
      </c>
      <c r="AA216" s="6">
        <f>[1]Results!AD1450</f>
        <v>830.46006009999996</v>
      </c>
      <c r="AB216" s="6">
        <f>[1]Results!AE1450</f>
        <v>831.22900319999997</v>
      </c>
      <c r="AC216" s="6">
        <f>[1]Results!AF1450</f>
        <v>831.56127790000005</v>
      </c>
      <c r="AD216" s="6">
        <f>[1]Results!AG1450</f>
        <v>831.70924830000001</v>
      </c>
      <c r="AE216" s="6">
        <f>[1]Results!AH1450</f>
        <v>831.84544760000006</v>
      </c>
      <c r="AF216" s="6">
        <f>[1]Results!AI1450</f>
        <v>832.06300039999996</v>
      </c>
      <c r="AG216" s="6">
        <f>[1]Results!AJ1450</f>
        <v>832.38803280000002</v>
      </c>
      <c r="AH216" s="6">
        <f>[1]Results!AK1450</f>
        <v>832.80060960000003</v>
      </c>
      <c r="AI216" s="6">
        <f>[1]Results!AL1450</f>
        <v>833.26110310000001</v>
      </c>
      <c r="AJ216" s="6">
        <f>[1]Results!AM1450</f>
        <v>833.73350300000004</v>
      </c>
      <c r="AK216" s="6">
        <f>[1]Results!AN1450</f>
        <v>834.19890859999998</v>
      </c>
      <c r="AL216" s="6">
        <f>[1]Results!AO1450</f>
        <v>834.65745270000002</v>
      </c>
    </row>
    <row r="218" spans="1:38" x14ac:dyDescent="0.3">
      <c r="A218" s="12" t="s">
        <v>60</v>
      </c>
      <c r="B218" t="s">
        <v>22</v>
      </c>
      <c r="C218" s="6">
        <f>[1]Results!F1473</f>
        <v>27367.648700000002</v>
      </c>
      <c r="D218" s="3">
        <f>[1]Results!G1473</f>
        <v>27332.478599999999</v>
      </c>
      <c r="E218" s="3">
        <f>[1]Results!H1473</f>
        <v>27312.15624</v>
      </c>
      <c r="F218" s="3">
        <f>[1]Results!I1473</f>
        <v>27336.220120000002</v>
      </c>
      <c r="G218" s="3">
        <f>[1]Results!J1473</f>
        <v>27400.34274</v>
      </c>
      <c r="H218" s="3">
        <f>[1]Results!K1473</f>
        <v>27493.324339999999</v>
      </c>
      <c r="I218" s="3">
        <f>[1]Results!L1473</f>
        <v>27587.682959999998</v>
      </c>
      <c r="J218" s="3">
        <f>[1]Results!M1473</f>
        <v>27680.007409999998</v>
      </c>
      <c r="K218" s="3">
        <f>[1]Results!N1473</f>
        <v>27766.824270000001</v>
      </c>
      <c r="L218" s="3">
        <f>[1]Results!O1473</f>
        <v>27849.011549999999</v>
      </c>
      <c r="M218" s="3">
        <f>[1]Results!P1473</f>
        <v>27948.128980000001</v>
      </c>
      <c r="N218" s="3">
        <f>[1]Results!Q1473</f>
        <v>28047.391070000001</v>
      </c>
      <c r="O218" s="3">
        <f>[1]Results!R1473</f>
        <v>28149.82735</v>
      </c>
      <c r="P218" s="3">
        <f>[1]Results!S1473</f>
        <v>28255.05645</v>
      </c>
      <c r="Q218" s="3">
        <f>[1]Results!T1473</f>
        <v>28361.115150000001</v>
      </c>
      <c r="R218" s="3">
        <f>[1]Results!U1473</f>
        <v>28465.951229999999</v>
      </c>
      <c r="S218" s="3">
        <f>[1]Results!V1473</f>
        <v>28568.235769999999</v>
      </c>
      <c r="T218" s="3">
        <f>[1]Results!W1473</f>
        <v>28667.634669999999</v>
      </c>
      <c r="U218" s="3">
        <f>[1]Results!X1473</f>
        <v>28764.655569999999</v>
      </c>
      <c r="V218" s="3">
        <f>[1]Results!Y1473</f>
        <v>28860.24972</v>
      </c>
      <c r="W218" s="3">
        <f>[1]Results!Z1473</f>
        <v>28941.786530000001</v>
      </c>
      <c r="X218" s="3">
        <f>[1]Results!AA1473</f>
        <v>29027.151989999998</v>
      </c>
      <c r="Y218" s="3">
        <f>[1]Results!AB1473</f>
        <v>29117.319579999999</v>
      </c>
      <c r="Z218" s="3">
        <f>[1]Results!AC1473</f>
        <v>29211.33596</v>
      </c>
      <c r="AA218" s="3">
        <f>[1]Results!AD1473</f>
        <v>29307.896690000001</v>
      </c>
      <c r="AB218" s="3">
        <f>[1]Results!AE1473</f>
        <v>29362.960340000001</v>
      </c>
      <c r="AC218" s="3">
        <f>[1]Results!AF1473</f>
        <v>29419.166550000002</v>
      </c>
      <c r="AD218" s="3">
        <f>[1]Results!AG1473</f>
        <v>29476.087619999998</v>
      </c>
      <c r="AE218" s="3">
        <f>[1]Results!AH1473</f>
        <v>29534.15958</v>
      </c>
      <c r="AF218" s="3">
        <f>[1]Results!AI1473</f>
        <v>29594.079119999999</v>
      </c>
      <c r="AG218" s="3">
        <f>[1]Results!AJ1473</f>
        <v>29655.898099999999</v>
      </c>
      <c r="AH218" s="3">
        <f>[1]Results!AK1473</f>
        <v>29718.981769999999</v>
      </c>
      <c r="AI218" s="3">
        <f>[1]Results!AL1473</f>
        <v>29782.452700000002</v>
      </c>
      <c r="AJ218" s="3">
        <f>[1]Results!AM1473</f>
        <v>29845.659940000001</v>
      </c>
      <c r="AK218" s="3">
        <f>[1]Results!AN1473</f>
        <v>29908.41203</v>
      </c>
      <c r="AL218" s="3">
        <f>[1]Results!AO1473</f>
        <v>29970.927879999999</v>
      </c>
    </row>
    <row r="219" spans="1:38" x14ac:dyDescent="0.3">
      <c r="A219" t="s">
        <v>26</v>
      </c>
      <c r="B219" t="s">
        <v>7</v>
      </c>
      <c r="C219" s="6">
        <f>[1]Results!F1474</f>
        <v>760.47401260000004</v>
      </c>
      <c r="D219" s="3">
        <f>[1]Results!G1474</f>
        <v>752.85472030000005</v>
      </c>
      <c r="E219" s="3">
        <f>[1]Results!H1474</f>
        <v>742.15650110000001</v>
      </c>
      <c r="F219" s="3">
        <f>[1]Results!I1474</f>
        <v>731.59538550000002</v>
      </c>
      <c r="G219" s="3">
        <f>[1]Results!J1474</f>
        <v>723.00946750000003</v>
      </c>
      <c r="H219" s="3">
        <f>[1]Results!K1474</f>
        <v>717.06894269999998</v>
      </c>
      <c r="I219" s="3">
        <f>[1]Results!L1474</f>
        <v>713.32017889999997</v>
      </c>
      <c r="J219" s="3">
        <f>[1]Results!M1474</f>
        <v>711.07095019999997</v>
      </c>
      <c r="K219" s="3">
        <f>[1]Results!N1474</f>
        <v>709.44865700000003</v>
      </c>
      <c r="L219" s="3">
        <f>[1]Results!O1474</f>
        <v>707.63762699999995</v>
      </c>
      <c r="M219" s="3">
        <f>[1]Results!P1474</f>
        <v>705.45454089999998</v>
      </c>
      <c r="N219" s="3">
        <f>[1]Results!Q1474</f>
        <v>702.18404229999999</v>
      </c>
      <c r="O219" s="3">
        <f>[1]Results!R1474</f>
        <v>697.7091805</v>
      </c>
      <c r="P219" s="3">
        <f>[1]Results!S1474</f>
        <v>692.12491279999995</v>
      </c>
      <c r="Q219" s="3">
        <f>[1]Results!T1474</f>
        <v>685.66941880000002</v>
      </c>
      <c r="R219" s="3">
        <f>[1]Results!U1474</f>
        <v>678.64385949999996</v>
      </c>
      <c r="S219" s="3">
        <f>[1]Results!V1474</f>
        <v>671.35024829999998</v>
      </c>
      <c r="T219" s="3">
        <f>[1]Results!W1474</f>
        <v>664.05013770000005</v>
      </c>
      <c r="U219" s="3">
        <f>[1]Results!X1474</f>
        <v>656.94297949999998</v>
      </c>
      <c r="V219" s="3">
        <f>[1]Results!Y1474</f>
        <v>650.1595433</v>
      </c>
      <c r="W219" s="3">
        <f>[1]Results!Z1474</f>
        <v>643.49833369999999</v>
      </c>
      <c r="X219" s="3">
        <f>[1]Results!AA1474</f>
        <v>637.24944760000005</v>
      </c>
      <c r="Y219" s="3">
        <f>[1]Results!AB1474</f>
        <v>631.42093929999999</v>
      </c>
      <c r="Z219" s="3">
        <f>[1]Results!AC1474</f>
        <v>625.97673250000003</v>
      </c>
      <c r="AA219" s="3">
        <f>[1]Results!AD1474</f>
        <v>620.84270370000002</v>
      </c>
      <c r="AB219" s="3">
        <f>[1]Results!AE1474</f>
        <v>615.20734140000002</v>
      </c>
      <c r="AC219" s="3">
        <f>[1]Results!AF1474</f>
        <v>609.42735279999999</v>
      </c>
      <c r="AD219" s="3">
        <f>[1]Results!AG1474</f>
        <v>603.54792139999995</v>
      </c>
      <c r="AE219" s="3">
        <f>[1]Results!AH1474</f>
        <v>597.63644839999995</v>
      </c>
      <c r="AF219" s="3">
        <f>[1]Results!AI1474</f>
        <v>591.75428399999998</v>
      </c>
      <c r="AG219" s="3">
        <f>[1]Results!AJ1474</f>
        <v>585.94554300000004</v>
      </c>
      <c r="AH219" s="3">
        <f>[1]Results!AK1474</f>
        <v>580.23208380000005</v>
      </c>
      <c r="AI219" s="3">
        <f>[1]Results!AL1474</f>
        <v>574.61545869999998</v>
      </c>
      <c r="AJ219" s="3">
        <f>[1]Results!AM1474</f>
        <v>569.08369700000003</v>
      </c>
      <c r="AK219" s="3">
        <f>[1]Results!AN1474</f>
        <v>563.61973309999996</v>
      </c>
      <c r="AL219" s="3">
        <f>[1]Results!AO1474</f>
        <v>558.20858799999996</v>
      </c>
    </row>
    <row r="220" spans="1:38" x14ac:dyDescent="0.3">
      <c r="B220" t="s">
        <v>96</v>
      </c>
      <c r="C220" s="6">
        <f>[1]Results!F1487</f>
        <v>1769.125442</v>
      </c>
      <c r="D220" s="3">
        <f>[1]Results!G1487</f>
        <v>1823.699975</v>
      </c>
      <c r="E220" s="3">
        <f>[1]Results!H1487</f>
        <v>1904.1874110000001</v>
      </c>
      <c r="F220" s="3">
        <f>[1]Results!I1487</f>
        <v>1971.8884210000001</v>
      </c>
      <c r="G220" s="3">
        <f>[1]Results!J1487</f>
        <v>2015.5150430000001</v>
      </c>
      <c r="H220" s="3">
        <f>[1]Results!K1487</f>
        <v>2038.3940689999999</v>
      </c>
      <c r="I220" s="3">
        <f>[1]Results!L1487</f>
        <v>2026.0338670000001</v>
      </c>
      <c r="J220" s="3">
        <f>[1]Results!M1487</f>
        <v>2007.4953210000001</v>
      </c>
      <c r="K220" s="3">
        <f>[1]Results!N1487</f>
        <v>1991.1632030000001</v>
      </c>
      <c r="L220" s="3">
        <f>[1]Results!O1487</f>
        <v>1978.9085419999999</v>
      </c>
      <c r="M220" s="3">
        <f>[1]Results!P1487</f>
        <v>1999.964862</v>
      </c>
      <c r="N220" s="3">
        <f>[1]Results!Q1487</f>
        <v>1994.1732609999999</v>
      </c>
      <c r="O220" s="3">
        <f>[1]Results!R1487</f>
        <v>1985.739</v>
      </c>
      <c r="P220" s="3">
        <f>[1]Results!S1487</f>
        <v>1981.6928889999999</v>
      </c>
      <c r="Q220" s="3">
        <f>[1]Results!T1487</f>
        <v>1982.684773</v>
      </c>
      <c r="R220" s="3">
        <f>[1]Results!U1487</f>
        <v>1987.234336</v>
      </c>
      <c r="S220" s="3">
        <f>[1]Results!V1487</f>
        <v>1993.717586</v>
      </c>
      <c r="T220" s="3">
        <f>[1]Results!W1487</f>
        <v>2001.1686830000001</v>
      </c>
      <c r="U220" s="3">
        <f>[1]Results!X1487</f>
        <v>2009.1810419999999</v>
      </c>
      <c r="V220" s="3">
        <f>[1]Results!Y1487</f>
        <v>2017.6335489999999</v>
      </c>
      <c r="W220" s="3">
        <f>[1]Results!Z1487</f>
        <v>2008.1331170000001</v>
      </c>
      <c r="X220" s="3">
        <f>[1]Results!AA1487</f>
        <v>2018.01064</v>
      </c>
      <c r="Y220" s="3">
        <f>[1]Results!AB1487</f>
        <v>2033.0109629999999</v>
      </c>
      <c r="Z220" s="3">
        <f>[1]Results!AC1487</f>
        <v>2047.7998419999999</v>
      </c>
      <c r="AA220" s="3">
        <f>[1]Results!AD1487</f>
        <v>2060.9560959999999</v>
      </c>
      <c r="AB220" s="3">
        <f>[1]Results!AE1487</f>
        <v>2021.4666400000001</v>
      </c>
      <c r="AC220" s="3">
        <f>[1]Results!AF1487</f>
        <v>2013.3001670000001</v>
      </c>
      <c r="AD220" s="3">
        <f>[1]Results!AG1487</f>
        <v>2018.4148379999999</v>
      </c>
      <c r="AE220" s="3">
        <f>[1]Results!AH1487</f>
        <v>2028.2950719999999</v>
      </c>
      <c r="AF220" s="3">
        <f>[1]Results!AI1487</f>
        <v>2039.33537</v>
      </c>
      <c r="AG220" s="3">
        <f>[1]Results!AJ1487</f>
        <v>2050.1025460000001</v>
      </c>
      <c r="AH220" s="3">
        <f>[1]Results!AK1487</f>
        <v>2060.0566269999999</v>
      </c>
      <c r="AI220" s="3">
        <f>[1]Results!AL1487</f>
        <v>2069.0382669999999</v>
      </c>
      <c r="AJ220" s="3">
        <f>[1]Results!AM1487</f>
        <v>2077.088702</v>
      </c>
      <c r="AK220" s="3">
        <f>[1]Results!AN1487</f>
        <v>2084.3751269999998</v>
      </c>
      <c r="AL220" s="3">
        <f>[1]Results!AO1487</f>
        <v>2091.128674</v>
      </c>
    </row>
    <row r="221" spans="1:38" x14ac:dyDescent="0.3">
      <c r="B221" t="s">
        <v>11</v>
      </c>
      <c r="C221" s="6">
        <f>[1]Results!F1502</f>
        <v>57.16075163</v>
      </c>
      <c r="D221" s="3">
        <f>[1]Results!G1502</f>
        <v>57.04108643</v>
      </c>
      <c r="E221" s="3">
        <f>[1]Results!H1502</f>
        <v>56.736730629999997</v>
      </c>
      <c r="F221" s="3">
        <f>[1]Results!I1502</f>
        <v>56.327398350000003</v>
      </c>
      <c r="G221" s="3">
        <f>[1]Results!J1502</f>
        <v>55.909958090000003</v>
      </c>
      <c r="H221" s="3">
        <f>[1]Results!K1502</f>
        <v>55.565039740000003</v>
      </c>
      <c r="I221" s="3">
        <f>[1]Results!L1502</f>
        <v>55.32097023</v>
      </c>
      <c r="J221" s="3">
        <f>[1]Results!M1502</f>
        <v>55.1769897</v>
      </c>
      <c r="K221" s="3">
        <f>[1]Results!N1502</f>
        <v>55.100497420000004</v>
      </c>
      <c r="L221" s="3">
        <f>[1]Results!O1502</f>
        <v>55.044663730000003</v>
      </c>
      <c r="M221" s="3">
        <f>[1]Results!P1502</f>
        <v>54.984645479999998</v>
      </c>
      <c r="N221" s="3">
        <f>[1]Results!Q1502</f>
        <v>54.889181989999997</v>
      </c>
      <c r="O221" s="3">
        <f>[1]Results!R1502</f>
        <v>54.753180280000002</v>
      </c>
      <c r="P221" s="3">
        <f>[1]Results!S1502</f>
        <v>54.585894690000003</v>
      </c>
      <c r="Q221" s="3">
        <f>[1]Results!T1502</f>
        <v>54.398748679999997</v>
      </c>
      <c r="R221" s="3">
        <f>[1]Results!U1502</f>
        <v>54.200984910000003</v>
      </c>
      <c r="S221" s="3">
        <f>[1]Results!V1502</f>
        <v>53.998382059999997</v>
      </c>
      <c r="T221" s="3">
        <f>[1]Results!W1502</f>
        <v>53.79333974</v>
      </c>
      <c r="U221" s="3">
        <f>[1]Results!X1502</f>
        <v>53.586429940000002</v>
      </c>
      <c r="V221" s="3">
        <f>[1]Results!Y1502</f>
        <v>53.378245730000003</v>
      </c>
      <c r="W221" s="3">
        <f>[1]Results!Z1502</f>
        <v>53.158049630000001</v>
      </c>
      <c r="X221" s="3">
        <f>[1]Results!AA1502</f>
        <v>52.938368070000003</v>
      </c>
      <c r="Y221" s="3">
        <f>[1]Results!AB1502</f>
        <v>52.726572599999997</v>
      </c>
      <c r="Z221" s="3">
        <f>[1]Results!AC1502</f>
        <v>52.527145130000001</v>
      </c>
      <c r="AA221" s="3">
        <f>[1]Results!AD1502</f>
        <v>52.343252819999996</v>
      </c>
      <c r="AB221" s="3">
        <f>[1]Results!AE1502</f>
        <v>52.137670040000003</v>
      </c>
      <c r="AC221" s="3">
        <f>[1]Results!AF1502</f>
        <v>51.928823209999997</v>
      </c>
      <c r="AD221" s="3">
        <f>[1]Results!AG1502</f>
        <v>51.719189380000003</v>
      </c>
      <c r="AE221" s="3">
        <f>[1]Results!AH1502</f>
        <v>51.509111470000001</v>
      </c>
      <c r="AF221" s="3">
        <f>[1]Results!AI1502</f>
        <v>51.302134889999998</v>
      </c>
      <c r="AG221" s="3">
        <f>[1]Results!AJ1502</f>
        <v>51.103886920000001</v>
      </c>
      <c r="AH221" s="3">
        <f>[1]Results!AK1502</f>
        <v>50.919206240000001</v>
      </c>
      <c r="AI221" s="3">
        <f>[1]Results!AL1502</f>
        <v>50.750099249999998</v>
      </c>
      <c r="AJ221" s="3">
        <f>[1]Results!AM1502</f>
        <v>50.595348280000003</v>
      </c>
      <c r="AK221" s="3">
        <f>[1]Results!AN1502</f>
        <v>50.45147188</v>
      </c>
      <c r="AL221" s="3">
        <f>[1]Results!AO1502</f>
        <v>50.314486770000002</v>
      </c>
    </row>
    <row r="222" spans="1:38" x14ac:dyDescent="0.3">
      <c r="B222" t="s">
        <v>8</v>
      </c>
      <c r="C222" s="6">
        <f>[1]Results!F1477-[1]Results!F1487</f>
        <v>2595.4916959999996</v>
      </c>
      <c r="D222" s="3">
        <f>[1]Results!G1477-[1]Results!G1487</f>
        <v>2583.6951809999996</v>
      </c>
      <c r="E222" s="3">
        <f>[1]Results!H1477-[1]Results!H1487</f>
        <v>2570.065893</v>
      </c>
      <c r="F222" s="3">
        <f>[1]Results!I1477-[1]Results!I1487</f>
        <v>2559.8671589999999</v>
      </c>
      <c r="G222" s="3">
        <f>[1]Results!J1477-[1]Results!J1487</f>
        <v>2554.3654529999994</v>
      </c>
      <c r="H222" s="3">
        <f>[1]Results!K1477-[1]Results!K1487</f>
        <v>2553.0639819999997</v>
      </c>
      <c r="I222" s="3">
        <f>[1]Results!L1477-[1]Results!L1487</f>
        <v>2552.4314210000002</v>
      </c>
      <c r="J222" s="3">
        <f>[1]Results!M1477-[1]Results!M1487</f>
        <v>2552.0705840000001</v>
      </c>
      <c r="K222" s="3">
        <f>[1]Results!N1477-[1]Results!N1487</f>
        <v>2551.4274939999996</v>
      </c>
      <c r="L222" s="3">
        <f>[1]Results!O1477-[1]Results!O1487</f>
        <v>2550.2385640000002</v>
      </c>
      <c r="M222" s="3">
        <f>[1]Results!P1477-[1]Results!P1487</f>
        <v>2551.7265939999997</v>
      </c>
      <c r="N222" s="3">
        <f>[1]Results!Q1477-[1]Results!Q1487</f>
        <v>2551.7140749999999</v>
      </c>
      <c r="O222" s="3">
        <f>[1]Results!R1477-[1]Results!R1487</f>
        <v>2551.0647780000004</v>
      </c>
      <c r="P222" s="3">
        <f>[1]Results!S1477-[1]Results!S1487</f>
        <v>2550.4024719999998</v>
      </c>
      <c r="Q222" s="3">
        <f>[1]Results!T1477-[1]Results!T1487</f>
        <v>2549.875368</v>
      </c>
      <c r="R222" s="3">
        <f>[1]Results!U1477-[1]Results!U1487</f>
        <v>2549.4257480000001</v>
      </c>
      <c r="S222" s="3">
        <f>[1]Results!V1477-[1]Results!V1487</f>
        <v>2548.9814940000006</v>
      </c>
      <c r="T222" s="3">
        <f>[1]Results!W1477-[1]Results!W1487</f>
        <v>2548.5438270000004</v>
      </c>
      <c r="U222" s="3">
        <f>[1]Results!X1477-[1]Results!X1487</f>
        <v>2548.1870099999996</v>
      </c>
      <c r="V222" s="3">
        <f>[1]Results!Y1477-[1]Results!Y1487</f>
        <v>2548.0173850000001</v>
      </c>
      <c r="W222" s="3">
        <f>[1]Results!Z1477-[1]Results!Z1487</f>
        <v>2546.1191269999999</v>
      </c>
      <c r="X222" s="3">
        <f>[1]Results!AA1477-[1]Results!AA1487</f>
        <v>2545.5535940000004</v>
      </c>
      <c r="Y222" s="3">
        <f>[1]Results!AB1477-[1]Results!AB1487</f>
        <v>2546.0695810000007</v>
      </c>
      <c r="Z222" s="3">
        <f>[1]Results!AC1477-[1]Results!AC1487</f>
        <v>2547.2511689999997</v>
      </c>
      <c r="AA222" s="3">
        <f>[1]Results!AD1477-[1]Results!AD1487</f>
        <v>2548.8246559999998</v>
      </c>
      <c r="AB222" s="3">
        <f>[1]Results!AE1477-[1]Results!AE1487</f>
        <v>2544.9475170000001</v>
      </c>
      <c r="AC222" s="3">
        <f>[1]Results!AF1477-[1]Results!AF1487</f>
        <v>2541.7888349999994</v>
      </c>
      <c r="AD222" s="3">
        <f>[1]Results!AG1477-[1]Results!AG1487</f>
        <v>2539.5454310000005</v>
      </c>
      <c r="AE222" s="3">
        <f>[1]Results!AH1477-[1]Results!AH1487</f>
        <v>2537.9630299999999</v>
      </c>
      <c r="AF222" s="3">
        <f>[1]Results!AI1477-[1]Results!AI1487</f>
        <v>2536.907843</v>
      </c>
      <c r="AG222" s="3">
        <f>[1]Results!AJ1477-[1]Results!AJ1487</f>
        <v>2536.2779620000001</v>
      </c>
      <c r="AH222" s="3">
        <f>[1]Results!AK1477-[1]Results!AK1487</f>
        <v>2535.9471560000002</v>
      </c>
      <c r="AI222" s="3">
        <f>[1]Results!AL1477-[1]Results!AL1487</f>
        <v>2535.7785519999998</v>
      </c>
      <c r="AJ222" s="3">
        <f>[1]Results!AM1477-[1]Results!AM1487</f>
        <v>2535.6621889999997</v>
      </c>
      <c r="AK222" s="3">
        <f>[1]Results!AN1477-[1]Results!AN1487</f>
        <v>2535.5404090000006</v>
      </c>
      <c r="AL222" s="3">
        <f>[1]Results!AO1477-[1]Results!AO1487</f>
        <v>2535.4079049999996</v>
      </c>
    </row>
    <row r="223" spans="1:38" x14ac:dyDescent="0.3">
      <c r="B223" t="s">
        <v>24</v>
      </c>
      <c r="C223" s="6">
        <f>[1]Results!F1497</f>
        <v>43.707144669999998</v>
      </c>
      <c r="D223" s="3">
        <f>[1]Results!G1497</f>
        <v>44.379338859999997</v>
      </c>
      <c r="E223" s="3">
        <f>[1]Results!H1497</f>
        <v>45.135641120000003</v>
      </c>
      <c r="F223" s="3">
        <f>[1]Results!I1497</f>
        <v>45.774896480000002</v>
      </c>
      <c r="G223" s="3">
        <f>[1]Results!J1497</f>
        <v>46.263263449999997</v>
      </c>
      <c r="H223" s="3">
        <f>[1]Results!K1497</f>
        <v>46.640835070000001</v>
      </c>
      <c r="I223" s="3">
        <f>[1]Results!L1497</f>
        <v>46.943472149999998</v>
      </c>
      <c r="J223" s="3">
        <f>[1]Results!M1497</f>
        <v>47.212927309999998</v>
      </c>
      <c r="K223" s="3">
        <f>[1]Results!N1497</f>
        <v>47.462256940000003</v>
      </c>
      <c r="L223" s="3">
        <f>[1]Results!O1497</f>
        <v>47.68167313</v>
      </c>
      <c r="M223" s="3">
        <f>[1]Results!P1497</f>
        <v>47.876173399999999</v>
      </c>
      <c r="N223" s="3">
        <f>[1]Results!Q1497</f>
        <v>48.010681820000002</v>
      </c>
      <c r="O223" s="3">
        <f>[1]Results!R1497</f>
        <v>48.087353729999997</v>
      </c>
      <c r="P223" s="3">
        <f>[1]Results!S1497</f>
        <v>48.117598479999998</v>
      </c>
      <c r="Q223" s="3">
        <f>[1]Results!T1497</f>
        <v>48.11361471</v>
      </c>
      <c r="R223" s="3">
        <f>[1]Results!U1497</f>
        <v>48.086041780000002</v>
      </c>
      <c r="S223" s="3">
        <f>[1]Results!V1497</f>
        <v>48.042835289999999</v>
      </c>
      <c r="T223" s="3">
        <f>[1]Results!W1497</f>
        <v>47.988652299999998</v>
      </c>
      <c r="U223" s="3">
        <f>[1]Results!X1497</f>
        <v>47.925716350000002</v>
      </c>
      <c r="V223" s="3">
        <f>[1]Results!Y1497</f>
        <v>47.85536304</v>
      </c>
      <c r="W223" s="3">
        <f>[1]Results!Z1497</f>
        <v>47.763135490000003</v>
      </c>
      <c r="X223" s="3">
        <f>[1]Results!AA1497</f>
        <v>47.669778970000003</v>
      </c>
      <c r="Y223" s="3">
        <f>[1]Results!AB1497</f>
        <v>47.578819510000002</v>
      </c>
      <c r="Z223" s="3">
        <f>[1]Results!AC1497</f>
        <v>47.492235520000001</v>
      </c>
      <c r="AA223" s="3">
        <f>[1]Results!AD1497</f>
        <v>47.412471279999998</v>
      </c>
      <c r="AB223" s="3">
        <f>[1]Results!AE1497</f>
        <v>47.293979980000003</v>
      </c>
      <c r="AC223" s="3">
        <f>[1]Results!AF1497</f>
        <v>47.173811890000003</v>
      </c>
      <c r="AD223" s="3">
        <f>[1]Results!AG1497</f>
        <v>47.053334360000001</v>
      </c>
      <c r="AE223" s="3">
        <f>[1]Results!AH1497</f>
        <v>46.930216659999999</v>
      </c>
      <c r="AF223" s="3">
        <f>[1]Results!AI1497</f>
        <v>46.80536713</v>
      </c>
      <c r="AG223" s="3">
        <f>[1]Results!AJ1497</f>
        <v>46.682428440000002</v>
      </c>
      <c r="AH223" s="3">
        <f>[1]Results!AK1497</f>
        <v>46.56540468</v>
      </c>
      <c r="AI223" s="3">
        <f>[1]Results!AL1497</f>
        <v>46.45671214</v>
      </c>
      <c r="AJ223" s="3">
        <f>[1]Results!AM1497</f>
        <v>46.35642635</v>
      </c>
      <c r="AK223" s="3">
        <f>[1]Results!AN1497</f>
        <v>46.262687749999998</v>
      </c>
      <c r="AL223" s="3">
        <f>[1]Results!AO1497</f>
        <v>46.172790229999997</v>
      </c>
    </row>
    <row r="224" spans="1:38" x14ac:dyDescent="0.3">
      <c r="B224" t="s">
        <v>10</v>
      </c>
      <c r="C224" s="6">
        <f>[1]Results!F1494</f>
        <v>21273.564770000001</v>
      </c>
      <c r="D224" s="3">
        <f>[1]Results!G1494</f>
        <v>21209.840990000001</v>
      </c>
      <c r="E224" s="3">
        <f>[1]Results!H1494</f>
        <v>21142.218349999999</v>
      </c>
      <c r="F224" s="3">
        <f>[1]Results!I1494</f>
        <v>21127.073840000001</v>
      </c>
      <c r="G224" s="3">
        <f>[1]Results!J1494</f>
        <v>21167.089830000001</v>
      </c>
      <c r="H224" s="3">
        <f>[1]Results!K1494</f>
        <v>21247.541450000001</v>
      </c>
      <c r="I224" s="3">
        <f>[1]Results!L1494</f>
        <v>21360.068780000001</v>
      </c>
      <c r="J224" s="3">
        <f>[1]Results!M1494</f>
        <v>21474.045419999999</v>
      </c>
      <c r="K224" s="3">
        <f>[1]Results!N1494</f>
        <v>21579.56381</v>
      </c>
      <c r="L224" s="3">
        <f>[1]Results!O1494</f>
        <v>21676.98244</v>
      </c>
      <c r="M224" s="3">
        <f>[1]Results!P1494</f>
        <v>21755.469300000001</v>
      </c>
      <c r="N224" s="3">
        <f>[1]Results!Q1494</f>
        <v>21863.18707</v>
      </c>
      <c r="O224" s="3">
        <f>[1]Results!R1494</f>
        <v>21978.431209999999</v>
      </c>
      <c r="P224" s="3">
        <f>[1]Results!S1494</f>
        <v>22093.170600000001</v>
      </c>
      <c r="Q224" s="3">
        <f>[1]Results!T1494</f>
        <v>22204.459930000001</v>
      </c>
      <c r="R224" s="3">
        <f>[1]Results!U1494</f>
        <v>22311.517329999999</v>
      </c>
      <c r="S224" s="3">
        <f>[1]Results!V1494</f>
        <v>22414.424790000001</v>
      </c>
      <c r="T224" s="3">
        <f>[1]Results!W1494</f>
        <v>22513.551640000001</v>
      </c>
      <c r="U224" s="3">
        <f>[1]Results!X1494</f>
        <v>22609.521239999998</v>
      </c>
      <c r="V224" s="3">
        <f>[1]Results!Y1494</f>
        <v>22703.138749999998</v>
      </c>
      <c r="W224" s="3">
        <f>[1]Results!Z1494</f>
        <v>22802.421419999999</v>
      </c>
      <c r="X224" s="3">
        <f>[1]Results!AA1494</f>
        <v>22884.505300000001</v>
      </c>
      <c r="Y224" s="3">
        <f>[1]Results!AB1494</f>
        <v>22964.662499999999</v>
      </c>
      <c r="Z224" s="3">
        <f>[1]Results!AC1494</f>
        <v>23047.662359999998</v>
      </c>
      <c r="AA224" s="3">
        <f>[1]Results!AD1494</f>
        <v>23133.978800000001</v>
      </c>
      <c r="AB224" s="3">
        <f>[1]Results!AE1494</f>
        <v>23237.833620000001</v>
      </c>
      <c r="AC224" s="3">
        <f>[1]Results!AF1494</f>
        <v>23311.336589999999</v>
      </c>
      <c r="AD224" s="3">
        <f>[1]Results!AG1494</f>
        <v>23371.610929999999</v>
      </c>
      <c r="AE224" s="3">
        <f>[1]Results!AH1494</f>
        <v>23427.637289999999</v>
      </c>
      <c r="AF224" s="3">
        <f>[1]Results!AI1494</f>
        <v>23483.703130000002</v>
      </c>
      <c r="AG224" s="3">
        <f>[1]Results!AJ1494</f>
        <v>23541.319930000001</v>
      </c>
      <c r="AH224" s="3">
        <f>[1]Results!AK1494</f>
        <v>23600.506290000001</v>
      </c>
      <c r="AI224" s="3">
        <f>[1]Results!AL1494</f>
        <v>23660.709340000001</v>
      </c>
      <c r="AJ224" s="3">
        <f>[1]Results!AM1494</f>
        <v>23721.391220000001</v>
      </c>
      <c r="AK224" s="3">
        <f>[1]Results!AN1494</f>
        <v>23782.29077</v>
      </c>
      <c r="AL224" s="3">
        <f>[1]Results!AO1494</f>
        <v>23843.425200000001</v>
      </c>
    </row>
    <row r="225" spans="1:38" x14ac:dyDescent="0.3">
      <c r="B225" t="s">
        <v>23</v>
      </c>
      <c r="C225" s="6">
        <f>[1]Results!F1489</f>
        <v>868.12487880000003</v>
      </c>
      <c r="D225" s="3">
        <f>[1]Results!G1489</f>
        <v>860.96730460000003</v>
      </c>
      <c r="E225" s="3">
        <f>[1]Results!H1489</f>
        <v>851.65571120000004</v>
      </c>
      <c r="F225" s="3">
        <f>[1]Results!I1489</f>
        <v>843.69302449999998</v>
      </c>
      <c r="G225" s="3">
        <f>[1]Results!J1489</f>
        <v>838.18972459999998</v>
      </c>
      <c r="H225" s="3">
        <f>[1]Results!K1489</f>
        <v>835.05002460000003</v>
      </c>
      <c r="I225" s="3">
        <f>[1]Results!L1489</f>
        <v>833.5642732</v>
      </c>
      <c r="J225" s="3">
        <f>[1]Results!M1489</f>
        <v>832.93521569999996</v>
      </c>
      <c r="K225" s="3">
        <f>[1]Results!N1489</f>
        <v>832.65834789999997</v>
      </c>
      <c r="L225" s="3">
        <f>[1]Results!O1489</f>
        <v>832.51803989999996</v>
      </c>
      <c r="M225" s="3">
        <f>[1]Results!P1489</f>
        <v>832.65286460000004</v>
      </c>
      <c r="N225" s="3">
        <f>[1]Results!Q1489</f>
        <v>833.23276080000005</v>
      </c>
      <c r="O225" s="3">
        <f>[1]Results!R1489</f>
        <v>834.04265109999994</v>
      </c>
      <c r="P225" s="3">
        <f>[1]Results!S1489</f>
        <v>834.9620807</v>
      </c>
      <c r="Q225" s="3">
        <f>[1]Results!T1489</f>
        <v>835.91328880000003</v>
      </c>
      <c r="R225" s="3">
        <f>[1]Results!U1489</f>
        <v>836.8429294</v>
      </c>
      <c r="S225" s="3">
        <f>[1]Results!V1489</f>
        <v>837.72042929999998</v>
      </c>
      <c r="T225" s="3">
        <f>[1]Results!W1489</f>
        <v>838.53838519999999</v>
      </c>
      <c r="U225" s="3">
        <f>[1]Results!X1489</f>
        <v>839.3111447</v>
      </c>
      <c r="V225" s="3">
        <f>[1]Results!Y1489</f>
        <v>840.06689319999998</v>
      </c>
      <c r="W225" s="3">
        <f>[1]Results!Z1489</f>
        <v>840.69335139999998</v>
      </c>
      <c r="X225" s="3">
        <f>[1]Results!AA1489</f>
        <v>841.22486700000002</v>
      </c>
      <c r="Y225" s="3">
        <f>[1]Results!AB1489</f>
        <v>841.85021170000005</v>
      </c>
      <c r="Z225" s="3">
        <f>[1]Results!AC1489</f>
        <v>842.62647430000004</v>
      </c>
      <c r="AA225" s="3">
        <f>[1]Results!AD1489</f>
        <v>843.53870849999998</v>
      </c>
      <c r="AB225" s="3">
        <f>[1]Results!AE1489</f>
        <v>844.07357500000001</v>
      </c>
      <c r="AC225" s="3">
        <f>[1]Results!AF1489</f>
        <v>844.21096460000001</v>
      </c>
      <c r="AD225" s="3">
        <f>[1]Results!AG1489</f>
        <v>844.19597750000003</v>
      </c>
      <c r="AE225" s="3">
        <f>[1]Results!AH1489</f>
        <v>844.18840869999997</v>
      </c>
      <c r="AF225" s="3">
        <f>[1]Results!AI1489</f>
        <v>844.27099299999998</v>
      </c>
      <c r="AG225" s="3">
        <f>[1]Results!AJ1489</f>
        <v>844.46580070000005</v>
      </c>
      <c r="AH225" s="3">
        <f>[1]Results!AK1489</f>
        <v>844.7550023</v>
      </c>
      <c r="AI225" s="3">
        <f>[1]Results!AL1489</f>
        <v>845.10427219999997</v>
      </c>
      <c r="AJ225" s="3">
        <f>[1]Results!AM1489</f>
        <v>845.48235369999998</v>
      </c>
      <c r="AK225" s="3">
        <f>[1]Results!AN1489</f>
        <v>845.87182949999999</v>
      </c>
      <c r="AL225" s="3">
        <f>[1]Results!AO1489</f>
        <v>846.27023870000005</v>
      </c>
    </row>
    <row r="227" spans="1:38" x14ac:dyDescent="0.3">
      <c r="A227" s="12" t="s">
        <v>60</v>
      </c>
      <c r="B227" t="s">
        <v>22</v>
      </c>
      <c r="C227" s="6">
        <f>C209-C218</f>
        <v>0</v>
      </c>
      <c r="D227" s="6">
        <f t="shared" ref="D227:AL227" si="40">D209-D218</f>
        <v>0</v>
      </c>
      <c r="E227" s="6">
        <f t="shared" si="40"/>
        <v>0</v>
      </c>
      <c r="F227" s="6">
        <f t="shared" si="40"/>
        <v>0</v>
      </c>
      <c r="G227" s="6">
        <f t="shared" si="40"/>
        <v>0</v>
      </c>
      <c r="H227" s="6">
        <f t="shared" si="40"/>
        <v>0</v>
      </c>
      <c r="I227" s="6">
        <f t="shared" si="40"/>
        <v>-46.534850000000006</v>
      </c>
      <c r="J227" s="6">
        <f t="shared" si="40"/>
        <v>-153.02683999999863</v>
      </c>
      <c r="K227" s="6">
        <f t="shared" si="40"/>
        <v>-277.10289000000193</v>
      </c>
      <c r="L227" s="6">
        <f t="shared" si="40"/>
        <v>-383.56791999999768</v>
      </c>
      <c r="M227" s="6">
        <f t="shared" si="40"/>
        <v>-453.02913000000262</v>
      </c>
      <c r="N227" s="6">
        <f t="shared" si="40"/>
        <v>-482.26288000000204</v>
      </c>
      <c r="O227" s="6">
        <f t="shared" si="40"/>
        <v>-478.99601999999868</v>
      </c>
      <c r="P227" s="6">
        <f t="shared" si="40"/>
        <v>-457.21610000000146</v>
      </c>
      <c r="Q227" s="6">
        <f t="shared" si="40"/>
        <v>-431.20505000000048</v>
      </c>
      <c r="R227" s="6">
        <f t="shared" si="40"/>
        <v>-411.17311999999947</v>
      </c>
      <c r="S227" s="6">
        <f t="shared" si="40"/>
        <v>-401.37809999999808</v>
      </c>
      <c r="T227" s="6">
        <f t="shared" si="40"/>
        <v>-400.80254000000059</v>
      </c>
      <c r="U227" s="6">
        <f t="shared" si="40"/>
        <v>-405.42808999999761</v>
      </c>
      <c r="V227" s="6">
        <f t="shared" si="40"/>
        <v>-410.78132999999798</v>
      </c>
      <c r="W227" s="6">
        <f t="shared" si="40"/>
        <v>-413.66700000000128</v>
      </c>
      <c r="X227" s="6">
        <f t="shared" si="40"/>
        <v>-412.91711999999825</v>
      </c>
      <c r="Y227" s="6">
        <f t="shared" si="40"/>
        <v>-409.20796999999948</v>
      </c>
      <c r="Z227" s="6">
        <f t="shared" si="40"/>
        <v>-403.98534999999902</v>
      </c>
      <c r="AA227" s="6">
        <f t="shared" si="40"/>
        <v>-398.63016000000061</v>
      </c>
      <c r="AB227" s="6">
        <f t="shared" si="40"/>
        <v>-393.76583000000028</v>
      </c>
      <c r="AC227" s="6">
        <f t="shared" si="40"/>
        <v>-389.33745000000272</v>
      </c>
      <c r="AD227" s="6">
        <f t="shared" si="40"/>
        <v>-385.17900999999983</v>
      </c>
      <c r="AE227" s="6">
        <f t="shared" si="40"/>
        <v>-380.98347999999896</v>
      </c>
      <c r="AF227" s="6">
        <f t="shared" si="40"/>
        <v>-376.579179999997</v>
      </c>
      <c r="AG227" s="6">
        <f t="shared" si="40"/>
        <v>-372.02505999999994</v>
      </c>
      <c r="AH227" s="6">
        <f t="shared" si="40"/>
        <v>-367.56345999999758</v>
      </c>
      <c r="AI227" s="6">
        <f t="shared" si="40"/>
        <v>-363.49403000000166</v>
      </c>
      <c r="AJ227" s="6">
        <f t="shared" si="40"/>
        <v>-360.04302000000098</v>
      </c>
      <c r="AK227" s="6">
        <f t="shared" si="40"/>
        <v>-357.28543999999965</v>
      </c>
      <c r="AL227" s="6">
        <f t="shared" si="40"/>
        <v>-355.13879000000088</v>
      </c>
    </row>
    <row r="228" spans="1:38" x14ac:dyDescent="0.3">
      <c r="A228" t="s">
        <v>61</v>
      </c>
      <c r="B228" t="s">
        <v>7</v>
      </c>
      <c r="C228" s="6">
        <f t="shared" ref="C228:AL228" si="41">C210-C219</f>
        <v>0</v>
      </c>
      <c r="D228" s="6">
        <f t="shared" si="41"/>
        <v>0</v>
      </c>
      <c r="E228" s="6">
        <f t="shared" si="41"/>
        <v>0</v>
      </c>
      <c r="F228" s="6">
        <f t="shared" si="41"/>
        <v>0</v>
      </c>
      <c r="G228" s="6">
        <f t="shared" si="41"/>
        <v>0</v>
      </c>
      <c r="H228" s="6">
        <f t="shared" si="41"/>
        <v>0</v>
      </c>
      <c r="I228" s="6">
        <f t="shared" si="41"/>
        <v>22.408818200000042</v>
      </c>
      <c r="J228" s="6">
        <f t="shared" si="41"/>
        <v>29.421024699999975</v>
      </c>
      <c r="K228" s="6">
        <f t="shared" si="41"/>
        <v>25.259000799999967</v>
      </c>
      <c r="L228" s="6">
        <f t="shared" si="41"/>
        <v>15.283863900000028</v>
      </c>
      <c r="M228" s="6">
        <f t="shared" si="41"/>
        <v>3.9914089000000104</v>
      </c>
      <c r="N228" s="6">
        <f t="shared" si="41"/>
        <v>-5.5572049999999535</v>
      </c>
      <c r="O228" s="6">
        <f t="shared" si="41"/>
        <v>-11.790996800000016</v>
      </c>
      <c r="P228" s="6">
        <f t="shared" si="41"/>
        <v>-14.347225099999946</v>
      </c>
      <c r="Q228" s="6">
        <f t="shared" si="41"/>
        <v>-13.696441700000037</v>
      </c>
      <c r="R228" s="6">
        <f t="shared" si="41"/>
        <v>-10.767773099999999</v>
      </c>
      <c r="S228" s="6">
        <f t="shared" si="41"/>
        <v>-6.6327553999999509</v>
      </c>
      <c r="T228" s="6">
        <f t="shared" si="41"/>
        <v>-2.2695169000000988</v>
      </c>
      <c r="U228" s="6">
        <f t="shared" si="41"/>
        <v>1.5823699000000033</v>
      </c>
      <c r="V228" s="6">
        <f t="shared" si="41"/>
        <v>4.4789901999999984</v>
      </c>
      <c r="W228" s="6">
        <f t="shared" si="41"/>
        <v>6.2541406000000279</v>
      </c>
      <c r="X228" s="6">
        <f t="shared" si="41"/>
        <v>6.9665017999999463</v>
      </c>
      <c r="Y228" s="6">
        <f t="shared" si="41"/>
        <v>6.8171400999999605</v>
      </c>
      <c r="Z228" s="6">
        <f t="shared" si="41"/>
        <v>6.0703830999999582</v>
      </c>
      <c r="AA228" s="6">
        <f t="shared" si="41"/>
        <v>4.9954351999999744</v>
      </c>
      <c r="AB228" s="6">
        <f t="shared" si="41"/>
        <v>3.8241230999999516</v>
      </c>
      <c r="AC228" s="6">
        <f t="shared" si="41"/>
        <v>2.7390659000000142</v>
      </c>
      <c r="AD228" s="6">
        <f t="shared" si="41"/>
        <v>1.8676283000000922</v>
      </c>
      <c r="AE228" s="6">
        <f t="shared" si="41"/>
        <v>1.276045100000033</v>
      </c>
      <c r="AF228" s="6">
        <f t="shared" si="41"/>
        <v>0.9779072000000042</v>
      </c>
      <c r="AG228" s="6">
        <f t="shared" si="41"/>
        <v>0.94593119999990449</v>
      </c>
      <c r="AH228" s="6">
        <f t="shared" si="41"/>
        <v>1.1252308999999059</v>
      </c>
      <c r="AI228" s="6">
        <f t="shared" si="41"/>
        <v>1.4465005000000701</v>
      </c>
      <c r="AJ228" s="6">
        <f t="shared" si="41"/>
        <v>1.8378887999999733</v>
      </c>
      <c r="AK228" s="6">
        <f t="shared" si="41"/>
        <v>2.2346638999999868</v>
      </c>
      <c r="AL228" s="6">
        <f t="shared" si="41"/>
        <v>2.5859910000000355</v>
      </c>
    </row>
    <row r="229" spans="1:38" x14ac:dyDescent="0.3">
      <c r="B229" t="s">
        <v>96</v>
      </c>
      <c r="C229" s="6">
        <f t="shared" ref="C229:AL229" si="42">C211-C220</f>
        <v>0</v>
      </c>
      <c r="D229" s="6">
        <f t="shared" si="42"/>
        <v>0</v>
      </c>
      <c r="E229" s="6">
        <f t="shared" si="42"/>
        <v>0</v>
      </c>
      <c r="F229" s="6">
        <f t="shared" si="42"/>
        <v>0</v>
      </c>
      <c r="G229" s="6">
        <f t="shared" si="42"/>
        <v>0</v>
      </c>
      <c r="H229" s="6">
        <f t="shared" si="42"/>
        <v>0</v>
      </c>
      <c r="I229" s="6">
        <f t="shared" si="42"/>
        <v>-16.554678000000195</v>
      </c>
      <c r="J229" s="6">
        <f t="shared" si="42"/>
        <v>-37.707086000000118</v>
      </c>
      <c r="K229" s="6">
        <f t="shared" si="42"/>
        <v>-56.553476000000046</v>
      </c>
      <c r="L229" s="6">
        <f t="shared" si="42"/>
        <v>-68.422304999999824</v>
      </c>
      <c r="M229" s="6">
        <f t="shared" si="42"/>
        <v>-71.590286999999989</v>
      </c>
      <c r="N229" s="6">
        <f t="shared" si="42"/>
        <v>-66.742029999999886</v>
      </c>
      <c r="O229" s="6">
        <f t="shared" si="42"/>
        <v>-56.526822000000038</v>
      </c>
      <c r="P229" s="6">
        <f t="shared" si="42"/>
        <v>-44.493670999999949</v>
      </c>
      <c r="Q229" s="6">
        <f t="shared" si="42"/>
        <v>-33.874109999999973</v>
      </c>
      <c r="R229" s="6">
        <f t="shared" si="42"/>
        <v>-26.442622000000028</v>
      </c>
      <c r="S229" s="6">
        <f t="shared" si="42"/>
        <v>-22.526053999999931</v>
      </c>
      <c r="T229" s="6">
        <f t="shared" si="42"/>
        <v>-21.542443000000048</v>
      </c>
      <c r="U229" s="6">
        <f t="shared" si="42"/>
        <v>-22.427971999999954</v>
      </c>
      <c r="V229" s="6">
        <f t="shared" si="42"/>
        <v>-24.075327000000016</v>
      </c>
      <c r="W229" s="6">
        <f t="shared" si="42"/>
        <v>-25.690871000000016</v>
      </c>
      <c r="X229" s="6">
        <f t="shared" si="42"/>
        <v>-26.842625999999882</v>
      </c>
      <c r="Y229" s="6">
        <f t="shared" si="42"/>
        <v>-27.527796999999964</v>
      </c>
      <c r="Z229" s="6">
        <f t="shared" si="42"/>
        <v>-27.924307999999883</v>
      </c>
      <c r="AA229" s="6">
        <f t="shared" si="42"/>
        <v>-28.224789999999985</v>
      </c>
      <c r="AB229" s="6">
        <f t="shared" si="42"/>
        <v>-28.531729000000041</v>
      </c>
      <c r="AC229" s="6">
        <f t="shared" si="42"/>
        <v>-28.767530000000079</v>
      </c>
      <c r="AD229" s="6">
        <f t="shared" si="42"/>
        <v>-28.866265999999996</v>
      </c>
      <c r="AE229" s="6">
        <f t="shared" si="42"/>
        <v>-28.76293499999997</v>
      </c>
      <c r="AF229" s="6">
        <f t="shared" si="42"/>
        <v>-28.438804000000118</v>
      </c>
      <c r="AG229" s="6">
        <f t="shared" si="42"/>
        <v>-27.93344100000013</v>
      </c>
      <c r="AH229" s="6">
        <f t="shared" si="42"/>
        <v>-27.327787999999828</v>
      </c>
      <c r="AI229" s="6">
        <f t="shared" si="42"/>
        <v>-26.711729999999989</v>
      </c>
      <c r="AJ229" s="6">
        <f t="shared" si="42"/>
        <v>-26.153092999999899</v>
      </c>
      <c r="AK229" s="6">
        <f t="shared" si="42"/>
        <v>-25.680734999999913</v>
      </c>
      <c r="AL229" s="6">
        <f t="shared" si="42"/>
        <v>-25.285275000000183</v>
      </c>
    </row>
    <row r="230" spans="1:38" x14ac:dyDescent="0.3">
      <c r="B230" t="s">
        <v>11</v>
      </c>
      <c r="C230" s="6">
        <f t="shared" ref="C230:AL230" si="43">C212-C221</f>
        <v>0</v>
      </c>
      <c r="D230" s="6">
        <f t="shared" si="43"/>
        <v>0</v>
      </c>
      <c r="E230" s="6">
        <f t="shared" si="43"/>
        <v>0</v>
      </c>
      <c r="F230" s="6">
        <f t="shared" si="43"/>
        <v>0</v>
      </c>
      <c r="G230" s="6">
        <f t="shared" si="43"/>
        <v>0</v>
      </c>
      <c r="H230" s="6">
        <f t="shared" si="43"/>
        <v>0</v>
      </c>
      <c r="I230" s="6">
        <f t="shared" si="43"/>
        <v>0.31226325000000088</v>
      </c>
      <c r="J230" s="6">
        <f t="shared" si="43"/>
        <v>0.48030184999999648</v>
      </c>
      <c r="K230" s="6">
        <f t="shared" si="43"/>
        <v>0.43326484999999337</v>
      </c>
      <c r="L230" s="6">
        <f t="shared" si="43"/>
        <v>0.18509117999999347</v>
      </c>
      <c r="M230" s="6">
        <f t="shared" si="43"/>
        <v>-0.20250828999999726</v>
      </c>
      <c r="N230" s="6">
        <f t="shared" si="43"/>
        <v>-0.63585934999999694</v>
      </c>
      <c r="O230" s="6">
        <f t="shared" si="43"/>
        <v>-1.0273915300000027</v>
      </c>
      <c r="P230" s="6">
        <f t="shared" si="43"/>
        <v>-1.3164279000000008</v>
      </c>
      <c r="Q230" s="6">
        <f t="shared" si="43"/>
        <v>-1.4792004299999988</v>
      </c>
      <c r="R230" s="6">
        <f t="shared" si="43"/>
        <v>-1.5267245300000027</v>
      </c>
      <c r="S230" s="6">
        <f t="shared" si="43"/>
        <v>-1.4948788399999984</v>
      </c>
      <c r="T230" s="6">
        <f t="shared" si="43"/>
        <v>-1.4251447800000037</v>
      </c>
      <c r="U230" s="6">
        <f t="shared" si="43"/>
        <v>-1.350960409999999</v>
      </c>
      <c r="V230" s="6">
        <f t="shared" si="43"/>
        <v>-1.2913103800000059</v>
      </c>
      <c r="W230" s="6">
        <f t="shared" si="43"/>
        <v>-1.2512509100000031</v>
      </c>
      <c r="X230" s="6">
        <f t="shared" si="43"/>
        <v>-1.2259644200000039</v>
      </c>
      <c r="Y230" s="6">
        <f t="shared" si="43"/>
        <v>-1.2080014599999984</v>
      </c>
      <c r="Z230" s="6">
        <f t="shared" si="43"/>
        <v>-1.1918109400000034</v>
      </c>
      <c r="AA230" s="6">
        <f t="shared" si="43"/>
        <v>-1.1754056299999931</v>
      </c>
      <c r="AB230" s="6">
        <f t="shared" si="43"/>
        <v>-1.1601052800000033</v>
      </c>
      <c r="AC230" s="6">
        <f t="shared" si="43"/>
        <v>-1.1486497</v>
      </c>
      <c r="AD230" s="6">
        <f t="shared" si="43"/>
        <v>-1.1430542600000066</v>
      </c>
      <c r="AE230" s="6">
        <f t="shared" si="43"/>
        <v>-1.1435557000000003</v>
      </c>
      <c r="AF230" s="6">
        <f t="shared" si="43"/>
        <v>-1.1491872799999996</v>
      </c>
      <c r="AG230" s="6">
        <f t="shared" si="43"/>
        <v>-1.1581664099999998</v>
      </c>
      <c r="AH230" s="6">
        <f t="shared" si="43"/>
        <v>-1.1686160300000026</v>
      </c>
      <c r="AI230" s="6">
        <f t="shared" si="43"/>
        <v>-1.1791968599999976</v>
      </c>
      <c r="AJ230" s="6">
        <f t="shared" si="43"/>
        <v>-1.1895640500000013</v>
      </c>
      <c r="AK230" s="6">
        <f t="shared" si="43"/>
        <v>-1.1999917899999986</v>
      </c>
      <c r="AL230" s="6">
        <f t="shared" si="43"/>
        <v>-1.2110832400000007</v>
      </c>
    </row>
    <row r="231" spans="1:38" x14ac:dyDescent="0.3">
      <c r="B231" t="s">
        <v>8</v>
      </c>
      <c r="C231" s="6">
        <f t="shared" ref="C231:AL231" si="44">C213-C222</f>
        <v>0</v>
      </c>
      <c r="D231" s="6">
        <f t="shared" si="44"/>
        <v>0</v>
      </c>
      <c r="E231" s="6">
        <f t="shared" si="44"/>
        <v>0</v>
      </c>
      <c r="F231" s="6">
        <f t="shared" si="44"/>
        <v>0</v>
      </c>
      <c r="G231" s="6">
        <f t="shared" si="44"/>
        <v>0</v>
      </c>
      <c r="H231" s="6">
        <f t="shared" si="44"/>
        <v>0</v>
      </c>
      <c r="I231" s="6">
        <f t="shared" si="44"/>
        <v>-9.4928589999999531</v>
      </c>
      <c r="J231" s="6">
        <f t="shared" si="44"/>
        <v>-26.711551000000327</v>
      </c>
      <c r="K231" s="6">
        <f t="shared" si="44"/>
        <v>-47.590865999999551</v>
      </c>
      <c r="L231" s="6">
        <f t="shared" si="44"/>
        <v>-66.978355000000192</v>
      </c>
      <c r="M231" s="6">
        <f t="shared" si="44"/>
        <v>-81.390840999999455</v>
      </c>
      <c r="N231" s="6">
        <f t="shared" si="44"/>
        <v>-89.418492999999671</v>
      </c>
      <c r="O231" s="6">
        <f t="shared" si="44"/>
        <v>-91.504257000000052</v>
      </c>
      <c r="P231" s="6">
        <f t="shared" si="44"/>
        <v>-89.2477429999999</v>
      </c>
      <c r="Q231" s="6">
        <f t="shared" si="44"/>
        <v>-84.636086999999861</v>
      </c>
      <c r="R231" s="6">
        <f t="shared" si="44"/>
        <v>-79.402153999999882</v>
      </c>
      <c r="S231" s="6">
        <f t="shared" si="44"/>
        <v>-74.673243000000184</v>
      </c>
      <c r="T231" s="6">
        <f t="shared" si="44"/>
        <v>-70.92263100000082</v>
      </c>
      <c r="U231" s="6">
        <f t="shared" si="44"/>
        <v>-68.130200999999033</v>
      </c>
      <c r="V231" s="6">
        <f t="shared" si="44"/>
        <v>-66.032529999999497</v>
      </c>
      <c r="W231" s="6">
        <f t="shared" si="44"/>
        <v>-64.308677000000444</v>
      </c>
      <c r="X231" s="6">
        <f t="shared" si="44"/>
        <v>-62.829149000000598</v>
      </c>
      <c r="Y231" s="6">
        <f t="shared" si="44"/>
        <v>-61.540447000000313</v>
      </c>
      <c r="Z231" s="6">
        <f t="shared" si="44"/>
        <v>-60.468801999999869</v>
      </c>
      <c r="AA231" s="6">
        <f t="shared" si="44"/>
        <v>-59.651601999999002</v>
      </c>
      <c r="AB231" s="6">
        <f t="shared" si="44"/>
        <v>-59.001905999999963</v>
      </c>
      <c r="AC231" s="6">
        <f t="shared" si="44"/>
        <v>-58.535352999999304</v>
      </c>
      <c r="AD231" s="6">
        <f t="shared" si="44"/>
        <v>-58.171092000000499</v>
      </c>
      <c r="AE231" s="6">
        <f t="shared" si="44"/>
        <v>-57.829926000000341</v>
      </c>
      <c r="AF231" s="6">
        <f t="shared" si="44"/>
        <v>-57.459290000000237</v>
      </c>
      <c r="AG231" s="6">
        <f t="shared" si="44"/>
        <v>-57.041525999999976</v>
      </c>
      <c r="AH231" s="6">
        <f t="shared" si="44"/>
        <v>-56.588504000000285</v>
      </c>
      <c r="AI231" s="6">
        <f t="shared" si="44"/>
        <v>-56.127591999999822</v>
      </c>
      <c r="AJ231" s="6">
        <f t="shared" si="44"/>
        <v>-55.685966999999437</v>
      </c>
      <c r="AK231" s="6">
        <f t="shared" si="44"/>
        <v>-55.279250000000502</v>
      </c>
      <c r="AL231" s="6">
        <f t="shared" si="44"/>
        <v>-54.907553999999436</v>
      </c>
    </row>
    <row r="232" spans="1:38" x14ac:dyDescent="0.3">
      <c r="B232" t="s">
        <v>24</v>
      </c>
      <c r="C232" s="6">
        <f t="shared" ref="C232:AL232" si="45">C214-C223</f>
        <v>0</v>
      </c>
      <c r="D232" s="6">
        <f t="shared" si="45"/>
        <v>0</v>
      </c>
      <c r="E232" s="6">
        <f t="shared" si="45"/>
        <v>0</v>
      </c>
      <c r="F232" s="6">
        <f t="shared" si="45"/>
        <v>0</v>
      </c>
      <c r="G232" s="6">
        <f t="shared" si="45"/>
        <v>0</v>
      </c>
      <c r="H232" s="6">
        <f t="shared" si="45"/>
        <v>0</v>
      </c>
      <c r="I232" s="6">
        <f t="shared" si="45"/>
        <v>0.28365150000000483</v>
      </c>
      <c r="J232" s="6">
        <f t="shared" si="45"/>
        <v>0.50282518000000209</v>
      </c>
      <c r="K232" s="6">
        <f t="shared" si="45"/>
        <v>0.57823882999999654</v>
      </c>
      <c r="L232" s="6">
        <f t="shared" si="45"/>
        <v>0.49034671999999802</v>
      </c>
      <c r="M232" s="6">
        <f t="shared" si="45"/>
        <v>0.26604650000000163</v>
      </c>
      <c r="N232" s="6">
        <f t="shared" si="45"/>
        <v>-3.2809929999999099E-2</v>
      </c>
      <c r="O232" s="6">
        <f t="shared" si="45"/>
        <v>-0.33709011999999916</v>
      </c>
      <c r="P232" s="6">
        <f t="shared" si="45"/>
        <v>-0.59012638999999467</v>
      </c>
      <c r="Q232" s="6">
        <f t="shared" si="45"/>
        <v>-0.76009183000000036</v>
      </c>
      <c r="R232" s="6">
        <f t="shared" si="45"/>
        <v>-0.84266488000000095</v>
      </c>
      <c r="S232" s="6">
        <f t="shared" si="45"/>
        <v>-0.85504428000000132</v>
      </c>
      <c r="T232" s="6">
        <f t="shared" si="45"/>
        <v>-0.82418175000000105</v>
      </c>
      <c r="U232" s="6">
        <f t="shared" si="45"/>
        <v>-0.77587770000000233</v>
      </c>
      <c r="V232" s="6">
        <f t="shared" si="45"/>
        <v>-0.72807484999999872</v>
      </c>
      <c r="W232" s="6">
        <f t="shared" si="45"/>
        <v>-0.68918311000000188</v>
      </c>
      <c r="X232" s="6">
        <f t="shared" si="45"/>
        <v>-0.65946143000000035</v>
      </c>
      <c r="Y232" s="6">
        <f t="shared" si="45"/>
        <v>-0.63554340000000309</v>
      </c>
      <c r="Z232" s="6">
        <f t="shared" si="45"/>
        <v>-0.61373121000000452</v>
      </c>
      <c r="AA232" s="6">
        <f t="shared" si="45"/>
        <v>-0.59213978999999739</v>
      </c>
      <c r="AB232" s="6">
        <f t="shared" si="45"/>
        <v>-0.57115098000000586</v>
      </c>
      <c r="AC232" s="6">
        <f t="shared" si="45"/>
        <v>-0.55230377000000175</v>
      </c>
      <c r="AD232" s="6">
        <f t="shared" si="45"/>
        <v>-0.5371815200000043</v>
      </c>
      <c r="AE232" s="6">
        <f t="shared" si="45"/>
        <v>-0.52640296999999947</v>
      </c>
      <c r="AF232" s="6">
        <f t="shared" si="45"/>
        <v>-0.5195188499999972</v>
      </c>
      <c r="AG232" s="6">
        <f t="shared" si="45"/>
        <v>-0.51529891999999933</v>
      </c>
      <c r="AH232" s="6">
        <f t="shared" si="45"/>
        <v>-0.51225664999999765</v>
      </c>
      <c r="AI232" s="6">
        <f t="shared" si="45"/>
        <v>-0.50916528999999855</v>
      </c>
      <c r="AJ232" s="6">
        <f t="shared" si="45"/>
        <v>-0.50536719000000119</v>
      </c>
      <c r="AK232" s="6">
        <f t="shared" si="45"/>
        <v>-0.50078614999999616</v>
      </c>
      <c r="AL232" s="6">
        <f t="shared" si="45"/>
        <v>-0.49574539999999701</v>
      </c>
    </row>
    <row r="233" spans="1:38" x14ac:dyDescent="0.3">
      <c r="B233" t="s">
        <v>10</v>
      </c>
      <c r="C233" s="6">
        <f t="shared" ref="C233:AL233" si="46">C215-C224</f>
        <v>0</v>
      </c>
      <c r="D233" s="6">
        <f t="shared" si="46"/>
        <v>0</v>
      </c>
      <c r="E233" s="6">
        <f t="shared" si="46"/>
        <v>0</v>
      </c>
      <c r="F233" s="6">
        <f t="shared" si="46"/>
        <v>0</v>
      </c>
      <c r="G233" s="6">
        <f t="shared" si="46"/>
        <v>0</v>
      </c>
      <c r="H233" s="6">
        <f t="shared" si="46"/>
        <v>0</v>
      </c>
      <c r="I233" s="6">
        <f t="shared" si="46"/>
        <v>-41.623880000002828</v>
      </c>
      <c r="J233" s="6">
        <f t="shared" si="46"/>
        <v>-113.61898999999903</v>
      </c>
      <c r="K233" s="6">
        <f t="shared" si="46"/>
        <v>-189.73574000000008</v>
      </c>
      <c r="L233" s="6">
        <f t="shared" si="46"/>
        <v>-250.96524000000136</v>
      </c>
      <c r="M233" s="6">
        <f t="shared" si="46"/>
        <v>-288.35071000000244</v>
      </c>
      <c r="N233" s="6">
        <f t="shared" si="46"/>
        <v>-302.81036999999924</v>
      </c>
      <c r="O233" s="6">
        <f t="shared" si="46"/>
        <v>-300.54590999999709</v>
      </c>
      <c r="P233" s="6">
        <f t="shared" si="46"/>
        <v>-290.49690000000192</v>
      </c>
      <c r="Q233" s="6">
        <f t="shared" si="46"/>
        <v>-280.87914000000092</v>
      </c>
      <c r="R233" s="6">
        <f t="shared" si="46"/>
        <v>-277.10782999999719</v>
      </c>
      <c r="S233" s="6">
        <f t="shared" si="46"/>
        <v>-280.66913000000204</v>
      </c>
      <c r="T233" s="6">
        <f t="shared" si="46"/>
        <v>-289.58018000000084</v>
      </c>
      <c r="U233" s="6">
        <f t="shared" si="46"/>
        <v>-300.19190999999773</v>
      </c>
      <c r="V233" s="6">
        <f t="shared" si="46"/>
        <v>-309.04222999999911</v>
      </c>
      <c r="W233" s="6">
        <f t="shared" si="46"/>
        <v>-313.9741099999992</v>
      </c>
      <c r="X233" s="6">
        <f t="shared" si="46"/>
        <v>-314.48339000000124</v>
      </c>
      <c r="Y233" s="6">
        <f t="shared" si="46"/>
        <v>-311.50613999999769</v>
      </c>
      <c r="Z233" s="6">
        <f t="shared" si="46"/>
        <v>-306.51892999999836</v>
      </c>
      <c r="AA233" s="6">
        <f t="shared" si="46"/>
        <v>-300.90301000000181</v>
      </c>
      <c r="AB233" s="6">
        <f t="shared" si="46"/>
        <v>-295.48050000000148</v>
      </c>
      <c r="AC233" s="6">
        <f t="shared" si="46"/>
        <v>-290.42298999999912</v>
      </c>
      <c r="AD233" s="6">
        <f t="shared" si="46"/>
        <v>-285.84231</v>
      </c>
      <c r="AE233" s="6">
        <f t="shared" si="46"/>
        <v>-281.65373999999792</v>
      </c>
      <c r="AF233" s="6">
        <f t="shared" si="46"/>
        <v>-277.78229000000283</v>
      </c>
      <c r="AG233" s="6">
        <f t="shared" si="46"/>
        <v>-274.24479000000065</v>
      </c>
      <c r="AH233" s="6">
        <f t="shared" si="46"/>
        <v>-271.1371300000028</v>
      </c>
      <c r="AI233" s="6">
        <f t="shared" si="46"/>
        <v>-268.56967000000077</v>
      </c>
      <c r="AJ233" s="6">
        <f t="shared" si="46"/>
        <v>-266.59807000000001</v>
      </c>
      <c r="AK233" s="6">
        <f t="shared" si="46"/>
        <v>-265.18641999999818</v>
      </c>
      <c r="AL233" s="6">
        <f t="shared" si="46"/>
        <v>-264.21234000000186</v>
      </c>
    </row>
    <row r="234" spans="1:38" x14ac:dyDescent="0.3">
      <c r="B234" t="s">
        <v>23</v>
      </c>
      <c r="C234" s="6">
        <f t="shared" ref="C234:AL234" si="47">C216-C225</f>
        <v>0</v>
      </c>
      <c r="D234" s="6">
        <f t="shared" si="47"/>
        <v>0</v>
      </c>
      <c r="E234" s="6">
        <f t="shared" si="47"/>
        <v>0</v>
      </c>
      <c r="F234" s="6">
        <f t="shared" si="47"/>
        <v>0</v>
      </c>
      <c r="G234" s="6">
        <f t="shared" si="47"/>
        <v>0</v>
      </c>
      <c r="H234" s="6">
        <f t="shared" si="47"/>
        <v>0</v>
      </c>
      <c r="I234" s="6">
        <f t="shared" si="47"/>
        <v>-1.8681689999999662</v>
      </c>
      <c r="J234" s="6">
        <f t="shared" si="47"/>
        <v>-5.3933607999999822</v>
      </c>
      <c r="K234" s="6">
        <f t="shared" si="47"/>
        <v>-9.4933039000000008</v>
      </c>
      <c r="L234" s="6">
        <f t="shared" si="47"/>
        <v>-13.161325899999952</v>
      </c>
      <c r="M234" s="6">
        <f t="shared" si="47"/>
        <v>-15.752230600000075</v>
      </c>
      <c r="N234" s="6">
        <f t="shared" si="47"/>
        <v>-17.066110300000105</v>
      </c>
      <c r="O234" s="6">
        <f t="shared" si="47"/>
        <v>-17.263552199999936</v>
      </c>
      <c r="P234" s="6">
        <f t="shared" si="47"/>
        <v>-16.723995700000046</v>
      </c>
      <c r="Q234" s="6">
        <f t="shared" si="47"/>
        <v>-15.879970800000024</v>
      </c>
      <c r="R234" s="6">
        <f t="shared" si="47"/>
        <v>-15.083349999999996</v>
      </c>
      <c r="S234" s="6">
        <f t="shared" si="47"/>
        <v>-14.526993500000003</v>
      </c>
      <c r="T234" s="6">
        <f t="shared" si="47"/>
        <v>-14.238439900000003</v>
      </c>
      <c r="U234" s="6">
        <f t="shared" si="47"/>
        <v>-14.133530599999972</v>
      </c>
      <c r="V234" s="6">
        <f t="shared" si="47"/>
        <v>-14.090859599999931</v>
      </c>
      <c r="W234" s="6">
        <f t="shared" si="47"/>
        <v>-14.007055899999955</v>
      </c>
      <c r="X234" s="6">
        <f t="shared" si="47"/>
        <v>-13.84304080000004</v>
      </c>
      <c r="Y234" s="6">
        <f t="shared" si="47"/>
        <v>-13.607188199999996</v>
      </c>
      <c r="Z234" s="6">
        <f t="shared" si="47"/>
        <v>-13.338145499999996</v>
      </c>
      <c r="AA234" s="6">
        <f t="shared" si="47"/>
        <v>-13.07864840000002</v>
      </c>
      <c r="AB234" s="6">
        <f t="shared" si="47"/>
        <v>-12.84457180000004</v>
      </c>
      <c r="AC234" s="6">
        <f t="shared" si="47"/>
        <v>-12.649686699999961</v>
      </c>
      <c r="AD234" s="6">
        <f t="shared" si="47"/>
        <v>-12.486729200000013</v>
      </c>
      <c r="AE234" s="6">
        <f t="shared" si="47"/>
        <v>-12.342961099999911</v>
      </c>
      <c r="AF234" s="6">
        <f t="shared" si="47"/>
        <v>-12.207992600000011</v>
      </c>
      <c r="AG234" s="6">
        <f t="shared" si="47"/>
        <v>-12.077767900000026</v>
      </c>
      <c r="AH234" s="6">
        <f t="shared" si="47"/>
        <v>-11.954392699999971</v>
      </c>
      <c r="AI234" s="6">
        <f t="shared" si="47"/>
        <v>-11.843169099999955</v>
      </c>
      <c r="AJ234" s="6">
        <f t="shared" si="47"/>
        <v>-11.748850699999934</v>
      </c>
      <c r="AK234" s="6">
        <f t="shared" si="47"/>
        <v>-11.672920900000008</v>
      </c>
      <c r="AL234" s="6">
        <f t="shared" si="47"/>
        <v>-11.612786000000028</v>
      </c>
    </row>
    <row r="236" spans="1:38" x14ac:dyDescent="0.3">
      <c r="A236" s="12" t="s">
        <v>60</v>
      </c>
      <c r="B236" t="s">
        <v>13</v>
      </c>
      <c r="C236" s="7" t="s">
        <v>14</v>
      </c>
      <c r="D236" s="7" t="s">
        <v>15</v>
      </c>
      <c r="E236" s="7" t="s">
        <v>16</v>
      </c>
    </row>
    <row r="237" spans="1:38" x14ac:dyDescent="0.3">
      <c r="A237" t="s">
        <v>61</v>
      </c>
      <c r="B237" t="s">
        <v>22</v>
      </c>
      <c r="C237" s="6">
        <f>R227</f>
        <v>-411.17311999999947</v>
      </c>
      <c r="D237" s="6">
        <f>AB227</f>
        <v>-393.76583000000028</v>
      </c>
      <c r="E237" s="6">
        <f>AL227</f>
        <v>-355.13879000000088</v>
      </c>
    </row>
    <row r="238" spans="1:38" x14ac:dyDescent="0.3">
      <c r="B238" t="s">
        <v>7</v>
      </c>
      <c r="C238" s="6">
        <f t="shared" ref="C238:C244" si="48">R228</f>
        <v>-10.767773099999999</v>
      </c>
      <c r="D238" s="6">
        <f t="shared" ref="D238:D244" si="49">AB228</f>
        <v>3.8241230999999516</v>
      </c>
      <c r="E238" s="6">
        <f t="shared" ref="E238:E244" si="50">AL228</f>
        <v>2.5859910000000355</v>
      </c>
    </row>
    <row r="239" spans="1:38" x14ac:dyDescent="0.3">
      <c r="B239" t="s">
        <v>96</v>
      </c>
      <c r="C239" s="6">
        <f t="shared" si="48"/>
        <v>-26.442622000000028</v>
      </c>
      <c r="D239" s="6">
        <f t="shared" si="49"/>
        <v>-28.531729000000041</v>
      </c>
      <c r="E239" s="6">
        <f t="shared" si="50"/>
        <v>-25.285275000000183</v>
      </c>
    </row>
    <row r="240" spans="1:38" x14ac:dyDescent="0.3">
      <c r="B240" t="s">
        <v>11</v>
      </c>
      <c r="C240" s="6">
        <f t="shared" si="48"/>
        <v>-1.5267245300000027</v>
      </c>
      <c r="D240" s="6">
        <f t="shared" si="49"/>
        <v>-1.1601052800000033</v>
      </c>
      <c r="E240" s="6">
        <f t="shared" si="50"/>
        <v>-1.2110832400000007</v>
      </c>
    </row>
    <row r="241" spans="1:38" x14ac:dyDescent="0.3">
      <c r="B241" t="s">
        <v>8</v>
      </c>
      <c r="C241" s="6">
        <f t="shared" si="48"/>
        <v>-79.402153999999882</v>
      </c>
      <c r="D241" s="6">
        <f t="shared" si="49"/>
        <v>-59.001905999999963</v>
      </c>
      <c r="E241" s="6">
        <f t="shared" si="50"/>
        <v>-54.907553999999436</v>
      </c>
    </row>
    <row r="242" spans="1:38" x14ac:dyDescent="0.3">
      <c r="B242" t="s">
        <v>24</v>
      </c>
      <c r="C242" s="6">
        <f t="shared" si="48"/>
        <v>-0.84266488000000095</v>
      </c>
      <c r="D242" s="6">
        <f t="shared" si="49"/>
        <v>-0.57115098000000586</v>
      </c>
      <c r="E242" s="6">
        <f t="shared" si="50"/>
        <v>-0.49574539999999701</v>
      </c>
    </row>
    <row r="243" spans="1:38" x14ac:dyDescent="0.3">
      <c r="B243" t="s">
        <v>10</v>
      </c>
      <c r="C243" s="6">
        <f t="shared" si="48"/>
        <v>-277.10782999999719</v>
      </c>
      <c r="D243" s="6">
        <f t="shared" si="49"/>
        <v>-295.48050000000148</v>
      </c>
      <c r="E243" s="6">
        <f t="shared" si="50"/>
        <v>-264.21234000000186</v>
      </c>
    </row>
    <row r="244" spans="1:38" x14ac:dyDescent="0.3">
      <c r="B244" t="s">
        <v>23</v>
      </c>
      <c r="C244" s="6">
        <f t="shared" si="48"/>
        <v>-15.083349999999996</v>
      </c>
      <c r="D244" s="6">
        <f t="shared" si="49"/>
        <v>-12.84457180000004</v>
      </c>
      <c r="E244" s="6">
        <f t="shared" si="50"/>
        <v>-11.612786000000028</v>
      </c>
    </row>
    <row r="246" spans="1:38" x14ac:dyDescent="0.3">
      <c r="A246" s="12" t="s">
        <v>31</v>
      </c>
      <c r="B246" t="s">
        <v>21</v>
      </c>
      <c r="C246" s="6">
        <f t="shared" ref="C246:AL246" si="51">C247+C248+C250+C249</f>
        <v>76.774969491999997</v>
      </c>
      <c r="D246" s="6">
        <f t="shared" si="51"/>
        <v>77.714559987000001</v>
      </c>
      <c r="E246" s="6">
        <f t="shared" si="51"/>
        <v>78.497327056000003</v>
      </c>
      <c r="F246" s="6">
        <f t="shared" si="51"/>
        <v>79.169672108</v>
      </c>
      <c r="G246" s="6">
        <f t="shared" si="51"/>
        <v>79.899980104999997</v>
      </c>
      <c r="H246" s="6">
        <f t="shared" si="51"/>
        <v>80.861911804000002</v>
      </c>
      <c r="I246" s="6">
        <f t="shared" si="51"/>
        <v>83.672814291000009</v>
      </c>
      <c r="J246" s="6">
        <f t="shared" si="51"/>
        <v>85.472628327999999</v>
      </c>
      <c r="K246" s="6">
        <f t="shared" si="51"/>
        <v>86.813691578000004</v>
      </c>
      <c r="L246" s="6">
        <f t="shared" si="51"/>
        <v>87.68851004199999</v>
      </c>
      <c r="M246" s="6">
        <f t="shared" si="51"/>
        <v>88.283931831999993</v>
      </c>
      <c r="N246" s="6">
        <f t="shared" si="51"/>
        <v>88.659212827000005</v>
      </c>
      <c r="O246" s="6">
        <f t="shared" si="51"/>
        <v>89.122972625000003</v>
      </c>
      <c r="P246" s="6">
        <f t="shared" si="51"/>
        <v>89.84584528900001</v>
      </c>
      <c r="Q246" s="6">
        <f t="shared" si="51"/>
        <v>90.875976031999997</v>
      </c>
      <c r="R246" s="6">
        <f t="shared" si="51"/>
        <v>92.169762246999994</v>
      </c>
      <c r="S246" s="6">
        <f t="shared" si="51"/>
        <v>93.630983055000002</v>
      </c>
      <c r="T246" s="6">
        <f t="shared" si="51"/>
        <v>95.154716081000004</v>
      </c>
      <c r="U246" s="6">
        <f t="shared" si="51"/>
        <v>96.663401531000005</v>
      </c>
      <c r="V246" s="6">
        <f t="shared" si="51"/>
        <v>98.124028912</v>
      </c>
      <c r="W246" s="6">
        <f t="shared" si="51"/>
        <v>99.459759824000002</v>
      </c>
      <c r="X246" s="6">
        <f t="shared" si="51"/>
        <v>100.848422582</v>
      </c>
      <c r="Y246" s="6">
        <f t="shared" si="51"/>
        <v>102.26456297</v>
      </c>
      <c r="Z246" s="6">
        <f t="shared" si="51"/>
        <v>103.720343005</v>
      </c>
      <c r="AA246" s="6">
        <f t="shared" si="51"/>
        <v>105.22914907400001</v>
      </c>
      <c r="AB246" s="6">
        <f t="shared" si="51"/>
        <v>106.51576623899999</v>
      </c>
      <c r="AC246" s="6">
        <f t="shared" si="51"/>
        <v>107.954751534</v>
      </c>
      <c r="AD246" s="6">
        <f t="shared" si="51"/>
        <v>109.395456878</v>
      </c>
      <c r="AE246" s="6">
        <f t="shared" si="51"/>
        <v>110.806266466</v>
      </c>
      <c r="AF246" s="6">
        <f t="shared" si="51"/>
        <v>112.20916309500001</v>
      </c>
      <c r="AG246" s="6">
        <f t="shared" si="51"/>
        <v>113.636732213</v>
      </c>
      <c r="AH246" s="6">
        <f t="shared" si="51"/>
        <v>115.112957378</v>
      </c>
      <c r="AI246" s="6">
        <f t="shared" si="51"/>
        <v>116.64607350899999</v>
      </c>
      <c r="AJ246" s="6">
        <f t="shared" si="51"/>
        <v>118.22971669899999</v>
      </c>
      <c r="AK246" s="6">
        <f t="shared" si="51"/>
        <v>119.849276503</v>
      </c>
      <c r="AL246" s="6">
        <f t="shared" si="51"/>
        <v>121.489693078</v>
      </c>
    </row>
    <row r="247" spans="1:38" x14ac:dyDescent="0.3">
      <c r="A247" t="s">
        <v>27</v>
      </c>
      <c r="B247" t="s">
        <v>7</v>
      </c>
      <c r="C247" s="6">
        <f>[1]Results!F378</f>
        <v>4.914908831</v>
      </c>
      <c r="D247" s="6">
        <f>[1]Results!G378</f>
        <v>4.8981575069999996</v>
      </c>
      <c r="E247" s="6">
        <f>[1]Results!H378</f>
        <v>4.8598695840000001</v>
      </c>
      <c r="F247" s="6">
        <f>[1]Results!I378</f>
        <v>4.8187948839999999</v>
      </c>
      <c r="G247" s="6">
        <f>[1]Results!J378</f>
        <v>4.7940092930000002</v>
      </c>
      <c r="H247" s="6">
        <f>[1]Results!K378</f>
        <v>4.7984386859999999</v>
      </c>
      <c r="I247" s="6">
        <f>[1]Results!L378</f>
        <v>5.1955066150000002</v>
      </c>
      <c r="J247" s="6">
        <f>[1]Results!M378</f>
        <v>5.3015394909999998</v>
      </c>
      <c r="K247" s="6">
        <f>[1]Results!N378</f>
        <v>5.3174944269999997</v>
      </c>
      <c r="L247" s="6">
        <f>[1]Results!O378</f>
        <v>5.2786235179999998</v>
      </c>
      <c r="M247" s="6">
        <f>[1]Results!P378</f>
        <v>5.2082397719999998</v>
      </c>
      <c r="N247" s="6">
        <f>[1]Results!Q378</f>
        <v>5.131553545</v>
      </c>
      <c r="O247" s="6">
        <f>[1]Results!R378</f>
        <v>5.069764706</v>
      </c>
      <c r="P247" s="6">
        <f>[1]Results!S378</f>
        <v>5.0358633619999997</v>
      </c>
      <c r="Q247" s="6">
        <f>[1]Results!T378</f>
        <v>5.0330880569999996</v>
      </c>
      <c r="R247" s="6">
        <f>[1]Results!U378</f>
        <v>5.05623661</v>
      </c>
      <c r="S247" s="6">
        <f>[1]Results!V378</f>
        <v>5.0949799950000001</v>
      </c>
      <c r="T247" s="6">
        <f>[1]Results!W378</f>
        <v>5.1379315310000004</v>
      </c>
      <c r="U247" s="6">
        <f>[1]Results!X378</f>
        <v>5.1761697509999998</v>
      </c>
      <c r="V247" s="6">
        <f>[1]Results!Y378</f>
        <v>5.2051295120000001</v>
      </c>
      <c r="W247" s="6">
        <f>[1]Results!Z378</f>
        <v>5.2226893839999997</v>
      </c>
      <c r="X247" s="6">
        <f>[1]Results!AA378</f>
        <v>5.2328724519999996</v>
      </c>
      <c r="Y247" s="6">
        <f>[1]Results!AB378</f>
        <v>5.2392706499999999</v>
      </c>
      <c r="Z247" s="6">
        <f>[1]Results!AC378</f>
        <v>5.2455775950000003</v>
      </c>
      <c r="AA247" s="6">
        <f>[1]Results!AD378</f>
        <v>5.254132104</v>
      </c>
      <c r="AB247" s="6">
        <f>[1]Results!AE378</f>
        <v>5.2599081490000001</v>
      </c>
      <c r="AC247" s="6">
        <f>[1]Results!AF378</f>
        <v>5.2651941339999997</v>
      </c>
      <c r="AD247" s="6">
        <f>[1]Results!AG378</f>
        <v>5.2686204879999998</v>
      </c>
      <c r="AE247" s="6">
        <f>[1]Results!AH378</f>
        <v>5.2707353059999997</v>
      </c>
      <c r="AF247" s="6">
        <f>[1]Results!AI378</f>
        <v>5.2730702750000003</v>
      </c>
      <c r="AG247" s="6">
        <f>[1]Results!AJ378</f>
        <v>5.277361333</v>
      </c>
      <c r="AH247" s="6">
        <f>[1]Results!AK378</f>
        <v>5.2847418079999997</v>
      </c>
      <c r="AI247" s="6">
        <f>[1]Results!AL378</f>
        <v>5.2953293290000003</v>
      </c>
      <c r="AJ247" s="6">
        <f>[1]Results!AM378</f>
        <v>5.3082965790000003</v>
      </c>
      <c r="AK247" s="6">
        <f>[1]Results!AN378</f>
        <v>5.3222960930000003</v>
      </c>
      <c r="AL247" s="6">
        <f>[1]Results!AO378</f>
        <v>5.3359992380000003</v>
      </c>
    </row>
    <row r="248" spans="1:38" x14ac:dyDescent="0.3">
      <c r="B248" t="s">
        <v>8</v>
      </c>
      <c r="C248" s="6">
        <f>[1]Results!F390</f>
        <v>33.672356450000002</v>
      </c>
      <c r="D248" s="6">
        <f>[1]Results!G390</f>
        <v>34.403734</v>
      </c>
      <c r="E248" s="6">
        <f>[1]Results!H390</f>
        <v>35.16915341</v>
      </c>
      <c r="F248" s="6">
        <f>[1]Results!I390</f>
        <v>35.844312700000003</v>
      </c>
      <c r="G248" s="6">
        <f>[1]Results!J390</f>
        <v>36.4650246</v>
      </c>
      <c r="H248" s="6">
        <f>[1]Results!K390</f>
        <v>37.083550459999998</v>
      </c>
      <c r="I248" s="6">
        <f>[1]Results!L390</f>
        <v>37.651616240000003</v>
      </c>
      <c r="J248" s="6">
        <f>[1]Results!M390</f>
        <v>38.013869460000002</v>
      </c>
      <c r="K248" s="6">
        <f>[1]Results!N390</f>
        <v>38.304859290000003</v>
      </c>
      <c r="L248" s="6">
        <f>[1]Results!O390</f>
        <v>38.579881469999997</v>
      </c>
      <c r="M248" s="6">
        <f>[1]Results!P390</f>
        <v>39.049874160000002</v>
      </c>
      <c r="N248" s="6">
        <f>[1]Results!Q390</f>
        <v>39.387693259999999</v>
      </c>
      <c r="O248" s="6">
        <f>[1]Results!R390</f>
        <v>39.814125910000001</v>
      </c>
      <c r="P248" s="6">
        <f>[1]Results!S390</f>
        <v>40.337674040000003</v>
      </c>
      <c r="Q248" s="6">
        <f>[1]Results!T390</f>
        <v>40.925326779999999</v>
      </c>
      <c r="R248" s="6">
        <f>[1]Results!U390</f>
        <v>41.542672019999998</v>
      </c>
      <c r="S248" s="6">
        <f>[1]Results!V390</f>
        <v>42.164200690000001</v>
      </c>
      <c r="T248" s="6">
        <f>[1]Results!W390</f>
        <v>42.776641069999997</v>
      </c>
      <c r="U248" s="6">
        <f>[1]Results!X390</f>
        <v>43.378182420000002</v>
      </c>
      <c r="V248" s="6">
        <f>[1]Results!Y390</f>
        <v>43.974675689999998</v>
      </c>
      <c r="W248" s="6">
        <f>[1]Results!Z390</f>
        <v>44.455434109999999</v>
      </c>
      <c r="X248" s="6">
        <f>[1]Results!AA390</f>
        <v>45.088233789999997</v>
      </c>
      <c r="Y248" s="6">
        <f>[1]Results!AB390</f>
        <v>45.739197279999999</v>
      </c>
      <c r="Z248" s="6">
        <f>[1]Results!AC390</f>
        <v>46.39195763</v>
      </c>
      <c r="AA248" s="6">
        <f>[1]Results!AD390</f>
        <v>47.049654570000001</v>
      </c>
      <c r="AB248" s="6">
        <f>[1]Results!AE390</f>
        <v>47.3605467</v>
      </c>
      <c r="AC248" s="6">
        <f>[1]Results!AF390</f>
        <v>47.954348950000004</v>
      </c>
      <c r="AD248" s="6">
        <f>[1]Results!AG390</f>
        <v>48.589423279999998</v>
      </c>
      <c r="AE248" s="6">
        <f>[1]Results!AH390</f>
        <v>49.224790519999999</v>
      </c>
      <c r="AF248" s="6">
        <f>[1]Results!AI390</f>
        <v>49.863786730000001</v>
      </c>
      <c r="AG248" s="6">
        <f>[1]Results!AJ390</f>
        <v>50.512875520000001</v>
      </c>
      <c r="AH248" s="6">
        <f>[1]Results!AK390</f>
        <v>51.174524490000003</v>
      </c>
      <c r="AI248" s="6">
        <f>[1]Results!AL390</f>
        <v>51.847791979999997</v>
      </c>
      <c r="AJ248" s="6">
        <f>[1]Results!AM390</f>
        <v>52.530322529999999</v>
      </c>
      <c r="AK248" s="6">
        <f>[1]Results!AN390</f>
        <v>53.220086590000001</v>
      </c>
      <c r="AL248" s="6">
        <f>[1]Results!AO390</f>
        <v>53.916304799999999</v>
      </c>
    </row>
    <row r="249" spans="1:38" x14ac:dyDescent="0.3">
      <c r="B249" t="s">
        <v>10</v>
      </c>
      <c r="C249" s="6">
        <f>[1]Results!F402</f>
        <v>29.631828479999999</v>
      </c>
      <c r="D249" s="6">
        <f>[1]Results!G402</f>
        <v>29.84595178</v>
      </c>
      <c r="E249" s="6">
        <f>[1]Results!H402</f>
        <v>29.874910369999998</v>
      </c>
      <c r="F249" s="6">
        <f>[1]Results!I402</f>
        <v>29.855524339999999</v>
      </c>
      <c r="G249" s="6">
        <f>[1]Results!J402</f>
        <v>29.906574200000001</v>
      </c>
      <c r="H249" s="6">
        <f>[1]Results!K402</f>
        <v>30.143794410000002</v>
      </c>
      <c r="I249" s="6">
        <f>[1]Results!L402</f>
        <v>31.899330890000002</v>
      </c>
      <c r="J249" s="6">
        <f>[1]Results!M402</f>
        <v>33.15741706</v>
      </c>
      <c r="K249" s="6">
        <f>[1]Results!N402</f>
        <v>34.118290369999997</v>
      </c>
      <c r="L249" s="6">
        <f>[1]Results!O402</f>
        <v>34.67486624</v>
      </c>
      <c r="M249" s="6">
        <f>[1]Results!P402</f>
        <v>34.770423289999997</v>
      </c>
      <c r="N249" s="6">
        <f>[1]Results!Q402</f>
        <v>34.76657514</v>
      </c>
      <c r="O249" s="6">
        <f>[1]Results!R402</f>
        <v>34.73573863</v>
      </c>
      <c r="P249" s="6">
        <f>[1]Results!S402</f>
        <v>34.831472769999998</v>
      </c>
      <c r="Q249" s="6">
        <f>[1]Results!T402</f>
        <v>35.13597077</v>
      </c>
      <c r="R249" s="6">
        <f>[1]Results!U402</f>
        <v>35.648432659999997</v>
      </c>
      <c r="S249" s="6">
        <f>[1]Results!V402</f>
        <v>36.309828850000002</v>
      </c>
      <c r="T249" s="6">
        <f>[1]Results!W402</f>
        <v>37.039471329999998</v>
      </c>
      <c r="U249" s="6">
        <f>[1]Results!X402</f>
        <v>37.769030970000003</v>
      </c>
      <c r="V249" s="6">
        <f>[1]Results!Y402</f>
        <v>38.462531560000002</v>
      </c>
      <c r="W249" s="6">
        <f>[1]Results!Z402</f>
        <v>39.158326080000002</v>
      </c>
      <c r="X249" s="6">
        <f>[1]Results!AA402</f>
        <v>39.759062790000002</v>
      </c>
      <c r="Y249" s="6">
        <f>[1]Results!AB402</f>
        <v>40.367503130000003</v>
      </c>
      <c r="Z249" s="6">
        <f>[1]Results!AC402</f>
        <v>41.00936222</v>
      </c>
      <c r="AA249" s="6">
        <f>[1]Results!AD402</f>
        <v>41.693728870000001</v>
      </c>
      <c r="AB249" s="6">
        <f>[1]Results!AE402</f>
        <v>42.514966559999998</v>
      </c>
      <c r="AC249" s="6">
        <f>[1]Results!AF402</f>
        <v>43.208284900000002</v>
      </c>
      <c r="AD249" s="6">
        <f>[1]Results!AG402</f>
        <v>43.86199912</v>
      </c>
      <c r="AE249" s="6">
        <f>[1]Results!AH402</f>
        <v>44.483712539999999</v>
      </c>
      <c r="AF249" s="6">
        <f>[1]Results!AI402</f>
        <v>45.09015763</v>
      </c>
      <c r="AG249" s="6">
        <f>[1]Results!AJ402</f>
        <v>45.705861069999997</v>
      </c>
      <c r="AH249" s="6">
        <f>[1]Results!AK402</f>
        <v>46.35167388</v>
      </c>
      <c r="AI249" s="6">
        <f>[1]Results!AL402</f>
        <v>47.037177489999998</v>
      </c>
      <c r="AJ249" s="6">
        <f>[1]Results!AM402</f>
        <v>47.759535530000001</v>
      </c>
      <c r="AK249" s="6">
        <f>[1]Results!AN402</f>
        <v>48.507580310000002</v>
      </c>
      <c r="AL249" s="6">
        <f>[1]Results!AO402</f>
        <v>49.26818566</v>
      </c>
    </row>
    <row r="250" spans="1:38" x14ac:dyDescent="0.3">
      <c r="B250" t="s">
        <v>23</v>
      </c>
      <c r="C250" s="6">
        <f>[1]Results!F366</f>
        <v>8.5558757310000004</v>
      </c>
      <c r="D250" s="6">
        <f>[1]Results!G366</f>
        <v>8.5667167000000006</v>
      </c>
      <c r="E250" s="6">
        <f>[1]Results!H366</f>
        <v>8.5933936919999994</v>
      </c>
      <c r="F250" s="6">
        <f>[1]Results!I366</f>
        <v>8.6510401839999993</v>
      </c>
      <c r="G250" s="6">
        <f>[1]Results!J366</f>
        <v>8.7343720119999997</v>
      </c>
      <c r="H250" s="6">
        <f>[1]Results!K366</f>
        <v>8.8361282479999996</v>
      </c>
      <c r="I250" s="6">
        <f>[1]Results!L366</f>
        <v>8.9263605459999997</v>
      </c>
      <c r="J250" s="6">
        <f>[1]Results!M366</f>
        <v>8.9998023170000003</v>
      </c>
      <c r="K250" s="6">
        <f>[1]Results!N366</f>
        <v>9.0730474910000005</v>
      </c>
      <c r="L250" s="6">
        <f>[1]Results!O366</f>
        <v>9.1551388140000007</v>
      </c>
      <c r="M250" s="6">
        <f>[1]Results!P366</f>
        <v>9.2553946099999997</v>
      </c>
      <c r="N250" s="6">
        <f>[1]Results!Q366</f>
        <v>9.3733908820000007</v>
      </c>
      <c r="O250" s="6">
        <f>[1]Results!R366</f>
        <v>9.5033433790000004</v>
      </c>
      <c r="P250" s="6">
        <f>[1]Results!S366</f>
        <v>9.640835117</v>
      </c>
      <c r="Q250" s="6">
        <f>[1]Results!T366</f>
        <v>9.7815904249999992</v>
      </c>
      <c r="R250" s="6">
        <f>[1]Results!U366</f>
        <v>9.9224209569999999</v>
      </c>
      <c r="S250" s="6">
        <f>[1]Results!V366</f>
        <v>10.06197352</v>
      </c>
      <c r="T250" s="6">
        <f>[1]Results!W366</f>
        <v>10.200672150000001</v>
      </c>
      <c r="U250" s="6">
        <f>[1]Results!X366</f>
        <v>10.340018389999999</v>
      </c>
      <c r="V250" s="6">
        <f>[1]Results!Y366</f>
        <v>10.481692150000001</v>
      </c>
      <c r="W250" s="6">
        <f>[1]Results!Z366</f>
        <v>10.623310249999999</v>
      </c>
      <c r="X250" s="6">
        <f>[1]Results!AA366</f>
        <v>10.768253550000001</v>
      </c>
      <c r="Y250" s="6">
        <f>[1]Results!AB366</f>
        <v>10.91859191</v>
      </c>
      <c r="Z250" s="6">
        <f>[1]Results!AC366</f>
        <v>11.07344556</v>
      </c>
      <c r="AA250" s="6">
        <f>[1]Results!AD366</f>
        <v>11.23163353</v>
      </c>
      <c r="AB250" s="6">
        <f>[1]Results!AE366</f>
        <v>11.38034483</v>
      </c>
      <c r="AC250" s="6">
        <f>[1]Results!AF366</f>
        <v>11.526923549999999</v>
      </c>
      <c r="AD250" s="6">
        <f>[1]Results!AG366</f>
        <v>11.675413989999999</v>
      </c>
      <c r="AE250" s="6">
        <f>[1]Results!AH366</f>
        <v>11.8270281</v>
      </c>
      <c r="AF250" s="6">
        <f>[1]Results!AI366</f>
        <v>11.982148459999999</v>
      </c>
      <c r="AG250" s="6">
        <f>[1]Results!AJ366</f>
        <v>12.140634289999999</v>
      </c>
      <c r="AH250" s="6">
        <f>[1]Results!AK366</f>
        <v>12.3020172</v>
      </c>
      <c r="AI250" s="6">
        <f>[1]Results!AL366</f>
        <v>12.46577471</v>
      </c>
      <c r="AJ250" s="6">
        <f>[1]Results!AM366</f>
        <v>12.63156206</v>
      </c>
      <c r="AK250" s="6">
        <f>[1]Results!AN366</f>
        <v>12.799313509999999</v>
      </c>
      <c r="AL250" s="6">
        <f>[1]Results!AO366</f>
        <v>12.96920338</v>
      </c>
    </row>
    <row r="251" spans="1:38" x14ac:dyDescent="0.3">
      <c r="B251" t="s">
        <v>32</v>
      </c>
      <c r="C251" s="6">
        <f>[1]Results!F353</f>
        <v>73.965462770000002</v>
      </c>
      <c r="D251" s="6">
        <f>[1]Results!G353</f>
        <v>73.842180020000001</v>
      </c>
      <c r="E251" s="6">
        <f>[1]Results!H353</f>
        <v>73.490459200000004</v>
      </c>
      <c r="F251" s="6">
        <f>[1]Results!I353</f>
        <v>73.177508209999999</v>
      </c>
      <c r="G251" s="6">
        <f>[1]Results!J353</f>
        <v>72.968287029999999</v>
      </c>
      <c r="H251" s="6">
        <f>[1]Results!K353</f>
        <v>72.855573890000002</v>
      </c>
      <c r="I251" s="6">
        <f>[1]Results!L353</f>
        <v>72.821308139999999</v>
      </c>
      <c r="J251" s="6">
        <f>[1]Results!M353</f>
        <v>72.793937959999994</v>
      </c>
      <c r="K251" s="6">
        <f>[1]Results!N353</f>
        <v>72.844391569999999</v>
      </c>
      <c r="L251" s="6">
        <f>[1]Results!O353</f>
        <v>72.966365550000006</v>
      </c>
      <c r="M251" s="6">
        <f>[1]Results!P353</f>
        <v>73.16795132</v>
      </c>
      <c r="N251" s="6">
        <f>[1]Results!Q353</f>
        <v>73.387464539999996</v>
      </c>
      <c r="O251" s="6">
        <f>[1]Results!R353</f>
        <v>73.609132290000005</v>
      </c>
      <c r="P251" s="6">
        <f>[1]Results!S353</f>
        <v>73.821218950000002</v>
      </c>
      <c r="Q251" s="6">
        <f>[1]Results!T353</f>
        <v>74.016816640000002</v>
      </c>
      <c r="R251" s="6">
        <f>[1]Results!U353</f>
        <v>74.195477249999996</v>
      </c>
      <c r="S251" s="6">
        <f>[1]Results!V353</f>
        <v>74.357614190000007</v>
      </c>
      <c r="T251" s="6">
        <f>[1]Results!W353</f>
        <v>74.510472210000003</v>
      </c>
      <c r="U251" s="6">
        <f>[1]Results!X353</f>
        <v>74.663460819999997</v>
      </c>
      <c r="V251" s="6">
        <f>[1]Results!Y353</f>
        <v>74.823816820000005</v>
      </c>
      <c r="W251" s="6">
        <f>[1]Results!Z353</f>
        <v>74.976433479999997</v>
      </c>
      <c r="X251" s="6">
        <f>[1]Results!AA353</f>
        <v>75.146036859999995</v>
      </c>
      <c r="Y251" s="6">
        <f>[1]Results!AB353</f>
        <v>75.327335980000001</v>
      </c>
      <c r="Z251" s="6">
        <f>[1]Results!AC353</f>
        <v>75.515145759999996</v>
      </c>
      <c r="AA251" s="6">
        <f>[1]Results!AD353</f>
        <v>75.706235969999994</v>
      </c>
      <c r="AB251" s="6">
        <f>[1]Results!AE353</f>
        <v>75.848342740000007</v>
      </c>
      <c r="AC251" s="6">
        <f>[1]Results!AF353</f>
        <v>75.989549679999996</v>
      </c>
      <c r="AD251" s="6">
        <f>[1]Results!AG353</f>
        <v>76.133143649999994</v>
      </c>
      <c r="AE251" s="6">
        <f>[1]Results!AH353</f>
        <v>76.279919359999994</v>
      </c>
      <c r="AF251" s="6">
        <f>[1]Results!AI353</f>
        <v>76.42883114</v>
      </c>
      <c r="AG251" s="6">
        <f>[1]Results!AJ353</f>
        <v>76.578431539999997</v>
      </c>
      <c r="AH251" s="6">
        <f>[1]Results!AK353</f>
        <v>76.727544750000007</v>
      </c>
      <c r="AI251" s="6">
        <f>[1]Results!AL353</f>
        <v>76.875574659999998</v>
      </c>
      <c r="AJ251" s="6">
        <f>[1]Results!AM353</f>
        <v>77.022485639999999</v>
      </c>
      <c r="AK251" s="6">
        <f>[1]Results!AN353</f>
        <v>77.169151290000002</v>
      </c>
      <c r="AL251" s="6">
        <f>[1]Results!AO353</f>
        <v>77.316849129999994</v>
      </c>
    </row>
    <row r="252" spans="1:38" x14ac:dyDescent="0.3">
      <c r="B252" t="s">
        <v>33</v>
      </c>
      <c r="C252" s="6">
        <f>[1]Results!F354</f>
        <v>39.923462319999999</v>
      </c>
      <c r="D252" s="6">
        <f>[1]Results!G354</f>
        <v>40.212701590000002</v>
      </c>
      <c r="E252" s="6">
        <f>[1]Results!H354</f>
        <v>40.056676439999997</v>
      </c>
      <c r="F252" s="6">
        <f>[1]Results!I354</f>
        <v>39.798952799999995</v>
      </c>
      <c r="G252" s="6">
        <f>[1]Results!J354</f>
        <v>39.5627596</v>
      </c>
      <c r="H252" s="6">
        <f>[1]Results!K354</f>
        <v>39.376581969999997</v>
      </c>
      <c r="I252" s="6">
        <f>[1]Results!L354</f>
        <v>39.26416261</v>
      </c>
      <c r="J252" s="6">
        <f>[1]Results!M354</f>
        <v>39.130635170000005</v>
      </c>
      <c r="K252" s="6">
        <f>[1]Results!N354</f>
        <v>38.9962084</v>
      </c>
      <c r="L252" s="6">
        <f>[1]Results!O354</f>
        <v>38.879363750000003</v>
      </c>
      <c r="M252" s="6">
        <f>[1]Results!P354</f>
        <v>38.795616189999997</v>
      </c>
      <c r="N252" s="6">
        <f>[1]Results!Q354</f>
        <v>38.712556090000007</v>
      </c>
      <c r="O252" s="6">
        <f>[1]Results!R354</f>
        <v>38.63448889</v>
      </c>
      <c r="P252" s="6">
        <f>[1]Results!S354</f>
        <v>38.561432050000001</v>
      </c>
      <c r="Q252" s="6">
        <f>[1]Results!T354</f>
        <v>38.490914109999999</v>
      </c>
      <c r="R252" s="6">
        <f>[1]Results!U354</f>
        <v>38.419919139999998</v>
      </c>
      <c r="S252" s="6">
        <f>[1]Results!V354</f>
        <v>38.34209276</v>
      </c>
      <c r="T252" s="6">
        <f>[1]Results!W354</f>
        <v>38.257020799999999</v>
      </c>
      <c r="U252" s="6">
        <f>[1]Results!X354</f>
        <v>38.168250200000003</v>
      </c>
      <c r="V252" s="6">
        <f>[1]Results!Y354</f>
        <v>38.080251560000001</v>
      </c>
      <c r="W252" s="6">
        <f>[1]Results!Z354</f>
        <v>37.983338979999999</v>
      </c>
      <c r="X252" s="6">
        <f>[1]Results!AA354</f>
        <v>37.897688219999999</v>
      </c>
      <c r="Y252" s="6">
        <f>[1]Results!AB354</f>
        <v>37.819729090000003</v>
      </c>
      <c r="Z252" s="6">
        <f>[1]Results!AC354</f>
        <v>37.74683349</v>
      </c>
      <c r="AA252" s="6">
        <f>[1]Results!AD354</f>
        <v>37.676984859999997</v>
      </c>
      <c r="AB252" s="6">
        <f>[1]Results!AE354</f>
        <v>37.574071329999995</v>
      </c>
      <c r="AC252" s="6">
        <f>[1]Results!AF354</f>
        <v>37.472380530000002</v>
      </c>
      <c r="AD252" s="6">
        <f>[1]Results!AG354</f>
        <v>37.37178471</v>
      </c>
      <c r="AE252" s="6">
        <f>[1]Results!AH354</f>
        <v>37.273587369999994</v>
      </c>
      <c r="AF252" s="6">
        <f>[1]Results!AI354</f>
        <v>37.177850030000002</v>
      </c>
      <c r="AG252" s="6">
        <f>[1]Results!AJ354</f>
        <v>37.084476130000006</v>
      </c>
      <c r="AH252" s="6">
        <f>[1]Results!AK354</f>
        <v>36.993139520000007</v>
      </c>
      <c r="AI252" s="6">
        <f>[1]Results!AL354</f>
        <v>36.903233229999998</v>
      </c>
      <c r="AJ252" s="6">
        <f>[1]Results!AM354</f>
        <v>36.813927630000002</v>
      </c>
      <c r="AK252" s="6">
        <f>[1]Results!AN354</f>
        <v>36.72489479</v>
      </c>
      <c r="AL252" s="6">
        <f>[1]Results!AO354</f>
        <v>36.636258789999999</v>
      </c>
    </row>
    <row r="253" spans="1:38" x14ac:dyDescent="0.3">
      <c r="B253" t="s">
        <v>34</v>
      </c>
      <c r="C253" s="6">
        <f>[1]Results!F362</f>
        <v>34.042000460000004</v>
      </c>
      <c r="D253" s="6">
        <f>[1]Results!G362</f>
        <v>33.629478429999999</v>
      </c>
      <c r="E253" s="6">
        <f>[1]Results!H362</f>
        <v>33.433782770000001</v>
      </c>
      <c r="F253" s="6">
        <f>[1]Results!I362</f>
        <v>33.378555409999997</v>
      </c>
      <c r="G253" s="6">
        <f>[1]Results!J362</f>
        <v>33.405527429999999</v>
      </c>
      <c r="H253" s="6">
        <f>[1]Results!K362</f>
        <v>33.478991919999999</v>
      </c>
      <c r="I253" s="6">
        <f>[1]Results!L362</f>
        <v>33.55714554</v>
      </c>
      <c r="J253" s="6">
        <f>[1]Results!M362</f>
        <v>33.663302789999996</v>
      </c>
      <c r="K253" s="6">
        <f>[1]Results!N362</f>
        <v>33.848183169999999</v>
      </c>
      <c r="L253" s="6">
        <f>[1]Results!O362</f>
        <v>34.087001799999996</v>
      </c>
      <c r="M253" s="6">
        <f>[1]Results!P362</f>
        <v>34.372335130000003</v>
      </c>
      <c r="N253" s="6">
        <f>[1]Results!Q362</f>
        <v>34.674908450000004</v>
      </c>
      <c r="O253" s="6">
        <f>[1]Results!R362</f>
        <v>34.974643399999998</v>
      </c>
      <c r="P253" s="6">
        <f>[1]Results!S362</f>
        <v>35.259786900000002</v>
      </c>
      <c r="Q253" s="6">
        <f>[1]Results!T362</f>
        <v>35.525902520000002</v>
      </c>
      <c r="R253" s="6">
        <f>[1]Results!U362</f>
        <v>35.775558100000005</v>
      </c>
      <c r="S253" s="6">
        <f>[1]Results!V362</f>
        <v>36.015521419999999</v>
      </c>
      <c r="T253" s="6">
        <f>[1]Results!W362</f>
        <v>36.253451409999997</v>
      </c>
      <c r="U253" s="6">
        <f>[1]Results!X362</f>
        <v>36.495210610000001</v>
      </c>
      <c r="V253" s="6">
        <f>[1]Results!Y362</f>
        <v>36.743565259999997</v>
      </c>
      <c r="W253" s="6">
        <f>[1]Results!Z362</f>
        <v>36.993094490000004</v>
      </c>
      <c r="X253" s="6">
        <f>[1]Results!AA362</f>
        <v>37.248348640000003</v>
      </c>
      <c r="Y253" s="6">
        <f>[1]Results!AB362</f>
        <v>37.507606899999999</v>
      </c>
      <c r="Z253" s="6">
        <f>[1]Results!AC362</f>
        <v>37.768312270000003</v>
      </c>
      <c r="AA253" s="6">
        <f>[1]Results!AD362</f>
        <v>38.029251119999998</v>
      </c>
      <c r="AB253" s="6">
        <f>[1]Results!AE362</f>
        <v>38.274271409999997</v>
      </c>
      <c r="AC253" s="6">
        <f>[1]Results!AF362</f>
        <v>38.51716914</v>
      </c>
      <c r="AD253" s="6">
        <f>[1]Results!AG362</f>
        <v>38.761358940000001</v>
      </c>
      <c r="AE253" s="6">
        <f>[1]Results!AH362</f>
        <v>39.00633199</v>
      </c>
      <c r="AF253" s="6">
        <f>[1]Results!AI362</f>
        <v>39.250981109999998</v>
      </c>
      <c r="AG253" s="6">
        <f>[1]Results!AJ362</f>
        <v>39.493955409999998</v>
      </c>
      <c r="AH253" s="6">
        <f>[1]Results!AK362</f>
        <v>39.73440523</v>
      </c>
      <c r="AI253" s="6">
        <f>[1]Results!AL362</f>
        <v>39.972341440000001</v>
      </c>
      <c r="AJ253" s="6">
        <f>[1]Results!AM362</f>
        <v>40.208558009999997</v>
      </c>
      <c r="AK253" s="6">
        <f>[1]Results!AN362</f>
        <v>40.444256500000002</v>
      </c>
      <c r="AL253" s="6">
        <f>[1]Results!AO362</f>
        <v>40.680590340000002</v>
      </c>
    </row>
    <row r="255" spans="1:38" x14ac:dyDescent="0.3">
      <c r="A255" s="12" t="s">
        <v>31</v>
      </c>
      <c r="B255" t="s">
        <v>21</v>
      </c>
      <c r="C255" s="6">
        <f t="shared" ref="C255:AL255" si="52">C256+C257+C259+C258</f>
        <v>76.774969491999997</v>
      </c>
      <c r="D255" s="6">
        <f t="shared" si="52"/>
        <v>77.714559987000001</v>
      </c>
      <c r="E255" s="6">
        <f t="shared" si="52"/>
        <v>78.497327056000003</v>
      </c>
      <c r="F255" s="6">
        <f t="shared" si="52"/>
        <v>79.169672108</v>
      </c>
      <c r="G255" s="6">
        <f t="shared" si="52"/>
        <v>79.899980104999997</v>
      </c>
      <c r="H255" s="6">
        <f t="shared" si="52"/>
        <v>80.861911804000002</v>
      </c>
      <c r="I255" s="6">
        <f t="shared" si="52"/>
        <v>82.049398892999989</v>
      </c>
      <c r="J255" s="6">
        <f t="shared" si="52"/>
        <v>83.523404993</v>
      </c>
      <c r="K255" s="6">
        <f t="shared" si="52"/>
        <v>85.175203405000005</v>
      </c>
      <c r="L255" s="6">
        <f t="shared" si="52"/>
        <v>86.862651165000003</v>
      </c>
      <c r="M255" s="6">
        <f t="shared" si="52"/>
        <v>88.57595352300001</v>
      </c>
      <c r="N255" s="6">
        <f t="shared" si="52"/>
        <v>90.105379927999991</v>
      </c>
      <c r="O255" s="6">
        <f t="shared" si="52"/>
        <v>91.552379727000002</v>
      </c>
      <c r="P255" s="6">
        <f t="shared" si="52"/>
        <v>92.961882911999993</v>
      </c>
      <c r="Q255" s="6">
        <f t="shared" si="52"/>
        <v>94.357329477999997</v>
      </c>
      <c r="R255" s="6">
        <f t="shared" si="52"/>
        <v>95.750170892</v>
      </c>
      <c r="S255" s="6">
        <f t="shared" si="52"/>
        <v>97.142053798000006</v>
      </c>
      <c r="T255" s="6">
        <f t="shared" si="52"/>
        <v>98.529532945</v>
      </c>
      <c r="U255" s="6">
        <f t="shared" si="52"/>
        <v>99.909611404000003</v>
      </c>
      <c r="V255" s="6">
        <f t="shared" si="52"/>
        <v>101.28386850300001</v>
      </c>
      <c r="W255" s="6">
        <f t="shared" si="52"/>
        <v>102.57626361800001</v>
      </c>
      <c r="X255" s="6">
        <f t="shared" si="52"/>
        <v>103.941637325</v>
      </c>
      <c r="Y255" s="6">
        <f t="shared" si="52"/>
        <v>105.335463686</v>
      </c>
      <c r="Z255" s="6">
        <f t="shared" si="52"/>
        <v>106.758928965</v>
      </c>
      <c r="AA255" s="6">
        <f t="shared" si="52"/>
        <v>108.22677406299999</v>
      </c>
      <c r="AB255" s="6">
        <f t="shared" si="52"/>
        <v>109.473646944</v>
      </c>
      <c r="AC255" s="6">
        <f t="shared" si="52"/>
        <v>110.88330749400001</v>
      </c>
      <c r="AD255" s="6">
        <f t="shared" si="52"/>
        <v>112.31188708400001</v>
      </c>
      <c r="AE255" s="6">
        <f t="shared" si="52"/>
        <v>113.72735408599999</v>
      </c>
      <c r="AF255" s="6">
        <f t="shared" si="52"/>
        <v>115.147118705</v>
      </c>
      <c r="AG255" s="6">
        <f t="shared" si="52"/>
        <v>116.59742803499999</v>
      </c>
      <c r="AH255" s="6">
        <f t="shared" si="52"/>
        <v>118.096705724</v>
      </c>
      <c r="AI255" s="6">
        <f t="shared" si="52"/>
        <v>119.65011185499999</v>
      </c>
      <c r="AJ255" s="6">
        <f t="shared" si="52"/>
        <v>121.25109709</v>
      </c>
      <c r="AK255" s="6">
        <f t="shared" si="52"/>
        <v>122.887006539</v>
      </c>
      <c r="AL255" s="6">
        <f t="shared" si="52"/>
        <v>124.54551393399998</v>
      </c>
    </row>
    <row r="256" spans="1:38" x14ac:dyDescent="0.3">
      <c r="A256" t="s">
        <v>26</v>
      </c>
      <c r="B256" t="s">
        <v>7</v>
      </c>
      <c r="C256" s="6">
        <f>[1]Results!F439</f>
        <v>4.914908831</v>
      </c>
      <c r="D256" s="6">
        <f>[1]Results!G439</f>
        <v>4.8981575069999996</v>
      </c>
      <c r="E256" s="6">
        <f>[1]Results!H439</f>
        <v>4.8598695840000001</v>
      </c>
      <c r="F256" s="6">
        <f>[1]Results!I439</f>
        <v>4.8187948839999999</v>
      </c>
      <c r="G256" s="6">
        <f>[1]Results!J439</f>
        <v>4.7940092930000002</v>
      </c>
      <c r="H256" s="6">
        <f>[1]Results!K439</f>
        <v>4.7984386859999999</v>
      </c>
      <c r="I256" s="6">
        <f>[1]Results!L439</f>
        <v>4.8339994900000001</v>
      </c>
      <c r="J256" s="6">
        <f>[1]Results!M439</f>
        <v>4.8957956429999996</v>
      </c>
      <c r="K256" s="6">
        <f>[1]Results!N439</f>
        <v>4.9713832460000003</v>
      </c>
      <c r="L256" s="6">
        <f>[1]Results!O439</f>
        <v>5.0461652709999996</v>
      </c>
      <c r="M256" s="6">
        <f>[1]Results!P439</f>
        <v>5.1103371219999998</v>
      </c>
      <c r="N256" s="6">
        <f>[1]Results!Q439</f>
        <v>5.1587475390000002</v>
      </c>
      <c r="O256" s="6">
        <f>[1]Results!R439</f>
        <v>5.192049012</v>
      </c>
      <c r="P256" s="6">
        <f>[1]Results!S439</f>
        <v>5.2134763360000003</v>
      </c>
      <c r="Q256" s="6">
        <f>[1]Results!T439</f>
        <v>5.2269972210000004</v>
      </c>
      <c r="R256" s="6">
        <f>[1]Results!U439</f>
        <v>5.2359422420000001</v>
      </c>
      <c r="S256" s="6">
        <f>[1]Results!V439</f>
        <v>5.2425549379999996</v>
      </c>
      <c r="T256" s="6">
        <f>[1]Results!W439</f>
        <v>5.2481232350000004</v>
      </c>
      <c r="U256" s="6">
        <f>[1]Results!X439</f>
        <v>5.253385164</v>
      </c>
      <c r="V256" s="6">
        <f>[1]Results!Y439</f>
        <v>5.258907153</v>
      </c>
      <c r="W256" s="6">
        <f>[1]Results!Z439</f>
        <v>5.263447298</v>
      </c>
      <c r="X256" s="6">
        <f>[1]Results!AA439</f>
        <v>5.2689934850000002</v>
      </c>
      <c r="Y256" s="6">
        <f>[1]Results!AB439</f>
        <v>5.2759795360000004</v>
      </c>
      <c r="Z256" s="6">
        <f>[1]Results!AC439</f>
        <v>5.2853051249999998</v>
      </c>
      <c r="AA256" s="6">
        <f>[1]Results!AD439</f>
        <v>5.2974632430000002</v>
      </c>
      <c r="AB256" s="6">
        <f>[1]Results!AE439</f>
        <v>5.3064641139999997</v>
      </c>
      <c r="AC256" s="6">
        <f>[1]Results!AF439</f>
        <v>5.3145783040000003</v>
      </c>
      <c r="AD256" s="6">
        <f>[1]Results!AG439</f>
        <v>5.3200563440000002</v>
      </c>
      <c r="AE256" s="6">
        <f>[1]Results!AH439</f>
        <v>5.3232114859999999</v>
      </c>
      <c r="AF256" s="6">
        <f>[1]Results!AI439</f>
        <v>5.3253701949999996</v>
      </c>
      <c r="AG256" s="6">
        <f>[1]Results!AJ439</f>
        <v>5.3281496449999999</v>
      </c>
      <c r="AH256" s="6">
        <f>[1]Results!AK439</f>
        <v>5.332734994</v>
      </c>
      <c r="AI256" s="6">
        <f>[1]Results!AL439</f>
        <v>5.3395099249999998</v>
      </c>
      <c r="AJ256" s="6">
        <f>[1]Results!AM439</f>
        <v>5.3480996200000002</v>
      </c>
      <c r="AK256" s="6">
        <f>[1]Results!AN439</f>
        <v>5.3577015289999999</v>
      </c>
      <c r="AL256" s="6">
        <f>[1]Results!AO439</f>
        <v>5.3674984439999998</v>
      </c>
    </row>
    <row r="257" spans="1:38" x14ac:dyDescent="0.3">
      <c r="B257" t="s">
        <v>8</v>
      </c>
      <c r="C257" s="6">
        <f>[1]Results!F451</f>
        <v>33.672356450000002</v>
      </c>
      <c r="D257" s="6">
        <f>[1]Results!G451</f>
        <v>34.403734</v>
      </c>
      <c r="E257" s="6">
        <f>[1]Results!H451</f>
        <v>35.16915341</v>
      </c>
      <c r="F257" s="6">
        <f>[1]Results!I451</f>
        <v>35.844312700000003</v>
      </c>
      <c r="G257" s="6">
        <f>[1]Results!J451</f>
        <v>36.4650246</v>
      </c>
      <c r="H257" s="6">
        <f>[1]Results!K451</f>
        <v>37.083550459999998</v>
      </c>
      <c r="I257" s="6">
        <f>[1]Results!L451</f>
        <v>37.60710512</v>
      </c>
      <c r="J257" s="6">
        <f>[1]Results!M451</f>
        <v>38.170956339999996</v>
      </c>
      <c r="K257" s="6">
        <f>[1]Results!N451</f>
        <v>38.752892260000003</v>
      </c>
      <c r="L257" s="6">
        <f>[1]Results!O451</f>
        <v>39.3261702</v>
      </c>
      <c r="M257" s="6">
        <f>[1]Results!P451</f>
        <v>40.045934610000003</v>
      </c>
      <c r="N257" s="6">
        <f>[1]Results!Q451</f>
        <v>40.553022390000002</v>
      </c>
      <c r="O257" s="6">
        <f>[1]Results!R451</f>
        <v>41.061777190000001</v>
      </c>
      <c r="P257" s="6">
        <f>[1]Results!S451</f>
        <v>41.595800680000004</v>
      </c>
      <c r="Q257" s="6">
        <f>[1]Results!T451</f>
        <v>42.148576130000002</v>
      </c>
      <c r="R257" s="6">
        <f>[1]Results!U451</f>
        <v>42.712111559999997</v>
      </c>
      <c r="S257" s="6">
        <f>[1]Results!V451</f>
        <v>43.281490900000001</v>
      </c>
      <c r="T257" s="6">
        <f>[1]Results!W451</f>
        <v>43.855535150000001</v>
      </c>
      <c r="U257" s="6">
        <f>[1]Results!X451</f>
        <v>44.435221900000002</v>
      </c>
      <c r="V257" s="6">
        <f>[1]Results!Y451</f>
        <v>45.022527680000003</v>
      </c>
      <c r="W257" s="6">
        <f>[1]Results!Z451</f>
        <v>45.499664080000002</v>
      </c>
      <c r="X257" s="6">
        <f>[1]Results!AA451</f>
        <v>46.130599539999999</v>
      </c>
      <c r="Y257" s="6">
        <f>[1]Results!AB451</f>
        <v>46.77838345</v>
      </c>
      <c r="Z257" s="6">
        <f>[1]Results!AC451</f>
        <v>47.427015390000001</v>
      </c>
      <c r="AA257" s="6">
        <f>[1]Results!AD451</f>
        <v>48.081529060000001</v>
      </c>
      <c r="AB257" s="6">
        <f>[1]Results!AE451</f>
        <v>48.389784259999999</v>
      </c>
      <c r="AC257" s="6">
        <f>[1]Results!AF451</f>
        <v>48.985306880000003</v>
      </c>
      <c r="AD257" s="6">
        <f>[1]Results!AG451</f>
        <v>49.624867610000003</v>
      </c>
      <c r="AE257" s="6">
        <f>[1]Results!AH451</f>
        <v>50.266137819999997</v>
      </c>
      <c r="AF257" s="6">
        <f>[1]Results!AI451</f>
        <v>50.911294390000002</v>
      </c>
      <c r="AG257" s="6">
        <f>[1]Results!AJ451</f>
        <v>51.566078840000003</v>
      </c>
      <c r="AH257" s="6">
        <f>[1]Results!AK451</f>
        <v>52.232802239999998</v>
      </c>
      <c r="AI257" s="6">
        <f>[1]Results!AL451</f>
        <v>52.910825959999997</v>
      </c>
      <c r="AJ257" s="6">
        <f>[1]Results!AM451</f>
        <v>53.59829964</v>
      </c>
      <c r="AK257" s="6">
        <f>[1]Results!AN451</f>
        <v>54.293621010000003</v>
      </c>
      <c r="AL257" s="6">
        <f>[1]Results!AO451</f>
        <v>54.996179290000001</v>
      </c>
    </row>
    <row r="258" spans="1:38" x14ac:dyDescent="0.3">
      <c r="B258" t="s">
        <v>10</v>
      </c>
      <c r="C258" s="6">
        <f>[1]Results!F463</f>
        <v>29.631828479999999</v>
      </c>
      <c r="D258" s="6">
        <f>[1]Results!G463</f>
        <v>29.84595178</v>
      </c>
      <c r="E258" s="6">
        <f>[1]Results!H463</f>
        <v>29.874910369999998</v>
      </c>
      <c r="F258" s="6">
        <f>[1]Results!I463</f>
        <v>29.855524339999999</v>
      </c>
      <c r="G258" s="6">
        <f>[1]Results!J463</f>
        <v>29.906574200000001</v>
      </c>
      <c r="H258" s="6">
        <f>[1]Results!K463</f>
        <v>30.143794410000002</v>
      </c>
      <c r="I258" s="6">
        <f>[1]Results!L463</f>
        <v>30.661395890000001</v>
      </c>
      <c r="J258" s="6">
        <f>[1]Results!M463</f>
        <v>31.395744759999999</v>
      </c>
      <c r="K258" s="6">
        <f>[1]Results!N463</f>
        <v>32.27485222</v>
      </c>
      <c r="L258" s="6">
        <f>[1]Results!O463</f>
        <v>33.19783142</v>
      </c>
      <c r="M258" s="6">
        <f>[1]Results!P463</f>
        <v>34.004436230000003</v>
      </c>
      <c r="N258" s="6">
        <f>[1]Results!Q463</f>
        <v>34.849848199999997</v>
      </c>
      <c r="O258" s="6">
        <f>[1]Results!R463</f>
        <v>35.623583490000001</v>
      </c>
      <c r="P258" s="6">
        <f>[1]Results!S463</f>
        <v>36.344045229999999</v>
      </c>
      <c r="Q258" s="6">
        <f>[1]Results!T463</f>
        <v>37.037490679999998</v>
      </c>
      <c r="R258" s="6">
        <f>[1]Results!U463</f>
        <v>37.720378529999998</v>
      </c>
      <c r="S258" s="6">
        <f>[1]Results!V463</f>
        <v>38.39727482</v>
      </c>
      <c r="T258" s="6">
        <f>[1]Results!W463</f>
        <v>39.064671580000002</v>
      </c>
      <c r="U258" s="6">
        <f>[1]Results!X463</f>
        <v>39.717669309999998</v>
      </c>
      <c r="V258" s="6">
        <f>[1]Results!Y463</f>
        <v>40.354974839999997</v>
      </c>
      <c r="W258" s="6">
        <f>[1]Results!Z463</f>
        <v>41.022902629999997</v>
      </c>
      <c r="X258" s="6">
        <f>[1]Results!AA463</f>
        <v>41.606954260000002</v>
      </c>
      <c r="Y258" s="6">
        <f>[1]Results!AB463</f>
        <v>42.196697989999997</v>
      </c>
      <c r="Z258" s="6">
        <f>[1]Results!AC463</f>
        <v>42.808685619999999</v>
      </c>
      <c r="AA258" s="6">
        <f>[1]Results!AD463</f>
        <v>43.452775709999997</v>
      </c>
      <c r="AB258" s="6">
        <f>[1]Results!AE463</f>
        <v>44.234532430000002</v>
      </c>
      <c r="AC258" s="6">
        <f>[1]Results!AF463</f>
        <v>44.89430119</v>
      </c>
      <c r="AD258" s="6">
        <f>[1]Results!AG463</f>
        <v>45.529352099999997</v>
      </c>
      <c r="AE258" s="6">
        <f>[1]Results!AH463</f>
        <v>46.14862325</v>
      </c>
      <c r="AF258" s="6">
        <f>[1]Results!AI463</f>
        <v>46.765737369999997</v>
      </c>
      <c r="AG258" s="6">
        <f>[1]Results!AJ463</f>
        <v>47.39973234</v>
      </c>
      <c r="AH258" s="6">
        <f>[1]Results!AK463</f>
        <v>48.06594364</v>
      </c>
      <c r="AI258" s="6">
        <f>[1]Results!AL463</f>
        <v>48.770226399999999</v>
      </c>
      <c r="AJ258" s="6">
        <f>[1]Results!AM463</f>
        <v>49.508544860000001</v>
      </c>
      <c r="AK258" s="6">
        <f>[1]Results!AN463</f>
        <v>50.270712639999999</v>
      </c>
      <c r="AL258" s="6">
        <f>[1]Results!AO463</f>
        <v>51.04571069</v>
      </c>
    </row>
    <row r="259" spans="1:38" x14ac:dyDescent="0.3">
      <c r="B259" t="s">
        <v>23</v>
      </c>
      <c r="C259" s="6">
        <f>[1]Results!F427</f>
        <v>8.5558757310000004</v>
      </c>
      <c r="D259" s="6">
        <f>[1]Results!G427</f>
        <v>8.5667167000000006</v>
      </c>
      <c r="E259" s="6">
        <f>[1]Results!H427</f>
        <v>8.5933936919999994</v>
      </c>
      <c r="F259" s="6">
        <f>[1]Results!I427</f>
        <v>8.6510401839999993</v>
      </c>
      <c r="G259" s="6">
        <f>[1]Results!J427</f>
        <v>8.7343720119999997</v>
      </c>
      <c r="H259" s="6">
        <f>[1]Results!K427</f>
        <v>8.8361282479999996</v>
      </c>
      <c r="I259" s="6">
        <f>[1]Results!L427</f>
        <v>8.9468983929999997</v>
      </c>
      <c r="J259" s="6">
        <f>[1]Results!M427</f>
        <v>9.0609082500000007</v>
      </c>
      <c r="K259" s="6">
        <f>[1]Results!N427</f>
        <v>9.1760756790000002</v>
      </c>
      <c r="L259" s="6">
        <f>[1]Results!O427</f>
        <v>9.2924842739999995</v>
      </c>
      <c r="M259" s="6">
        <f>[1]Results!P427</f>
        <v>9.4152455610000008</v>
      </c>
      <c r="N259" s="6">
        <f>[1]Results!Q427</f>
        <v>9.5437617990000003</v>
      </c>
      <c r="O259" s="6">
        <f>[1]Results!R427</f>
        <v>9.6749700349999994</v>
      </c>
      <c r="P259" s="6">
        <f>[1]Results!S427</f>
        <v>9.808560666</v>
      </c>
      <c r="Q259" s="6">
        <f>[1]Results!T427</f>
        <v>9.9442654469999994</v>
      </c>
      <c r="R259" s="6">
        <f>[1]Results!U427</f>
        <v>10.08173856</v>
      </c>
      <c r="S259" s="6">
        <f>[1]Results!V427</f>
        <v>10.22073314</v>
      </c>
      <c r="T259" s="6">
        <f>[1]Results!W427</f>
        <v>10.36120298</v>
      </c>
      <c r="U259" s="6">
        <f>[1]Results!X427</f>
        <v>10.503335030000001</v>
      </c>
      <c r="V259" s="6">
        <f>[1]Results!Y427</f>
        <v>10.64745883</v>
      </c>
      <c r="W259" s="6">
        <f>[1]Results!Z427</f>
        <v>10.79024961</v>
      </c>
      <c r="X259" s="6">
        <f>[1]Results!AA427</f>
        <v>10.93509004</v>
      </c>
      <c r="Y259" s="6">
        <f>[1]Results!AB427</f>
        <v>11.084402710000001</v>
      </c>
      <c r="Z259" s="6">
        <f>[1]Results!AC427</f>
        <v>11.23792283</v>
      </c>
      <c r="AA259" s="6">
        <f>[1]Results!AD427</f>
        <v>11.395006049999999</v>
      </c>
      <c r="AB259" s="6">
        <f>[1]Results!AE427</f>
        <v>11.542866139999999</v>
      </c>
      <c r="AC259" s="6">
        <f>[1]Results!AF427</f>
        <v>11.689121119999999</v>
      </c>
      <c r="AD259" s="6">
        <f>[1]Results!AG427</f>
        <v>11.83761103</v>
      </c>
      <c r="AE259" s="6">
        <f>[1]Results!AH427</f>
        <v>11.989381529999999</v>
      </c>
      <c r="AF259" s="6">
        <f>[1]Results!AI427</f>
        <v>12.144716750000001</v>
      </c>
      <c r="AG259" s="6">
        <f>[1]Results!AJ427</f>
        <v>12.303467210000001</v>
      </c>
      <c r="AH259" s="6">
        <f>[1]Results!AK427</f>
        <v>12.46522485</v>
      </c>
      <c r="AI259" s="6">
        <f>[1]Results!AL427</f>
        <v>12.62954957</v>
      </c>
      <c r="AJ259" s="6">
        <f>[1]Results!AM427</f>
        <v>12.79615297</v>
      </c>
      <c r="AK259" s="6">
        <f>[1]Results!AN427</f>
        <v>12.96497136</v>
      </c>
      <c r="AL259" s="6">
        <f>[1]Results!AO427</f>
        <v>13.136125509999999</v>
      </c>
    </row>
    <row r="260" spans="1:38" x14ac:dyDescent="0.3">
      <c r="B260" t="s">
        <v>32</v>
      </c>
      <c r="C260" s="6">
        <f>[1]Results!F414</f>
        <v>73.965462770000002</v>
      </c>
      <c r="D260" s="6">
        <f>[1]Results!G414</f>
        <v>73.842180020000001</v>
      </c>
      <c r="E260" s="6">
        <f>[1]Results!H414</f>
        <v>73.490459200000004</v>
      </c>
      <c r="F260" s="6">
        <f>[1]Results!I414</f>
        <v>73.177508209999999</v>
      </c>
      <c r="G260" s="6">
        <f>[1]Results!J414</f>
        <v>72.968287029999999</v>
      </c>
      <c r="H260" s="6">
        <f>[1]Results!K414</f>
        <v>72.855573890000002</v>
      </c>
      <c r="I260" s="6">
        <f>[1]Results!L414</f>
        <v>72.799636480000004</v>
      </c>
      <c r="J260" s="6">
        <f>[1]Results!M414</f>
        <v>72.78482151</v>
      </c>
      <c r="K260" s="6">
        <f>[1]Results!N414</f>
        <v>72.802000120000002</v>
      </c>
      <c r="L260" s="6">
        <f>[1]Results!O414</f>
        <v>72.850342130000001</v>
      </c>
      <c r="M260" s="6">
        <f>[1]Results!P414</f>
        <v>72.958415200000005</v>
      </c>
      <c r="N260" s="6">
        <f>[1]Results!Q414</f>
        <v>73.090435780000007</v>
      </c>
      <c r="O260" s="6">
        <f>[1]Results!R414</f>
        <v>73.245755160000002</v>
      </c>
      <c r="P260" s="6">
        <f>[1]Results!S414</f>
        <v>73.418847330000006</v>
      </c>
      <c r="Q260" s="6">
        <f>[1]Results!T414</f>
        <v>73.6005045</v>
      </c>
      <c r="R260" s="6">
        <f>[1]Results!U414</f>
        <v>73.786387340000005</v>
      </c>
      <c r="S260" s="6">
        <f>[1]Results!V414</f>
        <v>73.976500340000001</v>
      </c>
      <c r="T260" s="6">
        <f>[1]Results!W414</f>
        <v>74.170801679999997</v>
      </c>
      <c r="U260" s="6">
        <f>[1]Results!X414</f>
        <v>74.368490789999996</v>
      </c>
      <c r="V260" s="6">
        <f>[1]Results!Y414</f>
        <v>74.568359819999998</v>
      </c>
      <c r="W260" s="6">
        <f>[1]Results!Z414</f>
        <v>74.751074619999997</v>
      </c>
      <c r="X260" s="6">
        <f>[1]Results!AA414</f>
        <v>74.941112320000002</v>
      </c>
      <c r="Y260" s="6">
        <f>[1]Results!AB414</f>
        <v>75.134776810000005</v>
      </c>
      <c r="Z260" s="6">
        <f>[1]Results!AC414</f>
        <v>75.329407799999998</v>
      </c>
      <c r="AA260" s="6">
        <f>[1]Results!AD414</f>
        <v>75.523452989999996</v>
      </c>
      <c r="AB260" s="6">
        <f>[1]Results!AE414</f>
        <v>75.666081309999996</v>
      </c>
      <c r="AC260" s="6">
        <f>[1]Results!AF414</f>
        <v>75.805707200000001</v>
      </c>
      <c r="AD260" s="6">
        <f>[1]Results!AG414</f>
        <v>75.945248620000001</v>
      </c>
      <c r="AE260" s="6">
        <f>[1]Results!AH414</f>
        <v>76.085341349999993</v>
      </c>
      <c r="AF260" s="6">
        <f>[1]Results!AI414</f>
        <v>76.225605580000007</v>
      </c>
      <c r="AG260" s="6">
        <f>[1]Results!AJ414</f>
        <v>76.365103869999999</v>
      </c>
      <c r="AH260" s="6">
        <f>[1]Results!AK414</f>
        <v>76.502965799999998</v>
      </c>
      <c r="AI260" s="6">
        <f>[1]Results!AL414</f>
        <v>76.638844770000006</v>
      </c>
      <c r="AJ260" s="6">
        <f>[1]Results!AM414</f>
        <v>76.773040510000001</v>
      </c>
      <c r="AK260" s="6">
        <f>[1]Results!AN414</f>
        <v>76.906221869999996</v>
      </c>
      <c r="AL260" s="6">
        <f>[1]Results!AO414</f>
        <v>77.039284159999994</v>
      </c>
    </row>
    <row r="261" spans="1:38" x14ac:dyDescent="0.3">
      <c r="B261" t="s">
        <v>33</v>
      </c>
      <c r="C261" s="6">
        <f>[1]Results!F415</f>
        <v>39.923462319999999</v>
      </c>
      <c r="D261" s="6">
        <f>[1]Results!G415</f>
        <v>40.212701590000002</v>
      </c>
      <c r="E261" s="6">
        <f>[1]Results!H415</f>
        <v>40.056676439999997</v>
      </c>
      <c r="F261" s="6">
        <f>[1]Results!I415</f>
        <v>39.798952799999995</v>
      </c>
      <c r="G261" s="6">
        <f>[1]Results!J415</f>
        <v>39.5627596</v>
      </c>
      <c r="H261" s="6">
        <f>[1]Results!K415</f>
        <v>39.376581969999997</v>
      </c>
      <c r="I261" s="6">
        <f>[1]Results!L415</f>
        <v>39.223618569999999</v>
      </c>
      <c r="J261" s="6">
        <f>[1]Results!M415</f>
        <v>39.093201460000003</v>
      </c>
      <c r="K261" s="6">
        <f>[1]Results!N415</f>
        <v>38.974133200000004</v>
      </c>
      <c r="L261" s="6">
        <f>[1]Results!O415</f>
        <v>38.861571479999995</v>
      </c>
      <c r="M261" s="6">
        <f>[1]Results!P415</f>
        <v>38.775135329999998</v>
      </c>
      <c r="N261" s="6">
        <f>[1]Results!Q415</f>
        <v>38.688766919999999</v>
      </c>
      <c r="O261" s="6">
        <f>[1]Results!R415</f>
        <v>38.606856890000003</v>
      </c>
      <c r="P261" s="6">
        <f>[1]Results!S415</f>
        <v>38.528527579999995</v>
      </c>
      <c r="Q261" s="6">
        <f>[1]Results!T415</f>
        <v>38.44954955</v>
      </c>
      <c r="R261" s="6">
        <f>[1]Results!U415</f>
        <v>38.369407630000005</v>
      </c>
      <c r="S261" s="6">
        <f>[1]Results!V415</f>
        <v>38.290640270000004</v>
      </c>
      <c r="T261" s="6">
        <f>[1]Results!W415</f>
        <v>38.214753479999999</v>
      </c>
      <c r="U261" s="6">
        <f>[1]Results!X415</f>
        <v>38.14194088</v>
      </c>
      <c r="V261" s="6">
        <f>[1]Results!Y415</f>
        <v>38.071782329999998</v>
      </c>
      <c r="W261" s="6">
        <f>[1]Results!Z415</f>
        <v>37.990910540000002</v>
      </c>
      <c r="X261" s="6">
        <f>[1]Results!AA415</f>
        <v>37.918141869999999</v>
      </c>
      <c r="Y261" s="6">
        <f>[1]Results!AB415</f>
        <v>37.849739060000005</v>
      </c>
      <c r="Z261" s="6">
        <f>[1]Results!AC415</f>
        <v>37.784176049999999</v>
      </c>
      <c r="AA261" s="6">
        <f>[1]Results!AD415</f>
        <v>37.720392009999998</v>
      </c>
      <c r="AB261" s="6">
        <f>[1]Results!AE415</f>
        <v>37.623332939999997</v>
      </c>
      <c r="AC261" s="6">
        <f>[1]Results!AF415</f>
        <v>37.527943380000004</v>
      </c>
      <c r="AD261" s="6">
        <f>[1]Results!AG415</f>
        <v>37.433724720000001</v>
      </c>
      <c r="AE261" s="6">
        <f>[1]Results!AH415</f>
        <v>37.341402200000005</v>
      </c>
      <c r="AF261" s="6">
        <f>[1]Results!AI415</f>
        <v>37.251170180000003</v>
      </c>
      <c r="AG261" s="6">
        <f>[1]Results!AJ415</f>
        <v>37.162913150000001</v>
      </c>
      <c r="AH261" s="6">
        <f>[1]Results!AK415</f>
        <v>37.076243170000005</v>
      </c>
      <c r="AI261" s="6">
        <f>[1]Results!AL415</f>
        <v>36.990687880000003</v>
      </c>
      <c r="AJ261" s="6">
        <f>[1]Results!AM415</f>
        <v>36.905887990000004</v>
      </c>
      <c r="AK261" s="6">
        <f>[1]Results!AN415</f>
        <v>36.821617240000002</v>
      </c>
      <c r="AL261" s="6">
        <f>[1]Results!AO415</f>
        <v>36.737982930000001</v>
      </c>
    </row>
    <row r="262" spans="1:38" x14ac:dyDescent="0.3">
      <c r="B262" t="s">
        <v>34</v>
      </c>
      <c r="C262" s="6">
        <f>[1]Results!F423</f>
        <v>34.042000460000004</v>
      </c>
      <c r="D262" s="6">
        <f>[1]Results!G423</f>
        <v>33.629478429999999</v>
      </c>
      <c r="E262" s="6">
        <f>[1]Results!H423</f>
        <v>33.433782770000001</v>
      </c>
      <c r="F262" s="6">
        <f>[1]Results!I423</f>
        <v>33.378555409999997</v>
      </c>
      <c r="G262" s="6">
        <f>[1]Results!J423</f>
        <v>33.405527429999999</v>
      </c>
      <c r="H262" s="6">
        <f>[1]Results!K423</f>
        <v>33.478991919999999</v>
      </c>
      <c r="I262" s="6">
        <f>[1]Results!L423</f>
        <v>33.576017909999997</v>
      </c>
      <c r="J262" s="6">
        <f>[1]Results!M423</f>
        <v>33.691620049999997</v>
      </c>
      <c r="K262" s="6">
        <f>[1]Results!N423</f>
        <v>33.827866920000005</v>
      </c>
      <c r="L262" s="6">
        <f>[1]Results!O423</f>
        <v>33.988770639999998</v>
      </c>
      <c r="M262" s="6">
        <f>[1]Results!P423</f>
        <v>34.18327987</v>
      </c>
      <c r="N262" s="6">
        <f>[1]Results!Q423</f>
        <v>34.401668860000001</v>
      </c>
      <c r="O262" s="6">
        <f>[1]Results!R423</f>
        <v>34.638898270000006</v>
      </c>
      <c r="P262" s="6">
        <f>[1]Results!S423</f>
        <v>34.890319750000003</v>
      </c>
      <c r="Q262" s="6">
        <f>[1]Results!T423</f>
        <v>35.150954939999998</v>
      </c>
      <c r="R262" s="6">
        <f>[1]Results!U423</f>
        <v>35.41697972</v>
      </c>
      <c r="S262" s="6">
        <f>[1]Results!V423</f>
        <v>35.685860069999997</v>
      </c>
      <c r="T262" s="6">
        <f>[1]Results!W423</f>
        <v>35.956048200000005</v>
      </c>
      <c r="U262" s="6">
        <f>[1]Results!X423</f>
        <v>36.226549909999996</v>
      </c>
      <c r="V262" s="6">
        <f>[1]Results!Y423</f>
        <v>36.496577479999999</v>
      </c>
      <c r="W262" s="6">
        <f>[1]Results!Z423</f>
        <v>36.760164079999996</v>
      </c>
      <c r="X262" s="6">
        <f>[1]Results!AA423</f>
        <v>37.022970450000003</v>
      </c>
      <c r="Y262" s="6">
        <f>[1]Results!AB423</f>
        <v>37.285037750000001</v>
      </c>
      <c r="Z262" s="6">
        <f>[1]Results!AC423</f>
        <v>37.545231749999999</v>
      </c>
      <c r="AA262" s="6">
        <f>[1]Results!AD423</f>
        <v>37.803060979999998</v>
      </c>
      <c r="AB262" s="6">
        <f>[1]Results!AE423</f>
        <v>38.042748380000006</v>
      </c>
      <c r="AC262" s="6">
        <f>[1]Results!AF423</f>
        <v>38.277763810000003</v>
      </c>
      <c r="AD262" s="6">
        <f>[1]Results!AG423</f>
        <v>38.511523889999999</v>
      </c>
      <c r="AE262" s="6">
        <f>[1]Results!AH423</f>
        <v>38.743939149999996</v>
      </c>
      <c r="AF262" s="6">
        <f>[1]Results!AI423</f>
        <v>38.974435399999997</v>
      </c>
      <c r="AG262" s="6">
        <f>[1]Results!AJ423</f>
        <v>39.202190719999997</v>
      </c>
      <c r="AH262" s="6">
        <f>[1]Results!AK423</f>
        <v>39.42672262</v>
      </c>
      <c r="AI262" s="6">
        <f>[1]Results!AL423</f>
        <v>39.648156890000003</v>
      </c>
      <c r="AJ262" s="6">
        <f>[1]Results!AM423</f>
        <v>39.867152520000005</v>
      </c>
      <c r="AK262" s="6">
        <f>[1]Results!AN423</f>
        <v>40.08460462</v>
      </c>
      <c r="AL262" s="6">
        <f>[1]Results!AO423</f>
        <v>40.30130123</v>
      </c>
    </row>
    <row r="264" spans="1:38" x14ac:dyDescent="0.3">
      <c r="A264" s="12" t="s">
        <v>31</v>
      </c>
      <c r="C264" s="2">
        <v>42005</v>
      </c>
      <c r="D264" s="2">
        <v>42370</v>
      </c>
      <c r="E264" s="2">
        <v>42736</v>
      </c>
      <c r="F264" s="2">
        <v>43101</v>
      </c>
      <c r="G264" s="2">
        <v>43466</v>
      </c>
      <c r="H264" s="2">
        <v>43831</v>
      </c>
      <c r="I264" s="2">
        <v>44197</v>
      </c>
      <c r="J264" s="2">
        <v>44562</v>
      </c>
      <c r="K264" s="2">
        <v>44927</v>
      </c>
      <c r="L264" s="2">
        <v>45292</v>
      </c>
      <c r="M264" s="2">
        <v>45658</v>
      </c>
      <c r="N264" s="2">
        <v>46023</v>
      </c>
      <c r="O264" s="2">
        <v>46388</v>
      </c>
      <c r="P264" s="2">
        <v>46753</v>
      </c>
      <c r="Q264" s="2">
        <v>47119</v>
      </c>
      <c r="R264" s="2">
        <v>47484</v>
      </c>
      <c r="S264" s="2">
        <v>47849</v>
      </c>
      <c r="T264" s="2">
        <v>48214</v>
      </c>
      <c r="U264" s="2">
        <v>48580</v>
      </c>
      <c r="V264" s="2">
        <v>48945</v>
      </c>
      <c r="W264" s="2">
        <v>49310</v>
      </c>
      <c r="X264" s="2">
        <v>49675</v>
      </c>
      <c r="Y264" s="2">
        <v>50041</v>
      </c>
      <c r="Z264" s="2">
        <v>50406</v>
      </c>
      <c r="AA264" s="2">
        <v>50771</v>
      </c>
      <c r="AB264" s="2">
        <v>51136</v>
      </c>
      <c r="AC264" s="2">
        <v>51502</v>
      </c>
      <c r="AD264" s="2">
        <v>51867</v>
      </c>
      <c r="AE264" s="2">
        <v>52232</v>
      </c>
      <c r="AF264" s="2">
        <v>52597</v>
      </c>
      <c r="AG264" s="2">
        <v>52963</v>
      </c>
      <c r="AH264" s="2">
        <v>53328</v>
      </c>
      <c r="AI264" s="2">
        <v>53693</v>
      </c>
      <c r="AJ264" s="2">
        <v>54058</v>
      </c>
      <c r="AK264" s="2">
        <v>54424</v>
      </c>
      <c r="AL264" s="2">
        <v>54789</v>
      </c>
    </row>
    <row r="265" spans="1:38" x14ac:dyDescent="0.3">
      <c r="A265" t="s">
        <v>27</v>
      </c>
      <c r="B265" t="s">
        <v>80</v>
      </c>
      <c r="C265" s="9">
        <f t="shared" ref="C265:AL265" si="53">(C246/C141)/(C255/C129)-1</f>
        <v>0</v>
      </c>
      <c r="D265" s="9">
        <f t="shared" si="53"/>
        <v>0</v>
      </c>
      <c r="E265" s="9">
        <f t="shared" si="53"/>
        <v>0</v>
      </c>
      <c r="F265" s="9">
        <f t="shared" si="53"/>
        <v>0</v>
      </c>
      <c r="G265" s="9">
        <f t="shared" si="53"/>
        <v>0</v>
      </c>
      <c r="H265" s="9">
        <f t="shared" si="53"/>
        <v>0</v>
      </c>
      <c r="I265" s="9">
        <f t="shared" si="53"/>
        <v>2.9021076274311275E-2</v>
      </c>
      <c r="J265" s="9">
        <f t="shared" si="53"/>
        <v>4.0477913874636728E-2</v>
      </c>
      <c r="K265" s="9">
        <f t="shared" si="53"/>
        <v>4.2103575967069595E-2</v>
      </c>
      <c r="L265" s="9">
        <f t="shared" si="53"/>
        <v>3.4703278554957695E-2</v>
      </c>
      <c r="M265" s="9">
        <f t="shared" si="53"/>
        <v>2.1025583079874011E-2</v>
      </c>
      <c r="N265" s="9">
        <f t="shared" si="53"/>
        <v>5.438505872148669E-3</v>
      </c>
      <c r="O265" s="9">
        <f t="shared" si="53"/>
        <v>-8.6043986354890079E-3</v>
      </c>
      <c r="P265" s="9">
        <f t="shared" si="53"/>
        <v>-1.8753010917657242E-2</v>
      </c>
      <c r="Q265" s="9">
        <f t="shared" si="53"/>
        <v>-2.4259763961749892E-2</v>
      </c>
      <c r="R265" s="9">
        <f t="shared" si="53"/>
        <v>-2.5715286070785437E-2</v>
      </c>
      <c r="S265" s="9">
        <f t="shared" si="53"/>
        <v>-2.4488366264807326E-2</v>
      </c>
      <c r="T265" s="9">
        <f t="shared" si="53"/>
        <v>-2.2102961084300543E-2</v>
      </c>
      <c r="U265" s="9">
        <f t="shared" si="53"/>
        <v>-1.9739965453951736E-2</v>
      </c>
      <c r="V265" s="9">
        <f t="shared" si="53"/>
        <v>-1.800066049975857E-2</v>
      </c>
      <c r="W265" s="9">
        <f t="shared" si="53"/>
        <v>-1.6981606818067707E-2</v>
      </c>
      <c r="X265" s="9">
        <f t="shared" si="53"/>
        <v>-1.6359465106962179E-2</v>
      </c>
      <c r="Y265" s="9">
        <f t="shared" si="53"/>
        <v>-1.5844900276472562E-2</v>
      </c>
      <c r="Z265" s="9">
        <f t="shared" si="53"/>
        <v>-1.5239075071922126E-2</v>
      </c>
      <c r="AA265" s="9">
        <f t="shared" si="53"/>
        <v>-1.4512051841124252E-2</v>
      </c>
      <c r="AB265" s="9">
        <f t="shared" si="53"/>
        <v>-1.3812508830743475E-2</v>
      </c>
      <c r="AC265" s="9">
        <f t="shared" si="53"/>
        <v>-1.3221722050510532E-2</v>
      </c>
      <c r="AD265" s="9">
        <f t="shared" si="53"/>
        <v>-1.2841676865041007E-2</v>
      </c>
      <c r="AE265" s="9">
        <f t="shared" si="53"/>
        <v>-1.2683458357712118E-2</v>
      </c>
      <c r="AF265" s="9">
        <f t="shared" si="53"/>
        <v>-1.2687650132967909E-2</v>
      </c>
      <c r="AG265" s="9">
        <f t="shared" si="53"/>
        <v>-1.2764137948432452E-2</v>
      </c>
      <c r="AH265" s="9">
        <f t="shared" si="53"/>
        <v>-1.2830639554494705E-2</v>
      </c>
      <c r="AI265" s="9">
        <f t="shared" si="53"/>
        <v>-1.283882129722147E-2</v>
      </c>
      <c r="AJ265" s="9">
        <f t="shared" si="53"/>
        <v>-1.2781599609499095E-2</v>
      </c>
      <c r="AK265" s="9">
        <f t="shared" si="53"/>
        <v>-1.2683659532710889E-2</v>
      </c>
      <c r="AL265" s="9">
        <f t="shared" si="53"/>
        <v>-1.2582762453347329E-2</v>
      </c>
    </row>
    <row r="266" spans="1:38" x14ac:dyDescent="0.3">
      <c r="B266" t="s">
        <v>7</v>
      </c>
      <c r="C266" s="9">
        <f t="shared" ref="C266:AL266" si="54">(C247/C142)/(C256/C130)-1</f>
        <v>0</v>
      </c>
      <c r="D266" s="9">
        <f t="shared" si="54"/>
        <v>0</v>
      </c>
      <c r="E266" s="9">
        <f t="shared" si="54"/>
        <v>0</v>
      </c>
      <c r="F266" s="9">
        <f t="shared" si="54"/>
        <v>0</v>
      </c>
      <c r="G266" s="9">
        <f t="shared" si="54"/>
        <v>0</v>
      </c>
      <c r="H266" s="9">
        <f t="shared" si="54"/>
        <v>0</v>
      </c>
      <c r="I266" s="9">
        <f t="shared" si="54"/>
        <v>7.978607111099012E-2</v>
      </c>
      <c r="J266" s="9">
        <f t="shared" si="54"/>
        <v>0.10141382596834836</v>
      </c>
      <c r="K266" s="9">
        <f t="shared" si="54"/>
        <v>0.10652870796783298</v>
      </c>
      <c r="L266" s="9">
        <f t="shared" si="54"/>
        <v>9.9478612857534232E-2</v>
      </c>
      <c r="M266" s="9">
        <f t="shared" si="54"/>
        <v>8.4034733010832419E-2</v>
      </c>
      <c r="N266" s="9">
        <f t="shared" si="54"/>
        <v>6.5253745884469971E-2</v>
      </c>
      <c r="O266" s="9">
        <f t="shared" si="54"/>
        <v>4.7643658419296742E-2</v>
      </c>
      <c r="P266" s="9">
        <f t="shared" si="54"/>
        <v>3.4308450057819684E-2</v>
      </c>
      <c r="Q266" s="9">
        <f t="shared" si="54"/>
        <v>2.6488576241016304E-2</v>
      </c>
      <c r="R266" s="9">
        <f t="shared" si="54"/>
        <v>2.3749081390207039E-2</v>
      </c>
      <c r="S266" s="9">
        <f t="shared" si="54"/>
        <v>2.4587341401550056E-2</v>
      </c>
      <c r="T266" s="9">
        <f t="shared" si="54"/>
        <v>2.7185902569584197E-2</v>
      </c>
      <c r="U266" s="9">
        <f t="shared" si="54"/>
        <v>3.0050711026074373E-2</v>
      </c>
      <c r="V266" s="9">
        <f t="shared" si="54"/>
        <v>3.2344817413432203E-2</v>
      </c>
      <c r="W266" s="9">
        <f t="shared" si="54"/>
        <v>3.3874141542412639E-2</v>
      </c>
      <c r="X266" s="9">
        <f t="shared" si="54"/>
        <v>3.4876954047282416E-2</v>
      </c>
      <c r="Y266" s="9">
        <f t="shared" si="54"/>
        <v>3.571340886974772E-2</v>
      </c>
      <c r="Z266" s="9">
        <f t="shared" si="54"/>
        <v>3.6629199668716694E-2</v>
      </c>
      <c r="AA266" s="9">
        <f t="shared" si="54"/>
        <v>3.7677174660371238E-2</v>
      </c>
      <c r="AB266" s="9">
        <f t="shared" si="54"/>
        <v>3.8761598419250198E-2</v>
      </c>
      <c r="AC266" s="9">
        <f t="shared" si="54"/>
        <v>3.9668956259741206E-2</v>
      </c>
      <c r="AD266" s="9">
        <f t="shared" si="54"/>
        <v>4.0324570491112377E-2</v>
      </c>
      <c r="AE266" s="9">
        <f t="shared" si="54"/>
        <v>4.0723155704116554E-2</v>
      </c>
      <c r="AF266" s="9">
        <f t="shared" si="54"/>
        <v>4.092756703071232E-2</v>
      </c>
      <c r="AG266" s="9">
        <f t="shared" si="54"/>
        <v>4.1038082791815089E-2</v>
      </c>
      <c r="AH266" s="9">
        <f t="shared" si="54"/>
        <v>4.11504678126835E-2</v>
      </c>
      <c r="AI266" s="9">
        <f t="shared" si="54"/>
        <v>4.1324085762397766E-2</v>
      </c>
      <c r="AJ266" s="9">
        <f t="shared" si="54"/>
        <v>4.157047960485416E-2</v>
      </c>
      <c r="AK266" s="9">
        <f t="shared" si="54"/>
        <v>4.1862206100307109E-2</v>
      </c>
      <c r="AL266" s="9">
        <f t="shared" si="54"/>
        <v>4.2153832123663193E-2</v>
      </c>
    </row>
    <row r="267" spans="1:38" x14ac:dyDescent="0.3">
      <c r="B267" t="s">
        <v>8</v>
      </c>
      <c r="C267" s="9">
        <f t="shared" ref="C267:AL267" si="55">(C248/C145)/(C257/C133)-1</f>
        <v>0</v>
      </c>
      <c r="D267" s="9">
        <f t="shared" si="55"/>
        <v>0</v>
      </c>
      <c r="E267" s="9">
        <f t="shared" si="55"/>
        <v>0</v>
      </c>
      <c r="F267" s="9">
        <f t="shared" si="55"/>
        <v>0</v>
      </c>
      <c r="G267" s="9">
        <f t="shared" si="55"/>
        <v>0</v>
      </c>
      <c r="H267" s="9">
        <f t="shared" si="55"/>
        <v>0</v>
      </c>
      <c r="I267" s="9">
        <f t="shared" si="55"/>
        <v>9.0158682630994136E-3</v>
      </c>
      <c r="J267" s="9">
        <f t="shared" si="55"/>
        <v>1.2465573002722552E-2</v>
      </c>
      <c r="K267" s="9">
        <f t="shared" si="55"/>
        <v>1.31445700641315E-2</v>
      </c>
      <c r="L267" s="9">
        <f t="shared" si="55"/>
        <v>1.1377157580414021E-2</v>
      </c>
      <c r="M267" s="9">
        <f t="shared" si="55"/>
        <v>8.1319583460761624E-3</v>
      </c>
      <c r="N267" s="9">
        <f t="shared" si="55"/>
        <v>4.4161158774962406E-3</v>
      </c>
      <c r="O267" s="9">
        <f t="shared" si="55"/>
        <v>1.2547236145541429E-3</v>
      </c>
      <c r="P267" s="9">
        <f t="shared" si="55"/>
        <v>-8.2260594948868615E-4</v>
      </c>
      <c r="Q267" s="9">
        <f t="shared" si="55"/>
        <v>-1.7508332386733105E-3</v>
      </c>
      <c r="R267" s="9">
        <f t="shared" si="55"/>
        <v>-1.7752406795139564E-3</v>
      </c>
      <c r="S267" s="9">
        <f t="shared" si="55"/>
        <v>-1.3035535190363268E-3</v>
      </c>
      <c r="T267" s="9">
        <f t="shared" si="55"/>
        <v>-7.4149105966547779E-4</v>
      </c>
      <c r="U267" s="9">
        <f t="shared" si="55"/>
        <v>-3.486274537172207E-4</v>
      </c>
      <c r="V267" s="9">
        <f t="shared" si="55"/>
        <v>-1.9668147440299322E-4</v>
      </c>
      <c r="W267" s="9">
        <f t="shared" si="55"/>
        <v>-2.5325371823758935E-4</v>
      </c>
      <c r="X267" s="9">
        <f t="shared" si="55"/>
        <v>-3.1214613129360025E-4</v>
      </c>
      <c r="Y267" s="9">
        <f t="shared" si="55"/>
        <v>-3.1554397289257352E-4</v>
      </c>
      <c r="Z267" s="9">
        <f t="shared" si="55"/>
        <v>-2.2734437753979542E-4</v>
      </c>
      <c r="AA267" s="9">
        <f t="shared" si="55"/>
        <v>-6.5674667045323432E-5</v>
      </c>
      <c r="AB267" s="9">
        <f t="shared" si="55"/>
        <v>3.3900254668761676E-5</v>
      </c>
      <c r="AC267" s="9">
        <f t="shared" si="55"/>
        <v>1.7459695693289312E-4</v>
      </c>
      <c r="AD267" s="9">
        <f t="shared" si="55"/>
        <v>2.6353390334321602E-4</v>
      </c>
      <c r="AE267" s="9">
        <f t="shared" si="55"/>
        <v>2.9085933327266389E-4</v>
      </c>
      <c r="AF267" s="9">
        <f t="shared" si="55"/>
        <v>2.7614478208581872E-4</v>
      </c>
      <c r="AG267" s="9">
        <f t="shared" si="55"/>
        <v>2.4644813720775538E-4</v>
      </c>
      <c r="AH267" s="9">
        <f t="shared" si="55"/>
        <v>2.2351164852318917E-4</v>
      </c>
      <c r="AI267" s="9">
        <f t="shared" si="55"/>
        <v>2.17594309371405E-4</v>
      </c>
      <c r="AJ267" s="9">
        <f t="shared" si="55"/>
        <v>2.2732195626651297E-4</v>
      </c>
      <c r="AK267" s="9">
        <f t="shared" si="55"/>
        <v>2.4393378934206567E-4</v>
      </c>
      <c r="AL267" s="9">
        <f t="shared" si="55"/>
        <v>2.5703539785215668E-4</v>
      </c>
    </row>
    <row r="268" spans="1:38" x14ac:dyDescent="0.3">
      <c r="B268" t="s">
        <v>10</v>
      </c>
      <c r="C268" s="9">
        <f t="shared" ref="C268:AL268" si="56">(C249/C147)/(C258/C135)-1</f>
        <v>0</v>
      </c>
      <c r="D268" s="9">
        <f t="shared" si="56"/>
        <v>0</v>
      </c>
      <c r="E268" s="9">
        <f t="shared" si="56"/>
        <v>0</v>
      </c>
      <c r="F268" s="9">
        <f t="shared" si="56"/>
        <v>0</v>
      </c>
      <c r="G268" s="9">
        <f t="shared" si="56"/>
        <v>0</v>
      </c>
      <c r="H268" s="9">
        <f t="shared" si="56"/>
        <v>0</v>
      </c>
      <c r="I268" s="9">
        <f t="shared" si="56"/>
        <v>5.0502945967052737E-2</v>
      </c>
      <c r="J268" s="9">
        <f t="shared" si="56"/>
        <v>7.4037059608344391E-2</v>
      </c>
      <c r="K268" s="9">
        <f t="shared" si="56"/>
        <v>7.9851837471441645E-2</v>
      </c>
      <c r="L268" s="9">
        <f t="shared" si="56"/>
        <v>6.8058967429764472E-2</v>
      </c>
      <c r="M268" s="9">
        <f t="shared" si="56"/>
        <v>4.3621823307663288E-2</v>
      </c>
      <c r="N268" s="9">
        <f t="shared" si="56"/>
        <v>1.4509756156781517E-2</v>
      </c>
      <c r="O268" s="9">
        <f t="shared" si="56"/>
        <v>-1.2370497859309992E-2</v>
      </c>
      <c r="P268" s="9">
        <f t="shared" si="56"/>
        <v>-3.2460922066196218E-2</v>
      </c>
      <c r="Q268" s="9">
        <f t="shared" si="56"/>
        <v>-4.414405242331032E-2</v>
      </c>
      <c r="R268" s="9">
        <f t="shared" si="56"/>
        <v>-4.8279155016682895E-2</v>
      </c>
      <c r="S268" s="9">
        <f t="shared" si="56"/>
        <v>-4.7224590717666937E-2</v>
      </c>
      <c r="T268" s="9">
        <f t="shared" si="56"/>
        <v>-4.3712005720583758E-2</v>
      </c>
      <c r="U268" s="9">
        <f t="shared" si="56"/>
        <v>-3.992077446879172E-2</v>
      </c>
      <c r="V268" s="9">
        <f t="shared" si="56"/>
        <v>-3.7014000517428314E-2</v>
      </c>
      <c r="W268" s="9">
        <f t="shared" si="56"/>
        <v>-3.5198580500753418E-2</v>
      </c>
      <c r="X268" s="9">
        <f t="shared" si="56"/>
        <v>-3.4042155982641487E-2</v>
      </c>
      <c r="Y268" s="9">
        <f t="shared" si="56"/>
        <v>-3.3003109772173356E-2</v>
      </c>
      <c r="Z268" s="9">
        <f t="shared" si="56"/>
        <v>-3.1733744702540312E-2</v>
      </c>
      <c r="AA268" s="9">
        <f t="shared" si="56"/>
        <v>-3.0199528126422681E-2</v>
      </c>
      <c r="AB268" s="9">
        <f t="shared" si="56"/>
        <v>-2.8605868251047273E-2</v>
      </c>
      <c r="AC268" s="9">
        <f t="shared" si="56"/>
        <v>-2.7293453929639666E-2</v>
      </c>
      <c r="AD268" s="9">
        <f t="shared" si="56"/>
        <v>-2.6418504169469892E-2</v>
      </c>
      <c r="AE268" s="9">
        <f t="shared" si="56"/>
        <v>-2.5994169383846244E-2</v>
      </c>
      <c r="AF268" s="9">
        <f t="shared" si="56"/>
        <v>-2.5912275673962926E-2</v>
      </c>
      <c r="AG268" s="9">
        <f t="shared" si="56"/>
        <v>-2.6001240135189452E-2</v>
      </c>
      <c r="AH268" s="9">
        <f t="shared" si="56"/>
        <v>-2.6098001431904438E-2</v>
      </c>
      <c r="AI268" s="9">
        <f t="shared" si="56"/>
        <v>-2.6100434238554793E-2</v>
      </c>
      <c r="AJ268" s="9">
        <f t="shared" si="56"/>
        <v>-2.5984673732042274E-2</v>
      </c>
      <c r="AK268" s="9">
        <f t="shared" si="56"/>
        <v>-2.5789434085827123E-2</v>
      </c>
      <c r="AL268" s="9">
        <f t="shared" si="56"/>
        <v>-2.5581651931183891E-2</v>
      </c>
    </row>
    <row r="269" spans="1:38" x14ac:dyDescent="0.3">
      <c r="B269" t="s">
        <v>23</v>
      </c>
      <c r="C269" s="9">
        <f t="shared" ref="C269:AL269" si="57">(C250/C148)/(C259/C136)-1</f>
        <v>0</v>
      </c>
      <c r="D269" s="9">
        <f t="shared" si="57"/>
        <v>0</v>
      </c>
      <c r="E269" s="9">
        <f t="shared" si="57"/>
        <v>0</v>
      </c>
      <c r="F269" s="9">
        <f t="shared" si="57"/>
        <v>0</v>
      </c>
      <c r="G269" s="9">
        <f t="shared" si="57"/>
        <v>0</v>
      </c>
      <c r="H269" s="9">
        <f t="shared" si="57"/>
        <v>0</v>
      </c>
      <c r="I269" s="9">
        <f t="shared" si="57"/>
        <v>4.7144822323517133E-3</v>
      </c>
      <c r="J269" s="9">
        <f t="shared" si="57"/>
        <v>6.8326102342466388E-3</v>
      </c>
      <c r="K269" s="9">
        <f t="shared" si="57"/>
        <v>7.5890968470819775E-3</v>
      </c>
      <c r="L269" s="9">
        <f t="shared" si="57"/>
        <v>6.9537604686447096E-3</v>
      </c>
      <c r="M269" s="9">
        <f t="shared" si="57"/>
        <v>5.2539648765077551E-3</v>
      </c>
      <c r="N269" s="9">
        <f t="shared" si="57"/>
        <v>3.0635274975860938E-3</v>
      </c>
      <c r="O269" s="9">
        <f t="shared" si="57"/>
        <v>9.2544115323023313E-4</v>
      </c>
      <c r="P269" s="9">
        <f t="shared" si="57"/>
        <v>-7.5430161322131983E-4</v>
      </c>
      <c r="Q269" s="9">
        <f t="shared" si="57"/>
        <v>-1.7909905262216697E-3</v>
      </c>
      <c r="R269" s="9">
        <f t="shared" si="57"/>
        <v>-2.2152985311507667E-3</v>
      </c>
      <c r="S269" s="9">
        <f t="shared" si="57"/>
        <v>-2.2020710855228387E-3</v>
      </c>
      <c r="T269" s="9">
        <f t="shared" si="57"/>
        <v>-1.9697174660016081E-3</v>
      </c>
      <c r="U269" s="9">
        <f t="shared" si="57"/>
        <v>-1.6957431157729186E-3</v>
      </c>
      <c r="V269" s="9">
        <f t="shared" si="57"/>
        <v>-1.4763073040796604E-3</v>
      </c>
      <c r="W269" s="9">
        <f t="shared" si="57"/>
        <v>-1.3308580062124653E-3</v>
      </c>
      <c r="X269" s="9">
        <f t="shared" si="57"/>
        <v>-1.229552411184498E-3</v>
      </c>
      <c r="Y269" s="9">
        <f t="shared" si="57"/>
        <v>-1.1326067564527698E-3</v>
      </c>
      <c r="Z269" s="9">
        <f t="shared" si="57"/>
        <v>-1.0149573951390156E-3</v>
      </c>
      <c r="AA269" s="9">
        <f t="shared" si="57"/>
        <v>-8.7643074229026841E-4</v>
      </c>
      <c r="AB269" s="9">
        <f t="shared" si="57"/>
        <v>-7.33551069311833E-4</v>
      </c>
      <c r="AC269" s="9">
        <f t="shared" si="57"/>
        <v>-6.1770025386198579E-4</v>
      </c>
      <c r="AD269" s="9">
        <f t="shared" si="57"/>
        <v>-5.4066708266398145E-4</v>
      </c>
      <c r="AE269" s="9">
        <f t="shared" si="57"/>
        <v>-5.0256278842553126E-4</v>
      </c>
      <c r="AF269" s="9">
        <f t="shared" si="57"/>
        <v>-4.9425294006533171E-4</v>
      </c>
      <c r="AG269" s="9">
        <f t="shared" si="57"/>
        <v>-5.0148535375338366E-4</v>
      </c>
      <c r="AH269" s="9">
        <f t="shared" si="57"/>
        <v>-5.1068412842925071E-4</v>
      </c>
      <c r="AI269" s="9">
        <f t="shared" si="57"/>
        <v>-5.1321977841134458E-4</v>
      </c>
      <c r="AJ269" s="9">
        <f t="shared" si="57"/>
        <v>-5.0685460954680295E-4</v>
      </c>
      <c r="AK269" s="9">
        <f t="shared" si="57"/>
        <v>-4.9450552184493457E-4</v>
      </c>
      <c r="AL269" s="9">
        <f t="shared" si="57"/>
        <v>-4.8146063658516258E-4</v>
      </c>
    </row>
    <row r="270" spans="1:38" x14ac:dyDescent="0.3">
      <c r="B270" t="s">
        <v>32</v>
      </c>
      <c r="C270" s="9">
        <f t="shared" ref="C270:AL270" si="58">(C251/C59)/(C260/C58)-1</f>
        <v>0</v>
      </c>
      <c r="D270" s="9">
        <f t="shared" si="58"/>
        <v>0</v>
      </c>
      <c r="E270" s="9">
        <f t="shared" si="58"/>
        <v>0</v>
      </c>
      <c r="F270" s="9">
        <f t="shared" si="58"/>
        <v>0</v>
      </c>
      <c r="G270" s="9">
        <f t="shared" si="58"/>
        <v>0</v>
      </c>
      <c r="H270" s="9">
        <f t="shared" si="58"/>
        <v>0</v>
      </c>
      <c r="I270" s="9">
        <f t="shared" si="58"/>
        <v>1.6657166343859497E-2</v>
      </c>
      <c r="J270" s="9">
        <f t="shared" si="58"/>
        <v>2.2765580845936384E-2</v>
      </c>
      <c r="K270" s="9">
        <f t="shared" si="58"/>
        <v>2.4472251042431781E-2</v>
      </c>
      <c r="L270" s="9">
        <f t="shared" si="58"/>
        <v>2.2091886857660059E-2</v>
      </c>
      <c r="M270" s="9">
        <f t="shared" si="58"/>
        <v>1.7031890124141524E-2</v>
      </c>
      <c r="N270" s="9">
        <f t="shared" si="58"/>
        <v>1.1385203476026895E-2</v>
      </c>
      <c r="O270" s="9">
        <f t="shared" si="58"/>
        <v>6.6685259781424921E-3</v>
      </c>
      <c r="P270" s="9">
        <f t="shared" si="58"/>
        <v>3.8967198212727094E-3</v>
      </c>
      <c r="Q270" s="9">
        <f t="shared" si="58"/>
        <v>3.2884522394815985E-3</v>
      </c>
      <c r="R270" s="9">
        <f t="shared" si="58"/>
        <v>4.3809056726373807E-3</v>
      </c>
      <c r="S270" s="9">
        <f t="shared" si="58"/>
        <v>6.295691441632556E-3</v>
      </c>
      <c r="T270" s="9">
        <f t="shared" si="58"/>
        <v>8.2370398420452684E-3</v>
      </c>
      <c r="U270" s="9">
        <f t="shared" si="58"/>
        <v>9.7090937536368216E-3</v>
      </c>
      <c r="V270" s="9">
        <f t="shared" si="58"/>
        <v>1.0558650823955684E-2</v>
      </c>
      <c r="W270" s="9">
        <f t="shared" si="58"/>
        <v>1.088350554785622E-2</v>
      </c>
      <c r="X270" s="9">
        <f t="shared" si="58"/>
        <v>1.0907188423102898E-2</v>
      </c>
      <c r="Y270" s="9">
        <f t="shared" si="58"/>
        <v>1.0832844491663884E-2</v>
      </c>
      <c r="Z270" s="9">
        <f t="shared" si="58"/>
        <v>1.0783799204004296E-2</v>
      </c>
      <c r="AA270" s="9">
        <f t="shared" si="58"/>
        <v>1.0787723285471618E-2</v>
      </c>
      <c r="AB270" s="9">
        <f t="shared" si="58"/>
        <v>1.0813473665387541E-2</v>
      </c>
      <c r="AC270" s="9">
        <f t="shared" si="58"/>
        <v>1.0758999856614659E-2</v>
      </c>
      <c r="AD270" s="9">
        <f t="shared" si="58"/>
        <v>1.0635122083772819E-2</v>
      </c>
      <c r="AE270" s="9">
        <f t="shared" si="58"/>
        <v>1.0460449673663996E-2</v>
      </c>
      <c r="AF270" s="9">
        <f t="shared" si="58"/>
        <v>1.027046021653466E-2</v>
      </c>
      <c r="AG270" s="9">
        <f t="shared" si="58"/>
        <v>1.0110773742303403E-2</v>
      </c>
      <c r="AH270" s="9">
        <f t="shared" si="58"/>
        <v>1.0018259197124291E-2</v>
      </c>
      <c r="AI270" s="9">
        <f t="shared" si="58"/>
        <v>1.0007559107425568E-2</v>
      </c>
      <c r="AJ270" s="9">
        <f t="shared" si="58"/>
        <v>1.0068307713264835E-2</v>
      </c>
      <c r="AK270" s="9">
        <f t="shared" si="58"/>
        <v>1.0181051786037898E-2</v>
      </c>
      <c r="AL270" s="9">
        <f t="shared" si="58"/>
        <v>1.0323987733098727E-2</v>
      </c>
    </row>
    <row r="271" spans="1:38" x14ac:dyDescent="0.3">
      <c r="B271" t="s">
        <v>33</v>
      </c>
      <c r="C271" s="9">
        <f t="shared" ref="C271:AL271" si="59">(C252/C59)/(C261/C58)-1</f>
        <v>0</v>
      </c>
      <c r="D271" s="9">
        <f t="shared" si="59"/>
        <v>0</v>
      </c>
      <c r="E271" s="9">
        <f t="shared" si="59"/>
        <v>0</v>
      </c>
      <c r="F271" s="9">
        <f t="shared" si="59"/>
        <v>0</v>
      </c>
      <c r="G271" s="9">
        <f t="shared" si="59"/>
        <v>0</v>
      </c>
      <c r="H271" s="9">
        <f t="shared" si="59"/>
        <v>0</v>
      </c>
      <c r="I271" s="9">
        <f t="shared" si="59"/>
        <v>1.7405177737189081E-2</v>
      </c>
      <c r="J271" s="9">
        <f t="shared" si="59"/>
        <v>2.3616720299481031E-2</v>
      </c>
      <c r="K271" s="9">
        <f t="shared" si="59"/>
        <v>2.4455994244874768E-2</v>
      </c>
      <c r="L271" s="9">
        <f t="shared" si="59"/>
        <v>2.0933871640965718E-2</v>
      </c>
      <c r="M271" s="9">
        <f t="shared" si="59"/>
        <v>1.4654999081302744E-2</v>
      </c>
      <c r="N271" s="9">
        <f t="shared" si="59"/>
        <v>7.9110876582257905E-3</v>
      </c>
      <c r="O271" s="9">
        <f t="shared" si="59"/>
        <v>2.4159733755153567E-3</v>
      </c>
      <c r="P271" s="9">
        <f t="shared" si="59"/>
        <v>-7.2245901387923972E-4</v>
      </c>
      <c r="Q271" s="9">
        <f t="shared" si="59"/>
        <v>-1.2813246134282252E-3</v>
      </c>
      <c r="R271" s="9">
        <f t="shared" si="59"/>
        <v>1.5800324394832366E-4</v>
      </c>
      <c r="S271" s="9">
        <f t="shared" si="59"/>
        <v>2.4832700573942379E-3</v>
      </c>
      <c r="T271" s="9">
        <f t="shared" si="59"/>
        <v>4.7508685773776094E-3</v>
      </c>
      <c r="U271" s="9">
        <f t="shared" si="59"/>
        <v>6.4137949002591732E-3</v>
      </c>
      <c r="V271" s="9">
        <f t="shared" si="59"/>
        <v>7.332524503142368E-3</v>
      </c>
      <c r="W271" s="9">
        <f t="shared" si="59"/>
        <v>7.6442006498649295E-3</v>
      </c>
      <c r="X271" s="9">
        <f t="shared" si="59"/>
        <v>7.6066146592390638E-3</v>
      </c>
      <c r="Y271" s="9">
        <f t="shared" si="59"/>
        <v>7.4494422881783429E-3</v>
      </c>
      <c r="Z271" s="9">
        <f t="shared" si="59"/>
        <v>7.3011504003517302E-3</v>
      </c>
      <c r="AA271" s="9">
        <f t="shared" si="59"/>
        <v>7.186939600537956E-3</v>
      </c>
      <c r="AB271" s="9">
        <f t="shared" si="59"/>
        <v>7.0642025351572713E-3</v>
      </c>
      <c r="AC271" s="9">
        <f t="shared" si="59"/>
        <v>6.8207760900322878E-3</v>
      </c>
      <c r="AD271" s="9">
        <f t="shared" si="59"/>
        <v>6.4727670822313232E-3</v>
      </c>
      <c r="AE271" s="9">
        <f t="shared" si="59"/>
        <v>6.0525327356499847E-3</v>
      </c>
      <c r="AF271" s="9">
        <f t="shared" si="59"/>
        <v>5.6009419819615935E-3</v>
      </c>
      <c r="AG271" s="9">
        <f t="shared" si="59"/>
        <v>5.1708396224048325E-3</v>
      </c>
      <c r="AH271" s="9">
        <f t="shared" si="59"/>
        <v>4.804714893988038E-3</v>
      </c>
      <c r="AI271" s="9">
        <f t="shared" si="59"/>
        <v>4.5168105720079232E-3</v>
      </c>
      <c r="AJ271" s="9">
        <f t="shared" si="59"/>
        <v>4.2884093048483063E-3</v>
      </c>
      <c r="AK271" s="9">
        <f t="shared" si="59"/>
        <v>4.0946933047194545E-3</v>
      </c>
      <c r="AL271" s="9">
        <f t="shared" si="59"/>
        <v>3.9095050287898392E-3</v>
      </c>
    </row>
    <row r="272" spans="1:38" x14ac:dyDescent="0.3">
      <c r="B272" t="s">
        <v>34</v>
      </c>
      <c r="C272" s="9">
        <f t="shared" ref="C272:AL272" si="60">(C253/C59)/(C262/C58)-1</f>
        <v>0</v>
      </c>
      <c r="D272" s="9">
        <f t="shared" si="60"/>
        <v>0</v>
      </c>
      <c r="E272" s="9">
        <f t="shared" si="60"/>
        <v>0</v>
      </c>
      <c r="F272" s="9">
        <f t="shared" si="60"/>
        <v>0</v>
      </c>
      <c r="G272" s="9">
        <f t="shared" si="60"/>
        <v>0</v>
      </c>
      <c r="H272" s="9">
        <f t="shared" si="60"/>
        <v>0</v>
      </c>
      <c r="I272" s="9">
        <f t="shared" si="60"/>
        <v>1.5783337187195601E-2</v>
      </c>
      <c r="J272" s="9">
        <f t="shared" si="60"/>
        <v>2.1777983156108016E-2</v>
      </c>
      <c r="K272" s="9">
        <f t="shared" si="60"/>
        <v>2.4490981002404544E-2</v>
      </c>
      <c r="L272" s="9">
        <f t="shared" si="60"/>
        <v>2.3415921251727312E-2</v>
      </c>
      <c r="M272" s="9">
        <f t="shared" si="60"/>
        <v>1.9728070016803656E-2</v>
      </c>
      <c r="N272" s="9">
        <f t="shared" si="60"/>
        <v>1.5292259778294959E-2</v>
      </c>
      <c r="O272" s="9">
        <f t="shared" si="60"/>
        <v>1.1408217421764455E-2</v>
      </c>
      <c r="P272" s="9">
        <f t="shared" si="60"/>
        <v>8.9975661426111575E-3</v>
      </c>
      <c r="Q272" s="9">
        <f t="shared" si="60"/>
        <v>8.2870607237957028E-3</v>
      </c>
      <c r="R272" s="9">
        <f t="shared" si="60"/>
        <v>8.955836847368559E-3</v>
      </c>
      <c r="S272" s="9">
        <f t="shared" si="60"/>
        <v>1.0386388582847017E-2</v>
      </c>
      <c r="T272" s="9">
        <f t="shared" si="60"/>
        <v>1.1942207182106701E-2</v>
      </c>
      <c r="U272" s="9">
        <f t="shared" si="60"/>
        <v>1.3178623264521017E-2</v>
      </c>
      <c r="V272" s="9">
        <f t="shared" si="60"/>
        <v>1.3924018144438666E-2</v>
      </c>
      <c r="W272" s="9">
        <f t="shared" si="60"/>
        <v>1.4231263524265403E-2</v>
      </c>
      <c r="X272" s="9">
        <f t="shared" si="60"/>
        <v>1.4287566137517249E-2</v>
      </c>
      <c r="Y272" s="9">
        <f t="shared" si="60"/>
        <v>1.4267490353580436E-2</v>
      </c>
      <c r="Z272" s="9">
        <f t="shared" si="60"/>
        <v>1.4288612182486782E-2</v>
      </c>
      <c r="AA272" s="9">
        <f t="shared" si="60"/>
        <v>1.4380632925625969E-2</v>
      </c>
      <c r="AB272" s="9">
        <f t="shared" si="60"/>
        <v>1.4521409393316809E-2</v>
      </c>
      <c r="AC272" s="9">
        <f t="shared" si="60"/>
        <v>1.4620078034748074E-2</v>
      </c>
      <c r="AD272" s="9">
        <f t="shared" si="60"/>
        <v>1.4680987987859551E-2</v>
      </c>
      <c r="AE272" s="9">
        <f t="shared" si="60"/>
        <v>1.4708799295763741E-2</v>
      </c>
      <c r="AF272" s="9">
        <f t="shared" si="60"/>
        <v>1.4733514437320183E-2</v>
      </c>
      <c r="AG272" s="9">
        <f t="shared" si="60"/>
        <v>1.4793735058820978E-2</v>
      </c>
      <c r="AH272" s="9">
        <f t="shared" si="60"/>
        <v>1.4920990989564897E-2</v>
      </c>
      <c r="AI272" s="9">
        <f t="shared" si="60"/>
        <v>1.5130283372608133E-2</v>
      </c>
      <c r="AJ272" s="9">
        <f t="shared" si="60"/>
        <v>1.5418885062564724E-2</v>
      </c>
      <c r="AK272" s="9">
        <f t="shared" si="60"/>
        <v>1.5771965669582277E-2</v>
      </c>
      <c r="AL272" s="9">
        <f t="shared" si="60"/>
        <v>1.6171321414728101E-2</v>
      </c>
    </row>
    <row r="274" spans="1:38" x14ac:dyDescent="0.3">
      <c r="A274" s="12" t="s">
        <v>17</v>
      </c>
      <c r="B274" t="s">
        <v>80</v>
      </c>
      <c r="C274" s="6">
        <f>[1]Results!F1600</f>
        <v>473424.22009999998</v>
      </c>
      <c r="D274" s="6">
        <f>[1]Results!G1600</f>
        <v>476872.60489999998</v>
      </c>
      <c r="E274" s="6">
        <f>[1]Results!H1600</f>
        <v>481961.17839999998</v>
      </c>
      <c r="F274" s="6">
        <f>[1]Results!I1600</f>
        <v>489463.74959999998</v>
      </c>
      <c r="G274" s="6">
        <f>[1]Results!J1600</f>
        <v>498523.35950000002</v>
      </c>
      <c r="H274" s="6">
        <f>[1]Results!K1600</f>
        <v>507961.45039999997</v>
      </c>
      <c r="I274" s="6">
        <f>[1]Results!L1600</f>
        <v>508365.20779999997</v>
      </c>
      <c r="J274" s="6">
        <f>[1]Results!M1600</f>
        <v>509288.6678</v>
      </c>
      <c r="K274" s="6">
        <f>[1]Results!N1600</f>
        <v>510947.86540000001</v>
      </c>
      <c r="L274" s="6">
        <f>[1]Results!O1600</f>
        <v>514864.5269</v>
      </c>
      <c r="M274" s="6">
        <f>[1]Results!P1600</f>
        <v>521694.6078</v>
      </c>
      <c r="N274" s="6">
        <f>[1]Results!Q1600</f>
        <v>531589.72580000001</v>
      </c>
      <c r="O274" s="6">
        <f>[1]Results!R1600</f>
        <v>543177.62080000003</v>
      </c>
      <c r="P274" s="6">
        <f>[1]Results!S1600</f>
        <v>555215.41410000005</v>
      </c>
      <c r="Q274" s="6">
        <f>[1]Results!T1600</f>
        <v>566772.91480000003</v>
      </c>
      <c r="R274" s="6">
        <f>[1]Results!U1600</f>
        <v>577418.63970000006</v>
      </c>
      <c r="S274" s="6">
        <f>[1]Results!V1600</f>
        <v>587218.94900000002</v>
      </c>
      <c r="T274" s="6">
        <f>[1]Results!W1600</f>
        <v>596556.44010000001</v>
      </c>
      <c r="U274" s="6">
        <f>[1]Results!X1600</f>
        <v>605890.49780000001</v>
      </c>
      <c r="V274" s="6">
        <f>[1]Results!Y1600</f>
        <v>615571.32680000004</v>
      </c>
      <c r="W274" s="6">
        <f>[1]Results!Z1600</f>
        <v>625716.91209999996</v>
      </c>
      <c r="X274" s="6">
        <f>[1]Results!AA1600</f>
        <v>636107.61549999996</v>
      </c>
      <c r="Y274" s="6">
        <f>[1]Results!AB1600</f>
        <v>646971.62699999998</v>
      </c>
      <c r="Z274" s="6">
        <f>[1]Results!AC1600</f>
        <v>658194.12320000003</v>
      </c>
      <c r="AA274" s="6">
        <f>[1]Results!AD1600</f>
        <v>669619.59649999999</v>
      </c>
      <c r="AB274" s="6">
        <f>[1]Results!AE1600</f>
        <v>680918.57059999998</v>
      </c>
      <c r="AC274" s="6">
        <f>[1]Results!AF1600</f>
        <v>691774.53879999998</v>
      </c>
      <c r="AD274" s="6">
        <f>[1]Results!AG1600</f>
        <v>702798.74739999999</v>
      </c>
      <c r="AE274" s="6">
        <f>[1]Results!AH1600</f>
        <v>714218.07609999995</v>
      </c>
      <c r="AF274" s="6">
        <f>[1]Results!AI1600</f>
        <v>726036.49800000002</v>
      </c>
      <c r="AG274" s="6">
        <f>[1]Results!AJ1600</f>
        <v>738138.73430000001</v>
      </c>
      <c r="AH274" s="6">
        <f>[1]Results!AK1600</f>
        <v>750376.11739999999</v>
      </c>
      <c r="AI274" s="6">
        <f>[1]Results!AL1600</f>
        <v>762636.78509999998</v>
      </c>
      <c r="AJ274" s="6">
        <f>[1]Results!AM1600</f>
        <v>774881.91610000003</v>
      </c>
      <c r="AK274" s="6">
        <f>[1]Results!AN1600</f>
        <v>787142.85069999995</v>
      </c>
      <c r="AL274" s="6">
        <f>[1]Results!AO1600</f>
        <v>799490.50150000001</v>
      </c>
    </row>
    <row r="275" spans="1:38" x14ac:dyDescent="0.3">
      <c r="A275" t="s">
        <v>27</v>
      </c>
      <c r="B275" t="s">
        <v>7</v>
      </c>
      <c r="C275" s="6">
        <f>[1]Results!F1601</f>
        <v>12191.49021</v>
      </c>
      <c r="D275" s="6">
        <f>[1]Results!G1601</f>
        <v>12179.002500000001</v>
      </c>
      <c r="E275" s="6">
        <f>[1]Results!H1601</f>
        <v>12158.54341</v>
      </c>
      <c r="F275" s="6">
        <f>[1]Results!I1601</f>
        <v>12170.36226</v>
      </c>
      <c r="G275" s="6">
        <f>[1]Results!J1601</f>
        <v>12219.67058</v>
      </c>
      <c r="H275" s="6">
        <f>[1]Results!K1601</f>
        <v>12294.70513</v>
      </c>
      <c r="I275" s="6">
        <f>[1]Results!L1601</f>
        <v>12216.893679999999</v>
      </c>
      <c r="J275" s="6">
        <f>[1]Results!M1601</f>
        <v>12131.767449999999</v>
      </c>
      <c r="K275" s="6">
        <f>[1]Results!N1601</f>
        <v>11990.522209999999</v>
      </c>
      <c r="L275" s="6">
        <f>[1]Results!O1601</f>
        <v>11848.8125</v>
      </c>
      <c r="M275" s="6">
        <f>[1]Results!P1601</f>
        <v>11756.64266</v>
      </c>
      <c r="N275" s="6">
        <f>[1]Results!Q1601</f>
        <v>11714.039269999999</v>
      </c>
      <c r="O275" s="6">
        <f>[1]Results!R1601</f>
        <v>11718.508</v>
      </c>
      <c r="P275" s="6">
        <f>[1]Results!S1601</f>
        <v>11755.93749</v>
      </c>
      <c r="Q275" s="6">
        <f>[1]Results!T1601</f>
        <v>11810.265880000001</v>
      </c>
      <c r="R275" s="6">
        <f>[1]Results!U1601</f>
        <v>11868.95932</v>
      </c>
      <c r="S275" s="6">
        <f>[1]Results!V1601</f>
        <v>11924.75023</v>
      </c>
      <c r="T275" s="6">
        <f>[1]Results!W1601</f>
        <v>11974.730680000001</v>
      </c>
      <c r="U275" s="6">
        <f>[1]Results!X1601</f>
        <v>12018.41229</v>
      </c>
      <c r="V275" s="6">
        <f>[1]Results!Y1601</f>
        <v>12056.0213</v>
      </c>
      <c r="W275" s="6">
        <f>[1]Results!Z1601</f>
        <v>12080.072679999999</v>
      </c>
      <c r="X275" s="6">
        <f>[1]Results!AA1601</f>
        <v>12100.912039999999</v>
      </c>
      <c r="Y275" s="6">
        <f>[1]Results!AB1601</f>
        <v>12118.09052</v>
      </c>
      <c r="Z275" s="6">
        <f>[1]Results!AC1601</f>
        <v>12132.05472</v>
      </c>
      <c r="AA275" s="6">
        <f>[1]Results!AD1601</f>
        <v>12143.796689999999</v>
      </c>
      <c r="AB275" s="6">
        <f>[1]Results!AE1601</f>
        <v>12134.158170000001</v>
      </c>
      <c r="AC275" s="6">
        <f>[1]Results!AF1601</f>
        <v>12124.842769999999</v>
      </c>
      <c r="AD275" s="6">
        <f>[1]Results!AG1601</f>
        <v>12119.45916</v>
      </c>
      <c r="AE275" s="6">
        <f>[1]Results!AH1601</f>
        <v>12120.59719</v>
      </c>
      <c r="AF275" s="6">
        <f>[1]Results!AI1601</f>
        <v>12128.65364</v>
      </c>
      <c r="AG275" s="6">
        <f>[1]Results!AJ1601</f>
        <v>12142.327960000001</v>
      </c>
      <c r="AH275" s="6">
        <f>[1]Results!AK1601</f>
        <v>12159.54205</v>
      </c>
      <c r="AI275" s="6">
        <f>[1]Results!AL1601</f>
        <v>12178.30673</v>
      </c>
      <c r="AJ275" s="6">
        <f>[1]Results!AM1601</f>
        <v>12197.236730000001</v>
      </c>
      <c r="AK275" s="6">
        <f>[1]Results!AN1601</f>
        <v>12215.65351</v>
      </c>
      <c r="AL275" s="6">
        <f>[1]Results!AO1601</f>
        <v>12233.398579999999</v>
      </c>
    </row>
    <row r="276" spans="1:38" x14ac:dyDescent="0.3">
      <c r="B276" t="s">
        <v>96</v>
      </c>
      <c r="C276" s="6">
        <f>[1]Results!F1614</f>
        <v>7527.0786390000003</v>
      </c>
      <c r="D276" s="6">
        <f>[1]Results!G1614</f>
        <v>7887.0270119999996</v>
      </c>
      <c r="E276" s="6">
        <f>[1]Results!H1614</f>
        <v>8362.4990290000005</v>
      </c>
      <c r="F276" s="6">
        <f>[1]Results!I1614</f>
        <v>8769.4210710000007</v>
      </c>
      <c r="G276" s="6">
        <f>[1]Results!J1614</f>
        <v>9079.7884080000003</v>
      </c>
      <c r="H276" s="6">
        <f>[1]Results!K1614</f>
        <v>9318.2238010000001</v>
      </c>
      <c r="I276" s="6">
        <f>[1]Results!L1614</f>
        <v>9249.0424110000004</v>
      </c>
      <c r="J276" s="6">
        <f>[1]Results!M1614</f>
        <v>9180.0467289999997</v>
      </c>
      <c r="K276" s="6">
        <f>[1]Results!N1614</f>
        <v>9151.0651030000008</v>
      </c>
      <c r="L276" s="6">
        <f>[1]Results!O1614</f>
        <v>9182.1844899999996</v>
      </c>
      <c r="M276" s="6">
        <f>[1]Results!P1614</f>
        <v>9444.9099920000008</v>
      </c>
      <c r="N276" s="6">
        <f>[1]Results!Q1614</f>
        <v>9568.1436990000002</v>
      </c>
      <c r="O276" s="6">
        <f>[1]Results!R1614</f>
        <v>9716.3002660000002</v>
      </c>
      <c r="P276" s="6">
        <f>[1]Results!S1614</f>
        <v>9900.8514830000004</v>
      </c>
      <c r="Q276" s="6">
        <f>[1]Results!T1614</f>
        <v>10098.56551</v>
      </c>
      <c r="R276" s="6">
        <f>[1]Results!U1614</f>
        <v>10290.69202</v>
      </c>
      <c r="S276" s="6">
        <f>[1]Results!V1614</f>
        <v>10470.434240000001</v>
      </c>
      <c r="T276" s="6">
        <f>[1]Results!W1614</f>
        <v>10640.47897</v>
      </c>
      <c r="U276" s="6">
        <f>[1]Results!X1614</f>
        <v>10807.83208</v>
      </c>
      <c r="V276" s="6">
        <f>[1]Results!Y1614</f>
        <v>10979.248100000001</v>
      </c>
      <c r="W276" s="6">
        <f>[1]Results!Z1614</f>
        <v>11038.64107</v>
      </c>
      <c r="X276" s="6">
        <f>[1]Results!AA1614</f>
        <v>11245.973099999999</v>
      </c>
      <c r="Y276" s="6">
        <f>[1]Results!AB1614</f>
        <v>11477.737569999999</v>
      </c>
      <c r="Z276" s="6">
        <f>[1]Results!AC1614</f>
        <v>11703.09989</v>
      </c>
      <c r="AA276" s="6">
        <f>[1]Results!AD1614</f>
        <v>11919.68741</v>
      </c>
      <c r="AB276" s="6">
        <f>[1]Results!AE1614</f>
        <v>11776.86147</v>
      </c>
      <c r="AC276" s="6">
        <f>[1]Results!AF1614</f>
        <v>11900.242319999999</v>
      </c>
      <c r="AD276" s="6">
        <f>[1]Results!AG1614</f>
        <v>12096.64359</v>
      </c>
      <c r="AE276" s="6">
        <f>[1]Results!AH1614</f>
        <v>12307.453519999999</v>
      </c>
      <c r="AF276" s="6">
        <f>[1]Results!AI1614</f>
        <v>12520.48767</v>
      </c>
      <c r="AG276" s="6">
        <f>[1]Results!AJ1614</f>
        <v>12733.81388</v>
      </c>
      <c r="AH276" s="6">
        <f>[1]Results!AK1614</f>
        <v>12946.620699999999</v>
      </c>
      <c r="AI276" s="6">
        <f>[1]Results!AL1614</f>
        <v>13158.135410000001</v>
      </c>
      <c r="AJ276" s="6">
        <f>[1]Results!AM1614</f>
        <v>13368.199930000001</v>
      </c>
      <c r="AK276" s="6">
        <f>[1]Results!AN1614</f>
        <v>13577.580959999999</v>
      </c>
      <c r="AL276" s="6">
        <f>[1]Results!AO1614</f>
        <v>13787.707609999999</v>
      </c>
    </row>
    <row r="277" spans="1:38" x14ac:dyDescent="0.3">
      <c r="B277" t="s">
        <v>11</v>
      </c>
      <c r="C277" s="6">
        <f>[1]Results!F1629</f>
        <v>6752.3176679999997</v>
      </c>
      <c r="D277" s="6">
        <f>[1]Results!G1629</f>
        <v>6814.5529999999999</v>
      </c>
      <c r="E277" s="6">
        <f>[1]Results!H1629</f>
        <v>6856.8102799999997</v>
      </c>
      <c r="F277" s="6">
        <f>[1]Results!I1629</f>
        <v>6888.5195530000001</v>
      </c>
      <c r="G277" s="6">
        <f>[1]Results!J1629</f>
        <v>6920.4222849999996</v>
      </c>
      <c r="H277" s="6">
        <f>[1]Results!K1629</f>
        <v>6961.1431519999996</v>
      </c>
      <c r="I277" s="6">
        <f>[1]Results!L1629</f>
        <v>7059.0611689999996</v>
      </c>
      <c r="J277" s="6">
        <f>[1]Results!M1629</f>
        <v>7140.931791</v>
      </c>
      <c r="K277" s="6">
        <f>[1]Results!N1629</f>
        <v>7200.0046400000001</v>
      </c>
      <c r="L277" s="6">
        <f>[1]Results!O1629</f>
        <v>7235.6792930000001</v>
      </c>
      <c r="M277" s="6">
        <f>[1]Results!P1629</f>
        <v>7254.0825690000001</v>
      </c>
      <c r="N277" s="6">
        <f>[1]Results!Q1629</f>
        <v>7262.7995520000004</v>
      </c>
      <c r="O277" s="6">
        <f>[1]Results!R1629</f>
        <v>7271.9201380000004</v>
      </c>
      <c r="P277" s="6">
        <f>[1]Results!S1629</f>
        <v>7289.8001729999996</v>
      </c>
      <c r="Q277" s="6">
        <f>[1]Results!T1629</f>
        <v>7320.335059</v>
      </c>
      <c r="R277" s="6">
        <f>[1]Results!U1629</f>
        <v>7362.9588569999996</v>
      </c>
      <c r="S277" s="6">
        <f>[1]Results!V1629</f>
        <v>7413.7983850000001</v>
      </c>
      <c r="T277" s="6">
        <f>[1]Results!W1629</f>
        <v>7468.2715909999997</v>
      </c>
      <c r="U277" s="6">
        <f>[1]Results!X1629</f>
        <v>7522.8595100000002</v>
      </c>
      <c r="V277" s="6">
        <f>[1]Results!Y1629</f>
        <v>7575.9436610000002</v>
      </c>
      <c r="W277" s="6">
        <f>[1]Results!Z1629</f>
        <v>7625.5596159999996</v>
      </c>
      <c r="X277" s="6">
        <f>[1]Results!AA1629</f>
        <v>7674.9801360000001</v>
      </c>
      <c r="Y277" s="6">
        <f>[1]Results!AB1629</f>
        <v>7726.1962940000003</v>
      </c>
      <c r="Z277" s="6">
        <f>[1]Results!AC1629</f>
        <v>7780.3281010000001</v>
      </c>
      <c r="AA277" s="6">
        <f>[1]Results!AD1629</f>
        <v>7837.8980620000002</v>
      </c>
      <c r="AB277" s="6">
        <f>[1]Results!AE1629</f>
        <v>7891.8305410000003</v>
      </c>
      <c r="AC277" s="6">
        <f>[1]Results!AF1629</f>
        <v>7945.8210289999997</v>
      </c>
      <c r="AD277" s="6">
        <f>[1]Results!AG1629</f>
        <v>7999.7059019999997</v>
      </c>
      <c r="AE277" s="6">
        <f>[1]Results!AH1629</f>
        <v>8053.3082910000003</v>
      </c>
      <c r="AF277" s="6">
        <f>[1]Results!AI1629</f>
        <v>8107.3461950000001</v>
      </c>
      <c r="AG277" s="6">
        <f>[1]Results!AJ1629</f>
        <v>8163.0406929999999</v>
      </c>
      <c r="AH277" s="6">
        <f>[1]Results!AK1629</f>
        <v>8221.4691330000005</v>
      </c>
      <c r="AI277" s="6">
        <f>[1]Results!AL1629</f>
        <v>8283.1537439999993</v>
      </c>
      <c r="AJ277" s="6">
        <f>[1]Results!AM1629</f>
        <v>8347.9600570000002</v>
      </c>
      <c r="AK277" s="6">
        <f>[1]Results!AN1629</f>
        <v>8415.3468489999996</v>
      </c>
      <c r="AL277" s="6">
        <f>[1]Results!AO1629</f>
        <v>8484.6908879999992</v>
      </c>
    </row>
    <row r="278" spans="1:38" x14ac:dyDescent="0.3">
      <c r="B278" t="s">
        <v>8</v>
      </c>
      <c r="C278" s="6">
        <f>[1]Results!F1604-[1]Results!F1614</f>
        <v>59921.907890999995</v>
      </c>
      <c r="D278" s="6">
        <f>[1]Results!G1604-[1]Results!G1614</f>
        <v>60349.710818</v>
      </c>
      <c r="E278" s="6">
        <f>[1]Results!H1604-[1]Results!H1614</f>
        <v>60917.179181</v>
      </c>
      <c r="F278" s="6">
        <f>[1]Results!I1604-[1]Results!I1614</f>
        <v>61665.380818999998</v>
      </c>
      <c r="G278" s="6">
        <f>[1]Results!J1604-[1]Results!J1614</f>
        <v>62541.106171999993</v>
      </c>
      <c r="H278" s="6">
        <f>[1]Results!K1604-[1]Results!K1614</f>
        <v>63474.995418999999</v>
      </c>
      <c r="I278" s="6">
        <f>[1]Results!L1604-[1]Results!L1614</f>
        <v>63689.000329000002</v>
      </c>
      <c r="J278" s="6">
        <f>[1]Results!M1604-[1]Results!M1614</f>
        <v>63831.881050999997</v>
      </c>
      <c r="K278" s="6">
        <f>[1]Results!N1604-[1]Results!N1614</f>
        <v>63977.811386999994</v>
      </c>
      <c r="L278" s="6">
        <f>[1]Results!O1604-[1]Results!O1614</f>
        <v>64275.316990000007</v>
      </c>
      <c r="M278" s="6">
        <f>[1]Results!P1604-[1]Results!P1614</f>
        <v>64909.070458000002</v>
      </c>
      <c r="N278" s="6">
        <f>[1]Results!Q1604-[1]Results!Q1614</f>
        <v>65708.369271000003</v>
      </c>
      <c r="O278" s="6">
        <f>[1]Results!R1604-[1]Results!R1614</f>
        <v>66662.876133999991</v>
      </c>
      <c r="P278" s="6">
        <f>[1]Results!S1604-[1]Results!S1614</f>
        <v>67711.359006999992</v>
      </c>
      <c r="Q278" s="6">
        <f>[1]Results!T1604-[1]Results!T1614</f>
        <v>68781.677259999997</v>
      </c>
      <c r="R278" s="6">
        <f>[1]Results!U1604-[1]Results!U1614</f>
        <v>69825.732369999998</v>
      </c>
      <c r="S278" s="6">
        <f>[1]Results!V1604-[1]Results!V1614</f>
        <v>70829.989149999994</v>
      </c>
      <c r="T278" s="6">
        <f>[1]Results!W1604-[1]Results!W1614</f>
        <v>71808.27781</v>
      </c>
      <c r="U278" s="6">
        <f>[1]Results!X1604-[1]Results!X1614</f>
        <v>72786.626610000007</v>
      </c>
      <c r="V278" s="6">
        <f>[1]Results!Y1604-[1]Results!Y1614</f>
        <v>73788.894260000001</v>
      </c>
      <c r="W278" s="6">
        <f>[1]Results!Z1604-[1]Results!Z1614</f>
        <v>74751.784310000003</v>
      </c>
      <c r="X278" s="6">
        <f>[1]Results!AA1604-[1]Results!AA1614</f>
        <v>75805.826829999991</v>
      </c>
      <c r="Y278" s="6">
        <f>[1]Results!AB1604-[1]Results!AB1614</f>
        <v>76917.207730000009</v>
      </c>
      <c r="Z278" s="6">
        <f>[1]Results!AC1604-[1]Results!AC1614</f>
        <v>78059.207320000001</v>
      </c>
      <c r="AA278" s="6">
        <f>[1]Results!AD1604-[1]Results!AD1614</f>
        <v>79217.768219999998</v>
      </c>
      <c r="AB278" s="6">
        <f>[1]Results!AE1604-[1]Results!AE1614</f>
        <v>80159.385240000003</v>
      </c>
      <c r="AC278" s="6">
        <f>[1]Results!AF1604-[1]Results!AF1614</f>
        <v>81176.590349999999</v>
      </c>
      <c r="AD278" s="6">
        <f>[1]Results!AG1604-[1]Results!AG1614</f>
        <v>82252.300060000009</v>
      </c>
      <c r="AE278" s="6">
        <f>[1]Results!AH1604-[1]Results!AH1614</f>
        <v>83370.474580000009</v>
      </c>
      <c r="AF278" s="6">
        <f>[1]Results!AI1604-[1]Results!AI1614</f>
        <v>84524.274319999997</v>
      </c>
      <c r="AG278" s="6">
        <f>[1]Results!AJ1604-[1]Results!AJ1614</f>
        <v>85706.198569999993</v>
      </c>
      <c r="AH278" s="6">
        <f>[1]Results!AK1604-[1]Results!AK1614</f>
        <v>86906.948350000006</v>
      </c>
      <c r="AI278" s="6">
        <f>[1]Results!AL1604-[1]Results!AL1614</f>
        <v>88118.45328999999</v>
      </c>
      <c r="AJ278" s="6">
        <f>[1]Results!AM1604-[1]Results!AM1614</f>
        <v>89336.626069999998</v>
      </c>
      <c r="AK278" s="6">
        <f>[1]Results!AN1604-[1]Results!AN1614</f>
        <v>90562.007840000006</v>
      </c>
      <c r="AL278" s="6">
        <f>[1]Results!AO1604-[1]Results!AO1614</f>
        <v>91798.375490000006</v>
      </c>
    </row>
    <row r="279" spans="1:38" x14ac:dyDescent="0.3">
      <c r="B279" t="s">
        <v>24</v>
      </c>
      <c r="C279" s="6">
        <f>[1]Results!F1624</f>
        <v>3917.6266190000001</v>
      </c>
      <c r="D279" s="6">
        <f>[1]Results!G1624</f>
        <v>4048.8456160000001</v>
      </c>
      <c r="E279" s="6">
        <f>[1]Results!H1624</f>
        <v>4186.7608170000003</v>
      </c>
      <c r="F279" s="6">
        <f>[1]Results!I1624</f>
        <v>4312.2516400000004</v>
      </c>
      <c r="G279" s="6">
        <f>[1]Results!J1624</f>
        <v>4425.780917</v>
      </c>
      <c r="H279" s="6">
        <f>[1]Results!K1624</f>
        <v>4532.6250870000003</v>
      </c>
      <c r="I279" s="6">
        <f>[1]Results!L1624</f>
        <v>4662.8506939999997</v>
      </c>
      <c r="J279" s="6">
        <f>[1]Results!M1624</f>
        <v>4782.2612230000004</v>
      </c>
      <c r="K279" s="6">
        <f>[1]Results!N1624</f>
        <v>4885.4077159999997</v>
      </c>
      <c r="L279" s="6">
        <f>[1]Results!O1624</f>
        <v>4970.9963090000001</v>
      </c>
      <c r="M279" s="6">
        <f>[1]Results!P1624</f>
        <v>5042.8507339999996</v>
      </c>
      <c r="N279" s="6">
        <f>[1]Results!Q1624</f>
        <v>5102.3769609999999</v>
      </c>
      <c r="O279" s="6">
        <f>[1]Results!R1624</f>
        <v>5155.8460459999997</v>
      </c>
      <c r="P279" s="6">
        <f>[1]Results!S1624</f>
        <v>5209.0524919999998</v>
      </c>
      <c r="Q279" s="6">
        <f>[1]Results!T1624</f>
        <v>5265.4659110000002</v>
      </c>
      <c r="R279" s="6">
        <f>[1]Results!U1624</f>
        <v>5326.0119160000004</v>
      </c>
      <c r="S279" s="6">
        <f>[1]Results!V1624</f>
        <v>5389.5941320000002</v>
      </c>
      <c r="T279" s="6">
        <f>[1]Results!W1624</f>
        <v>5454.1671580000002</v>
      </c>
      <c r="U279" s="6">
        <f>[1]Results!X1624</f>
        <v>5517.8090910000001</v>
      </c>
      <c r="V279" s="6">
        <f>[1]Results!Y1624</f>
        <v>5579.4010479999997</v>
      </c>
      <c r="W279" s="6">
        <f>[1]Results!Z1624</f>
        <v>5636.5230810000003</v>
      </c>
      <c r="X279" s="6">
        <f>[1]Results!AA1624</f>
        <v>5692.5030100000004</v>
      </c>
      <c r="Y279" s="6">
        <f>[1]Results!AB1624</f>
        <v>5748.1195200000002</v>
      </c>
      <c r="Z279" s="6">
        <f>[1]Results!AC1624</f>
        <v>5803.8912479999999</v>
      </c>
      <c r="AA279" s="6">
        <f>[1]Results!AD1624</f>
        <v>5860.2575809999998</v>
      </c>
      <c r="AB279" s="6">
        <f>[1]Results!AE1624</f>
        <v>5910.3624339999997</v>
      </c>
      <c r="AC279" s="6">
        <f>[1]Results!AF1624</f>
        <v>5960.148596</v>
      </c>
      <c r="AD279" s="6">
        <f>[1]Results!AG1624</f>
        <v>6009.3079980000002</v>
      </c>
      <c r="AE279" s="6">
        <f>[1]Results!AH1624</f>
        <v>6057.2616520000001</v>
      </c>
      <c r="AF279" s="6">
        <f>[1]Results!AI1624</f>
        <v>6104.2330380000003</v>
      </c>
      <c r="AG279" s="6">
        <f>[1]Results!AJ1624</f>
        <v>6150.9438819999996</v>
      </c>
      <c r="AH279" s="6">
        <f>[1]Results!AK1624</f>
        <v>6198.1543140000003</v>
      </c>
      <c r="AI279" s="6">
        <f>[1]Results!AL1624</f>
        <v>6246.3576199999998</v>
      </c>
      <c r="AJ279" s="6">
        <f>[1]Results!AM1624</f>
        <v>6295.6810180000002</v>
      </c>
      <c r="AK279" s="6">
        <f>[1]Results!AN1624</f>
        <v>6345.9630260000004</v>
      </c>
      <c r="AL279" s="6">
        <f>[1]Results!AO1624</f>
        <v>6396.9208150000004</v>
      </c>
    </row>
    <row r="280" spans="1:38" x14ac:dyDescent="0.3">
      <c r="B280" t="s">
        <v>10</v>
      </c>
      <c r="C280" s="6">
        <f>[1]Results!F1621</f>
        <v>367438.23920000001</v>
      </c>
      <c r="D280" s="6">
        <f>[1]Results!G1621</f>
        <v>369848.74119999999</v>
      </c>
      <c r="E280" s="6">
        <f>[1]Results!H1621</f>
        <v>373650.53340000001</v>
      </c>
      <c r="F280" s="6">
        <f>[1]Results!I1621</f>
        <v>379691.24369999999</v>
      </c>
      <c r="G280" s="6">
        <f>[1]Results!J1621</f>
        <v>387186.0049</v>
      </c>
      <c r="H280" s="6">
        <f>[1]Results!K1621</f>
        <v>395020.48590000003</v>
      </c>
      <c r="I280" s="6">
        <f>[1]Results!L1621</f>
        <v>395092.62829999998</v>
      </c>
      <c r="J280" s="6">
        <f>[1]Results!M1621</f>
        <v>395789.2046</v>
      </c>
      <c r="K280" s="6">
        <f>[1]Results!N1621</f>
        <v>397261.32490000001</v>
      </c>
      <c r="L280" s="6">
        <f>[1]Results!O1621</f>
        <v>400773.63219999999</v>
      </c>
      <c r="M280" s="6">
        <f>[1]Results!P1621</f>
        <v>406539.33130000002</v>
      </c>
      <c r="N280" s="6">
        <f>[1]Results!Q1621</f>
        <v>415253.90759999998</v>
      </c>
      <c r="O280" s="6">
        <f>[1]Results!R1621</f>
        <v>425397.19579999999</v>
      </c>
      <c r="P280" s="6">
        <f>[1]Results!S1621</f>
        <v>435800.06760000001</v>
      </c>
      <c r="Q280" s="6">
        <f>[1]Results!T1621</f>
        <v>445656.64559999999</v>
      </c>
      <c r="R280" s="6">
        <f>[1]Results!U1621</f>
        <v>454625.92019999999</v>
      </c>
      <c r="S280" s="6">
        <f>[1]Results!V1621</f>
        <v>462808.34840000002</v>
      </c>
      <c r="T280" s="6">
        <f>[1]Results!W1621</f>
        <v>470573.78820000001</v>
      </c>
      <c r="U280" s="6">
        <f>[1]Results!X1621</f>
        <v>478345.91340000002</v>
      </c>
      <c r="V280" s="6">
        <f>[1]Results!Y1621</f>
        <v>486439.38439999998</v>
      </c>
      <c r="W280" s="6">
        <f>[1]Results!Z1621</f>
        <v>495166.60440000001</v>
      </c>
      <c r="X280" s="6">
        <f>[1]Results!AA1621</f>
        <v>503892.3443</v>
      </c>
      <c r="Y280" s="6">
        <f>[1]Results!AB1621</f>
        <v>512999.28580000001</v>
      </c>
      <c r="Z280" s="6">
        <f>[1]Results!AC1621</f>
        <v>522430.96419999999</v>
      </c>
      <c r="AA280" s="6">
        <f>[1]Results!AD1621</f>
        <v>532049.73300000001</v>
      </c>
      <c r="AB280" s="6">
        <f>[1]Results!AE1621</f>
        <v>542168.05460000003</v>
      </c>
      <c r="AC280" s="6">
        <f>[1]Results!AF1621</f>
        <v>551503.63659999997</v>
      </c>
      <c r="AD280" s="6">
        <f>[1]Results!AG1621</f>
        <v>560867.53159999999</v>
      </c>
      <c r="AE280" s="6">
        <f>[1]Results!AH1621</f>
        <v>570555.60990000004</v>
      </c>
      <c r="AF280" s="6">
        <f>[1]Results!AI1621</f>
        <v>580589.10349999997</v>
      </c>
      <c r="AG280" s="6">
        <f>[1]Results!AJ1621</f>
        <v>590863.40500000003</v>
      </c>
      <c r="AH280" s="6">
        <f>[1]Results!AK1621</f>
        <v>601242.97730000003</v>
      </c>
      <c r="AI280" s="6">
        <f>[1]Results!AL1621</f>
        <v>611628.1054</v>
      </c>
      <c r="AJ280" s="6">
        <f>[1]Results!AM1621</f>
        <v>621986.66110000003</v>
      </c>
      <c r="AK280" s="6">
        <f>[1]Results!AN1621</f>
        <v>632349.73069999996</v>
      </c>
      <c r="AL280" s="6">
        <f>[1]Results!AO1621</f>
        <v>642782.848</v>
      </c>
    </row>
    <row r="281" spans="1:38" x14ac:dyDescent="0.3">
      <c r="B281" t="s">
        <v>23</v>
      </c>
      <c r="C281" s="6">
        <f>[1]Results!F1616</f>
        <v>15675.55985</v>
      </c>
      <c r="D281" s="6">
        <f>[1]Results!G1616</f>
        <v>15744.72472</v>
      </c>
      <c r="E281" s="6">
        <f>[1]Results!H1616</f>
        <v>15828.85226</v>
      </c>
      <c r="F281" s="6">
        <f>[1]Results!I1616</f>
        <v>15966.570530000001</v>
      </c>
      <c r="G281" s="6">
        <f>[1]Results!J1616</f>
        <v>16150.58619</v>
      </c>
      <c r="H281" s="6">
        <f>[1]Results!K1616</f>
        <v>16359.27189</v>
      </c>
      <c r="I281" s="6">
        <f>[1]Results!L1616</f>
        <v>16395.731240000001</v>
      </c>
      <c r="J281" s="6">
        <f>[1]Results!M1616</f>
        <v>16432.574949999998</v>
      </c>
      <c r="K281" s="6">
        <f>[1]Results!N1616</f>
        <v>16481.729449999999</v>
      </c>
      <c r="L281" s="6">
        <f>[1]Results!O1616</f>
        <v>16577.905170000002</v>
      </c>
      <c r="M281" s="6">
        <f>[1]Results!P1616</f>
        <v>16747.720089999999</v>
      </c>
      <c r="N281" s="6">
        <f>[1]Results!Q1616</f>
        <v>16980.08944</v>
      </c>
      <c r="O281" s="6">
        <f>[1]Results!R1616</f>
        <v>17254.974460000001</v>
      </c>
      <c r="P281" s="6">
        <f>[1]Results!S1616</f>
        <v>17548.34592</v>
      </c>
      <c r="Q281" s="6">
        <f>[1]Results!T1616</f>
        <v>17839.959630000001</v>
      </c>
      <c r="R281" s="6">
        <f>[1]Results!U1616</f>
        <v>18118.36506</v>
      </c>
      <c r="S281" s="6">
        <f>[1]Results!V1616</f>
        <v>18382.034449999999</v>
      </c>
      <c r="T281" s="6">
        <f>[1]Results!W1616</f>
        <v>18636.725689999999</v>
      </c>
      <c r="U281" s="6">
        <f>[1]Results!X1616</f>
        <v>18891.04479</v>
      </c>
      <c r="V281" s="6">
        <f>[1]Results!Y1616</f>
        <v>19152.43406</v>
      </c>
      <c r="W281" s="6">
        <f>[1]Results!Z1616</f>
        <v>19417.726989999999</v>
      </c>
      <c r="X281" s="6">
        <f>[1]Results!AA1616</f>
        <v>19695.076110000002</v>
      </c>
      <c r="Y281" s="6">
        <f>[1]Results!AB1616</f>
        <v>19984.989560000002</v>
      </c>
      <c r="Z281" s="6">
        <f>[1]Results!AC1616</f>
        <v>20284.577700000002</v>
      </c>
      <c r="AA281" s="6">
        <f>[1]Results!AD1616</f>
        <v>20590.455569999998</v>
      </c>
      <c r="AB281" s="6">
        <f>[1]Results!AE1616</f>
        <v>20877.918150000001</v>
      </c>
      <c r="AC281" s="6">
        <f>[1]Results!AF1616</f>
        <v>21163.257119999998</v>
      </c>
      <c r="AD281" s="6">
        <f>[1]Results!AG1616</f>
        <v>21453.79911</v>
      </c>
      <c r="AE281" s="6">
        <f>[1]Results!AH1616</f>
        <v>21753.37098</v>
      </c>
      <c r="AF281" s="6">
        <f>[1]Results!AI1616</f>
        <v>22062.39961</v>
      </c>
      <c r="AG281" s="6">
        <f>[1]Results!AJ1616</f>
        <v>22379.004359999999</v>
      </c>
      <c r="AH281" s="6">
        <f>[1]Results!AK1616</f>
        <v>22700.405559999999</v>
      </c>
      <c r="AI281" s="6">
        <f>[1]Results!AL1616</f>
        <v>23024.27291</v>
      </c>
      <c r="AJ281" s="6">
        <f>[1]Results!AM1616</f>
        <v>23349.551169999999</v>
      </c>
      <c r="AK281" s="6">
        <f>[1]Results!AN1616</f>
        <v>23676.567780000001</v>
      </c>
      <c r="AL281" s="6">
        <f>[1]Results!AO1616</f>
        <v>24006.56019</v>
      </c>
    </row>
    <row r="283" spans="1:38" x14ac:dyDescent="0.3">
      <c r="A283" s="12" t="s">
        <v>17</v>
      </c>
      <c r="B283" t="s">
        <v>80</v>
      </c>
      <c r="C283" s="6">
        <f>[1]Results!F1639</f>
        <v>473424.22009999998</v>
      </c>
      <c r="D283" s="6">
        <f>[1]Results!G1639</f>
        <v>476872.60489999998</v>
      </c>
      <c r="E283" s="6">
        <f>[1]Results!H1639</f>
        <v>481961.17839999998</v>
      </c>
      <c r="F283" s="6">
        <f>[1]Results!I1639</f>
        <v>489463.74959999998</v>
      </c>
      <c r="G283" s="6">
        <f>[1]Results!J1639</f>
        <v>498523.35950000002</v>
      </c>
      <c r="H283" s="6">
        <f>[1]Results!K1639</f>
        <v>507961.45039999997</v>
      </c>
      <c r="I283" s="6">
        <f>[1]Results!L1639</f>
        <v>516852.49650000001</v>
      </c>
      <c r="J283" s="6">
        <f>[1]Results!M1639</f>
        <v>524541.48750000005</v>
      </c>
      <c r="K283" s="6">
        <f>[1]Results!N1639</f>
        <v>531227.56339999998</v>
      </c>
      <c r="L283" s="6">
        <f>[1]Results!O1639</f>
        <v>537507.90980000002</v>
      </c>
      <c r="M283" s="6">
        <f>[1]Results!P1639</f>
        <v>543990.33089999994</v>
      </c>
      <c r="N283" s="6">
        <f>[1]Results!Q1639</f>
        <v>551495.69369999995</v>
      </c>
      <c r="O283" s="6">
        <f>[1]Results!R1639</f>
        <v>559624.96140000003</v>
      </c>
      <c r="P283" s="6">
        <f>[1]Results!S1639</f>
        <v>568213.21019999997</v>
      </c>
      <c r="Q283" s="6">
        <f>[1]Results!T1639</f>
        <v>577147.51080000005</v>
      </c>
      <c r="R283" s="6">
        <f>[1]Results!U1639</f>
        <v>586351.41500000004</v>
      </c>
      <c r="S283" s="6">
        <f>[1]Results!V1639</f>
        <v>595795.16529999999</v>
      </c>
      <c r="T283" s="6">
        <f>[1]Results!W1639</f>
        <v>605489.61270000006</v>
      </c>
      <c r="U283" s="6">
        <f>[1]Results!X1639</f>
        <v>615468.49899999995</v>
      </c>
      <c r="V283" s="6">
        <f>[1]Results!Y1639</f>
        <v>625763.3591</v>
      </c>
      <c r="W283" s="6">
        <f>[1]Results!Z1639</f>
        <v>636337.64679999999</v>
      </c>
      <c r="X283" s="6">
        <f>[1]Results!AA1639</f>
        <v>646979.60340000002</v>
      </c>
      <c r="Y283" s="6">
        <f>[1]Results!AB1639</f>
        <v>658005.74860000005</v>
      </c>
      <c r="Z283" s="6">
        <f>[1]Results!AC1639</f>
        <v>669392.5453</v>
      </c>
      <c r="AA283" s="6">
        <f>[1]Results!AD1639</f>
        <v>681030.41209999996</v>
      </c>
      <c r="AB283" s="6">
        <f>[1]Results!AE1639</f>
        <v>692571.10730000003</v>
      </c>
      <c r="AC283" s="6">
        <f>[1]Results!AF1639</f>
        <v>703636.59069999994</v>
      </c>
      <c r="AD283" s="6">
        <f>[1]Results!AG1639</f>
        <v>714800.97580000001</v>
      </c>
      <c r="AE283" s="6">
        <f>[1]Results!AH1639</f>
        <v>726268.58089999994</v>
      </c>
      <c r="AF283" s="6">
        <f>[1]Results!AI1639</f>
        <v>738047.82900000003</v>
      </c>
      <c r="AG283" s="6">
        <f>[1]Results!AJ1639</f>
        <v>750050.70689999999</v>
      </c>
      <c r="AH283" s="6">
        <f>[1]Results!AK1639</f>
        <v>762165.75919999997</v>
      </c>
      <c r="AI283" s="6">
        <f>[1]Results!AL1639</f>
        <v>774313.66729999997</v>
      </c>
      <c r="AJ283" s="6">
        <f>[1]Results!AM1639</f>
        <v>786473.45750000002</v>
      </c>
      <c r="AK283" s="6">
        <f>[1]Results!AN1639</f>
        <v>798677.22759999998</v>
      </c>
      <c r="AL283" s="6">
        <f>[1]Results!AO1639</f>
        <v>810984.04870000004</v>
      </c>
    </row>
    <row r="284" spans="1:38" x14ac:dyDescent="0.3">
      <c r="A284" t="s">
        <v>26</v>
      </c>
      <c r="B284" t="s">
        <v>7</v>
      </c>
      <c r="C284" s="6">
        <f>[1]Results!F1640</f>
        <v>12191.49021</v>
      </c>
      <c r="D284" s="6">
        <f>[1]Results!G1640</f>
        <v>12179.002500000001</v>
      </c>
      <c r="E284" s="6">
        <f>[1]Results!H1640</f>
        <v>12158.54341</v>
      </c>
      <c r="F284" s="6">
        <f>[1]Results!I1640</f>
        <v>12170.36226</v>
      </c>
      <c r="G284" s="6">
        <f>[1]Results!J1640</f>
        <v>12219.67058</v>
      </c>
      <c r="H284" s="6">
        <f>[1]Results!K1640</f>
        <v>12294.70513</v>
      </c>
      <c r="I284" s="6">
        <f>[1]Results!L1640</f>
        <v>12372.182930000001</v>
      </c>
      <c r="J284" s="6">
        <f>[1]Results!M1640</f>
        <v>12440.57358</v>
      </c>
      <c r="K284" s="6">
        <f>[1]Results!N1640</f>
        <v>12494.83237</v>
      </c>
      <c r="L284" s="6">
        <f>[1]Results!O1640</f>
        <v>12535.366110000001</v>
      </c>
      <c r="M284" s="6">
        <f>[1]Results!P1640</f>
        <v>12576.941140000001</v>
      </c>
      <c r="N284" s="6">
        <f>[1]Results!Q1640</f>
        <v>12605.08214</v>
      </c>
      <c r="O284" s="6">
        <f>[1]Results!R1640</f>
        <v>12621.21766</v>
      </c>
      <c r="P284" s="6">
        <f>[1]Results!S1640</f>
        <v>12625.529630000001</v>
      </c>
      <c r="Q284" s="6">
        <f>[1]Results!T1640</f>
        <v>12619.20966</v>
      </c>
      <c r="R284" s="6">
        <f>[1]Results!U1640</f>
        <v>12604.769480000001</v>
      </c>
      <c r="S284" s="6">
        <f>[1]Results!V1640</f>
        <v>12585.74236</v>
      </c>
      <c r="T284" s="6">
        <f>[1]Results!W1640</f>
        <v>12565.999669999999</v>
      </c>
      <c r="U284" s="6">
        <f>[1]Results!X1640</f>
        <v>12548.982389999999</v>
      </c>
      <c r="V284" s="6">
        <f>[1]Results!Y1640</f>
        <v>12537.11923</v>
      </c>
      <c r="W284" s="6">
        <f>[1]Results!Z1640</f>
        <v>12523.708140000001</v>
      </c>
      <c r="X284" s="6">
        <f>[1]Results!AA1640</f>
        <v>12519.69764</v>
      </c>
      <c r="Y284" s="6">
        <f>[1]Results!AB1640</f>
        <v>12523.571760000001</v>
      </c>
      <c r="Z284" s="6">
        <f>[1]Results!AC1640</f>
        <v>12533.52111</v>
      </c>
      <c r="AA284" s="6">
        <f>[1]Results!AD1640</f>
        <v>12547.286469999999</v>
      </c>
      <c r="AB284" s="6">
        <f>[1]Results!AE1640</f>
        <v>12541.31986</v>
      </c>
      <c r="AC284" s="6">
        <f>[1]Results!AF1640</f>
        <v>12534.488160000001</v>
      </c>
      <c r="AD284" s="6">
        <f>[1]Results!AG1640</f>
        <v>12527.98488</v>
      </c>
      <c r="AE284" s="6">
        <f>[1]Results!AH1640</f>
        <v>12523.0993</v>
      </c>
      <c r="AF284" s="6">
        <f>[1]Results!AI1640</f>
        <v>12519.953009999999</v>
      </c>
      <c r="AG284" s="6">
        <f>[1]Results!AJ1640</f>
        <v>12517.79364</v>
      </c>
      <c r="AH284" s="6">
        <f>[1]Results!AK1640</f>
        <v>12515.61945</v>
      </c>
      <c r="AI284" s="6">
        <f>[1]Results!AL1640</f>
        <v>12512.732959999999</v>
      </c>
      <c r="AJ284" s="6">
        <f>[1]Results!AM1640</f>
        <v>12508.99741</v>
      </c>
      <c r="AK284" s="6">
        <f>[1]Results!AN1640</f>
        <v>12504.775310000001</v>
      </c>
      <c r="AL284" s="6">
        <f>[1]Results!AO1640</f>
        <v>12500.674230000001</v>
      </c>
    </row>
    <row r="285" spans="1:38" x14ac:dyDescent="0.3">
      <c r="B285" t="s">
        <v>96</v>
      </c>
      <c r="C285" s="6">
        <f>[1]Results!F1653</f>
        <v>7527.0786390000003</v>
      </c>
      <c r="D285" s="6">
        <f>[1]Results!G1653</f>
        <v>7887.0270119999996</v>
      </c>
      <c r="E285" s="6">
        <f>[1]Results!H1653</f>
        <v>8362.4990290000005</v>
      </c>
      <c r="F285" s="6">
        <f>[1]Results!I1653</f>
        <v>8769.4210710000007</v>
      </c>
      <c r="G285" s="6">
        <f>[1]Results!J1653</f>
        <v>9079.7884080000003</v>
      </c>
      <c r="H285" s="6">
        <f>[1]Results!K1653</f>
        <v>9318.2238010000001</v>
      </c>
      <c r="I285" s="6">
        <f>[1]Results!L1653</f>
        <v>9393.4958559999995</v>
      </c>
      <c r="J285" s="6">
        <f>[1]Results!M1653</f>
        <v>9459.6800629999998</v>
      </c>
      <c r="K285" s="6">
        <f>[1]Results!N1653</f>
        <v>9537.7248589999999</v>
      </c>
      <c r="L285" s="6">
        <f>[1]Results!O1653</f>
        <v>9626.8283179999999</v>
      </c>
      <c r="M285" s="6">
        <f>[1]Results!P1653</f>
        <v>9896.1730669999997</v>
      </c>
      <c r="N285" s="6">
        <f>[1]Results!Q1653</f>
        <v>9979.2135799999996</v>
      </c>
      <c r="O285" s="6">
        <f>[1]Results!R1653</f>
        <v>10060.90227</v>
      </c>
      <c r="P285" s="6">
        <f>[1]Results!S1653</f>
        <v>10174.402760000001</v>
      </c>
      <c r="Q285" s="6">
        <f>[1]Results!T1653</f>
        <v>10314.250739999999</v>
      </c>
      <c r="R285" s="6">
        <f>[1]Results!U1653</f>
        <v>10469.57063</v>
      </c>
      <c r="S285" s="6">
        <f>[1]Results!V1653</f>
        <v>10632.76064</v>
      </c>
      <c r="T285" s="6">
        <f>[1]Results!W1653</f>
        <v>10801.179959999999</v>
      </c>
      <c r="U285" s="6">
        <f>[1]Results!X1653</f>
        <v>10974.841259999999</v>
      </c>
      <c r="V285" s="6">
        <f>[1]Results!Y1653</f>
        <v>11154.39567</v>
      </c>
      <c r="W285" s="6">
        <f>[1]Results!Z1653</f>
        <v>11219.84859</v>
      </c>
      <c r="X285" s="6">
        <f>[1]Results!AA1653</f>
        <v>11430.895479999999</v>
      </c>
      <c r="Y285" s="6">
        <f>[1]Results!AB1653</f>
        <v>11664.61767</v>
      </c>
      <c r="Z285" s="6">
        <f>[1]Results!AC1653</f>
        <v>11891.622230000001</v>
      </c>
      <c r="AA285" s="6">
        <f>[1]Results!AD1653</f>
        <v>12110.548650000001</v>
      </c>
      <c r="AB285" s="6">
        <f>[1]Results!AE1653</f>
        <v>11970.13142</v>
      </c>
      <c r="AC285" s="6">
        <f>[1]Results!AF1653</f>
        <v>12096.03743</v>
      </c>
      <c r="AD285" s="6">
        <f>[1]Results!AG1653</f>
        <v>12293.902</v>
      </c>
      <c r="AE285" s="6">
        <f>[1]Results!AH1653</f>
        <v>12504.434800000001</v>
      </c>
      <c r="AF285" s="6">
        <f>[1]Results!AI1653</f>
        <v>12715.36382</v>
      </c>
      <c r="AG285" s="6">
        <f>[1]Results!AJ1653</f>
        <v>12925.165429999999</v>
      </c>
      <c r="AH285" s="6">
        <f>[1]Results!AK1653</f>
        <v>13133.70744</v>
      </c>
      <c r="AI285" s="6">
        <f>[1]Results!AL1653</f>
        <v>13340.88731</v>
      </c>
      <c r="AJ285" s="6">
        <f>[1]Results!AM1653</f>
        <v>13546.98646</v>
      </c>
      <c r="AK285" s="6">
        <f>[1]Results!AN1653</f>
        <v>13752.89193</v>
      </c>
      <c r="AL285" s="6">
        <f>[1]Results!AO1653</f>
        <v>13959.88279</v>
      </c>
    </row>
    <row r="286" spans="1:38" x14ac:dyDescent="0.3">
      <c r="B286" t="s">
        <v>11</v>
      </c>
      <c r="C286" s="6">
        <f>[1]Results!F1668</f>
        <v>6752.3176679999997</v>
      </c>
      <c r="D286" s="6">
        <f>[1]Results!G1668</f>
        <v>6814.5529999999999</v>
      </c>
      <c r="E286" s="6">
        <f>[1]Results!H1668</f>
        <v>6856.8102799999997</v>
      </c>
      <c r="F286" s="6">
        <f>[1]Results!I1668</f>
        <v>6888.5195530000001</v>
      </c>
      <c r="G286" s="6">
        <f>[1]Results!J1668</f>
        <v>6920.4222849999996</v>
      </c>
      <c r="H286" s="6">
        <f>[1]Results!K1668</f>
        <v>6961.1431519999996</v>
      </c>
      <c r="I286" s="6">
        <f>[1]Results!L1668</f>
        <v>7012.8577770000002</v>
      </c>
      <c r="J286" s="6">
        <f>[1]Results!M1668</f>
        <v>7075.243974</v>
      </c>
      <c r="K286" s="6">
        <f>[1]Results!N1668</f>
        <v>7144.375462</v>
      </c>
      <c r="L286" s="6">
        <f>[1]Results!O1668</f>
        <v>7214.8915850000003</v>
      </c>
      <c r="M286" s="6">
        <f>[1]Results!P1668</f>
        <v>7284.8905830000003</v>
      </c>
      <c r="N286" s="6">
        <f>[1]Results!Q1668</f>
        <v>7350.6643130000002</v>
      </c>
      <c r="O286" s="6">
        <f>[1]Results!R1668</f>
        <v>7412.1786229999998</v>
      </c>
      <c r="P286" s="6">
        <f>[1]Results!S1668</f>
        <v>7470.8618280000001</v>
      </c>
      <c r="Q286" s="6">
        <f>[1]Results!T1668</f>
        <v>7527.9736670000002</v>
      </c>
      <c r="R286" s="6">
        <f>[1]Results!U1668</f>
        <v>7584.3473409999997</v>
      </c>
      <c r="S286" s="6">
        <f>[1]Results!V1668</f>
        <v>7640.404724</v>
      </c>
      <c r="T286" s="6">
        <f>[1]Results!W1668</f>
        <v>7696.2227220000004</v>
      </c>
      <c r="U286" s="6">
        <f>[1]Results!X1668</f>
        <v>7751.7591519999996</v>
      </c>
      <c r="V286" s="6">
        <f>[1]Results!Y1668</f>
        <v>7807.0890529999997</v>
      </c>
      <c r="W286" s="6">
        <f>[1]Results!Z1668</f>
        <v>7860.3700790000003</v>
      </c>
      <c r="X286" s="6">
        <f>[1]Results!AA1668</f>
        <v>7914.0057299999999</v>
      </c>
      <c r="Y286" s="6">
        <f>[1]Results!AB1668</f>
        <v>7969.0693090000004</v>
      </c>
      <c r="Z286" s="6">
        <f>[1]Results!AC1668</f>
        <v>8026.1881709999998</v>
      </c>
      <c r="AA286" s="6">
        <f>[1]Results!AD1668</f>
        <v>8085.9150360000003</v>
      </c>
      <c r="AB286" s="6">
        <f>[1]Results!AE1668</f>
        <v>8141.5627969999996</v>
      </c>
      <c r="AC286" s="6">
        <f>[1]Results!AF1668</f>
        <v>8197.4224819999999</v>
      </c>
      <c r="AD286" s="6">
        <f>[1]Results!AG1668</f>
        <v>8253.7020499999999</v>
      </c>
      <c r="AE286" s="6">
        <f>[1]Results!AH1668</f>
        <v>8310.2870939999993</v>
      </c>
      <c r="AF286" s="6">
        <f>[1]Results!AI1668</f>
        <v>8367.7988609999993</v>
      </c>
      <c r="AG286" s="6">
        <f>[1]Results!AJ1668</f>
        <v>8427.2499299999999</v>
      </c>
      <c r="AH286" s="6">
        <f>[1]Results!AK1668</f>
        <v>8489.5003250000009</v>
      </c>
      <c r="AI286" s="6">
        <f>[1]Results!AL1668</f>
        <v>8554.9348410000002</v>
      </c>
      <c r="AJ286" s="6">
        <f>[1]Results!AM1668</f>
        <v>8623.4312649999993</v>
      </c>
      <c r="AK286" s="6">
        <f>[1]Results!AN1668</f>
        <v>8694.5325489999996</v>
      </c>
      <c r="AL286" s="6">
        <f>[1]Results!AO1668</f>
        <v>8767.7351780000008</v>
      </c>
    </row>
    <row r="287" spans="1:38" x14ac:dyDescent="0.3">
      <c r="B287" t="s">
        <v>8</v>
      </c>
      <c r="C287" s="6">
        <f>[1]Results!F1643-[1]Results!F1653</f>
        <v>59921.907890999995</v>
      </c>
      <c r="D287" s="6">
        <f>[1]Results!G1643-[1]Results!G1653</f>
        <v>60349.710818</v>
      </c>
      <c r="E287" s="6">
        <f>[1]Results!H1643-[1]Results!H1653</f>
        <v>60917.179181</v>
      </c>
      <c r="F287" s="6">
        <f>[1]Results!I1643-[1]Results!I1653</f>
        <v>61665.380818999998</v>
      </c>
      <c r="G287" s="6">
        <f>[1]Results!J1643-[1]Results!J1653</f>
        <v>62541.106171999993</v>
      </c>
      <c r="H287" s="6">
        <f>[1]Results!K1643-[1]Results!K1653</f>
        <v>63474.995418999999</v>
      </c>
      <c r="I287" s="6">
        <f>[1]Results!L1643-[1]Results!L1653</f>
        <v>64337.299464000003</v>
      </c>
      <c r="J287" s="6">
        <f>[1]Results!M1643-[1]Results!M1653</f>
        <v>65136.380427000004</v>
      </c>
      <c r="K287" s="6">
        <f>[1]Results!N1643-[1]Results!N1653</f>
        <v>65884.910751000003</v>
      </c>
      <c r="L287" s="6">
        <f>[1]Results!O1643-[1]Results!O1653</f>
        <v>66610.273962000007</v>
      </c>
      <c r="M287" s="6">
        <f>[1]Results!P1643-[1]Results!P1653</f>
        <v>67454.288753000001</v>
      </c>
      <c r="N287" s="6">
        <f>[1]Results!Q1643-[1]Results!Q1653</f>
        <v>68263.924440000003</v>
      </c>
      <c r="O287" s="6">
        <f>[1]Results!R1643-[1]Results!R1653</f>
        <v>69092.091659999991</v>
      </c>
      <c r="P287" s="6">
        <f>[1]Results!S1643-[1]Results!S1653</f>
        <v>69956.705329999997</v>
      </c>
      <c r="Q287" s="6">
        <f>[1]Results!T1643-[1]Results!T1653</f>
        <v>70854.06379</v>
      </c>
      <c r="R287" s="6">
        <f>[1]Results!U1643-[1]Results!U1653</f>
        <v>71776.273440000004</v>
      </c>
      <c r="S287" s="6">
        <f>[1]Results!V1643-[1]Results!V1653</f>
        <v>72718.647220000013</v>
      </c>
      <c r="T287" s="6">
        <f>[1]Results!W1643-[1]Results!W1653</f>
        <v>73681.29972000001</v>
      </c>
      <c r="U287" s="6">
        <f>[1]Results!X1643-[1]Results!X1653</f>
        <v>74667.417480000004</v>
      </c>
      <c r="V287" s="6">
        <f>[1]Results!Y1643-[1]Results!Y1653</f>
        <v>75680.682840000009</v>
      </c>
      <c r="W287" s="6">
        <f>[1]Results!Z1643-[1]Results!Z1653</f>
        <v>76645.120139999999</v>
      </c>
      <c r="X287" s="6">
        <f>[1]Results!AA1643-[1]Results!AA1653</f>
        <v>77692.339459999988</v>
      </c>
      <c r="Y287" s="6">
        <f>[1]Results!AB1643-[1]Results!AB1653</f>
        <v>78793.087079999998</v>
      </c>
      <c r="Z287" s="6">
        <f>[1]Results!AC1643-[1]Results!AC1653</f>
        <v>79926.648489999992</v>
      </c>
      <c r="AA287" s="6">
        <f>[1]Results!AD1643-[1]Results!AD1653</f>
        <v>81082.642059999998</v>
      </c>
      <c r="AB287" s="6">
        <f>[1]Results!AE1643-[1]Results!AE1653</f>
        <v>82023.752919999999</v>
      </c>
      <c r="AC287" s="6">
        <f>[1]Results!AF1643-[1]Results!AF1653</f>
        <v>83042.599650000004</v>
      </c>
      <c r="AD287" s="6">
        <f>[1]Results!AG1643-[1]Results!AG1653</f>
        <v>84118.400179999997</v>
      </c>
      <c r="AE287" s="6">
        <f>[1]Results!AH1643-[1]Results!AH1653</f>
        <v>85232.414179999992</v>
      </c>
      <c r="AF287" s="6">
        <f>[1]Results!AI1643-[1]Results!AI1653</f>
        <v>86377.0622</v>
      </c>
      <c r="AG287" s="6">
        <f>[1]Results!AJ1643-[1]Results!AJ1653</f>
        <v>87545.899270000009</v>
      </c>
      <c r="AH287" s="6">
        <f>[1]Results!AK1643-[1]Results!AK1653</f>
        <v>88731.721359999996</v>
      </c>
      <c r="AI287" s="6">
        <f>[1]Results!AL1643-[1]Results!AL1653</f>
        <v>89928.617689999999</v>
      </c>
      <c r="AJ287" s="6">
        <f>[1]Results!AM1643-[1]Results!AM1653</f>
        <v>91133.936839999995</v>
      </c>
      <c r="AK287" s="6">
        <f>[1]Results!AN1643-[1]Results!AN1653</f>
        <v>92348.587670000008</v>
      </c>
      <c r="AL287" s="6">
        <f>[1]Results!AO1643-[1]Results!AO1653</f>
        <v>93575.779609999998</v>
      </c>
    </row>
    <row r="288" spans="1:38" x14ac:dyDescent="0.3">
      <c r="B288" t="s">
        <v>24</v>
      </c>
      <c r="C288" s="6">
        <f>[1]Results!F1663</f>
        <v>3917.6266190000001</v>
      </c>
      <c r="D288" s="6">
        <f>[1]Results!G1663</f>
        <v>4048.8456160000001</v>
      </c>
      <c r="E288" s="6">
        <f>[1]Results!H1663</f>
        <v>4186.7608170000003</v>
      </c>
      <c r="F288" s="6">
        <f>[1]Results!I1663</f>
        <v>4312.2516400000004</v>
      </c>
      <c r="G288" s="6">
        <f>[1]Results!J1663</f>
        <v>4425.780917</v>
      </c>
      <c r="H288" s="6">
        <f>[1]Results!K1663</f>
        <v>4532.6250870000003</v>
      </c>
      <c r="I288" s="6">
        <f>[1]Results!L1663</f>
        <v>4635.3238419999998</v>
      </c>
      <c r="J288" s="6">
        <f>[1]Results!M1663</f>
        <v>4736.88213</v>
      </c>
      <c r="K288" s="6">
        <f>[1]Results!N1663</f>
        <v>4837.4387109999998</v>
      </c>
      <c r="L288" s="6">
        <f>[1]Results!O1663</f>
        <v>4935.2438410000004</v>
      </c>
      <c r="M288" s="6">
        <f>[1]Results!P1663</f>
        <v>5030.9505749999998</v>
      </c>
      <c r="N288" s="6">
        <f>[1]Results!Q1663</f>
        <v>5120.2799320000004</v>
      </c>
      <c r="O288" s="6">
        <f>[1]Results!R1663</f>
        <v>5203.591754</v>
      </c>
      <c r="P288" s="6">
        <f>[1]Results!S1663</f>
        <v>5281.982293</v>
      </c>
      <c r="Q288" s="6">
        <f>[1]Results!T1663</f>
        <v>5356.3738940000003</v>
      </c>
      <c r="R288" s="6">
        <f>[1]Results!U1663</f>
        <v>5427.5339309999999</v>
      </c>
      <c r="S288" s="6">
        <f>[1]Results!V1663</f>
        <v>5496.0598710000004</v>
      </c>
      <c r="T288" s="6">
        <f>[1]Results!W1663</f>
        <v>5562.2914270000001</v>
      </c>
      <c r="U288" s="6">
        <f>[1]Results!X1663</f>
        <v>5626.3922819999998</v>
      </c>
      <c r="V288" s="6">
        <f>[1]Results!Y1663</f>
        <v>5688.508699</v>
      </c>
      <c r="W288" s="6">
        <f>[1]Results!Z1663</f>
        <v>5746.6308790000003</v>
      </c>
      <c r="X288" s="6">
        <f>[1]Results!AA1663</f>
        <v>5803.8331399999997</v>
      </c>
      <c r="Y288" s="6">
        <f>[1]Results!AB1663</f>
        <v>5860.4840569999997</v>
      </c>
      <c r="Z288" s="6">
        <f>[1]Results!AC1663</f>
        <v>5916.7875469999999</v>
      </c>
      <c r="AA288" s="6">
        <f>[1]Results!AD1663</f>
        <v>5973.1275349999996</v>
      </c>
      <c r="AB288" s="6">
        <f>[1]Results!AE1663</f>
        <v>6022.8180650000004</v>
      </c>
      <c r="AC288" s="6">
        <f>[1]Results!AF1663</f>
        <v>6072.0778879999998</v>
      </c>
      <c r="AD288" s="6">
        <f>[1]Results!AG1663</f>
        <v>6120.8537509999996</v>
      </c>
      <c r="AE288" s="6">
        <f>[1]Results!AH1663</f>
        <v>6168.6693109999997</v>
      </c>
      <c r="AF288" s="6">
        <f>[1]Results!AI1663</f>
        <v>6215.7236869999997</v>
      </c>
      <c r="AG288" s="6">
        <f>[1]Results!AJ1663</f>
        <v>6262.6297549999999</v>
      </c>
      <c r="AH288" s="6">
        <f>[1]Results!AK1663</f>
        <v>6310.0144399999999</v>
      </c>
      <c r="AI288" s="6">
        <f>[1]Results!AL1663</f>
        <v>6358.2687020000003</v>
      </c>
      <c r="AJ288" s="6">
        <f>[1]Results!AM1663</f>
        <v>6407.4798069999997</v>
      </c>
      <c r="AK288" s="6">
        <f>[1]Results!AN1663</f>
        <v>6457.505193</v>
      </c>
      <c r="AL288" s="6">
        <f>[1]Results!AO1663</f>
        <v>6508.1177710000002</v>
      </c>
    </row>
    <row r="289" spans="1:38" x14ac:dyDescent="0.3">
      <c r="B289" t="s">
        <v>10</v>
      </c>
      <c r="C289" s="6">
        <f>[1]Results!F1660</f>
        <v>367438.23920000001</v>
      </c>
      <c r="D289" s="6">
        <f>[1]Results!G1660</f>
        <v>369848.74119999999</v>
      </c>
      <c r="E289" s="6">
        <f>[1]Results!H1660</f>
        <v>373650.53340000001</v>
      </c>
      <c r="F289" s="6">
        <f>[1]Results!I1660</f>
        <v>379691.24369999999</v>
      </c>
      <c r="G289" s="6">
        <f>[1]Results!J1660</f>
        <v>387186.0049</v>
      </c>
      <c r="H289" s="6">
        <f>[1]Results!K1660</f>
        <v>395020.48590000003</v>
      </c>
      <c r="I289" s="6">
        <f>[1]Results!L1660</f>
        <v>402534.7366</v>
      </c>
      <c r="J289" s="6">
        <f>[1]Results!M1660</f>
        <v>408933.12319999997</v>
      </c>
      <c r="K289" s="6">
        <f>[1]Results!N1660</f>
        <v>414389.84250000003</v>
      </c>
      <c r="L289" s="6">
        <f>[1]Results!O1660</f>
        <v>419473.38439999998</v>
      </c>
      <c r="M289" s="6">
        <f>[1]Results!P1660</f>
        <v>424446.57169999997</v>
      </c>
      <c r="N289" s="6">
        <f>[1]Results!Q1660</f>
        <v>430673.19880000001</v>
      </c>
      <c r="O289" s="6">
        <f>[1]Results!R1660</f>
        <v>437515.1692</v>
      </c>
      <c r="P289" s="6">
        <f>[1]Results!S1660</f>
        <v>444755.51010000001</v>
      </c>
      <c r="Q289" s="6">
        <f>[1]Results!T1660</f>
        <v>452289.33159999998</v>
      </c>
      <c r="R289" s="6">
        <f>[1]Results!U1660</f>
        <v>460056.8517</v>
      </c>
      <c r="S289" s="6">
        <f>[1]Results!V1660</f>
        <v>468037.20120000001</v>
      </c>
      <c r="T289" s="6">
        <f>[1]Results!W1660</f>
        <v>476239.6581</v>
      </c>
      <c r="U289" s="6">
        <f>[1]Results!X1660</f>
        <v>484690.72220000002</v>
      </c>
      <c r="V289" s="6">
        <f>[1]Results!Y1660</f>
        <v>493414.31410000002</v>
      </c>
      <c r="W289" s="6">
        <f>[1]Results!Z1660</f>
        <v>502587.51699999999</v>
      </c>
      <c r="X289" s="6">
        <f>[1]Results!AA1660</f>
        <v>511583.02799999999</v>
      </c>
      <c r="Y289" s="6">
        <f>[1]Results!AB1660</f>
        <v>520867.68589999998</v>
      </c>
      <c r="Z289" s="6">
        <f>[1]Results!AC1660</f>
        <v>530470.03709999996</v>
      </c>
      <c r="AA289" s="6">
        <f>[1]Results!AD1660</f>
        <v>540295.70050000004</v>
      </c>
      <c r="AB289" s="6">
        <f>[1]Results!AE1660</f>
        <v>550646.8824</v>
      </c>
      <c r="AC289" s="6">
        <f>[1]Results!AF1660</f>
        <v>560182.15399999998</v>
      </c>
      <c r="AD289" s="6">
        <f>[1]Results!AG1660</f>
        <v>569682.84719999996</v>
      </c>
      <c r="AE289" s="6">
        <f>[1]Results!AH1660</f>
        <v>579427.29379999998</v>
      </c>
      <c r="AF289" s="6">
        <f>[1]Results!AI1660</f>
        <v>589442.41839999997</v>
      </c>
      <c r="AG289" s="6">
        <f>[1]Results!AJ1660</f>
        <v>599648.75179999997</v>
      </c>
      <c r="AH289" s="6">
        <f>[1]Results!AK1660</f>
        <v>609943.80209999997</v>
      </c>
      <c r="AI289" s="6">
        <f>[1]Results!AL1660</f>
        <v>620255.8885</v>
      </c>
      <c r="AJ289" s="6">
        <f>[1]Results!AM1660</f>
        <v>630567.25639999995</v>
      </c>
      <c r="AK289" s="6">
        <f>[1]Results!AN1660</f>
        <v>640908.06420000002</v>
      </c>
      <c r="AL289" s="6">
        <f>[1]Results!AO1660</f>
        <v>651331.99179999996</v>
      </c>
    </row>
    <row r="290" spans="1:38" x14ac:dyDescent="0.3">
      <c r="B290" t="s">
        <v>23</v>
      </c>
      <c r="C290" s="6">
        <f>[1]Results!F1655</f>
        <v>15675.55985</v>
      </c>
      <c r="D290" s="6">
        <f>[1]Results!G1655</f>
        <v>15744.72472</v>
      </c>
      <c r="E290" s="6">
        <f>[1]Results!H1655</f>
        <v>15828.85226</v>
      </c>
      <c r="F290" s="6">
        <f>[1]Results!I1655</f>
        <v>15966.570530000001</v>
      </c>
      <c r="G290" s="6">
        <f>[1]Results!J1655</f>
        <v>16150.58619</v>
      </c>
      <c r="H290" s="6">
        <f>[1]Results!K1655</f>
        <v>16359.27189</v>
      </c>
      <c r="I290" s="6">
        <f>[1]Results!L1655</f>
        <v>16566.599999999999</v>
      </c>
      <c r="J290" s="6">
        <f>[1]Results!M1655</f>
        <v>16759.604169999999</v>
      </c>
      <c r="K290" s="6">
        <f>[1]Results!N1655</f>
        <v>16938.438699999999</v>
      </c>
      <c r="L290" s="6">
        <f>[1]Results!O1655</f>
        <v>17111.921600000001</v>
      </c>
      <c r="M290" s="6">
        <f>[1]Results!P1655</f>
        <v>17300.515090000001</v>
      </c>
      <c r="N290" s="6">
        <f>[1]Results!Q1655</f>
        <v>17503.33051</v>
      </c>
      <c r="O290" s="6">
        <f>[1]Results!R1655</f>
        <v>17719.81021</v>
      </c>
      <c r="P290" s="6">
        <f>[1]Results!S1655</f>
        <v>17948.21831</v>
      </c>
      <c r="Q290" s="6">
        <f>[1]Results!T1655</f>
        <v>18186.30745</v>
      </c>
      <c r="R290" s="6">
        <f>[1]Results!U1655</f>
        <v>18432.068520000001</v>
      </c>
      <c r="S290" s="6">
        <f>[1]Results!V1655</f>
        <v>18684.349300000002</v>
      </c>
      <c r="T290" s="6">
        <f>[1]Results!W1655</f>
        <v>18942.961149999999</v>
      </c>
      <c r="U290" s="6">
        <f>[1]Results!X1655</f>
        <v>19208.384279999998</v>
      </c>
      <c r="V290" s="6">
        <f>[1]Results!Y1655</f>
        <v>19481.249500000002</v>
      </c>
      <c r="W290" s="6">
        <f>[1]Results!Z1655</f>
        <v>19754.45203</v>
      </c>
      <c r="X290" s="6">
        <f>[1]Results!AA1655</f>
        <v>20035.803909999999</v>
      </c>
      <c r="Y290" s="6">
        <f>[1]Results!AB1655</f>
        <v>20327.232830000001</v>
      </c>
      <c r="Z290" s="6">
        <f>[1]Results!AC1655</f>
        <v>20627.740659999999</v>
      </c>
      <c r="AA290" s="6">
        <f>[1]Results!AD1655</f>
        <v>20935.19184</v>
      </c>
      <c r="AB290" s="6">
        <f>[1]Results!AE1655</f>
        <v>21224.63985</v>
      </c>
      <c r="AC290" s="6">
        <f>[1]Results!AF1655</f>
        <v>21511.811089999999</v>
      </c>
      <c r="AD290" s="6">
        <f>[1]Results!AG1655</f>
        <v>21803.285670000001</v>
      </c>
      <c r="AE290" s="6">
        <f>[1]Results!AH1655</f>
        <v>22102.382409999998</v>
      </c>
      <c r="AF290" s="6">
        <f>[1]Results!AI1655</f>
        <v>22409.508989999998</v>
      </c>
      <c r="AG290" s="6">
        <f>[1]Results!AJ1655</f>
        <v>22723.217140000001</v>
      </c>
      <c r="AH290" s="6">
        <f>[1]Results!AK1655</f>
        <v>23041.39414</v>
      </c>
      <c r="AI290" s="6">
        <f>[1]Results!AL1655</f>
        <v>23362.33728</v>
      </c>
      <c r="AJ290" s="6">
        <f>[1]Results!AM1655</f>
        <v>23685.369279999999</v>
      </c>
      <c r="AK290" s="6">
        <f>[1]Results!AN1655</f>
        <v>24010.870749999998</v>
      </c>
      <c r="AL290" s="6">
        <f>[1]Results!AO1655</f>
        <v>24339.867330000001</v>
      </c>
    </row>
    <row r="292" spans="1:38" x14ac:dyDescent="0.3">
      <c r="A292" s="12" t="s">
        <v>17</v>
      </c>
      <c r="B292" t="s">
        <v>80</v>
      </c>
      <c r="C292" s="4">
        <f>C274/C283-1</f>
        <v>0</v>
      </c>
      <c r="D292" s="4">
        <f t="shared" ref="D292:AL292" si="61">D274/D283-1</f>
        <v>0</v>
      </c>
      <c r="E292" s="4">
        <f t="shared" si="61"/>
        <v>0</v>
      </c>
      <c r="F292" s="4">
        <f t="shared" si="61"/>
        <v>0</v>
      </c>
      <c r="G292" s="4">
        <f t="shared" si="61"/>
        <v>0</v>
      </c>
      <c r="H292" s="4">
        <f t="shared" si="61"/>
        <v>0</v>
      </c>
      <c r="I292" s="4">
        <f t="shared" si="61"/>
        <v>-1.6421104197955727E-2</v>
      </c>
      <c r="J292" s="4">
        <f t="shared" si="61"/>
        <v>-2.9078385720633815E-2</v>
      </c>
      <c r="K292" s="4">
        <f t="shared" si="61"/>
        <v>-3.8175161450969219E-2</v>
      </c>
      <c r="L292" s="4">
        <f t="shared" si="61"/>
        <v>-4.21266040688133E-2</v>
      </c>
      <c r="M292" s="4">
        <f t="shared" si="61"/>
        <v>-4.0985513590127587E-2</v>
      </c>
      <c r="N292" s="4">
        <f t="shared" si="61"/>
        <v>-3.60945119379813E-2</v>
      </c>
      <c r="O292" s="4">
        <f t="shared" si="61"/>
        <v>-2.9389933856513673E-2</v>
      </c>
      <c r="P292" s="4">
        <f t="shared" si="61"/>
        <v>-2.2874857301231954E-2</v>
      </c>
      <c r="Q292" s="4">
        <f t="shared" si="61"/>
        <v>-1.7975640206122523E-2</v>
      </c>
      <c r="R292" s="4">
        <f t="shared" si="61"/>
        <v>-1.5234507961407351E-2</v>
      </c>
      <c r="S292" s="4">
        <f t="shared" si="61"/>
        <v>-1.4394571825170122E-2</v>
      </c>
      <c r="T292" s="4">
        <f t="shared" si="61"/>
        <v>-1.4753634765368173E-2</v>
      </c>
      <c r="U292" s="4">
        <f t="shared" si="61"/>
        <v>-1.5562130662352458E-2</v>
      </c>
      <c r="V292" s="4">
        <f t="shared" si="61"/>
        <v>-1.6287358714416555E-2</v>
      </c>
      <c r="W292" s="4">
        <f t="shared" si="61"/>
        <v>-1.6690407605788105E-2</v>
      </c>
      <c r="X292" s="4">
        <f t="shared" si="61"/>
        <v>-1.6804220477532383E-2</v>
      </c>
      <c r="Y292" s="4">
        <f t="shared" si="61"/>
        <v>-1.6769035260674747E-2</v>
      </c>
      <c r="Z292" s="4">
        <f t="shared" si="61"/>
        <v>-1.6729230372562909E-2</v>
      </c>
      <c r="AA292" s="4">
        <f t="shared" si="61"/>
        <v>-1.6755221789308994E-2</v>
      </c>
      <c r="AB292" s="4">
        <f t="shared" si="61"/>
        <v>-1.6825040168695016E-2</v>
      </c>
      <c r="AC292" s="4">
        <f t="shared" si="61"/>
        <v>-1.68582078544256E-2</v>
      </c>
      <c r="AD292" s="4">
        <f t="shared" si="61"/>
        <v>-1.6791007296215854E-2</v>
      </c>
      <c r="AE292" s="4">
        <f t="shared" si="61"/>
        <v>-1.6592353182987574E-2</v>
      </c>
      <c r="AF292" s="4">
        <f t="shared" si="61"/>
        <v>-1.6274461529511508E-2</v>
      </c>
      <c r="AG292" s="4">
        <f t="shared" si="61"/>
        <v>-1.5881556394010787E-2</v>
      </c>
      <c r="AH292" s="4">
        <f t="shared" si="61"/>
        <v>-1.5468605953086745E-2</v>
      </c>
      <c r="AI292" s="4">
        <f t="shared" si="61"/>
        <v>-1.5080299745601544E-2</v>
      </c>
      <c r="AJ292" s="4">
        <f t="shared" si="61"/>
        <v>-1.4738630133617647E-2</v>
      </c>
      <c r="AK292" s="4">
        <f t="shared" si="61"/>
        <v>-1.4441850226105113E-2</v>
      </c>
      <c r="AL292" s="4">
        <f t="shared" si="61"/>
        <v>-1.4172346815481851E-2</v>
      </c>
    </row>
    <row r="293" spans="1:38" x14ac:dyDescent="0.3">
      <c r="A293" t="s">
        <v>62</v>
      </c>
      <c r="B293" t="s">
        <v>7</v>
      </c>
      <c r="C293" s="4">
        <f t="shared" ref="C293:AL293" si="62">C275/C284-1</f>
        <v>0</v>
      </c>
      <c r="D293" s="4">
        <f t="shared" si="62"/>
        <v>0</v>
      </c>
      <c r="E293" s="4">
        <f t="shared" si="62"/>
        <v>0</v>
      </c>
      <c r="F293" s="4">
        <f t="shared" si="62"/>
        <v>0</v>
      </c>
      <c r="G293" s="4">
        <f t="shared" si="62"/>
        <v>0</v>
      </c>
      <c r="H293" s="4">
        <f t="shared" si="62"/>
        <v>0</v>
      </c>
      <c r="I293" s="4">
        <f t="shared" si="62"/>
        <v>-1.2551483507688643E-2</v>
      </c>
      <c r="J293" s="4">
        <f t="shared" si="62"/>
        <v>-2.4822499381897511E-2</v>
      </c>
      <c r="K293" s="4">
        <f t="shared" si="62"/>
        <v>-4.0361498663307072E-2</v>
      </c>
      <c r="L293" s="4">
        <f t="shared" si="62"/>
        <v>-5.4769330546501349E-2</v>
      </c>
      <c r="M293" s="4">
        <f t="shared" si="62"/>
        <v>-6.5222415440198356E-2</v>
      </c>
      <c r="N293" s="4">
        <f t="shared" si="62"/>
        <v>-7.0689176008812638E-2</v>
      </c>
      <c r="O293" s="4">
        <f t="shared" si="62"/>
        <v>-7.1523182969970289E-2</v>
      </c>
      <c r="P293" s="4">
        <f t="shared" si="62"/>
        <v>-6.887569594971521E-2</v>
      </c>
      <c r="Q293" s="4">
        <f t="shared" si="62"/>
        <v>-6.4104155632199844E-2</v>
      </c>
      <c r="R293" s="4">
        <f t="shared" si="62"/>
        <v>-5.8375534845560795E-2</v>
      </c>
      <c r="S293" s="4">
        <f t="shared" si="62"/>
        <v>-5.2519121327381124E-2</v>
      </c>
      <c r="T293" s="4">
        <f t="shared" si="62"/>
        <v>-4.7053080178856899E-2</v>
      </c>
      <c r="U293" s="4">
        <f t="shared" si="62"/>
        <v>-4.2279930237434926E-2</v>
      </c>
      <c r="V293" s="4">
        <f t="shared" si="62"/>
        <v>-3.8373881684779954E-2</v>
      </c>
      <c r="W293" s="4">
        <f t="shared" si="62"/>
        <v>-3.5423650490788328E-2</v>
      </c>
      <c r="X293" s="4">
        <f t="shared" si="62"/>
        <v>-3.3450136899632166E-2</v>
      </c>
      <c r="Y293" s="4">
        <f t="shared" si="62"/>
        <v>-3.2377443733352385E-2</v>
      </c>
      <c r="Z293" s="4">
        <f t="shared" si="62"/>
        <v>-3.2031412918727686E-2</v>
      </c>
      <c r="AA293" s="4">
        <f t="shared" si="62"/>
        <v>-3.2157533102055602E-2</v>
      </c>
      <c r="AB293" s="4">
        <f t="shared" si="62"/>
        <v>-3.2465617219334608E-2</v>
      </c>
      <c r="AC293" s="4">
        <f t="shared" si="62"/>
        <v>-3.2681461322629834E-2</v>
      </c>
      <c r="AD293" s="4">
        <f t="shared" si="62"/>
        <v>-3.2609052765715019E-2</v>
      </c>
      <c r="AE293" s="4">
        <f t="shared" si="62"/>
        <v>-3.2140774448702114E-2</v>
      </c>
      <c r="AF293" s="4">
        <f t="shared" si="62"/>
        <v>-3.1254060593315147E-2</v>
      </c>
      <c r="AG293" s="4">
        <f t="shared" si="62"/>
        <v>-2.999455741147683E-2</v>
      </c>
      <c r="AH293" s="4">
        <f t="shared" si="62"/>
        <v>-2.8450641330421744E-2</v>
      </c>
      <c r="AI293" s="4">
        <f t="shared" si="62"/>
        <v>-2.672687342318214E-2</v>
      </c>
      <c r="AJ293" s="4">
        <f t="shared" si="62"/>
        <v>-2.4922915065181073E-2</v>
      </c>
      <c r="AK293" s="4">
        <f t="shared" si="62"/>
        <v>-2.3120911238508346E-2</v>
      </c>
      <c r="AL293" s="4">
        <f t="shared" si="62"/>
        <v>-2.1380898748531108E-2</v>
      </c>
    </row>
    <row r="294" spans="1:38" x14ac:dyDescent="0.3">
      <c r="B294" t="s">
        <v>96</v>
      </c>
      <c r="C294" s="4">
        <f t="shared" ref="C294:AL294" si="63">C276/C285-1</f>
        <v>0</v>
      </c>
      <c r="D294" s="4">
        <f t="shared" si="63"/>
        <v>0</v>
      </c>
      <c r="E294" s="4">
        <f t="shared" si="63"/>
        <v>0</v>
      </c>
      <c r="F294" s="4">
        <f t="shared" si="63"/>
        <v>0</v>
      </c>
      <c r="G294" s="4">
        <f t="shared" si="63"/>
        <v>0</v>
      </c>
      <c r="H294" s="4">
        <f t="shared" si="63"/>
        <v>0</v>
      </c>
      <c r="I294" s="4">
        <f t="shared" si="63"/>
        <v>-1.5378028288342782E-2</v>
      </c>
      <c r="J294" s="4">
        <f t="shared" si="63"/>
        <v>-2.9560548785760754E-2</v>
      </c>
      <c r="K294" s="4">
        <f t="shared" si="63"/>
        <v>-4.0540040912916298E-2</v>
      </c>
      <c r="L294" s="4">
        <f t="shared" si="63"/>
        <v>-4.6187987706046041E-2</v>
      </c>
      <c r="M294" s="4">
        <f t="shared" si="63"/>
        <v>-4.559975577880615E-2</v>
      </c>
      <c r="N294" s="4">
        <f t="shared" si="63"/>
        <v>-4.1192612795045491E-2</v>
      </c>
      <c r="O294" s="4">
        <f t="shared" si="63"/>
        <v>-3.4251600378581215E-2</v>
      </c>
      <c r="P294" s="4">
        <f t="shared" si="63"/>
        <v>-2.6886224523708591E-2</v>
      </c>
      <c r="Q294" s="4">
        <f t="shared" si="63"/>
        <v>-2.0911381295351306E-2</v>
      </c>
      <c r="R294" s="4">
        <f t="shared" si="63"/>
        <v>-1.7085572686947881E-2</v>
      </c>
      <c r="S294" s="4">
        <f t="shared" si="63"/>
        <v>-1.5266627877367545E-2</v>
      </c>
      <c r="T294" s="4">
        <f t="shared" si="63"/>
        <v>-1.4878095781675982E-2</v>
      </c>
      <c r="U294" s="4">
        <f t="shared" si="63"/>
        <v>-1.5217457459607897E-2</v>
      </c>
      <c r="V294" s="4">
        <f t="shared" si="63"/>
        <v>-1.5702111990796852E-2</v>
      </c>
      <c r="W294" s="4">
        <f t="shared" si="63"/>
        <v>-1.6150620799063709E-2</v>
      </c>
      <c r="X294" s="4">
        <f t="shared" si="63"/>
        <v>-1.6177418499149776E-2</v>
      </c>
      <c r="Y294" s="4">
        <f t="shared" si="63"/>
        <v>-1.6021108045455534E-2</v>
      </c>
      <c r="Z294" s="4">
        <f t="shared" si="63"/>
        <v>-1.585337444746604E-2</v>
      </c>
      <c r="AA294" s="4">
        <f t="shared" si="63"/>
        <v>-1.5759916872139401E-2</v>
      </c>
      <c r="AB294" s="4">
        <f t="shared" si="63"/>
        <v>-1.6146017384327083E-2</v>
      </c>
      <c r="AC294" s="4">
        <f t="shared" si="63"/>
        <v>-1.6186714957941439E-2</v>
      </c>
      <c r="AD294" s="4">
        <f t="shared" si="63"/>
        <v>-1.6045223884166293E-2</v>
      </c>
      <c r="AE294" s="4">
        <f t="shared" si="63"/>
        <v>-1.5752913518330414E-2</v>
      </c>
      <c r="AF294" s="4">
        <f t="shared" si="63"/>
        <v>-1.532603807163424E-2</v>
      </c>
      <c r="AG294" s="4">
        <f t="shared" si="63"/>
        <v>-1.4804572601899713E-2</v>
      </c>
      <c r="AH294" s="4">
        <f t="shared" si="63"/>
        <v>-1.424477748226749E-2</v>
      </c>
      <c r="AI294" s="4">
        <f t="shared" si="63"/>
        <v>-1.3698631564259767E-2</v>
      </c>
      <c r="AJ294" s="4">
        <f t="shared" si="63"/>
        <v>-1.3197513006150796E-2</v>
      </c>
      <c r="AK294" s="4">
        <f t="shared" si="63"/>
        <v>-1.2747207706735764E-2</v>
      </c>
      <c r="AL294" s="4">
        <f t="shared" si="63"/>
        <v>-1.2333569170318248E-2</v>
      </c>
    </row>
    <row r="295" spans="1:38" x14ac:dyDescent="0.3">
      <c r="B295" t="s">
        <v>11</v>
      </c>
      <c r="C295" s="4">
        <f t="shared" ref="C295:AL295" si="64">C277/C286-1</f>
        <v>0</v>
      </c>
      <c r="D295" s="4">
        <f t="shared" si="64"/>
        <v>0</v>
      </c>
      <c r="E295" s="4">
        <f t="shared" si="64"/>
        <v>0</v>
      </c>
      <c r="F295" s="4">
        <f t="shared" si="64"/>
        <v>0</v>
      </c>
      <c r="G295" s="4">
        <f t="shared" si="64"/>
        <v>0</v>
      </c>
      <c r="H295" s="4">
        <f t="shared" si="64"/>
        <v>0</v>
      </c>
      <c r="I295" s="4">
        <f t="shared" si="64"/>
        <v>6.5883828631934094E-3</v>
      </c>
      <c r="J295" s="4">
        <f t="shared" si="64"/>
        <v>9.2841769473093194E-3</v>
      </c>
      <c r="K295" s="4">
        <f t="shared" si="64"/>
        <v>7.7864298000411836E-3</v>
      </c>
      <c r="L295" s="4">
        <f t="shared" si="64"/>
        <v>2.8812225041909834E-3</v>
      </c>
      <c r="M295" s="4">
        <f t="shared" si="64"/>
        <v>-4.2290290635104144E-3</v>
      </c>
      <c r="N295" s="4">
        <f t="shared" si="64"/>
        <v>-1.1953308879118163E-2</v>
      </c>
      <c r="O295" s="4">
        <f t="shared" si="64"/>
        <v>-1.8922707092456914E-2</v>
      </c>
      <c r="P295" s="4">
        <f t="shared" si="64"/>
        <v>-2.4235711912299118E-2</v>
      </c>
      <c r="Q295" s="4">
        <f t="shared" si="64"/>
        <v>-2.7582270765666328E-2</v>
      </c>
      <c r="R295" s="4">
        <f t="shared" si="64"/>
        <v>-2.9190182628266892E-2</v>
      </c>
      <c r="S295" s="4">
        <f t="shared" si="64"/>
        <v>-2.9658944412746302E-2</v>
      </c>
      <c r="T295" s="4">
        <f t="shared" si="64"/>
        <v>-2.9618572543176569E-2</v>
      </c>
      <c r="U295" s="4">
        <f t="shared" si="64"/>
        <v>-2.9528735027963604E-2</v>
      </c>
      <c r="V295" s="4">
        <f t="shared" si="64"/>
        <v>-2.9607116100613506E-2</v>
      </c>
      <c r="W295" s="4">
        <f t="shared" si="64"/>
        <v>-2.9872698185970603E-2</v>
      </c>
      <c r="X295" s="4">
        <f t="shared" si="64"/>
        <v>-3.0202858344405059E-2</v>
      </c>
      <c r="Y295" s="4">
        <f t="shared" si="64"/>
        <v>-3.0476961058138574E-2</v>
      </c>
      <c r="Z295" s="4">
        <f t="shared" si="64"/>
        <v>-3.0632233478942617E-2</v>
      </c>
      <c r="AA295" s="4">
        <f t="shared" si="64"/>
        <v>-3.0672715814571649E-2</v>
      </c>
      <c r="AB295" s="4">
        <f t="shared" si="64"/>
        <v>-3.0673749282142837E-2</v>
      </c>
      <c r="AC295" s="4">
        <f t="shared" si="64"/>
        <v>-3.0692751721955291E-2</v>
      </c>
      <c r="AD295" s="4">
        <f t="shared" si="64"/>
        <v>-3.0773602737452888E-2</v>
      </c>
      <c r="AE295" s="4">
        <f t="shared" si="64"/>
        <v>-3.0922975354911286E-2</v>
      </c>
      <c r="AF295" s="4">
        <f t="shared" si="64"/>
        <v>-3.112558873922E-2</v>
      </c>
      <c r="AG295" s="4">
        <f t="shared" si="64"/>
        <v>-3.135177420803037E-2</v>
      </c>
      <c r="AH295" s="4">
        <f t="shared" si="64"/>
        <v>-3.1572081010551201E-2</v>
      </c>
      <c r="AI295" s="4">
        <f t="shared" si="64"/>
        <v>-3.1768926596316693E-2</v>
      </c>
      <c r="AJ295" s="4">
        <f t="shared" si="64"/>
        <v>-3.1944500922510555E-2</v>
      </c>
      <c r="AK295" s="4">
        <f t="shared" si="64"/>
        <v>-3.2110489946019061E-2</v>
      </c>
      <c r="AL295" s="4">
        <f t="shared" si="64"/>
        <v>-3.2282486212655725E-2</v>
      </c>
    </row>
    <row r="296" spans="1:38" x14ac:dyDescent="0.3">
      <c r="B296" t="s">
        <v>8</v>
      </c>
      <c r="C296" s="4">
        <f t="shared" ref="C296:AL296" si="65">C278/C287-1</f>
        <v>0</v>
      </c>
      <c r="D296" s="4">
        <f t="shared" si="65"/>
        <v>0</v>
      </c>
      <c r="E296" s="4">
        <f t="shared" si="65"/>
        <v>0</v>
      </c>
      <c r="F296" s="4">
        <f t="shared" si="65"/>
        <v>0</v>
      </c>
      <c r="G296" s="4">
        <f t="shared" si="65"/>
        <v>0</v>
      </c>
      <c r="H296" s="4">
        <f t="shared" si="65"/>
        <v>0</v>
      </c>
      <c r="I296" s="4">
        <f t="shared" si="65"/>
        <v>-1.0076567409590398E-2</v>
      </c>
      <c r="J296" s="4">
        <f t="shared" si="65"/>
        <v>-2.0027200889094376E-2</v>
      </c>
      <c r="K296" s="4">
        <f t="shared" si="65"/>
        <v>-2.8945920124374802E-2</v>
      </c>
      <c r="L296" s="4">
        <f t="shared" si="65"/>
        <v>-3.5054006433482776E-2</v>
      </c>
      <c r="M296" s="4">
        <f t="shared" si="65"/>
        <v>-3.7732490284197118E-2</v>
      </c>
      <c r="N296" s="4">
        <f t="shared" si="65"/>
        <v>-3.7436393965983972E-2</v>
      </c>
      <c r="O296" s="4">
        <f t="shared" si="65"/>
        <v>-3.5159096614907681E-2</v>
      </c>
      <c r="P296" s="4">
        <f t="shared" si="65"/>
        <v>-3.2096227408198397E-2</v>
      </c>
      <c r="Q296" s="4">
        <f t="shared" si="65"/>
        <v>-2.9248661532558229E-2</v>
      </c>
      <c r="R296" s="4">
        <f t="shared" si="65"/>
        <v>-2.7175290336444169E-2</v>
      </c>
      <c r="S296" s="4">
        <f t="shared" si="65"/>
        <v>-2.5972128775802905E-2</v>
      </c>
      <c r="T296" s="4">
        <f t="shared" si="65"/>
        <v>-2.5420587274081363E-2</v>
      </c>
      <c r="U296" s="4">
        <f t="shared" si="65"/>
        <v>-2.5188910149514299E-2</v>
      </c>
      <c r="V296" s="4">
        <f t="shared" si="65"/>
        <v>-2.4996980854408046E-2</v>
      </c>
      <c r="W296" s="4">
        <f t="shared" si="65"/>
        <v>-2.4702627206293459E-2</v>
      </c>
      <c r="X296" s="4">
        <f t="shared" si="65"/>
        <v>-2.428183580404697E-2</v>
      </c>
      <c r="Y296" s="4">
        <f t="shared" si="65"/>
        <v>-2.38076640923508E-2</v>
      </c>
      <c r="Z296" s="4">
        <f t="shared" si="65"/>
        <v>-2.3364437334484678E-2</v>
      </c>
      <c r="AA296" s="4">
        <f t="shared" si="65"/>
        <v>-2.2999667902040222E-2</v>
      </c>
      <c r="AB296" s="4">
        <f t="shared" si="65"/>
        <v>-2.2729607139755803E-2</v>
      </c>
      <c r="AC296" s="4">
        <f t="shared" si="65"/>
        <v>-2.2470506798494827E-2</v>
      </c>
      <c r="AD296" s="4">
        <f t="shared" si="65"/>
        <v>-2.2184208401572425E-2</v>
      </c>
      <c r="AE296" s="4">
        <f t="shared" si="65"/>
        <v>-2.1845440117040482E-2</v>
      </c>
      <c r="AF296" s="4">
        <f t="shared" si="65"/>
        <v>-2.144999879377707E-2</v>
      </c>
      <c r="AG296" s="4">
        <f t="shared" si="65"/>
        <v>-2.1014127621514334E-2</v>
      </c>
      <c r="AH296" s="4">
        <f t="shared" si="65"/>
        <v>-2.056505815543197E-2</v>
      </c>
      <c r="AI296" s="4">
        <f t="shared" si="65"/>
        <v>-2.012890275084589E-2</v>
      </c>
      <c r="AJ296" s="4">
        <f t="shared" si="65"/>
        <v>-1.972164083238781E-2</v>
      </c>
      <c r="AK296" s="4">
        <f t="shared" si="65"/>
        <v>-1.934604388736505E-2</v>
      </c>
      <c r="AL296" s="4">
        <f t="shared" si="65"/>
        <v>-1.8994275307218977E-2</v>
      </c>
    </row>
    <row r="297" spans="1:38" x14ac:dyDescent="0.3">
      <c r="B297" t="s">
        <v>24</v>
      </c>
      <c r="C297" s="4">
        <f t="shared" ref="C297:AL297" si="66">C279/C288-1</f>
        <v>0</v>
      </c>
      <c r="D297" s="4">
        <f t="shared" si="66"/>
        <v>0</v>
      </c>
      <c r="E297" s="4">
        <f t="shared" si="66"/>
        <v>0</v>
      </c>
      <c r="F297" s="4">
        <f t="shared" si="66"/>
        <v>0</v>
      </c>
      <c r="G297" s="4">
        <f t="shared" si="66"/>
        <v>0</v>
      </c>
      <c r="H297" s="4">
        <f t="shared" si="66"/>
        <v>0</v>
      </c>
      <c r="I297" s="4">
        <f t="shared" si="66"/>
        <v>5.9384959796300318E-3</v>
      </c>
      <c r="J297" s="4">
        <f t="shared" si="66"/>
        <v>9.579949797062115E-3</v>
      </c>
      <c r="K297" s="4">
        <f t="shared" si="66"/>
        <v>9.9161990188985083E-3</v>
      </c>
      <c r="L297" s="4">
        <f t="shared" si="66"/>
        <v>7.2443164212034894E-3</v>
      </c>
      <c r="M297" s="4">
        <f t="shared" si="66"/>
        <v>2.3653897653326261E-3</v>
      </c>
      <c r="N297" s="4">
        <f t="shared" si="66"/>
        <v>-3.4964828559690408E-3</v>
      </c>
      <c r="O297" s="4">
        <f t="shared" si="66"/>
        <v>-9.1755291839138442E-3</v>
      </c>
      <c r="P297" s="4">
        <f t="shared" si="66"/>
        <v>-1.3807278584907601E-2</v>
      </c>
      <c r="Q297" s="4">
        <f t="shared" si="66"/>
        <v>-1.6971926306681429E-2</v>
      </c>
      <c r="R297" s="4">
        <f t="shared" si="66"/>
        <v>-1.8704998677234297E-2</v>
      </c>
      <c r="S297" s="4">
        <f t="shared" si="66"/>
        <v>-1.9371284429008373E-2</v>
      </c>
      <c r="T297" s="4">
        <f t="shared" si="66"/>
        <v>-1.9438799713936694E-2</v>
      </c>
      <c r="U297" s="4">
        <f t="shared" si="66"/>
        <v>-1.9298901597633034E-2</v>
      </c>
      <c r="V297" s="4">
        <f t="shared" si="66"/>
        <v>-1.9180361105746502E-2</v>
      </c>
      <c r="W297" s="4">
        <f t="shared" si="66"/>
        <v>-1.9160408997621281E-2</v>
      </c>
      <c r="X297" s="4">
        <f t="shared" si="66"/>
        <v>-1.918217276660017E-2</v>
      </c>
      <c r="Y297" s="4">
        <f t="shared" si="66"/>
        <v>-1.9173251886213549E-2</v>
      </c>
      <c r="Z297" s="4">
        <f t="shared" si="66"/>
        <v>-1.9080674792395058E-2</v>
      </c>
      <c r="AA297" s="4">
        <f t="shared" si="66"/>
        <v>-1.8896290651527092E-2</v>
      </c>
      <c r="AB297" s="4">
        <f t="shared" si="66"/>
        <v>-1.8671596881451036E-2</v>
      </c>
      <c r="AC297" s="4">
        <f t="shared" si="66"/>
        <v>-1.8433441412403662E-2</v>
      </c>
      <c r="AD297" s="4">
        <f t="shared" si="66"/>
        <v>-1.8223887963631835E-2</v>
      </c>
      <c r="AE297" s="4">
        <f t="shared" si="66"/>
        <v>-1.806024174473686E-2</v>
      </c>
      <c r="AF297" s="4">
        <f t="shared" si="66"/>
        <v>-1.7936873422024657E-2</v>
      </c>
      <c r="AG297" s="4">
        <f t="shared" si="66"/>
        <v>-1.7833702034010801E-2</v>
      </c>
      <c r="AH297" s="4">
        <f t="shared" si="66"/>
        <v>-1.7727396199112233E-2</v>
      </c>
      <c r="AI297" s="4">
        <f t="shared" si="66"/>
        <v>-1.7600873326539146E-2</v>
      </c>
      <c r="AJ297" s="4">
        <f t="shared" si="66"/>
        <v>-1.7448168760182847E-2</v>
      </c>
      <c r="AK297" s="4">
        <f t="shared" si="66"/>
        <v>-1.7273260131623669E-2</v>
      </c>
      <c r="AL297" s="4">
        <f t="shared" si="66"/>
        <v>-1.708588564507707E-2</v>
      </c>
    </row>
    <row r="298" spans="1:38" x14ac:dyDescent="0.3">
      <c r="B298" t="s">
        <v>10</v>
      </c>
      <c r="C298" s="4">
        <f t="shared" ref="C298:AL298" si="67">C280/C289-1</f>
        <v>0</v>
      </c>
      <c r="D298" s="4">
        <f t="shared" si="67"/>
        <v>0</v>
      </c>
      <c r="E298" s="4">
        <f t="shared" si="67"/>
        <v>0</v>
      </c>
      <c r="F298" s="4">
        <f t="shared" si="67"/>
        <v>0</v>
      </c>
      <c r="G298" s="4">
        <f t="shared" si="67"/>
        <v>0</v>
      </c>
      <c r="H298" s="4">
        <f t="shared" si="67"/>
        <v>0</v>
      </c>
      <c r="I298" s="4">
        <f t="shared" si="67"/>
        <v>-1.84881144987874E-2</v>
      </c>
      <c r="J298" s="4">
        <f t="shared" si="67"/>
        <v>-3.2141975922971633E-2</v>
      </c>
      <c r="K298" s="4">
        <f t="shared" si="67"/>
        <v>-4.1334308526155605E-2</v>
      </c>
      <c r="L298" s="4">
        <f t="shared" si="67"/>
        <v>-4.4579114898427807E-2</v>
      </c>
      <c r="M298" s="4">
        <f t="shared" si="67"/>
        <v>-4.218962195471998E-2</v>
      </c>
      <c r="N298" s="4">
        <f t="shared" si="67"/>
        <v>-3.5802764701781675E-2</v>
      </c>
      <c r="O298" s="4">
        <f t="shared" si="67"/>
        <v>-2.7697264582066561E-2</v>
      </c>
      <c r="P298" s="4">
        <f t="shared" si="67"/>
        <v>-2.0135652727464648E-2</v>
      </c>
      <c r="Q298" s="4">
        <f t="shared" si="67"/>
        <v>-1.4664696990611015E-2</v>
      </c>
      <c r="R298" s="4">
        <f t="shared" si="67"/>
        <v>-1.1804913849085552E-2</v>
      </c>
      <c r="S298" s="4">
        <f t="shared" si="67"/>
        <v>-1.1171874343735344E-2</v>
      </c>
      <c r="T298" s="4">
        <f t="shared" si="67"/>
        <v>-1.1897098033801901E-2</v>
      </c>
      <c r="U298" s="4">
        <f t="shared" si="67"/>
        <v>-1.309042758483403E-2</v>
      </c>
      <c r="V298" s="4">
        <f t="shared" si="67"/>
        <v>-1.4136050577945758E-2</v>
      </c>
      <c r="W298" s="4">
        <f t="shared" si="67"/>
        <v>-1.4765413682170658E-2</v>
      </c>
      <c r="X298" s="4">
        <f t="shared" si="67"/>
        <v>-1.5033109542484602E-2</v>
      </c>
      <c r="Y298" s="4">
        <f t="shared" si="67"/>
        <v>-1.51063318247594E-2</v>
      </c>
      <c r="Z298" s="4">
        <f t="shared" si="67"/>
        <v>-1.5154622010223995E-2</v>
      </c>
      <c r="AA298" s="4">
        <f t="shared" si="67"/>
        <v>-1.5261952838730775E-2</v>
      </c>
      <c r="AB298" s="4">
        <f t="shared" si="67"/>
        <v>-1.5397940260816312E-2</v>
      </c>
      <c r="AC298" s="4">
        <f t="shared" si="67"/>
        <v>-1.5492313237811639E-2</v>
      </c>
      <c r="AD298" s="4">
        <f t="shared" si="67"/>
        <v>-1.5474075871034887E-2</v>
      </c>
      <c r="AE298" s="4">
        <f t="shared" si="67"/>
        <v>-1.5311125304121709E-2</v>
      </c>
      <c r="AF298" s="4">
        <f t="shared" si="67"/>
        <v>-1.5019813002314475E-2</v>
      </c>
      <c r="AG298" s="4">
        <f t="shared" si="67"/>
        <v>-1.4650821457775853E-2</v>
      </c>
      <c r="AH298" s="4">
        <f t="shared" si="67"/>
        <v>-1.4264961411270205E-2</v>
      </c>
      <c r="AI298" s="4">
        <f t="shared" si="67"/>
        <v>-1.3910038195469654E-2</v>
      </c>
      <c r="AJ298" s="4">
        <f t="shared" si="67"/>
        <v>-1.3607740035516236E-2</v>
      </c>
      <c r="AK298" s="4">
        <f t="shared" si="67"/>
        <v>-1.3353449547686469E-2</v>
      </c>
      <c r="AL298" s="4">
        <f t="shared" si="67"/>
        <v>-1.3125631640438562E-2</v>
      </c>
    </row>
    <row r="299" spans="1:38" x14ac:dyDescent="0.3">
      <c r="B299" t="s">
        <v>23</v>
      </c>
      <c r="C299" s="4">
        <f t="shared" ref="C299:AL299" si="68">C281/C290-1</f>
        <v>0</v>
      </c>
      <c r="D299" s="4">
        <f t="shared" si="68"/>
        <v>0</v>
      </c>
      <c r="E299" s="4">
        <f t="shared" si="68"/>
        <v>0</v>
      </c>
      <c r="F299" s="4">
        <f t="shared" si="68"/>
        <v>0</v>
      </c>
      <c r="G299" s="4">
        <f t="shared" si="68"/>
        <v>0</v>
      </c>
      <c r="H299" s="4">
        <f t="shared" si="68"/>
        <v>0</v>
      </c>
      <c r="I299" s="4">
        <f t="shared" si="68"/>
        <v>-1.0314051163183624E-2</v>
      </c>
      <c r="J299" s="4">
        <f t="shared" si="68"/>
        <v>-1.9512944141329314E-2</v>
      </c>
      <c r="K299" s="4">
        <f t="shared" si="68"/>
        <v>-2.696288944269698E-2</v>
      </c>
      <c r="L299" s="4">
        <f t="shared" si="68"/>
        <v>-3.1207274231550897E-2</v>
      </c>
      <c r="M299" s="4">
        <f t="shared" si="68"/>
        <v>-3.1952516854225177E-2</v>
      </c>
      <c r="N299" s="4">
        <f t="shared" si="68"/>
        <v>-2.9893800479917965E-2</v>
      </c>
      <c r="O299" s="4">
        <f t="shared" si="68"/>
        <v>-2.6232546764957565E-2</v>
      </c>
      <c r="P299" s="4">
        <f t="shared" si="68"/>
        <v>-2.2279224772812634E-2</v>
      </c>
      <c r="Q299" s="4">
        <f t="shared" si="68"/>
        <v>-1.9044427845081868E-2</v>
      </c>
      <c r="R299" s="4">
        <f t="shared" si="68"/>
        <v>-1.7019438684248156E-2</v>
      </c>
      <c r="S299" s="4">
        <f t="shared" si="68"/>
        <v>-1.6180111233523253E-2</v>
      </c>
      <c r="T299" s="4">
        <f t="shared" si="68"/>
        <v>-1.6166187407294585E-2</v>
      </c>
      <c r="U299" s="4">
        <f t="shared" si="68"/>
        <v>-1.652088407718999E-2</v>
      </c>
      <c r="V299" s="4">
        <f t="shared" si="68"/>
        <v>-1.6878560073880333E-2</v>
      </c>
      <c r="W299" s="4">
        <f t="shared" si="68"/>
        <v>-1.7045526724235871E-2</v>
      </c>
      <c r="X299" s="4">
        <f t="shared" si="68"/>
        <v>-1.7005946031940278E-2</v>
      </c>
      <c r="Y299" s="4">
        <f t="shared" si="68"/>
        <v>-1.6836687652580951E-2</v>
      </c>
      <c r="Z299" s="4">
        <f t="shared" si="68"/>
        <v>-1.6635993522326809E-2</v>
      </c>
      <c r="AA299" s="4">
        <f t="shared" si="68"/>
        <v>-1.6466831191932374E-2</v>
      </c>
      <c r="AB299" s="4">
        <f t="shared" si="68"/>
        <v>-1.633581075817403E-2</v>
      </c>
      <c r="AC299" s="4">
        <f t="shared" si="68"/>
        <v>-1.6202911439754608E-2</v>
      </c>
      <c r="AD299" s="4">
        <f t="shared" si="68"/>
        <v>-1.6029077694508787E-2</v>
      </c>
      <c r="AE299" s="4">
        <f t="shared" si="68"/>
        <v>-1.5790670142513341E-2</v>
      </c>
      <c r="AF299" s="4">
        <f t="shared" si="68"/>
        <v>-1.5489379091478184E-2</v>
      </c>
      <c r="AG299" s="4">
        <f t="shared" si="68"/>
        <v>-1.5148065429259949E-2</v>
      </c>
      <c r="AH299" s="4">
        <f t="shared" si="68"/>
        <v>-1.4798956084347448E-2</v>
      </c>
      <c r="AI299" s="4">
        <f t="shared" si="68"/>
        <v>-1.4470485805776367E-2</v>
      </c>
      <c r="AJ299" s="4">
        <f t="shared" si="68"/>
        <v>-1.4178293191466795E-2</v>
      </c>
      <c r="AK299" s="4">
        <f t="shared" si="68"/>
        <v>-1.3922984030056318E-2</v>
      </c>
      <c r="AL299" s="4">
        <f t="shared" si="68"/>
        <v>-1.3693876613254385E-2</v>
      </c>
    </row>
    <row r="301" spans="1:38" x14ac:dyDescent="0.3">
      <c r="A301" s="12" t="s">
        <v>17</v>
      </c>
      <c r="C301" s="7" t="s">
        <v>14</v>
      </c>
      <c r="D301" s="7" t="s">
        <v>15</v>
      </c>
      <c r="E301" s="7" t="s">
        <v>16</v>
      </c>
    </row>
    <row r="302" spans="1:38" x14ac:dyDescent="0.3">
      <c r="A302" t="s">
        <v>54</v>
      </c>
      <c r="B302" t="s">
        <v>80</v>
      </c>
      <c r="C302" s="4">
        <f>R292</f>
        <v>-1.5234507961407351E-2</v>
      </c>
      <c r="D302" s="4">
        <f>AB292</f>
        <v>-1.6825040168695016E-2</v>
      </c>
      <c r="E302" s="4">
        <f>AL292</f>
        <v>-1.4172346815481851E-2</v>
      </c>
    </row>
    <row r="303" spans="1:38" x14ac:dyDescent="0.3">
      <c r="B303" t="s">
        <v>7</v>
      </c>
      <c r="C303" s="4">
        <f t="shared" ref="C303:C309" si="69">R293</f>
        <v>-5.8375534845560795E-2</v>
      </c>
      <c r="D303" s="4">
        <f t="shared" ref="D303:D309" si="70">AB293</f>
        <v>-3.2465617219334608E-2</v>
      </c>
      <c r="E303" s="4">
        <f t="shared" ref="E303:E309" si="71">AL293</f>
        <v>-2.1380898748531108E-2</v>
      </c>
    </row>
    <row r="304" spans="1:38" x14ac:dyDescent="0.3">
      <c r="B304" t="s">
        <v>96</v>
      </c>
      <c r="C304" s="4">
        <f t="shared" si="69"/>
        <v>-1.7085572686947881E-2</v>
      </c>
      <c r="D304" s="4">
        <f t="shared" si="70"/>
        <v>-1.6146017384327083E-2</v>
      </c>
      <c r="E304" s="4">
        <f t="shared" si="71"/>
        <v>-1.2333569170318248E-2</v>
      </c>
    </row>
    <row r="305" spans="1:9" x14ac:dyDescent="0.3">
      <c r="B305" t="s">
        <v>11</v>
      </c>
      <c r="C305" s="4">
        <f t="shared" si="69"/>
        <v>-2.9190182628266892E-2</v>
      </c>
      <c r="D305" s="4">
        <f t="shared" si="70"/>
        <v>-3.0673749282142837E-2</v>
      </c>
      <c r="E305" s="4">
        <f t="shared" si="71"/>
        <v>-3.2282486212655725E-2</v>
      </c>
    </row>
    <row r="306" spans="1:9" x14ac:dyDescent="0.3">
      <c r="B306" t="s">
        <v>8</v>
      </c>
      <c r="C306" s="4">
        <f t="shared" si="69"/>
        <v>-2.7175290336444169E-2</v>
      </c>
      <c r="D306" s="4">
        <f t="shared" si="70"/>
        <v>-2.2729607139755803E-2</v>
      </c>
      <c r="E306" s="4">
        <f t="shared" si="71"/>
        <v>-1.8994275307218977E-2</v>
      </c>
    </row>
    <row r="307" spans="1:9" x14ac:dyDescent="0.3">
      <c r="B307" t="s">
        <v>24</v>
      </c>
      <c r="C307" s="4">
        <f t="shared" si="69"/>
        <v>-1.8704998677234297E-2</v>
      </c>
      <c r="D307" s="4">
        <f t="shared" si="70"/>
        <v>-1.8671596881451036E-2</v>
      </c>
      <c r="E307" s="4">
        <f t="shared" si="71"/>
        <v>-1.708588564507707E-2</v>
      </c>
    </row>
    <row r="308" spans="1:9" x14ac:dyDescent="0.3">
      <c r="B308" t="s">
        <v>10</v>
      </c>
      <c r="C308" s="4">
        <f t="shared" si="69"/>
        <v>-1.1804913849085552E-2</v>
      </c>
      <c r="D308" s="4">
        <f t="shared" si="70"/>
        <v>-1.5397940260816312E-2</v>
      </c>
      <c r="E308" s="4">
        <f t="shared" si="71"/>
        <v>-1.3125631640438562E-2</v>
      </c>
    </row>
    <row r="309" spans="1:9" x14ac:dyDescent="0.3">
      <c r="B309" t="s">
        <v>23</v>
      </c>
      <c r="C309" s="4">
        <f t="shared" si="69"/>
        <v>-1.7019438684248156E-2</v>
      </c>
      <c r="D309" s="4">
        <f t="shared" si="70"/>
        <v>-1.633581075817403E-2</v>
      </c>
      <c r="E309" s="4">
        <f t="shared" si="71"/>
        <v>-1.3693876613254385E-2</v>
      </c>
    </row>
    <row r="310" spans="1:9" x14ac:dyDescent="0.3">
      <c r="C310" s="4"/>
      <c r="D310" s="4"/>
      <c r="E310" s="4"/>
    </row>
    <row r="311" spans="1:9" x14ac:dyDescent="0.3">
      <c r="A311" s="12" t="s">
        <v>17</v>
      </c>
      <c r="C311" s="7" t="s">
        <v>14</v>
      </c>
      <c r="D311" s="7" t="s">
        <v>15</v>
      </c>
      <c r="E311" s="7" t="s">
        <v>16</v>
      </c>
    </row>
    <row r="312" spans="1:9" x14ac:dyDescent="0.3">
      <c r="A312" t="s">
        <v>99</v>
      </c>
      <c r="B312" t="s">
        <v>80</v>
      </c>
      <c r="C312" s="4">
        <f>C302</f>
        <v>-1.5234507961407351E-2</v>
      </c>
      <c r="D312" s="4">
        <f>D302</f>
        <v>-1.6825040168695016E-2</v>
      </c>
      <c r="E312" s="4">
        <f>E302</f>
        <v>-1.4172346815481851E-2</v>
      </c>
      <c r="G312" s="6">
        <f>R283</f>
        <v>586351.41500000004</v>
      </c>
      <c r="H312" s="6">
        <f>AB283</f>
        <v>692571.10730000003</v>
      </c>
      <c r="I312" s="6">
        <f>AL283</f>
        <v>810984.04870000004</v>
      </c>
    </row>
    <row r="313" spans="1:9" x14ac:dyDescent="0.3">
      <c r="B313" t="s">
        <v>7</v>
      </c>
      <c r="C313" s="4">
        <f>C303*G313/G$312</f>
        <v>-1.2548961956542753E-3</v>
      </c>
      <c r="D313" s="4">
        <f t="shared" ref="D313:E313" si="72">D303*H313/H$312</f>
        <v>-5.8789875250113411E-4</v>
      </c>
      <c r="E313" s="4">
        <f t="shared" si="72"/>
        <v>-3.2956955248187989E-4</v>
      </c>
      <c r="G313" s="6">
        <f t="shared" ref="G313:G319" si="73">R284</f>
        <v>12604.769480000001</v>
      </c>
      <c r="H313" s="6">
        <f t="shared" ref="H313:H319" si="74">AB284</f>
        <v>12541.31986</v>
      </c>
      <c r="I313" s="6">
        <f t="shared" ref="I313:I319" si="75">AL284</f>
        <v>12500.674230000001</v>
      </c>
    </row>
    <row r="314" spans="1:9" x14ac:dyDescent="0.3">
      <c r="B314" t="s">
        <v>96</v>
      </c>
      <c r="C314" s="4">
        <f t="shared" ref="C314:E314" si="76">C304*G314/G$312</f>
        <v>-3.0507065460053459E-4</v>
      </c>
      <c r="D314" s="4">
        <f t="shared" si="76"/>
        <v>-2.7906152590376741E-4</v>
      </c>
      <c r="E314" s="4">
        <f t="shared" si="76"/>
        <v>-2.1230402777464678E-4</v>
      </c>
      <c r="G314" s="6">
        <f t="shared" si="73"/>
        <v>10469.57063</v>
      </c>
      <c r="H314" s="6">
        <f t="shared" si="74"/>
        <v>11970.13142</v>
      </c>
      <c r="I314" s="6">
        <f t="shared" si="75"/>
        <v>13959.88279</v>
      </c>
    </row>
    <row r="315" spans="1:9" x14ac:dyDescent="0.3">
      <c r="B315" t="s">
        <v>11</v>
      </c>
      <c r="C315" s="4">
        <f t="shared" ref="C315:E315" si="77">C305*G315/G$312</f>
        <v>-3.7756962520504937E-4</v>
      </c>
      <c r="D315" s="4">
        <f t="shared" si="77"/>
        <v>-3.6058717057023198E-4</v>
      </c>
      <c r="E315" s="4">
        <f t="shared" si="77"/>
        <v>-3.4901338744420315E-4</v>
      </c>
      <c r="G315" s="6">
        <f t="shared" si="73"/>
        <v>7584.3473409999997</v>
      </c>
      <c r="H315" s="6">
        <f t="shared" si="74"/>
        <v>8141.5627969999996</v>
      </c>
      <c r="I315" s="6">
        <f t="shared" si="75"/>
        <v>8767.7351780000008</v>
      </c>
    </row>
    <row r="316" spans="1:9" x14ac:dyDescent="0.3">
      <c r="B316" t="s">
        <v>8</v>
      </c>
      <c r="C316" s="4">
        <f t="shared" ref="C316:E316" si="78">C306*G316/G$312</f>
        <v>-3.326573484946747E-3</v>
      </c>
      <c r="D316" s="4">
        <f t="shared" si="78"/>
        <v>-2.691951281751077E-3</v>
      </c>
      <c r="E316" s="4">
        <f t="shared" si="78"/>
        <v>-2.1916634770426748E-3</v>
      </c>
      <c r="G316" s="6">
        <f t="shared" si="73"/>
        <v>71776.273440000004</v>
      </c>
      <c r="H316" s="6">
        <f t="shared" si="74"/>
        <v>82023.752919999999</v>
      </c>
      <c r="I316" s="6">
        <f t="shared" si="75"/>
        <v>93575.779609999998</v>
      </c>
    </row>
    <row r="317" spans="1:9" x14ac:dyDescent="0.3">
      <c r="B317" t="s">
        <v>24</v>
      </c>
      <c r="C317" s="4">
        <f t="shared" ref="C317:E317" si="79">C307*G317/G$312</f>
        <v>-1.731419288891786E-4</v>
      </c>
      <c r="D317" s="4">
        <f t="shared" si="79"/>
        <v>-1.6237412998415586E-4</v>
      </c>
      <c r="E317" s="4">
        <f t="shared" si="79"/>
        <v>-1.3711361669597273E-4</v>
      </c>
      <c r="G317" s="6">
        <f t="shared" si="73"/>
        <v>5427.5339309999999</v>
      </c>
      <c r="H317" s="6">
        <f t="shared" si="74"/>
        <v>6022.8180650000004</v>
      </c>
      <c r="I317" s="6">
        <f t="shared" si="75"/>
        <v>6508.1177710000002</v>
      </c>
    </row>
    <row r="318" spans="1:9" x14ac:dyDescent="0.3">
      <c r="B318" t="s">
        <v>10</v>
      </c>
      <c r="C318" s="4">
        <f t="shared" ref="C318:E318" si="80">C308*G318/G$312</f>
        <v>-9.2622467705651013E-3</v>
      </c>
      <c r="D318" s="4">
        <f t="shared" si="80"/>
        <v>-1.2242537568531837E-2</v>
      </c>
      <c r="E318" s="4">
        <f t="shared" si="80"/>
        <v>-1.0541691681487629E-2</v>
      </c>
      <c r="G318" s="6">
        <f t="shared" si="73"/>
        <v>460056.8517</v>
      </c>
      <c r="H318" s="6">
        <f t="shared" si="74"/>
        <v>550646.8824</v>
      </c>
      <c r="I318" s="6">
        <f t="shared" si="75"/>
        <v>651331.99179999996</v>
      </c>
    </row>
    <row r="319" spans="1:9" x14ac:dyDescent="0.3">
      <c r="B319" t="s">
        <v>23</v>
      </c>
      <c r="C319" s="4">
        <f t="shared" ref="C319:E319" si="81">C309*G319/G$312</f>
        <v>-5.3500929984112114E-4</v>
      </c>
      <c r="D319" s="4">
        <f t="shared" si="81"/>
        <v>-5.0062974955986756E-4</v>
      </c>
      <c r="E319" s="4">
        <f t="shared" si="81"/>
        <v>-4.1099099363827162E-4</v>
      </c>
      <c r="G319" s="6">
        <f t="shared" si="73"/>
        <v>18432.068520000001</v>
      </c>
      <c r="H319" s="6">
        <f t="shared" si="74"/>
        <v>21224.63985</v>
      </c>
      <c r="I319" s="6">
        <f t="shared" si="75"/>
        <v>24339.867330000001</v>
      </c>
    </row>
    <row r="320" spans="1:9" x14ac:dyDescent="0.3">
      <c r="C320" s="4"/>
      <c r="D320" s="4"/>
      <c r="E320" s="4"/>
    </row>
    <row r="321" spans="1:38" x14ac:dyDescent="0.3">
      <c r="A321" s="12" t="s">
        <v>63</v>
      </c>
      <c r="C321" s="2">
        <v>42005</v>
      </c>
      <c r="D321" s="2">
        <v>42370</v>
      </c>
      <c r="E321" s="2">
        <v>42736</v>
      </c>
      <c r="F321" s="2">
        <v>43101</v>
      </c>
      <c r="G321" s="2">
        <v>43466</v>
      </c>
      <c r="H321" s="2">
        <v>43831</v>
      </c>
      <c r="I321" s="2">
        <v>44197</v>
      </c>
      <c r="J321" s="2">
        <v>44562</v>
      </c>
      <c r="K321" s="2">
        <v>44927</v>
      </c>
      <c r="L321" s="2">
        <v>45292</v>
      </c>
      <c r="M321" s="2">
        <v>45658</v>
      </c>
      <c r="N321" s="2">
        <v>46023</v>
      </c>
      <c r="O321" s="2">
        <v>46388</v>
      </c>
      <c r="P321" s="2">
        <v>46753</v>
      </c>
      <c r="Q321" s="2">
        <v>47119</v>
      </c>
      <c r="R321" s="2">
        <v>47484</v>
      </c>
      <c r="S321" s="2">
        <v>47849</v>
      </c>
      <c r="T321" s="2">
        <v>48214</v>
      </c>
      <c r="U321" s="2">
        <v>48580</v>
      </c>
      <c r="V321" s="2">
        <v>48945</v>
      </c>
      <c r="W321" s="2">
        <v>49310</v>
      </c>
      <c r="X321" s="2">
        <v>49675</v>
      </c>
      <c r="Y321" s="2">
        <v>50041</v>
      </c>
      <c r="Z321" s="2">
        <v>50406</v>
      </c>
      <c r="AA321" s="2">
        <v>50771</v>
      </c>
      <c r="AB321" s="2">
        <v>51136</v>
      </c>
      <c r="AC321" s="2">
        <v>51502</v>
      </c>
      <c r="AD321" s="2">
        <v>51867</v>
      </c>
      <c r="AE321" s="2">
        <v>52232</v>
      </c>
      <c r="AF321" s="2">
        <v>52597</v>
      </c>
      <c r="AG321" s="2">
        <v>52963</v>
      </c>
      <c r="AH321" s="2">
        <v>53328</v>
      </c>
      <c r="AI321" s="2">
        <v>53693</v>
      </c>
      <c r="AJ321" s="2">
        <v>54058</v>
      </c>
      <c r="AK321" s="2">
        <v>54424</v>
      </c>
      <c r="AL321" s="2">
        <v>54789</v>
      </c>
    </row>
    <row r="322" spans="1:38" x14ac:dyDescent="0.3">
      <c r="A322" t="s">
        <v>27</v>
      </c>
      <c r="B322" t="s">
        <v>83</v>
      </c>
      <c r="C322" s="6">
        <f>[1]Results!F3</f>
        <v>32317.940999999999</v>
      </c>
      <c r="D322" s="6">
        <f>[1]Results!G3</f>
        <v>31964.620370000001</v>
      </c>
      <c r="E322" s="6">
        <f>[1]Results!H3</f>
        <v>31820.24439</v>
      </c>
      <c r="F322" s="6">
        <f>[1]Results!I3</f>
        <v>31811.53658</v>
      </c>
      <c r="G322" s="6">
        <f>[1]Results!J3</f>
        <v>31882.528190000001</v>
      </c>
      <c r="H322" s="6">
        <f>[1]Results!K3</f>
        <v>31999.039280000001</v>
      </c>
      <c r="I322" s="6">
        <f>[1]Results!L3</f>
        <v>32121.422429999999</v>
      </c>
      <c r="J322" s="6">
        <f>[1]Results!M3</f>
        <v>32273.05645</v>
      </c>
      <c r="K322" s="6">
        <f>[1]Results!N3</f>
        <v>32502.321909999999</v>
      </c>
      <c r="L322" s="6">
        <f>[1]Results!O3</f>
        <v>32784.497750000002</v>
      </c>
      <c r="M322" s="6">
        <f>[1]Results!P3</f>
        <v>33111.829550000002</v>
      </c>
      <c r="N322" s="6">
        <f>[1]Results!Q3</f>
        <v>33455.431799999998</v>
      </c>
      <c r="O322" s="6">
        <f>[1]Results!R3</f>
        <v>33795.683969999998</v>
      </c>
      <c r="P322" s="6">
        <f>[1]Results!S3</f>
        <v>34121.253530000002</v>
      </c>
      <c r="Q322" s="6">
        <f>[1]Results!T3</f>
        <v>34428.010600000001</v>
      </c>
      <c r="R322" s="6">
        <f>[1]Results!U3</f>
        <v>34718.631580000001</v>
      </c>
      <c r="S322" s="6">
        <f>[1]Results!V3</f>
        <v>34999.811730000001</v>
      </c>
      <c r="T322" s="6">
        <f>[1]Results!W3</f>
        <v>35279.027860000002</v>
      </c>
      <c r="U322" s="6">
        <f>[1]Results!X3</f>
        <v>35561.93578</v>
      </c>
      <c r="V322" s="6">
        <f>[1]Results!Y3</f>
        <v>35851.13435</v>
      </c>
      <c r="W322" s="6">
        <f>[1]Results!Z3</f>
        <v>36141.170319999997</v>
      </c>
      <c r="X322" s="6">
        <f>[1]Results!AA3</f>
        <v>36436.471060000003</v>
      </c>
      <c r="Y322" s="6">
        <f>[1]Results!AB3</f>
        <v>36735.304530000001</v>
      </c>
      <c r="Z322" s="6">
        <f>[1]Results!AC3</f>
        <v>37035.145219999999</v>
      </c>
      <c r="AA322" s="6">
        <f>[1]Results!AD3</f>
        <v>37334.807569999997</v>
      </c>
      <c r="AB322" s="6">
        <f>[1]Results!AE3</f>
        <v>37618.292159999997</v>
      </c>
      <c r="AC322" s="6">
        <f>[1]Results!AF3</f>
        <v>37899.264309999999</v>
      </c>
      <c r="AD322" s="6">
        <f>[1]Results!AG3</f>
        <v>38181.088459999999</v>
      </c>
      <c r="AE322" s="6">
        <f>[1]Results!AH3</f>
        <v>38463.256719999998</v>
      </c>
      <c r="AF322" s="6">
        <f>[1]Results!AI3</f>
        <v>38744.68793</v>
      </c>
      <c r="AG322" s="6">
        <f>[1]Results!AJ3</f>
        <v>39024.077570000001</v>
      </c>
      <c r="AH322" s="6">
        <f>[1]Results!AK3</f>
        <v>39300.629650000003</v>
      </c>
      <c r="AI322" s="6">
        <f>[1]Results!AL3</f>
        <v>39574.404869999998</v>
      </c>
      <c r="AJ322" s="6">
        <f>[1]Results!AM3</f>
        <v>39846.238140000001</v>
      </c>
      <c r="AK322" s="6">
        <f>[1]Results!AN3</f>
        <v>40117.363819999999</v>
      </c>
      <c r="AL322" s="6">
        <f>[1]Results!AO3</f>
        <v>40388.964699999997</v>
      </c>
    </row>
    <row r="323" spans="1:38" x14ac:dyDescent="0.3">
      <c r="B323" t="s">
        <v>48</v>
      </c>
      <c r="C323" s="6">
        <f>[1]Results!F4</f>
        <v>32271.24</v>
      </c>
      <c r="D323" s="6">
        <f>[1]Results!G4</f>
        <v>31899.81165</v>
      </c>
      <c r="E323" s="6">
        <f>[1]Results!H4</f>
        <v>31736.28599</v>
      </c>
      <c r="F323" s="6">
        <f>[1]Results!I4</f>
        <v>31707.705740000001</v>
      </c>
      <c r="G323" s="6">
        <f>[1]Results!J4</f>
        <v>31758.22797</v>
      </c>
      <c r="H323" s="6">
        <f>[1]Results!K4</f>
        <v>31853.672910000001</v>
      </c>
      <c r="I323" s="6">
        <f>[1]Results!L4</f>
        <v>31954.920030000001</v>
      </c>
      <c r="J323" s="6">
        <f>[1]Results!M4</f>
        <v>32086.10181</v>
      </c>
      <c r="K323" s="6">
        <f>[1]Results!N4</f>
        <v>32295.42799</v>
      </c>
      <c r="L323" s="6">
        <f>[1]Results!O4</f>
        <v>32558.591049999999</v>
      </c>
      <c r="M323" s="6">
        <f>[1]Results!P4</f>
        <v>32867.774680000002</v>
      </c>
      <c r="N323" s="6">
        <f>[1]Results!Q4</f>
        <v>33193.977379999997</v>
      </c>
      <c r="O323" s="6">
        <f>[1]Results!R4</f>
        <v>33517.314350000001</v>
      </c>
      <c r="P323" s="6">
        <f>[1]Results!S4</f>
        <v>33826.181210000002</v>
      </c>
      <c r="Q323" s="6">
        <f>[1]Results!T4</f>
        <v>34116.271180000003</v>
      </c>
      <c r="R323" s="6">
        <f>[1]Results!U4</f>
        <v>34390.190399999999</v>
      </c>
      <c r="S323" s="6">
        <f>[1]Results!V4</f>
        <v>34654.646220000002</v>
      </c>
      <c r="T323" s="6">
        <f>[1]Results!W4</f>
        <v>34917.169710000002</v>
      </c>
      <c r="U323" s="6">
        <f>[1]Results!X4</f>
        <v>35183.477290000003</v>
      </c>
      <c r="V323" s="6">
        <f>[1]Results!Y4</f>
        <v>35456.211889999999</v>
      </c>
      <c r="W323" s="6">
        <f>[1]Results!Z4</f>
        <v>35729.99699</v>
      </c>
      <c r="X323" s="6">
        <f>[1]Results!AA4</f>
        <v>36009.200299999997</v>
      </c>
      <c r="Y323" s="6">
        <f>[1]Results!AB4</f>
        <v>36292.055789999999</v>
      </c>
      <c r="Z323" s="6">
        <f>[1]Results!AC4</f>
        <v>36576.012470000001</v>
      </c>
      <c r="AA323" s="6">
        <f>[1]Results!AD4</f>
        <v>36859.860869999997</v>
      </c>
      <c r="AB323" s="6">
        <f>[1]Results!AE4</f>
        <v>37127.76885</v>
      </c>
      <c r="AC323" s="6">
        <f>[1]Results!AF4</f>
        <v>37393.283839999996</v>
      </c>
      <c r="AD323" s="6">
        <f>[1]Results!AG4</f>
        <v>37659.720430000001</v>
      </c>
      <c r="AE323" s="6">
        <f>[1]Results!AH4</f>
        <v>37926.534509999998</v>
      </c>
      <c r="AF323" s="6">
        <f>[1]Results!AI4</f>
        <v>38192.591260000001</v>
      </c>
      <c r="AG323" s="6">
        <f>[1]Results!AJ4</f>
        <v>38456.52693</v>
      </c>
      <c r="AH323" s="6">
        <f>[1]Results!AK4</f>
        <v>38717.488510000003</v>
      </c>
      <c r="AI323" s="6">
        <f>[1]Results!AL4</f>
        <v>38975.486960000002</v>
      </c>
      <c r="AJ323" s="6">
        <f>[1]Results!AM4</f>
        <v>39231.315410000003</v>
      </c>
      <c r="AK323" s="6">
        <f>[1]Results!AN4</f>
        <v>39486.171609999998</v>
      </c>
      <c r="AL323" s="6">
        <f>[1]Results!AO4</f>
        <v>39741.202510000003</v>
      </c>
    </row>
    <row r="324" spans="1:38" x14ac:dyDescent="0.3">
      <c r="B324" t="s">
        <v>81</v>
      </c>
      <c r="C324" s="6">
        <f>[1]Results!F20</f>
        <v>1.9359999999999999</v>
      </c>
      <c r="D324" s="6">
        <f>[1]Results!G20</f>
        <v>1.994779514</v>
      </c>
      <c r="E324" s="6">
        <f>[1]Results!H20</f>
        <v>2.064923088</v>
      </c>
      <c r="F324" s="6">
        <f>[1]Results!I20</f>
        <v>2.1409504849999998</v>
      </c>
      <c r="G324" s="6">
        <f>[1]Results!J20</f>
        <v>2.2186847959999998</v>
      </c>
      <c r="H324" s="6">
        <f>[1]Results!K20</f>
        <v>2.2956650189999999</v>
      </c>
      <c r="I324" s="6">
        <f>[1]Results!L20</f>
        <v>2.3689454269999999</v>
      </c>
      <c r="J324" s="6">
        <f>[1]Results!M20</f>
        <v>2.4408225859999999</v>
      </c>
      <c r="K324" s="6">
        <f>[1]Results!N20</f>
        <v>2.5156300539999998</v>
      </c>
      <c r="L324" s="6">
        <f>[1]Results!O20</f>
        <v>2.5916534819999999</v>
      </c>
      <c r="M324" s="6">
        <f>[1]Results!P20</f>
        <v>2.6685121920000001</v>
      </c>
      <c r="N324" s="6">
        <f>[1]Results!Q20</f>
        <v>2.7440184090000002</v>
      </c>
      <c r="O324" s="6">
        <f>[1]Results!R20</f>
        <v>2.8166973899999999</v>
      </c>
      <c r="P324" s="6">
        <f>[1]Results!S20</f>
        <v>2.8857322060000001</v>
      </c>
      <c r="Q324" s="6">
        <f>[1]Results!T20</f>
        <v>2.9508941950000001</v>
      </c>
      <c r="R324" s="6">
        <f>[1]Results!U20</f>
        <v>3.012521596</v>
      </c>
      <c r="S324" s="6">
        <f>[1]Results!V20</f>
        <v>3.0712930900000002</v>
      </c>
      <c r="T324" s="6">
        <f>[1]Results!W20</f>
        <v>3.1279579929999999</v>
      </c>
      <c r="U324" s="6">
        <f>[1]Results!X20</f>
        <v>3.1831155770000001</v>
      </c>
      <c r="V324" s="6">
        <f>[1]Results!Y20</f>
        <v>3.2371068219999999</v>
      </c>
      <c r="W324" s="6">
        <f>[1]Results!Z20</f>
        <v>3.2895949579999999</v>
      </c>
      <c r="X324" s="6">
        <f>[1]Results!AA20</f>
        <v>3.3410477329999999</v>
      </c>
      <c r="Y324" s="6">
        <f>[1]Results!AB20</f>
        <v>3.3914169140000001</v>
      </c>
      <c r="Z324" s="6">
        <f>[1]Results!AC20</f>
        <v>3.4405797919999999</v>
      </c>
      <c r="AA324" s="6">
        <f>[1]Results!AD20</f>
        <v>3.488517351</v>
      </c>
      <c r="AB324" s="6">
        <f>[1]Results!AE20</f>
        <v>3.5339753919999999</v>
      </c>
      <c r="AC324" s="6">
        <f>[1]Results!AF20</f>
        <v>3.578142803</v>
      </c>
      <c r="AD324" s="6">
        <f>[1]Results!AG20</f>
        <v>3.6213630640000001</v>
      </c>
      <c r="AE324" s="6">
        <f>[1]Results!AH20</f>
        <v>3.6636556859999998</v>
      </c>
      <c r="AF324" s="6">
        <f>[1]Results!AI20</f>
        <v>3.7049857780000002</v>
      </c>
      <c r="AG324" s="6">
        <f>[1]Results!AJ20</f>
        <v>3.7452939770000002</v>
      </c>
      <c r="AH324" s="6">
        <f>[1]Results!AK20</f>
        <v>3.784558621</v>
      </c>
      <c r="AI324" s="6">
        <f>[1]Results!AL20</f>
        <v>3.8228264090000001</v>
      </c>
      <c r="AJ324" s="6">
        <f>[1]Results!AM20</f>
        <v>3.8602069050000001</v>
      </c>
      <c r="AK324" s="6">
        <f>[1]Results!AN20</f>
        <v>3.8968419999999999</v>
      </c>
      <c r="AL324" s="6">
        <f>[1]Results!AO20</f>
        <v>3.9328682829999999</v>
      </c>
    </row>
    <row r="325" spans="1:38" x14ac:dyDescent="0.3">
      <c r="B325" t="s">
        <v>82</v>
      </c>
      <c r="C325" s="6">
        <f>[1]Results!F12</f>
        <v>44.765000000000001</v>
      </c>
      <c r="D325" s="6">
        <f>[1]Results!G12</f>
        <v>62.813945330000003</v>
      </c>
      <c r="E325" s="6">
        <f>[1]Results!H12</f>
        <v>81.893474699999999</v>
      </c>
      <c r="F325" s="6">
        <f>[1]Results!I12</f>
        <v>101.68989879999999</v>
      </c>
      <c r="G325" s="6">
        <f>[1]Results!J12</f>
        <v>122.08153040000001</v>
      </c>
      <c r="H325" s="6">
        <f>[1]Results!K12</f>
        <v>143.07070630000001</v>
      </c>
      <c r="I325" s="6">
        <f>[1]Results!L12</f>
        <v>164.1334458</v>
      </c>
      <c r="J325" s="6">
        <f>[1]Results!M12</f>
        <v>184.51381369999999</v>
      </c>
      <c r="K325" s="6">
        <f>[1]Results!N12</f>
        <v>204.3782855</v>
      </c>
      <c r="L325" s="6">
        <f>[1]Results!O12</f>
        <v>223.3150411</v>
      </c>
      <c r="M325" s="6">
        <f>[1]Results!P12</f>
        <v>241.38635210000001</v>
      </c>
      <c r="N325" s="6">
        <f>[1]Results!Q12</f>
        <v>258.7104046</v>
      </c>
      <c r="O325" s="6">
        <f>[1]Results!R12</f>
        <v>275.55292550000001</v>
      </c>
      <c r="P325" s="6">
        <f>[1]Results!S12</f>
        <v>292.18658040000003</v>
      </c>
      <c r="Q325" s="6">
        <f>[1]Results!T12</f>
        <v>308.78851989999998</v>
      </c>
      <c r="R325" s="6">
        <f>[1]Results!U12</f>
        <v>325.42866099999998</v>
      </c>
      <c r="S325" s="6">
        <f>[1]Results!V12</f>
        <v>342.09421980000002</v>
      </c>
      <c r="T325" s="6">
        <f>[1]Results!W12</f>
        <v>358.73019040000003</v>
      </c>
      <c r="U325" s="6">
        <f>[1]Results!X12</f>
        <v>375.27536509999999</v>
      </c>
      <c r="V325" s="6">
        <f>[1]Results!Y12</f>
        <v>391.6853524</v>
      </c>
      <c r="W325" s="6">
        <f>[1]Results!Z12</f>
        <v>407.88373860000002</v>
      </c>
      <c r="X325" s="6">
        <f>[1]Results!AA12</f>
        <v>423.92971610000001</v>
      </c>
      <c r="Y325" s="6">
        <f>[1]Results!AB12</f>
        <v>439.85732489999998</v>
      </c>
      <c r="Z325" s="6">
        <f>[1]Results!AC12</f>
        <v>455.6921711</v>
      </c>
      <c r="AA325" s="6">
        <f>[1]Results!AD12</f>
        <v>471.45818659999998</v>
      </c>
      <c r="AB325" s="6">
        <f>[1]Results!AE12</f>
        <v>486.98932450000001</v>
      </c>
      <c r="AC325" s="6">
        <f>[1]Results!AF12</f>
        <v>502.40232109999999</v>
      </c>
      <c r="AD325" s="6">
        <f>[1]Results!AG12</f>
        <v>517.74665640000001</v>
      </c>
      <c r="AE325" s="6">
        <f>[1]Results!AH12</f>
        <v>533.05855020000001</v>
      </c>
      <c r="AF325" s="6">
        <f>[1]Results!AI12</f>
        <v>548.39168270000005</v>
      </c>
      <c r="AG325" s="6">
        <f>[1]Results!AJ12</f>
        <v>563.80534390000003</v>
      </c>
      <c r="AH325" s="6">
        <f>[1]Results!AK12</f>
        <v>579.35657649999996</v>
      </c>
      <c r="AI325" s="6">
        <f>[1]Results!AL12</f>
        <v>595.09508649999998</v>
      </c>
      <c r="AJ325" s="6">
        <f>[1]Results!AM12</f>
        <v>611.06251959999997</v>
      </c>
      <c r="AK325" s="6">
        <f>[1]Results!AN12</f>
        <v>627.29535550000003</v>
      </c>
      <c r="AL325" s="6">
        <f>[1]Results!AO12</f>
        <v>643.82931459999998</v>
      </c>
    </row>
    <row r="327" spans="1:38" x14ac:dyDescent="0.3">
      <c r="A327" s="12" t="s">
        <v>63</v>
      </c>
      <c r="C327" s="2">
        <v>42005</v>
      </c>
      <c r="D327" s="2">
        <v>42370</v>
      </c>
      <c r="E327" s="2">
        <v>42736</v>
      </c>
      <c r="F327" s="2">
        <v>43101</v>
      </c>
      <c r="G327" s="2">
        <v>43466</v>
      </c>
      <c r="H327" s="2">
        <v>43831</v>
      </c>
      <c r="I327" s="2">
        <v>44197</v>
      </c>
      <c r="J327" s="2">
        <v>44562</v>
      </c>
      <c r="K327" s="2">
        <v>44927</v>
      </c>
      <c r="L327" s="2">
        <v>45292</v>
      </c>
      <c r="M327" s="2">
        <v>45658</v>
      </c>
      <c r="N327" s="2">
        <v>46023</v>
      </c>
      <c r="O327" s="2">
        <v>46388</v>
      </c>
      <c r="P327" s="2">
        <v>46753</v>
      </c>
      <c r="Q327" s="2">
        <v>47119</v>
      </c>
      <c r="R327" s="2">
        <v>47484</v>
      </c>
      <c r="S327" s="2">
        <v>47849</v>
      </c>
      <c r="T327" s="2">
        <v>48214</v>
      </c>
      <c r="U327" s="2">
        <v>48580</v>
      </c>
      <c r="V327" s="2">
        <v>48945</v>
      </c>
      <c r="W327" s="2">
        <v>49310</v>
      </c>
      <c r="X327" s="2">
        <v>49675</v>
      </c>
      <c r="Y327" s="2">
        <v>50041</v>
      </c>
      <c r="Z327" s="2">
        <v>50406</v>
      </c>
      <c r="AA327" s="2">
        <v>50771</v>
      </c>
      <c r="AB327" s="2">
        <v>51136</v>
      </c>
      <c r="AC327" s="2">
        <v>51502</v>
      </c>
      <c r="AD327" s="2">
        <v>51867</v>
      </c>
      <c r="AE327" s="2">
        <v>52232</v>
      </c>
      <c r="AF327" s="2">
        <v>52597</v>
      </c>
      <c r="AG327" s="2">
        <v>52963</v>
      </c>
      <c r="AH327" s="2">
        <v>53328</v>
      </c>
      <c r="AI327" s="2">
        <v>53693</v>
      </c>
      <c r="AJ327" s="2">
        <v>54058</v>
      </c>
      <c r="AK327" s="2">
        <v>54424</v>
      </c>
      <c r="AL327" s="2">
        <v>54789</v>
      </c>
    </row>
    <row r="328" spans="1:38" x14ac:dyDescent="0.3">
      <c r="A328" t="s">
        <v>26</v>
      </c>
      <c r="B328" t="s">
        <v>83</v>
      </c>
      <c r="C328" s="6">
        <f>[1]Results!F28</f>
        <v>32317.940999999999</v>
      </c>
      <c r="D328" s="6">
        <f>[1]Results!G28</f>
        <v>31964.620370000001</v>
      </c>
      <c r="E328" s="6">
        <f>[1]Results!H28</f>
        <v>31820.24439</v>
      </c>
      <c r="F328" s="6">
        <f>[1]Results!I28</f>
        <v>31811.53658</v>
      </c>
      <c r="G328" s="6">
        <f>[1]Results!J28</f>
        <v>31882.528190000001</v>
      </c>
      <c r="H328" s="6">
        <f>[1]Results!K28</f>
        <v>31999.039280000001</v>
      </c>
      <c r="I328" s="6">
        <f>[1]Results!L28</f>
        <v>32139.213589999999</v>
      </c>
      <c r="J328" s="6">
        <f>[1]Results!M28</f>
        <v>32298.49984</v>
      </c>
      <c r="K328" s="6">
        <f>[1]Results!N28</f>
        <v>32479.04034</v>
      </c>
      <c r="L328" s="6">
        <f>[1]Results!O28</f>
        <v>32684.71027</v>
      </c>
      <c r="M328" s="6">
        <f>[1]Results!P28</f>
        <v>32924.098030000001</v>
      </c>
      <c r="N328" s="6">
        <f>[1]Results!Q28</f>
        <v>33187.512840000003</v>
      </c>
      <c r="O328" s="6">
        <f>[1]Results!R28</f>
        <v>33469.887349999997</v>
      </c>
      <c r="P328" s="6">
        <f>[1]Results!S28</f>
        <v>33766.560640000003</v>
      </c>
      <c r="Q328" s="6">
        <f>[1]Results!T28</f>
        <v>34072.580929999996</v>
      </c>
      <c r="R328" s="6">
        <f>[1]Results!U28</f>
        <v>34384.148609999997</v>
      </c>
      <c r="S328" s="6">
        <f>[1]Results!V28</f>
        <v>34698.739500000003</v>
      </c>
      <c r="T328" s="6">
        <f>[1]Results!W28</f>
        <v>35014.801610000002</v>
      </c>
      <c r="U328" s="6">
        <f>[1]Results!X28</f>
        <v>35331.33077</v>
      </c>
      <c r="V328" s="6">
        <f>[1]Results!Y28</f>
        <v>35647.533340000002</v>
      </c>
      <c r="W328" s="6">
        <f>[1]Results!Z28</f>
        <v>35957.502399999998</v>
      </c>
      <c r="X328" s="6">
        <f>[1]Results!AA28</f>
        <v>36266.846460000001</v>
      </c>
      <c r="Y328" s="6">
        <f>[1]Results!AB28</f>
        <v>36575.62573</v>
      </c>
      <c r="Z328" s="6">
        <f>[1]Results!AC28</f>
        <v>36882.760040000001</v>
      </c>
      <c r="AA328" s="6">
        <f>[1]Results!AD28</f>
        <v>37187.821040000003</v>
      </c>
      <c r="AB328" s="6">
        <f>[1]Results!AE28</f>
        <v>37475.17568</v>
      </c>
      <c r="AC328" s="6">
        <f>[1]Results!AF28</f>
        <v>37758.272929999999</v>
      </c>
      <c r="AD328" s="6">
        <f>[1]Results!AG28</f>
        <v>38040.563739999998</v>
      </c>
      <c r="AE328" s="6">
        <f>[1]Results!AH28</f>
        <v>38322.031580000003</v>
      </c>
      <c r="AF328" s="6">
        <f>[1]Results!AI28</f>
        <v>38602.199139999997</v>
      </c>
      <c r="AG328" s="6">
        <f>[1]Results!AJ28</f>
        <v>38880.362359999999</v>
      </c>
      <c r="AH328" s="6">
        <f>[1]Results!AK28</f>
        <v>39156.170440000002</v>
      </c>
      <c r="AI328" s="6">
        <f>[1]Results!AL28</f>
        <v>39429.88895</v>
      </c>
      <c r="AJ328" s="6">
        <f>[1]Results!AM28</f>
        <v>39702.322189999999</v>
      </c>
      <c r="AK328" s="6">
        <f>[1]Results!AN28</f>
        <v>39974.516459999999</v>
      </c>
      <c r="AL328" s="6">
        <f>[1]Results!AO28</f>
        <v>40247.419029999997</v>
      </c>
    </row>
    <row r="329" spans="1:38" x14ac:dyDescent="0.3">
      <c r="B329" t="s">
        <v>48</v>
      </c>
      <c r="C329" s="6">
        <f>[1]Results!F29</f>
        <v>32271.24</v>
      </c>
      <c r="D329" s="6">
        <f>[1]Results!G29</f>
        <v>31899.81165</v>
      </c>
      <c r="E329" s="6">
        <f>[1]Results!H29</f>
        <v>31736.28599</v>
      </c>
      <c r="F329" s="6">
        <f>[1]Results!I29</f>
        <v>31707.705740000001</v>
      </c>
      <c r="G329" s="6">
        <f>[1]Results!J29</f>
        <v>31758.22797</v>
      </c>
      <c r="H329" s="6">
        <f>[1]Results!K29</f>
        <v>31853.672910000001</v>
      </c>
      <c r="I329" s="6">
        <f>[1]Results!L29</f>
        <v>31972.222559999998</v>
      </c>
      <c r="J329" s="6">
        <f>[1]Results!M29</f>
        <v>32109.359189999999</v>
      </c>
      <c r="K329" s="6">
        <f>[1]Results!N29</f>
        <v>32267.30041</v>
      </c>
      <c r="L329" s="6">
        <f>[1]Results!O29</f>
        <v>32450.01455</v>
      </c>
      <c r="M329" s="6">
        <f>[1]Results!P29</f>
        <v>32666.089319999999</v>
      </c>
      <c r="N329" s="6">
        <f>[1]Results!Q29</f>
        <v>32905.96428</v>
      </c>
      <c r="O329" s="6">
        <f>[1]Results!R29</f>
        <v>33164.613490000003</v>
      </c>
      <c r="P329" s="6">
        <f>[1]Results!S29</f>
        <v>33437.373169999999</v>
      </c>
      <c r="Q329" s="6">
        <f>[1]Results!T29</f>
        <v>33719.2762</v>
      </c>
      <c r="R329" s="6">
        <f>[1]Results!U29</f>
        <v>34006.491929999997</v>
      </c>
      <c r="S329" s="6">
        <f>[1]Results!V29</f>
        <v>34296.452709999998</v>
      </c>
      <c r="T329" s="6">
        <f>[1]Results!W29</f>
        <v>34587.551789999998</v>
      </c>
      <c r="U329" s="6">
        <f>[1]Results!X29</f>
        <v>34878.718540000002</v>
      </c>
      <c r="V329" s="6">
        <f>[1]Results!Y29</f>
        <v>35169.080719999998</v>
      </c>
      <c r="W329" s="6">
        <f>[1]Results!Z29</f>
        <v>35452.721409999998</v>
      </c>
      <c r="X329" s="6">
        <f>[1]Results!AA29</f>
        <v>35735.069219999998</v>
      </c>
      <c r="Y329" s="6">
        <f>[1]Results!AB29</f>
        <v>36016.055699999997</v>
      </c>
      <c r="Z329" s="6">
        <f>[1]Results!AC29</f>
        <v>36294.483650000002</v>
      </c>
      <c r="AA329" s="6">
        <f>[1]Results!AD29</f>
        <v>36569.799550000003</v>
      </c>
      <c r="AB329" s="6">
        <f>[1]Results!AE29</f>
        <v>36826.527479999997</v>
      </c>
      <c r="AC329" s="6">
        <f>[1]Results!AF29</f>
        <v>37077.808230000002</v>
      </c>
      <c r="AD329" s="6">
        <f>[1]Results!AG29</f>
        <v>37326.902069999996</v>
      </c>
      <c r="AE329" s="6">
        <f>[1]Results!AH29</f>
        <v>37573.63222</v>
      </c>
      <c r="AF329" s="6">
        <f>[1]Results!AI29</f>
        <v>37817.344190000003</v>
      </c>
      <c r="AG329" s="6">
        <f>[1]Results!AJ29</f>
        <v>38057.147729999997</v>
      </c>
      <c r="AH329" s="6">
        <f>[1]Results!AK29</f>
        <v>38292.496449999999</v>
      </c>
      <c r="AI329" s="6">
        <f>[1]Results!AL29</f>
        <v>38523.44932</v>
      </c>
      <c r="AJ329" s="6">
        <f>[1]Results!AM29</f>
        <v>38750.591</v>
      </c>
      <c r="AK329" s="6">
        <f>[1]Results!AN29</f>
        <v>38974.733379999998</v>
      </c>
      <c r="AL329" s="6">
        <f>[1]Results!AO29</f>
        <v>39196.573689999997</v>
      </c>
    </row>
    <row r="330" spans="1:38" x14ac:dyDescent="0.3">
      <c r="B330" t="s">
        <v>81</v>
      </c>
      <c r="C330" s="6">
        <f>[1]Results!F45</f>
        <v>1.9359999999999999</v>
      </c>
      <c r="D330" s="6">
        <f>[1]Results!G45</f>
        <v>1.994779514</v>
      </c>
      <c r="E330" s="6">
        <f>[1]Results!H45</f>
        <v>2.064923088</v>
      </c>
      <c r="F330" s="6">
        <f>[1]Results!I45</f>
        <v>2.1409504849999998</v>
      </c>
      <c r="G330" s="6">
        <f>[1]Results!J45</f>
        <v>2.2186847959999998</v>
      </c>
      <c r="H330" s="6">
        <f>[1]Results!K45</f>
        <v>2.2956650189999999</v>
      </c>
      <c r="I330" s="6">
        <f>[1]Results!L45</f>
        <v>2.3703990300000002</v>
      </c>
      <c r="J330" s="6">
        <f>[1]Results!M45</f>
        <v>2.442798732</v>
      </c>
      <c r="K330" s="6">
        <f>[1]Results!N45</f>
        <v>2.5133178420000002</v>
      </c>
      <c r="L330" s="6">
        <f>[1]Results!O45</f>
        <v>2.5825432959999999</v>
      </c>
      <c r="M330" s="6">
        <f>[1]Results!P45</f>
        <v>2.6514393709999999</v>
      </c>
      <c r="N330" s="6">
        <f>[1]Results!Q45</f>
        <v>2.7194415780000001</v>
      </c>
      <c r="O330" s="6">
        <f>[1]Results!R45</f>
        <v>2.7863391489999998</v>
      </c>
      <c r="P330" s="6">
        <f>[1]Results!S45</f>
        <v>2.8519320600000002</v>
      </c>
      <c r="Q330" s="6">
        <f>[1]Results!T45</f>
        <v>2.9159768079999999</v>
      </c>
      <c r="R330" s="6">
        <f>[1]Results!U45</f>
        <v>2.9783081170000001</v>
      </c>
      <c r="S330" s="6">
        <f>[1]Results!V45</f>
        <v>3.038852098</v>
      </c>
      <c r="T330" s="6">
        <f>[1]Results!W45</f>
        <v>3.0976034220000002</v>
      </c>
      <c r="U330" s="6">
        <f>[1]Results!X45</f>
        <v>3.1545916269999998</v>
      </c>
      <c r="V330" s="6">
        <f>[1]Results!Y45</f>
        <v>3.2098540720000002</v>
      </c>
      <c r="W330" s="6">
        <f>[1]Results!Z45</f>
        <v>3.262996271</v>
      </c>
      <c r="X330" s="6">
        <f>[1]Results!AA45</f>
        <v>3.314562859</v>
      </c>
      <c r="Y330" s="6">
        <f>[1]Results!AB45</f>
        <v>3.3646381079999998</v>
      </c>
      <c r="Z330" s="6">
        <f>[1]Results!AC45</f>
        <v>3.4132057470000001</v>
      </c>
      <c r="AA330" s="6">
        <f>[1]Results!AD45</f>
        <v>3.4602967750000002</v>
      </c>
      <c r="AB330" s="6">
        <f>[1]Results!AE45</f>
        <v>3.5046829860000002</v>
      </c>
      <c r="AC330" s="6">
        <f>[1]Results!AF45</f>
        <v>3.5475158769999999</v>
      </c>
      <c r="AD330" s="6">
        <f>[1]Results!AG45</f>
        <v>3.5891308159999999</v>
      </c>
      <c r="AE330" s="6">
        <f>[1]Results!AH45</f>
        <v>3.6295747770000002</v>
      </c>
      <c r="AF330" s="6">
        <f>[1]Results!AI45</f>
        <v>3.6688505060000001</v>
      </c>
      <c r="AG330" s="6">
        <f>[1]Results!AJ45</f>
        <v>3.7069364980000001</v>
      </c>
      <c r="AH330" s="6">
        <f>[1]Results!AK45</f>
        <v>3.7438356530000001</v>
      </c>
      <c r="AI330" s="6">
        <f>[1]Results!AL45</f>
        <v>3.7795979790000001</v>
      </c>
      <c r="AJ330" s="6">
        <f>[1]Results!AM45</f>
        <v>3.8143149059999999</v>
      </c>
      <c r="AK330" s="6">
        <f>[1]Results!AN45</f>
        <v>3.8480950620000001</v>
      </c>
      <c r="AL330" s="6">
        <f>[1]Results!AO45</f>
        <v>3.881035963</v>
      </c>
    </row>
    <row r="331" spans="1:38" x14ac:dyDescent="0.3">
      <c r="B331" t="s">
        <v>82</v>
      </c>
      <c r="C331" s="6">
        <f>[1]Results!F37</f>
        <v>44.765000000000001</v>
      </c>
      <c r="D331" s="6">
        <f>[1]Results!G37</f>
        <v>62.813945330000003</v>
      </c>
      <c r="E331" s="6">
        <f>[1]Results!H37</f>
        <v>81.893474699999999</v>
      </c>
      <c r="F331" s="6">
        <f>[1]Results!I37</f>
        <v>101.68989879999999</v>
      </c>
      <c r="G331" s="6">
        <f>[1]Results!J37</f>
        <v>122.08153040000001</v>
      </c>
      <c r="H331" s="6">
        <f>[1]Results!K37</f>
        <v>143.07070630000001</v>
      </c>
      <c r="I331" s="6">
        <f>[1]Results!L37</f>
        <v>164.62062130000001</v>
      </c>
      <c r="J331" s="6">
        <f>[1]Results!M37</f>
        <v>186.6978264</v>
      </c>
      <c r="K331" s="6">
        <f>[1]Results!N37</f>
        <v>209.2265735</v>
      </c>
      <c r="L331" s="6">
        <f>[1]Results!O37</f>
        <v>232.11311359999999</v>
      </c>
      <c r="M331" s="6">
        <f>[1]Results!P37</f>
        <v>255.3572159</v>
      </c>
      <c r="N331" s="6">
        <f>[1]Results!Q37</f>
        <v>278.82906400000002</v>
      </c>
      <c r="O331" s="6">
        <f>[1]Results!R37</f>
        <v>302.48748219999999</v>
      </c>
      <c r="P331" s="6">
        <f>[1]Results!S37</f>
        <v>326.33548810000002</v>
      </c>
      <c r="Q331" s="6">
        <f>[1]Results!T37</f>
        <v>350.38871139999998</v>
      </c>
      <c r="R331" s="6">
        <f>[1]Results!U37</f>
        <v>374.67833250000001</v>
      </c>
      <c r="S331" s="6">
        <f>[1]Results!V37</f>
        <v>399.24789570000002</v>
      </c>
      <c r="T331" s="6">
        <f>[1]Results!W37</f>
        <v>424.15217660000002</v>
      </c>
      <c r="U331" s="6">
        <f>[1]Results!X37</f>
        <v>449.45760030000002</v>
      </c>
      <c r="V331" s="6">
        <f>[1]Results!Y37</f>
        <v>475.24272760000002</v>
      </c>
      <c r="W331" s="6">
        <f>[1]Results!Z37</f>
        <v>501.51794940000002</v>
      </c>
      <c r="X331" s="6">
        <f>[1]Results!AA37</f>
        <v>528.46263399999998</v>
      </c>
      <c r="Y331" s="6">
        <f>[1]Results!AB37</f>
        <v>556.20534080000004</v>
      </c>
      <c r="Z331" s="6">
        <f>[1]Results!AC37</f>
        <v>584.86314259999995</v>
      </c>
      <c r="AA331" s="6">
        <f>[1]Results!AD37</f>
        <v>614.56115079999995</v>
      </c>
      <c r="AB331" s="6">
        <f>[1]Results!AE37</f>
        <v>645.14346639999997</v>
      </c>
      <c r="AC331" s="6">
        <f>[1]Results!AF37</f>
        <v>676.91713849999996</v>
      </c>
      <c r="AD331" s="6">
        <f>[1]Results!AG37</f>
        <v>710.07249590000004</v>
      </c>
      <c r="AE331" s="6">
        <f>[1]Results!AH37</f>
        <v>744.76973699999996</v>
      </c>
      <c r="AF331" s="6">
        <f>[1]Results!AI37</f>
        <v>781.18605849999994</v>
      </c>
      <c r="AG331" s="6">
        <f>[1]Results!AJ37</f>
        <v>819.50764349999997</v>
      </c>
      <c r="AH331" s="6">
        <f>[1]Results!AK37</f>
        <v>859.93010330000004</v>
      </c>
      <c r="AI331" s="6">
        <f>[1]Results!AL37</f>
        <v>902.65998420000005</v>
      </c>
      <c r="AJ331" s="6">
        <f>[1]Results!AM37</f>
        <v>947.91682969999999</v>
      </c>
      <c r="AK331" s="6">
        <f>[1]Results!AN37</f>
        <v>995.93494190000001</v>
      </c>
      <c r="AL331" s="6">
        <f>[1]Results!AO37</f>
        <v>1046.9642550000001</v>
      </c>
    </row>
    <row r="333" spans="1:38" x14ac:dyDescent="0.3">
      <c r="A333" s="12" t="s">
        <v>64</v>
      </c>
      <c r="B333" s="5" t="str">
        <f>[1]Hybrid!A18</f>
        <v>auto_ca_cfut_2</v>
      </c>
      <c r="C333" s="5">
        <f>[1]Hybrid!B18</f>
        <v>7095.7005250000002</v>
      </c>
      <c r="D333" s="5">
        <f>[1]Hybrid!C18</f>
        <v>7152.3233749999999</v>
      </c>
      <c r="E333" s="5">
        <f>[1]Hybrid!D18</f>
        <v>7260.9426700000004</v>
      </c>
      <c r="F333" s="5">
        <f>[1]Hybrid!E18</f>
        <v>7402.0124539999997</v>
      </c>
      <c r="G333" s="5">
        <f>[1]Hybrid!F18</f>
        <v>7560.4145399999998</v>
      </c>
      <c r="H333" s="5">
        <f>[1]Hybrid!G18</f>
        <v>7727.2612019999997</v>
      </c>
      <c r="I333" s="5">
        <f>[1]Hybrid!H18</f>
        <v>7893.950229</v>
      </c>
      <c r="J333" s="5">
        <f>[1]Hybrid!I18</f>
        <v>8071.4872379999997</v>
      </c>
      <c r="K333" s="5">
        <f>[1]Hybrid!J18</f>
        <v>8273.1090220000006</v>
      </c>
      <c r="L333" s="5">
        <f>[1]Hybrid!K18</f>
        <v>8490.8867129999999</v>
      </c>
      <c r="M333" s="5">
        <f>[1]Hybrid!L18</f>
        <v>8721.4177830000008</v>
      </c>
      <c r="N333" s="5">
        <f>[1]Hybrid!M18</f>
        <v>8954.7588450000003</v>
      </c>
      <c r="O333" s="5">
        <f>[1]Hybrid!N18</f>
        <v>9184.3607709999997</v>
      </c>
      <c r="P333" s="5">
        <f>[1]Hybrid!O18</f>
        <v>9406.7346219999999</v>
      </c>
      <c r="Q333" s="5">
        <f>[1]Hybrid!P18</f>
        <v>9621.0681480000003</v>
      </c>
      <c r="R333" s="5">
        <f>[1]Hybrid!Q18</f>
        <v>9828.8901619999997</v>
      </c>
      <c r="S333" s="5">
        <f>[1]Hybrid!R18</f>
        <v>10032.977360000001</v>
      </c>
      <c r="T333" s="5">
        <f>[1]Hybrid!S18</f>
        <v>10236.18491</v>
      </c>
      <c r="U333" s="5">
        <f>[1]Hybrid!T18</f>
        <v>10440.5676</v>
      </c>
      <c r="V333" s="5">
        <f>[1]Hybrid!U18</f>
        <v>10647.014450000001</v>
      </c>
      <c r="W333" s="5">
        <f>[1]Hybrid!V18</f>
        <v>10853.65552</v>
      </c>
      <c r="X333" s="5">
        <f>[1]Hybrid!W18</f>
        <v>11061.947700000001</v>
      </c>
      <c r="Y333" s="5">
        <f>[1]Hybrid!X18</f>
        <v>11271.261549999999</v>
      </c>
      <c r="Z333" s="5">
        <f>[1]Hybrid!Y18</f>
        <v>11480.790639999999</v>
      </c>
      <c r="AA333" s="5">
        <f>[1]Hybrid!Z18</f>
        <v>11690.249750000001</v>
      </c>
      <c r="AB333" s="5">
        <f>[1]Hybrid!AA18</f>
        <v>11894.22481</v>
      </c>
      <c r="AC333" s="5">
        <f>[1]Hybrid!AB18</f>
        <v>12097.66714</v>
      </c>
      <c r="AD333" s="5">
        <f>[1]Hybrid!AC18</f>
        <v>12301.745559999999</v>
      </c>
      <c r="AE333" s="5">
        <f>[1]Hybrid!AD18</f>
        <v>12506.241459999999</v>
      </c>
      <c r="AF333" s="5">
        <f>[1]Hybrid!AE18</f>
        <v>12710.728950000001</v>
      </c>
      <c r="AG333" s="5">
        <f>[1]Hybrid!AF18</f>
        <v>12914.741770000001</v>
      </c>
      <c r="AH333" s="5">
        <f>[1]Hybrid!AG18</f>
        <v>13118.05393</v>
      </c>
      <c r="AI333" s="5">
        <f>[1]Hybrid!AH18</f>
        <v>13320.798510000001</v>
      </c>
      <c r="AJ333" s="5">
        <f>[1]Hybrid!AI18</f>
        <v>13523.41473</v>
      </c>
      <c r="AK333" s="5">
        <f>[1]Hybrid!AJ18</f>
        <v>13726.484909999999</v>
      </c>
      <c r="AL333" s="5">
        <f>[1]Hybrid!AK18</f>
        <v>13930.550080000001</v>
      </c>
    </row>
    <row r="334" spans="1:38" x14ac:dyDescent="0.3">
      <c r="A334" t="s">
        <v>27</v>
      </c>
      <c r="B334" s="5" t="str">
        <f>[1]Hybrid!A20</f>
        <v>auto_cb_cfut_2</v>
      </c>
      <c r="C334" s="5">
        <f>[1]Hybrid!B20</f>
        <v>8251.256421</v>
      </c>
      <c r="D334" s="5">
        <f>[1]Hybrid!C20</f>
        <v>8192.9547430000002</v>
      </c>
      <c r="E334" s="5">
        <f>[1]Hybrid!D20</f>
        <v>8192.1601879999998</v>
      </c>
      <c r="F334" s="5">
        <f>[1]Hybrid!E20</f>
        <v>8229.3540109999994</v>
      </c>
      <c r="G334" s="5">
        <f>[1]Hybrid!F20</f>
        <v>8289.3841329999996</v>
      </c>
      <c r="H334" s="5">
        <f>[1]Hybrid!G20</f>
        <v>8363.0822530000005</v>
      </c>
      <c r="I334" s="5">
        <f>[1]Hybrid!H20</f>
        <v>8441.1491819999992</v>
      </c>
      <c r="J334" s="5">
        <f>[1]Hybrid!I20</f>
        <v>8532.6269670000001</v>
      </c>
      <c r="K334" s="5">
        <f>[1]Hybrid!J20</f>
        <v>8649.911016</v>
      </c>
      <c r="L334" s="5">
        <f>[1]Hybrid!K20</f>
        <v>8785.2564610000009</v>
      </c>
      <c r="M334" s="5">
        <f>[1]Hybrid!L20</f>
        <v>8935.3907550000004</v>
      </c>
      <c r="N334" s="5">
        <f>[1]Hybrid!M20</f>
        <v>9090.9559079999999</v>
      </c>
      <c r="O334" s="5">
        <f>[1]Hybrid!N20</f>
        <v>9245.6555619999999</v>
      </c>
      <c r="P334" s="5">
        <f>[1]Hybrid!O20</f>
        <v>9395.9406620000009</v>
      </c>
      <c r="Q334" s="5">
        <f>[1]Hybrid!P20</f>
        <v>9540.6544849999991</v>
      </c>
      <c r="R334" s="5">
        <f>[1]Hybrid!Q20</f>
        <v>9680.7748759999995</v>
      </c>
      <c r="S334" s="5">
        <f>[1]Hybrid!R20</f>
        <v>9818.4587699999993</v>
      </c>
      <c r="T334" s="5">
        <f>[1]Hybrid!S20</f>
        <v>9956.0023239999991</v>
      </c>
      <c r="U334" s="5">
        <f>[1]Hybrid!T20</f>
        <v>10095.04602</v>
      </c>
      <c r="V334" s="5">
        <f>[1]Hybrid!U20</f>
        <v>10236.229300000001</v>
      </c>
      <c r="W334" s="5">
        <f>[1]Hybrid!V20</f>
        <v>10377.71521</v>
      </c>
      <c r="X334" s="5">
        <f>[1]Hybrid!W20</f>
        <v>10520.696550000001</v>
      </c>
      <c r="Y334" s="5">
        <f>[1]Hybrid!X20</f>
        <v>10664.486860000001</v>
      </c>
      <c r="Z334" s="5">
        <f>[1]Hybrid!Y20</f>
        <v>10808.21113</v>
      </c>
      <c r="AA334" s="5">
        <f>[1]Hybrid!Z20</f>
        <v>10951.445820000001</v>
      </c>
      <c r="AB334" s="5">
        <f>[1]Hybrid!AA20</f>
        <v>11089.18383</v>
      </c>
      <c r="AC334" s="5">
        <f>[1]Hybrid!AB20</f>
        <v>11225.6662</v>
      </c>
      <c r="AD334" s="5">
        <f>[1]Hybrid!AC20</f>
        <v>11361.849679999999</v>
      </c>
      <c r="AE334" s="5">
        <f>[1]Hybrid!AD20</f>
        <v>11497.475409999999</v>
      </c>
      <c r="AF334" s="5">
        <f>[1]Hybrid!AE20</f>
        <v>11632.107529999999</v>
      </c>
      <c r="AG334" s="5">
        <f>[1]Hybrid!AF20</f>
        <v>11765.259690000001</v>
      </c>
      <c r="AH334" s="5">
        <f>[1]Hybrid!AG20</f>
        <v>11896.632030000001</v>
      </c>
      <c r="AI334" s="5">
        <f>[1]Hybrid!AH20</f>
        <v>12026.21759</v>
      </c>
      <c r="AJ334" s="5">
        <f>[1]Hybrid!AI20</f>
        <v>12154.26669</v>
      </c>
      <c r="AK334" s="5">
        <f>[1]Hybrid!AJ20</f>
        <v>12281.15776</v>
      </c>
      <c r="AL334" s="5">
        <f>[1]Hybrid!AK20</f>
        <v>12407.246580000001</v>
      </c>
    </row>
    <row r="335" spans="1:38" x14ac:dyDescent="0.3">
      <c r="B335" s="5" t="str">
        <f>[1]Hybrid!A22</f>
        <v>auto_cc_cfut_2</v>
      </c>
      <c r="C335" s="5">
        <f>[1]Hybrid!B22</f>
        <v>6777.6024520000001</v>
      </c>
      <c r="D335" s="5">
        <f>[1]Hybrid!C22</f>
        <v>6653.8121849999998</v>
      </c>
      <c r="E335" s="5">
        <f>[1]Hybrid!D22</f>
        <v>6575.5134900000003</v>
      </c>
      <c r="F335" s="5">
        <f>[1]Hybrid!E22</f>
        <v>6528.6449640000001</v>
      </c>
      <c r="G335" s="5">
        <f>[1]Hybrid!F22</f>
        <v>6502.2511020000002</v>
      </c>
      <c r="H335" s="5">
        <f>[1]Hybrid!G22</f>
        <v>6489.5238650000001</v>
      </c>
      <c r="I335" s="5">
        <f>[1]Hybrid!H22</f>
        <v>6483.2986700000001</v>
      </c>
      <c r="J335" s="5">
        <f>[1]Hybrid!I22</f>
        <v>6488.7937419999998</v>
      </c>
      <c r="K335" s="5">
        <f>[1]Hybrid!J22</f>
        <v>6514.356084</v>
      </c>
      <c r="L335" s="5">
        <f>[1]Hybrid!K22</f>
        <v>6554.5171899999996</v>
      </c>
      <c r="M335" s="5">
        <f>[1]Hybrid!L22</f>
        <v>6606.9860790000002</v>
      </c>
      <c r="N335" s="5">
        <f>[1]Hybrid!M22</f>
        <v>6665.3883390000001</v>
      </c>
      <c r="O335" s="5">
        <f>[1]Hybrid!N22</f>
        <v>6725.3403639999997</v>
      </c>
      <c r="P335" s="5">
        <f>[1]Hybrid!O22</f>
        <v>6784.2373950000001</v>
      </c>
      <c r="Q335" s="5">
        <f>[1]Hybrid!P22</f>
        <v>6841.0180650000002</v>
      </c>
      <c r="R335" s="5">
        <f>[1]Hybrid!Q22</f>
        <v>6896.0285759999997</v>
      </c>
      <c r="S335" s="5">
        <f>[1]Hybrid!R22</f>
        <v>6950.4223979999997</v>
      </c>
      <c r="T335" s="5">
        <f>[1]Hybrid!S22</f>
        <v>7005.4934309999999</v>
      </c>
      <c r="U335" s="5">
        <f>[1]Hybrid!T22</f>
        <v>7062.1563740000001</v>
      </c>
      <c r="V335" s="5">
        <f>[1]Hybrid!U22</f>
        <v>7120.7103989999996</v>
      </c>
      <c r="W335" s="5">
        <f>[1]Hybrid!V22</f>
        <v>7179.853239</v>
      </c>
      <c r="X335" s="5">
        <f>[1]Hybrid!W22</f>
        <v>7240.2748979999997</v>
      </c>
      <c r="Y335" s="5">
        <f>[1]Hybrid!X22</f>
        <v>7301.4456339999997</v>
      </c>
      <c r="Z335" s="5">
        <f>[1]Hybrid!Y22</f>
        <v>7362.6963770000002</v>
      </c>
      <c r="AA335" s="5">
        <f>[1]Hybrid!Z22</f>
        <v>7423.6421829999999</v>
      </c>
      <c r="AB335" s="5">
        <f>[1]Hybrid!AA22</f>
        <v>7480.944896</v>
      </c>
      <c r="AC335" s="5">
        <f>[1]Hybrid!AB22</f>
        <v>7537.2229100000004</v>
      </c>
      <c r="AD335" s="5">
        <f>[1]Hybrid!AC22</f>
        <v>7593.0386859999999</v>
      </c>
      <c r="AE335" s="5">
        <f>[1]Hybrid!AD22</f>
        <v>7648.1873999999998</v>
      </c>
      <c r="AF335" s="5">
        <f>[1]Hybrid!AE22</f>
        <v>7702.3564699999997</v>
      </c>
      <c r="AG335" s="5">
        <f>[1]Hybrid!AF22</f>
        <v>7755.1933429999999</v>
      </c>
      <c r="AH335" s="5">
        <f>[1]Hybrid!AG22</f>
        <v>7806.4501899999996</v>
      </c>
      <c r="AI335" s="5">
        <f>[1]Hybrid!AH22</f>
        <v>7856.0531019999999</v>
      </c>
      <c r="AJ335" s="5">
        <f>[1]Hybrid!AI22</f>
        <v>7904.0863959999997</v>
      </c>
      <c r="AK335" s="5">
        <f>[1]Hybrid!AJ22</f>
        <v>7950.7192100000002</v>
      </c>
      <c r="AL335" s="5">
        <f>[1]Hybrid!AK22</f>
        <v>7996.1165959999998</v>
      </c>
    </row>
    <row r="336" spans="1:38" x14ac:dyDescent="0.3">
      <c r="B336" s="5" t="str">
        <f>[1]Hybrid!A24</f>
        <v>auto_cd_cfut_2</v>
      </c>
      <c r="C336" s="5">
        <f>[1]Hybrid!B24</f>
        <v>4159.6639080000004</v>
      </c>
      <c r="D336" s="5">
        <f>[1]Hybrid!C24</f>
        <v>4058.5300339999999</v>
      </c>
      <c r="E336" s="5">
        <f>[1]Hybrid!D24</f>
        <v>3983.1642830000001</v>
      </c>
      <c r="F336" s="5">
        <f>[1]Hybrid!E24</f>
        <v>3925.5117650000002</v>
      </c>
      <c r="G336" s="5">
        <f>[1]Hybrid!F24</f>
        <v>3879.369897</v>
      </c>
      <c r="H336" s="5">
        <f>[1]Hybrid!G24</f>
        <v>3840.7758170000002</v>
      </c>
      <c r="I336" s="5">
        <f>[1]Hybrid!H24</f>
        <v>3804.8449329999999</v>
      </c>
      <c r="J336" s="5">
        <f>[1]Hybrid!I24</f>
        <v>3772.7394749999999</v>
      </c>
      <c r="K336" s="5">
        <f>[1]Hybrid!J24</f>
        <v>3749.2717360000001</v>
      </c>
      <c r="L336" s="5">
        <f>[1]Hybrid!K24</f>
        <v>3731.815384</v>
      </c>
      <c r="M336" s="5">
        <f>[1]Hybrid!L24</f>
        <v>3719.636677</v>
      </c>
      <c r="N336" s="5">
        <f>[1]Hybrid!M24</f>
        <v>3709.9881260000002</v>
      </c>
      <c r="O336" s="5">
        <f>[1]Hybrid!N24</f>
        <v>3700.8971080000001</v>
      </c>
      <c r="P336" s="5">
        <f>[1]Hybrid!O24</f>
        <v>3691.0706740000001</v>
      </c>
      <c r="Q336" s="5">
        <f>[1]Hybrid!P24</f>
        <v>3679.7935779999998</v>
      </c>
      <c r="R336" s="5">
        <f>[1]Hybrid!Q24</f>
        <v>3666.9507899999999</v>
      </c>
      <c r="S336" s="5">
        <f>[1]Hybrid!R24</f>
        <v>3652.8305519999999</v>
      </c>
      <c r="T336" s="5">
        <f>[1]Hybrid!S24</f>
        <v>3637.8692599999999</v>
      </c>
      <c r="U336" s="5">
        <f>[1]Hybrid!T24</f>
        <v>3622.4274700000001</v>
      </c>
      <c r="V336" s="5">
        <f>[1]Hybrid!U24</f>
        <v>3606.6641129999998</v>
      </c>
      <c r="W336" s="5">
        <f>[1]Hybrid!V24</f>
        <v>3590.0673790000001</v>
      </c>
      <c r="X336" s="5">
        <f>[1]Hybrid!W24</f>
        <v>3572.9901380000001</v>
      </c>
      <c r="Y336" s="5">
        <f>[1]Hybrid!X24</f>
        <v>3555.2644220000002</v>
      </c>
      <c r="Z336" s="5">
        <f>[1]Hybrid!Y24</f>
        <v>3536.6199369999999</v>
      </c>
      <c r="AA336" s="5">
        <f>[1]Hybrid!Z24</f>
        <v>3516.8795770000002</v>
      </c>
      <c r="AB336" s="5">
        <f>[1]Hybrid!AA24</f>
        <v>3494.666236</v>
      </c>
      <c r="AC336" s="5">
        <f>[1]Hybrid!AB24</f>
        <v>3470.9990739999998</v>
      </c>
      <c r="AD336" s="5">
        <f>[1]Hybrid!AC24</f>
        <v>3446.1681060000001</v>
      </c>
      <c r="AE336" s="5">
        <f>[1]Hybrid!AD24</f>
        <v>3420.1719979999998</v>
      </c>
      <c r="AF336" s="5">
        <f>[1]Hybrid!AE24</f>
        <v>3392.9685479999998</v>
      </c>
      <c r="AG336" s="5">
        <f>[1]Hybrid!AF24</f>
        <v>3364.4806589999998</v>
      </c>
      <c r="AH336" s="5">
        <f>[1]Hybrid!AG24</f>
        <v>3334.644053</v>
      </c>
      <c r="AI336" s="5">
        <f>[1]Hybrid!AH24</f>
        <v>3303.4384</v>
      </c>
      <c r="AJ336" s="5">
        <f>[1]Hybrid!AI24</f>
        <v>3270.8938440000002</v>
      </c>
      <c r="AK336" s="5">
        <f>[1]Hybrid!AJ24</f>
        <v>3237.0769540000001</v>
      </c>
      <c r="AL336" s="5">
        <f>[1]Hybrid!AK24</f>
        <v>3202.0668479999999</v>
      </c>
    </row>
    <row r="337" spans="2:38" x14ac:dyDescent="0.3">
      <c r="B337" s="5" t="str">
        <f>[1]Hybrid!A26</f>
        <v>auto_ce_cfut_2</v>
      </c>
      <c r="C337" s="5">
        <f>[1]Hybrid!B26</f>
        <v>2503.7292430000002</v>
      </c>
      <c r="D337" s="5">
        <f>[1]Hybrid!C26</f>
        <v>2445.168909</v>
      </c>
      <c r="E337" s="5">
        <f>[1]Hybrid!D26</f>
        <v>2401.094321</v>
      </c>
      <c r="F337" s="5">
        <f>[1]Hybrid!E26</f>
        <v>2366.542046</v>
      </c>
      <c r="G337" s="5">
        <f>[1]Hybrid!F26</f>
        <v>2337.747762</v>
      </c>
      <c r="H337" s="5">
        <f>[1]Hybrid!G26</f>
        <v>2312.2899480000001</v>
      </c>
      <c r="I337" s="5">
        <f>[1]Hybrid!H26</f>
        <v>2286.8398820000002</v>
      </c>
      <c r="J337" s="5">
        <f>[1]Hybrid!I26</f>
        <v>2261.446183</v>
      </c>
      <c r="K337" s="5">
        <f>[1]Hybrid!J26</f>
        <v>2239.3014189999999</v>
      </c>
      <c r="L337" s="5">
        <f>[1]Hybrid!K26</f>
        <v>2219.1307240000001</v>
      </c>
      <c r="M337" s="5">
        <f>[1]Hybrid!L26</f>
        <v>2200.8412910000002</v>
      </c>
      <c r="N337" s="5">
        <f>[1]Hybrid!M26</f>
        <v>2183.1938599999999</v>
      </c>
      <c r="O337" s="5">
        <f>[1]Hybrid!N26</f>
        <v>2165.257208</v>
      </c>
      <c r="P337" s="5">
        <f>[1]Hybrid!O26</f>
        <v>2146.373728</v>
      </c>
      <c r="Q337" s="5">
        <f>[1]Hybrid!P26</f>
        <v>2126.1218600000002</v>
      </c>
      <c r="R337" s="5">
        <f>[1]Hybrid!Q26</f>
        <v>2104.3770330000002</v>
      </c>
      <c r="S337" s="5">
        <f>[1]Hybrid!R26</f>
        <v>2081.2484129999998</v>
      </c>
      <c r="T337" s="5">
        <f>[1]Hybrid!S26</f>
        <v>2056.9664120000002</v>
      </c>
      <c r="U337" s="5">
        <f>[1]Hybrid!T26</f>
        <v>2031.766903</v>
      </c>
      <c r="V337" s="5">
        <f>[1]Hybrid!U26</f>
        <v>2005.8128850000001</v>
      </c>
      <c r="W337" s="5">
        <f>[1]Hybrid!V26</f>
        <v>1978.9419109999999</v>
      </c>
      <c r="X337" s="5">
        <f>[1]Hybrid!W26</f>
        <v>1951.411926</v>
      </c>
      <c r="Y337" s="5">
        <f>[1]Hybrid!X26</f>
        <v>1923.221849</v>
      </c>
      <c r="Z337" s="5">
        <f>[1]Hybrid!Y26</f>
        <v>1894.299395</v>
      </c>
      <c r="AA337" s="5">
        <f>[1]Hybrid!Z26</f>
        <v>1864.6042649999999</v>
      </c>
      <c r="AB337" s="5">
        <f>[1]Hybrid!AA26</f>
        <v>1833.5391609999999</v>
      </c>
      <c r="AC337" s="5">
        <f>[1]Hybrid!AB26</f>
        <v>1801.60934</v>
      </c>
      <c r="AD337" s="5">
        <f>[1]Hybrid!AC26</f>
        <v>1769.0189680000001</v>
      </c>
      <c r="AE337" s="5">
        <f>[1]Hybrid!AD26</f>
        <v>1735.8405379999999</v>
      </c>
      <c r="AF337" s="5">
        <f>[1]Hybrid!AE26</f>
        <v>1702.124247</v>
      </c>
      <c r="AG337" s="5">
        <f>[1]Hybrid!AF26</f>
        <v>1667.894182</v>
      </c>
      <c r="AH337" s="5">
        <f>[1]Hybrid!AG26</f>
        <v>1633.168083</v>
      </c>
      <c r="AI337" s="5">
        <f>[1]Hybrid!AH26</f>
        <v>1597.974003</v>
      </c>
      <c r="AJ337" s="5">
        <f>[1]Hybrid!AI26</f>
        <v>1562.3580489999999</v>
      </c>
      <c r="AK337" s="5">
        <f>[1]Hybrid!AJ26</f>
        <v>1526.382703</v>
      </c>
      <c r="AL337" s="5">
        <f>[1]Hybrid!AK26</f>
        <v>1490.1189690000001</v>
      </c>
    </row>
    <row r="338" spans="2:38" x14ac:dyDescent="0.3">
      <c r="B338" s="5" t="str">
        <f>[1]Hybrid!A28</f>
        <v>auto_cf_cfut_2</v>
      </c>
      <c r="C338" s="5">
        <f>[1]Hybrid!B28</f>
        <v>1243.6668460000001</v>
      </c>
      <c r="D338" s="5">
        <f>[1]Hybrid!C28</f>
        <v>1211.7160160000001</v>
      </c>
      <c r="E338" s="5">
        <f>[1]Hybrid!D28</f>
        <v>1185.2758690000001</v>
      </c>
      <c r="F338" s="5">
        <f>[1]Hybrid!E28</f>
        <v>1161.9256499999999</v>
      </c>
      <c r="G338" s="5">
        <f>[1]Hybrid!F28</f>
        <v>1139.9346290000001</v>
      </c>
      <c r="H338" s="5">
        <f>[1]Hybrid!G28</f>
        <v>1118.183338</v>
      </c>
      <c r="I338" s="5">
        <f>[1]Hybrid!H28</f>
        <v>1094.686655</v>
      </c>
      <c r="J338" s="5">
        <f>[1]Hybrid!I28</f>
        <v>1068.7417089999999</v>
      </c>
      <c r="K338" s="5">
        <f>[1]Hybrid!J28</f>
        <v>1042.2839799999999</v>
      </c>
      <c r="L338" s="5">
        <f>[1]Hybrid!K28</f>
        <v>1015.259023</v>
      </c>
      <c r="M338" s="5">
        <f>[1]Hybrid!L28</f>
        <v>988.12620330000004</v>
      </c>
      <c r="N338" s="5">
        <f>[1]Hybrid!M28</f>
        <v>960.87781949999999</v>
      </c>
      <c r="O338" s="5">
        <f>[1]Hybrid!N28</f>
        <v>933.44176689999995</v>
      </c>
      <c r="P338" s="5">
        <f>[1]Hybrid!O28</f>
        <v>905.71106769999994</v>
      </c>
      <c r="Q338" s="5">
        <f>[1]Hybrid!P28</f>
        <v>877.5693066</v>
      </c>
      <c r="R338" s="5">
        <f>[1]Hybrid!Q28</f>
        <v>848.97066819999998</v>
      </c>
      <c r="S338" s="5">
        <f>[1]Hybrid!R28</f>
        <v>819.96431789999997</v>
      </c>
      <c r="T338" s="5">
        <f>[1]Hybrid!S28</f>
        <v>790.67721400000005</v>
      </c>
      <c r="U338" s="5">
        <f>[1]Hybrid!T28</f>
        <v>761.27419910000003</v>
      </c>
      <c r="V338" s="5">
        <f>[1]Hybrid!U28</f>
        <v>731.91832390000002</v>
      </c>
      <c r="W338" s="5">
        <f>[1]Hybrid!V28</f>
        <v>702.69396270000004</v>
      </c>
      <c r="X338" s="5">
        <f>[1]Hybrid!W28</f>
        <v>673.76227979999999</v>
      </c>
      <c r="Y338" s="5">
        <f>[1]Hybrid!X28</f>
        <v>645.21455760000003</v>
      </c>
      <c r="Z338" s="5">
        <f>[1]Hybrid!Y28</f>
        <v>617.10411290000002</v>
      </c>
      <c r="AA338" s="5">
        <f>[1]Hybrid!Z28</f>
        <v>589.47590439999999</v>
      </c>
      <c r="AB338" s="5">
        <f>[1]Hybrid!AA28</f>
        <v>562.27099639999994</v>
      </c>
      <c r="AC338" s="5">
        <f>[1]Hybrid!AB28</f>
        <v>535.61557470000002</v>
      </c>
      <c r="AD338" s="5">
        <f>[1]Hybrid!AC28</f>
        <v>509.59434570000002</v>
      </c>
      <c r="AE338" s="5">
        <f>[1]Hybrid!AD28</f>
        <v>484.26269580000002</v>
      </c>
      <c r="AF338" s="5">
        <f>[1]Hybrid!AE28</f>
        <v>459.66306429999997</v>
      </c>
      <c r="AG338" s="5">
        <f>[1]Hybrid!AF28</f>
        <v>435.82284170000003</v>
      </c>
      <c r="AH338" s="5">
        <f>[1]Hybrid!AG28</f>
        <v>412.75844740000002</v>
      </c>
      <c r="AI338" s="5">
        <f>[1]Hybrid!AH28</f>
        <v>390.4802689</v>
      </c>
      <c r="AJ338" s="5">
        <f>[1]Hybrid!AI28</f>
        <v>368.99629019999998</v>
      </c>
      <c r="AK338" s="5">
        <f>[1]Hybrid!AJ28</f>
        <v>348.31355550000001</v>
      </c>
      <c r="AL338" s="5">
        <f>[1]Hybrid!AK28</f>
        <v>328.43779990000002</v>
      </c>
    </row>
    <row r="339" spans="2:38" x14ac:dyDescent="0.3">
      <c r="B339" s="5" t="str">
        <f>[1]Hybrid!A30</f>
        <v>auto_cg_cfut_2</v>
      </c>
      <c r="C339" s="5">
        <f>[1]Hybrid!B30</f>
        <v>2239.620606</v>
      </c>
      <c r="D339" s="5">
        <f>[1]Hybrid!C30</f>
        <v>2185.306388</v>
      </c>
      <c r="E339" s="5">
        <f>[1]Hybrid!D30</f>
        <v>2138.1351690000001</v>
      </c>
      <c r="F339" s="5">
        <f>[1]Hybrid!E30</f>
        <v>2093.714845</v>
      </c>
      <c r="G339" s="5">
        <f>[1]Hybrid!F30</f>
        <v>2049.1259100000002</v>
      </c>
      <c r="H339" s="5">
        <f>[1]Hybrid!G30</f>
        <v>2002.556482</v>
      </c>
      <c r="I339" s="5">
        <f>[1]Hybrid!H30</f>
        <v>1950.150484</v>
      </c>
      <c r="J339" s="5">
        <f>[1]Hybrid!I30</f>
        <v>1890.2664970000001</v>
      </c>
      <c r="K339" s="5">
        <f>[1]Hybrid!J30</f>
        <v>1827.194735</v>
      </c>
      <c r="L339" s="5">
        <f>[1]Hybrid!K30</f>
        <v>1761.7255560000001</v>
      </c>
      <c r="M339" s="5">
        <f>[1]Hybrid!L30</f>
        <v>1695.375894</v>
      </c>
      <c r="N339" s="5">
        <f>[1]Hybrid!M30</f>
        <v>1628.814482</v>
      </c>
      <c r="O339" s="5">
        <f>[1]Hybrid!N30</f>
        <v>1562.36157</v>
      </c>
      <c r="P339" s="5">
        <f>[1]Hybrid!O30</f>
        <v>1496.113065</v>
      </c>
      <c r="Q339" s="5">
        <f>[1]Hybrid!P30</f>
        <v>1430.04574</v>
      </c>
      <c r="R339" s="5">
        <f>[1]Hybrid!Q30</f>
        <v>1364.1982949999999</v>
      </c>
      <c r="S339" s="5">
        <f>[1]Hybrid!R30</f>
        <v>1298.744402</v>
      </c>
      <c r="T339" s="5">
        <f>[1]Hybrid!S30</f>
        <v>1233.9761579999999</v>
      </c>
      <c r="U339" s="5">
        <f>[1]Hybrid!T30</f>
        <v>1170.238724</v>
      </c>
      <c r="V339" s="5">
        <f>[1]Hybrid!U30</f>
        <v>1107.8624179999999</v>
      </c>
      <c r="W339" s="5">
        <f>[1]Hybrid!V30</f>
        <v>1047.0697740000001</v>
      </c>
      <c r="X339" s="5">
        <f>[1]Hybrid!W30</f>
        <v>988.11680509999997</v>
      </c>
      <c r="Y339" s="5">
        <f>[1]Hybrid!X30</f>
        <v>931.16091180000001</v>
      </c>
      <c r="Z339" s="5">
        <f>[1]Hybrid!Y30</f>
        <v>876.29087379999999</v>
      </c>
      <c r="AA339" s="5">
        <f>[1]Hybrid!Z30</f>
        <v>823.56336020000003</v>
      </c>
      <c r="AB339" s="5">
        <f>[1]Hybrid!AA30</f>
        <v>772.93891399999995</v>
      </c>
      <c r="AC339" s="5">
        <f>[1]Hybrid!AB30</f>
        <v>724.50361439999995</v>
      </c>
      <c r="AD339" s="5">
        <f>[1]Hybrid!AC30</f>
        <v>678.30508550000002</v>
      </c>
      <c r="AE339" s="5">
        <f>[1]Hybrid!AD30</f>
        <v>634.35501150000005</v>
      </c>
      <c r="AF339" s="5">
        <f>[1]Hybrid!AE30</f>
        <v>592.64244810000002</v>
      </c>
      <c r="AG339" s="5">
        <f>[1]Hybrid!AF30</f>
        <v>553.13444419999996</v>
      </c>
      <c r="AH339" s="5">
        <f>[1]Hybrid!AG30</f>
        <v>515.78177600000004</v>
      </c>
      <c r="AI339" s="5">
        <f>[1]Hybrid!AH30</f>
        <v>480.5250853</v>
      </c>
      <c r="AJ339" s="5">
        <f>[1]Hybrid!AI30</f>
        <v>447.29940699999997</v>
      </c>
      <c r="AK339" s="5">
        <f>[1]Hybrid!AJ30</f>
        <v>416.03651939999997</v>
      </c>
      <c r="AL339" s="5">
        <f>[1]Hybrid!AK30</f>
        <v>386.66563619999999</v>
      </c>
    </row>
    <row r="340" spans="2:38" x14ac:dyDescent="0.3">
      <c r="B340" s="5" t="str">
        <f>[1]Hybrid!A32</f>
        <v>auto_ca_cele_2</v>
      </c>
      <c r="C340" s="5">
        <f>[1]Hybrid!B32</f>
        <v>9.8427898650000003</v>
      </c>
      <c r="D340" s="5">
        <f>[1]Hybrid!C32</f>
        <v>15.096532099999999</v>
      </c>
      <c r="E340" s="5">
        <f>[1]Hybrid!D32</f>
        <v>20.694101230000001</v>
      </c>
      <c r="F340" s="5">
        <f>[1]Hybrid!E32</f>
        <v>26.56306378</v>
      </c>
      <c r="G340" s="5">
        <f>[1]Hybrid!F32</f>
        <v>32.686350930000003</v>
      </c>
      <c r="H340" s="5">
        <f>[1]Hybrid!G32</f>
        <v>39.081691839999998</v>
      </c>
      <c r="I340" s="5">
        <f>[1]Hybrid!H32</f>
        <v>45.610782780000001</v>
      </c>
      <c r="J340" s="5">
        <f>[1]Hybrid!I32</f>
        <v>52.039906190000004</v>
      </c>
      <c r="K340" s="5">
        <f>[1]Hybrid!J32</f>
        <v>58.389602050000001</v>
      </c>
      <c r="L340" s="5">
        <f>[1]Hybrid!K32</f>
        <v>64.513917789999994</v>
      </c>
      <c r="M340" s="5">
        <f>[1]Hybrid!L32</f>
        <v>70.419293600000003</v>
      </c>
      <c r="N340" s="5">
        <f>[1]Hybrid!M32</f>
        <v>76.140145239999995</v>
      </c>
      <c r="O340" s="5">
        <f>[1]Hybrid!N32</f>
        <v>81.76636628</v>
      </c>
      <c r="P340" s="5">
        <f>[1]Hybrid!O32</f>
        <v>87.393910140000003</v>
      </c>
      <c r="Q340" s="5">
        <f>[1]Hybrid!P32</f>
        <v>93.088096770000007</v>
      </c>
      <c r="R340" s="5">
        <f>[1]Hybrid!Q32</f>
        <v>98.876916710000003</v>
      </c>
      <c r="S340" s="5">
        <f>[1]Hybrid!R32</f>
        <v>104.7578594</v>
      </c>
      <c r="T340" s="5">
        <f>[1]Hybrid!S32</f>
        <v>110.7113901</v>
      </c>
      <c r="U340" s="5">
        <f>[1]Hybrid!T32</f>
        <v>116.7139006</v>
      </c>
      <c r="V340" s="5">
        <f>[1]Hybrid!U32</f>
        <v>122.7467302</v>
      </c>
      <c r="W340" s="5">
        <f>[1]Hybrid!V32</f>
        <v>128.78063940000001</v>
      </c>
      <c r="X340" s="5">
        <f>[1]Hybrid!W32</f>
        <v>134.83354890000001</v>
      </c>
      <c r="Y340" s="5">
        <f>[1]Hybrid!X32</f>
        <v>140.91575359999999</v>
      </c>
      <c r="Z340" s="5">
        <f>[1]Hybrid!Y32</f>
        <v>147.03587110000001</v>
      </c>
      <c r="AA340" s="5">
        <f>[1]Hybrid!Z32</f>
        <v>153.202583</v>
      </c>
      <c r="AB340" s="5">
        <f>[1]Hybrid!AA32</f>
        <v>159.35738789999999</v>
      </c>
      <c r="AC340" s="5">
        <f>[1]Hybrid!AB32</f>
        <v>165.54172610000001</v>
      </c>
      <c r="AD340" s="5">
        <f>[1]Hybrid!AC32</f>
        <v>171.7721956</v>
      </c>
      <c r="AE340" s="5">
        <f>[1]Hybrid!AD32</f>
        <v>178.06109219999999</v>
      </c>
      <c r="AF340" s="5">
        <f>[1]Hybrid!AE32</f>
        <v>184.4277218</v>
      </c>
      <c r="AG340" s="5">
        <f>[1]Hybrid!AF32</f>
        <v>190.8944171</v>
      </c>
      <c r="AH340" s="5">
        <f>[1]Hybrid!AG32</f>
        <v>197.48365380000001</v>
      </c>
      <c r="AI340" s="5">
        <f>[1]Hybrid!AH32</f>
        <v>204.21593329999999</v>
      </c>
      <c r="AJ340" s="5">
        <f>[1]Hybrid!AI32</f>
        <v>211.1091911</v>
      </c>
      <c r="AK340" s="5">
        <f>[1]Hybrid!AJ32</f>
        <v>218.1796109</v>
      </c>
      <c r="AL340" s="5">
        <f>[1]Hybrid!AK32</f>
        <v>225.443163</v>
      </c>
    </row>
    <row r="341" spans="2:38" x14ac:dyDescent="0.3">
      <c r="B341" s="5" t="str">
        <f>[1]Hybrid!A34</f>
        <v>auto_cb_cele_2</v>
      </c>
      <c r="C341" s="5">
        <f>[1]Hybrid!B34</f>
        <v>11.44571741</v>
      </c>
      <c r="D341" s="5">
        <f>[1]Hybrid!C34</f>
        <v>16.40505563</v>
      </c>
      <c r="E341" s="5">
        <f>[1]Hybrid!D34</f>
        <v>21.689893999999999</v>
      </c>
      <c r="F341" s="5">
        <f>[1]Hybrid!E34</f>
        <v>27.234514709999999</v>
      </c>
      <c r="G341" s="5">
        <f>[1]Hybrid!F34</f>
        <v>33.027823429999998</v>
      </c>
      <c r="H341" s="5">
        <f>[1]Hybrid!G34</f>
        <v>39.090260639999997</v>
      </c>
      <c r="I341" s="5">
        <f>[1]Hybrid!H34</f>
        <v>45.275960679999997</v>
      </c>
      <c r="J341" s="5">
        <f>[1]Hybrid!I34</f>
        <v>51.335236999999999</v>
      </c>
      <c r="K341" s="5">
        <f>[1]Hybrid!J34</f>
        <v>57.283341999999998</v>
      </c>
      <c r="L341" s="5">
        <f>[1]Hybrid!K34</f>
        <v>62.979537020000002</v>
      </c>
      <c r="M341" s="5">
        <f>[1]Hybrid!L34</f>
        <v>68.435096819999998</v>
      </c>
      <c r="N341" s="5">
        <f>[1]Hybrid!M34</f>
        <v>73.691865449999995</v>
      </c>
      <c r="O341" s="5">
        <f>[1]Hybrid!N34</f>
        <v>78.843201960000002</v>
      </c>
      <c r="P341" s="5">
        <f>[1]Hybrid!O34</f>
        <v>83.985013949999995</v>
      </c>
      <c r="Q341" s="5">
        <f>[1]Hybrid!P34</f>
        <v>89.179891310000002</v>
      </c>
      <c r="R341" s="5">
        <f>[1]Hybrid!Q34</f>
        <v>94.451449319999995</v>
      </c>
      <c r="S341" s="5">
        <f>[1]Hybrid!R34</f>
        <v>99.792534040000007</v>
      </c>
      <c r="T341" s="5">
        <f>[1]Hybrid!S34</f>
        <v>105.17981829999999</v>
      </c>
      <c r="U341" s="5">
        <f>[1]Hybrid!T34</f>
        <v>110.58727949999999</v>
      </c>
      <c r="V341" s="5">
        <f>[1]Hybrid!U34</f>
        <v>115.9950822</v>
      </c>
      <c r="W341" s="5">
        <f>[1]Hybrid!V34</f>
        <v>121.3749418</v>
      </c>
      <c r="X341" s="5">
        <f>[1]Hybrid!W34</f>
        <v>126.7425932</v>
      </c>
      <c r="Y341" s="5">
        <f>[1]Hybrid!X34</f>
        <v>132.1072983</v>
      </c>
      <c r="Z341" s="5">
        <f>[1]Hybrid!Y34</f>
        <v>137.476282</v>
      </c>
      <c r="AA341" s="5">
        <f>[1]Hybrid!Z34</f>
        <v>142.85615089999999</v>
      </c>
      <c r="AB341" s="5">
        <f>[1]Hybrid!AA34</f>
        <v>148.1919594</v>
      </c>
      <c r="AC341" s="5">
        <f>[1]Hybrid!AB34</f>
        <v>153.51860379999999</v>
      </c>
      <c r="AD341" s="5">
        <f>[1]Hybrid!AC34</f>
        <v>158.84989809999999</v>
      </c>
      <c r="AE341" s="5">
        <f>[1]Hybrid!AD34</f>
        <v>164.196257</v>
      </c>
      <c r="AF341" s="5">
        <f>[1]Hybrid!AE34</f>
        <v>169.57455049999999</v>
      </c>
      <c r="AG341" s="5">
        <f>[1]Hybrid!AF34</f>
        <v>175.00398139999999</v>
      </c>
      <c r="AH341" s="5">
        <f>[1]Hybrid!AG34</f>
        <v>180.50313009999999</v>
      </c>
      <c r="AI341" s="5">
        <f>[1]Hybrid!AH34</f>
        <v>186.0879851</v>
      </c>
      <c r="AJ341" s="5">
        <f>[1]Hybrid!AI34</f>
        <v>191.7715901</v>
      </c>
      <c r="AK341" s="5">
        <f>[1]Hybrid!AJ34</f>
        <v>197.5650589</v>
      </c>
      <c r="AL341" s="5">
        <f>[1]Hybrid!AK34</f>
        <v>203.4791889</v>
      </c>
    </row>
    <row r="342" spans="2:38" x14ac:dyDescent="0.3">
      <c r="B342" s="5" t="str">
        <f>[1]Hybrid!A36</f>
        <v>auto_cc_cele_2</v>
      </c>
      <c r="C342" s="5">
        <f>[1]Hybrid!B36</f>
        <v>9.4015406210000005</v>
      </c>
      <c r="D342" s="5">
        <f>[1]Hybrid!C36</f>
        <v>12.7719118</v>
      </c>
      <c r="E342" s="5">
        <f>[1]Hybrid!D36</f>
        <v>16.36451271</v>
      </c>
      <c r="F342" s="5">
        <f>[1]Hybrid!E36</f>
        <v>20.136260459999999</v>
      </c>
      <c r="G342" s="5">
        <f>[1]Hybrid!F36</f>
        <v>24.082802340000001</v>
      </c>
      <c r="H342" s="5">
        <f>[1]Hybrid!G36</f>
        <v>28.220331699999999</v>
      </c>
      <c r="I342" s="5">
        <f>[1]Hybrid!H36</f>
        <v>32.439058430000003</v>
      </c>
      <c r="J342" s="5">
        <f>[1]Hybrid!I36</f>
        <v>36.549849420000001</v>
      </c>
      <c r="K342" s="5">
        <f>[1]Hybrid!J36</f>
        <v>40.560680380000001</v>
      </c>
      <c r="L342" s="5">
        <f>[1]Hybrid!K36</f>
        <v>44.37415</v>
      </c>
      <c r="M342" s="5">
        <f>[1]Hybrid!L36</f>
        <v>48.001544529999997</v>
      </c>
      <c r="N342" s="5">
        <f>[1]Hybrid!M36</f>
        <v>51.477457770000001</v>
      </c>
      <c r="O342" s="5">
        <f>[1]Hybrid!N36</f>
        <v>54.870818389999997</v>
      </c>
      <c r="P342" s="5">
        <f>[1]Hybrid!O36</f>
        <v>58.250157889999997</v>
      </c>
      <c r="Q342" s="5">
        <f>[1]Hybrid!P36</f>
        <v>61.658504819999997</v>
      </c>
      <c r="R342" s="5">
        <f>[1]Hybrid!Q36</f>
        <v>65.110027639999998</v>
      </c>
      <c r="S342" s="5">
        <f>[1]Hybrid!R36</f>
        <v>68.596779400000003</v>
      </c>
      <c r="T342" s="5">
        <f>[1]Hybrid!S36</f>
        <v>72.099826699999994</v>
      </c>
      <c r="U342" s="5">
        <f>[1]Hybrid!T36</f>
        <v>75.599190190000002</v>
      </c>
      <c r="V342" s="5">
        <f>[1]Hybrid!U36</f>
        <v>79.080080649999999</v>
      </c>
      <c r="W342" s="5">
        <f>[1]Hybrid!V36</f>
        <v>82.522949199999999</v>
      </c>
      <c r="X342" s="5">
        <f>[1]Hybrid!W36</f>
        <v>85.937813989999995</v>
      </c>
      <c r="Y342" s="5">
        <f>[1]Hybrid!X36</f>
        <v>89.330737600000006</v>
      </c>
      <c r="Z342" s="5">
        <f>[1]Hybrid!Y36</f>
        <v>92.706116370000004</v>
      </c>
      <c r="AA342" s="5">
        <f>[1]Hybrid!Z36</f>
        <v>96.067519430000004</v>
      </c>
      <c r="AB342" s="5">
        <f>[1]Hybrid!AA36</f>
        <v>99.377977689999994</v>
      </c>
      <c r="AC342" s="5">
        <f>[1]Hybrid!AB36</f>
        <v>102.65867919999999</v>
      </c>
      <c r="AD342" s="5">
        <f>[1]Hybrid!AC36</f>
        <v>105.9179685</v>
      </c>
      <c r="AE342" s="5">
        <f>[1]Hybrid!AD36</f>
        <v>109.1622843</v>
      </c>
      <c r="AF342" s="5">
        <f>[1]Hybrid!AE36</f>
        <v>112.4023294</v>
      </c>
      <c r="AG342" s="5">
        <f>[1]Hybrid!AF36</f>
        <v>115.6500688</v>
      </c>
      <c r="AH342" s="5">
        <f>[1]Hybrid!AG36</f>
        <v>118.91660450000001</v>
      </c>
      <c r="AI342" s="5">
        <f>[1]Hybrid!AH36</f>
        <v>122.21087420000001</v>
      </c>
      <c r="AJ342" s="5">
        <f>[1]Hybrid!AI36</f>
        <v>125.5395437</v>
      </c>
      <c r="AK342" s="5">
        <f>[1]Hybrid!AJ36</f>
        <v>128.90784020000001</v>
      </c>
      <c r="AL342" s="5">
        <f>[1]Hybrid!AK36</f>
        <v>132.32073700000001</v>
      </c>
    </row>
    <row r="343" spans="2:38" x14ac:dyDescent="0.3">
      <c r="B343" s="5" t="str">
        <f>[1]Hybrid!A38</f>
        <v>auto_cd_cele_2</v>
      </c>
      <c r="C343" s="5">
        <f>[1]Hybrid!B38</f>
        <v>5.770071272</v>
      </c>
      <c r="D343" s="5">
        <f>[1]Hybrid!C38</f>
        <v>7.5984369310000002</v>
      </c>
      <c r="E343" s="5">
        <f>[1]Hybrid!D38</f>
        <v>9.5221054049999996</v>
      </c>
      <c r="F343" s="5">
        <f>[1]Hybrid!E38</f>
        <v>11.49101042</v>
      </c>
      <c r="G343" s="5">
        <f>[1]Hybrid!F38</f>
        <v>13.4708313</v>
      </c>
      <c r="H343" s="5">
        <f>[1]Hybrid!G38</f>
        <v>15.44264072</v>
      </c>
      <c r="I343" s="5">
        <f>[1]Hybrid!H38</f>
        <v>17.36127578</v>
      </c>
      <c r="J343" s="5">
        <f>[1]Hybrid!I38</f>
        <v>19.19928384</v>
      </c>
      <c r="K343" s="5">
        <f>[1]Hybrid!J38</f>
        <v>20.996163889999998</v>
      </c>
      <c r="L343" s="5">
        <f>[1]Hybrid!K38</f>
        <v>22.727049780000002</v>
      </c>
      <c r="M343" s="5">
        <f>[1]Hybrid!L38</f>
        <v>24.396197040000001</v>
      </c>
      <c r="N343" s="5">
        <f>[1]Hybrid!M38</f>
        <v>25.998070500000001</v>
      </c>
      <c r="O343" s="5">
        <f>[1]Hybrid!N38</f>
        <v>27.534663609999999</v>
      </c>
      <c r="P343" s="5">
        <f>[1]Hybrid!O38</f>
        <v>29.0101601</v>
      </c>
      <c r="Q343" s="5">
        <f>[1]Hybrid!P38</f>
        <v>30.42713578</v>
      </c>
      <c r="R343" s="5">
        <f>[1]Hybrid!Q38</f>
        <v>31.787079120000001</v>
      </c>
      <c r="S343" s="5">
        <f>[1]Hybrid!R38</f>
        <v>33.09089032</v>
      </c>
      <c r="T343" s="5">
        <f>[1]Hybrid!S38</f>
        <v>34.339332939999998</v>
      </c>
      <c r="U343" s="5">
        <f>[1]Hybrid!T38</f>
        <v>35.533156329999997</v>
      </c>
      <c r="V343" s="5">
        <f>[1]Hybrid!U38</f>
        <v>36.673024120000001</v>
      </c>
      <c r="W343" s="5">
        <f>[1]Hybrid!V38</f>
        <v>37.754946519999997</v>
      </c>
      <c r="X343" s="5">
        <f>[1]Hybrid!W38</f>
        <v>38.784112989999997</v>
      </c>
      <c r="Y343" s="5">
        <f>[1]Hybrid!X38</f>
        <v>39.761936540000001</v>
      </c>
      <c r="Z343" s="5">
        <f>[1]Hybrid!Y38</f>
        <v>40.688622080000002</v>
      </c>
      <c r="AA343" s="5">
        <f>[1]Hybrid!Z38</f>
        <v>41.564595689999997</v>
      </c>
      <c r="AB343" s="5">
        <f>[1]Hybrid!AA38</f>
        <v>42.377529850000002</v>
      </c>
      <c r="AC343" s="5">
        <f>[1]Hybrid!AB38</f>
        <v>43.137061359999997</v>
      </c>
      <c r="AD343" s="5">
        <f>[1]Hybrid!AC38</f>
        <v>43.847259100000002</v>
      </c>
      <c r="AE343" s="5">
        <f>[1]Hybrid!AD38</f>
        <v>44.51010814</v>
      </c>
      <c r="AF343" s="5">
        <f>[1]Hybrid!AE38</f>
        <v>45.127711120000001</v>
      </c>
      <c r="AG343" s="5">
        <f>[1]Hybrid!AF38</f>
        <v>45.701860349999997</v>
      </c>
      <c r="AH343" s="5">
        <f>[1]Hybrid!AG38</f>
        <v>46.234073299999999</v>
      </c>
      <c r="AI343" s="5">
        <f>[1]Hybrid!AH38</f>
        <v>46.725705499999997</v>
      </c>
      <c r="AJ343" s="5">
        <f>[1]Hybrid!AI38</f>
        <v>47.178081720000002</v>
      </c>
      <c r="AK343" s="5">
        <f>[1]Hybrid!AJ38</f>
        <v>47.59258895</v>
      </c>
      <c r="AL343" s="5">
        <f>[1]Hybrid!AK38</f>
        <v>47.97069947</v>
      </c>
    </row>
    <row r="344" spans="2:38" x14ac:dyDescent="0.3">
      <c r="B344" s="5" t="str">
        <f>[1]Hybrid!A40</f>
        <v>auto_ce_cele_2</v>
      </c>
      <c r="C344" s="5">
        <f>[1]Hybrid!B40</f>
        <v>3.4730440960000002</v>
      </c>
      <c r="D344" s="5">
        <f>[1]Hybrid!C40</f>
        <v>4.5950069029999998</v>
      </c>
      <c r="E344" s="5">
        <f>[1]Hybrid!D40</f>
        <v>5.7658269249999998</v>
      </c>
      <c r="F344" s="5">
        <f>[1]Hybrid!E40</f>
        <v>6.954075317</v>
      </c>
      <c r="G344" s="5">
        <f>[1]Hybrid!F40</f>
        <v>8.1384560599999993</v>
      </c>
      <c r="H344" s="5">
        <f>[1]Hybrid!G40</f>
        <v>9.3066986400000005</v>
      </c>
      <c r="I344" s="5">
        <f>[1]Hybrid!H40</f>
        <v>10.426852670000001</v>
      </c>
      <c r="J344" s="5">
        <f>[1]Hybrid!I40</f>
        <v>11.47581085</v>
      </c>
      <c r="K344" s="5">
        <f>[1]Hybrid!J40</f>
        <v>12.47973681</v>
      </c>
      <c r="L344" s="5">
        <f>[1]Hybrid!K40</f>
        <v>13.426459769999999</v>
      </c>
      <c r="M344" s="5">
        <f>[1]Hybrid!L40</f>
        <v>14.32159774</v>
      </c>
      <c r="N344" s="5">
        <f>[1]Hybrid!M40</f>
        <v>15.165068120000001</v>
      </c>
      <c r="O344" s="5">
        <f>[1]Hybrid!N40</f>
        <v>15.959677449999999</v>
      </c>
      <c r="P344" s="5">
        <f>[1]Hybrid!O40</f>
        <v>16.708293959999999</v>
      </c>
      <c r="Q344" s="5">
        <f>[1]Hybrid!P40</f>
        <v>17.411974900000001</v>
      </c>
      <c r="R344" s="5">
        <f>[1]Hybrid!Q40</f>
        <v>18.070787859999999</v>
      </c>
      <c r="S344" s="5">
        <f>[1]Hybrid!R40</f>
        <v>18.684596290000002</v>
      </c>
      <c r="T344" s="5">
        <f>[1]Hybrid!S40</f>
        <v>19.253628259999999</v>
      </c>
      <c r="U344" s="5">
        <f>[1]Hybrid!T40</f>
        <v>19.778620950000001</v>
      </c>
      <c r="V344" s="5">
        <f>[1]Hybrid!U40</f>
        <v>20.260662880000002</v>
      </c>
      <c r="W344" s="5">
        <f>[1]Hybrid!V40</f>
        <v>20.698699659999999</v>
      </c>
      <c r="X344" s="5">
        <f>[1]Hybrid!W40</f>
        <v>21.09621241</v>
      </c>
      <c r="Y344" s="5">
        <f>[1]Hybrid!X40</f>
        <v>21.45481217</v>
      </c>
      <c r="Z344" s="5">
        <f>[1]Hybrid!Y40</f>
        <v>21.77531565</v>
      </c>
      <c r="AA344" s="5">
        <f>[1]Hybrid!Z40</f>
        <v>22.058513869999999</v>
      </c>
      <c r="AB344" s="5">
        <f>[1]Hybrid!AA40</f>
        <v>22.299259459999998</v>
      </c>
      <c r="AC344" s="5">
        <f>[1]Hybrid!AB40</f>
        <v>22.502533530000001</v>
      </c>
      <c r="AD344" s="5">
        <f>[1]Hybrid!AC40</f>
        <v>22.671097790000001</v>
      </c>
      <c r="AE344" s="5">
        <f>[1]Hybrid!AD40</f>
        <v>22.8067837</v>
      </c>
      <c r="AF344" s="5">
        <f>[1]Hybrid!AE40</f>
        <v>22.911430060000001</v>
      </c>
      <c r="AG344" s="5">
        <f>[1]Hybrid!AF40</f>
        <v>22.986617030000001</v>
      </c>
      <c r="AH344" s="5">
        <f>[1]Hybrid!AG40</f>
        <v>23.033667869999999</v>
      </c>
      <c r="AI344" s="5">
        <f>[1]Hybrid!AH40</f>
        <v>23.053735110000002</v>
      </c>
      <c r="AJ344" s="5">
        <f>[1]Hybrid!AI40</f>
        <v>23.04791569</v>
      </c>
      <c r="AK344" s="5">
        <f>[1]Hybrid!AJ40</f>
        <v>23.017341200000001</v>
      </c>
      <c r="AL344" s="5">
        <f>[1]Hybrid!AK40</f>
        <v>22.963212779999999</v>
      </c>
    </row>
    <row r="345" spans="2:38" x14ac:dyDescent="0.3">
      <c r="B345" s="5" t="str">
        <f>[1]Hybrid!A42</f>
        <v>auto_cf_cele_2</v>
      </c>
      <c r="C345" s="5">
        <f>[1]Hybrid!B42</f>
        <v>1.7251505170000001</v>
      </c>
      <c r="D345" s="5">
        <f>[1]Hybrid!C42</f>
        <v>2.2554786930000001</v>
      </c>
      <c r="E345" s="5">
        <f>[1]Hybrid!D42</f>
        <v>2.7927323309999998</v>
      </c>
      <c r="F345" s="5">
        <f>[1]Hybrid!E42</f>
        <v>3.3191987529999998</v>
      </c>
      <c r="G345" s="5">
        <f>[1]Hybrid!F42</f>
        <v>3.8226534509999999</v>
      </c>
      <c r="H345" s="5">
        <f>[1]Hybrid!G42</f>
        <v>4.2953913909999999</v>
      </c>
      <c r="I345" s="5">
        <f>[1]Hybrid!H42</f>
        <v>4.7198612369999999</v>
      </c>
      <c r="J345" s="5">
        <f>[1]Hybrid!I42</f>
        <v>5.0856082069999999</v>
      </c>
      <c r="K345" s="5">
        <f>[1]Hybrid!J42</f>
        <v>5.4105059710000001</v>
      </c>
      <c r="L345" s="5">
        <f>[1]Hybrid!K42</f>
        <v>5.6950049280000004</v>
      </c>
      <c r="M345" s="5">
        <f>[1]Hybrid!L42</f>
        <v>5.9452808590000004</v>
      </c>
      <c r="N345" s="5">
        <f>[1]Hybrid!M42</f>
        <v>6.1638772189999997</v>
      </c>
      <c r="O345" s="5">
        <f>[1]Hybrid!N42</f>
        <v>6.3525676149999999</v>
      </c>
      <c r="P345" s="5">
        <f>[1]Hybrid!O42</f>
        <v>6.5123207259999996</v>
      </c>
      <c r="Q345" s="5">
        <f>[1]Hybrid!P42</f>
        <v>6.6433866889999997</v>
      </c>
      <c r="R345" s="5">
        <f>[1]Hybrid!Q42</f>
        <v>6.7461275909999996</v>
      </c>
      <c r="S345" s="5">
        <f>[1]Hybrid!R42</f>
        <v>6.8214791019999996</v>
      </c>
      <c r="T345" s="5">
        <f>[1]Hybrid!S42</f>
        <v>6.87103646</v>
      </c>
      <c r="U345" s="5">
        <f>[1]Hybrid!T42</f>
        <v>6.8968489020000003</v>
      </c>
      <c r="V345" s="5">
        <f>[1]Hybrid!U42</f>
        <v>6.901110181</v>
      </c>
      <c r="W345" s="5">
        <f>[1]Hybrid!V42</f>
        <v>6.8854150939999998</v>
      </c>
      <c r="X345" s="5">
        <f>[1]Hybrid!W42</f>
        <v>6.8521293109999997</v>
      </c>
      <c r="Y345" s="5">
        <f>[1]Hybrid!X42</f>
        <v>6.8030358069999997</v>
      </c>
      <c r="Z345" s="5">
        <f>[1]Hybrid!Y42</f>
        <v>6.7395471469999997</v>
      </c>
      <c r="AA345" s="5">
        <f>[1]Hybrid!Z42</f>
        <v>6.6629572990000003</v>
      </c>
      <c r="AB345" s="5">
        <f>[1]Hybrid!AA42</f>
        <v>6.5735318190000003</v>
      </c>
      <c r="AC345" s="5">
        <f>[1]Hybrid!AB42</f>
        <v>6.4732040270000004</v>
      </c>
      <c r="AD345" s="5">
        <f>[1]Hybrid!AC42</f>
        <v>6.3635743500000004</v>
      </c>
      <c r="AE345" s="5">
        <f>[1]Hybrid!AD42</f>
        <v>6.2459837489999996</v>
      </c>
      <c r="AF345" s="5">
        <f>[1]Hybrid!AE42</f>
        <v>6.1216500070000004</v>
      </c>
      <c r="AG345" s="5">
        <f>[1]Hybrid!AF42</f>
        <v>5.9916294189999997</v>
      </c>
      <c r="AH345" s="5">
        <f>[1]Hybrid!AG42</f>
        <v>5.8568419409999999</v>
      </c>
      <c r="AI345" s="5">
        <f>[1]Hybrid!AH42</f>
        <v>5.718113883</v>
      </c>
      <c r="AJ345" s="5">
        <f>[1]Hybrid!AI42</f>
        <v>5.5762158169999996</v>
      </c>
      <c r="AK345" s="5">
        <f>[1]Hybrid!AJ42</f>
        <v>5.4318832199999996</v>
      </c>
      <c r="AL345" s="5">
        <f>[1]Hybrid!AK42</f>
        <v>5.2858188369999999</v>
      </c>
    </row>
    <row r="346" spans="2:38" x14ac:dyDescent="0.3">
      <c r="B346" s="5" t="str">
        <f>[1]Hybrid!A44</f>
        <v>auto_cg_cele_2</v>
      </c>
      <c r="C346" s="5">
        <f>[1]Hybrid!B44</f>
        <v>3.1066862139999998</v>
      </c>
      <c r="D346" s="5">
        <f>[1]Hybrid!C44</f>
        <v>4.0915232660000003</v>
      </c>
      <c r="E346" s="5">
        <f>[1]Hybrid!D44</f>
        <v>5.0643021109999999</v>
      </c>
      <c r="F346" s="5">
        <f>[1]Hybrid!E44</f>
        <v>5.9917753869999997</v>
      </c>
      <c r="G346" s="5">
        <f>[1]Hybrid!F44</f>
        <v>6.8526129139999998</v>
      </c>
      <c r="H346" s="5">
        <f>[1]Hybrid!G44</f>
        <v>7.6336913989999999</v>
      </c>
      <c r="I346" s="5">
        <f>[1]Hybrid!H44</f>
        <v>8.2996542729999998</v>
      </c>
      <c r="J346" s="5">
        <f>[1]Hybrid!I44</f>
        <v>8.8281182149999999</v>
      </c>
      <c r="K346" s="5">
        <f>[1]Hybrid!J44</f>
        <v>9.2582543820000005</v>
      </c>
      <c r="L346" s="5">
        <f>[1]Hybrid!K44</f>
        <v>9.5989218479999998</v>
      </c>
      <c r="M346" s="5">
        <f>[1]Hybrid!L44</f>
        <v>9.8673415349999996</v>
      </c>
      <c r="N346" s="5">
        <f>[1]Hybrid!M44</f>
        <v>10.07392033</v>
      </c>
      <c r="O346" s="5">
        <f>[1]Hybrid!N44</f>
        <v>10.22563018</v>
      </c>
      <c r="P346" s="5">
        <f>[1]Hybrid!O44</f>
        <v>10.326723579999999</v>
      </c>
      <c r="Q346" s="5">
        <f>[1]Hybrid!P44</f>
        <v>10.379529610000001</v>
      </c>
      <c r="R346" s="5">
        <f>[1]Hybrid!Q44</f>
        <v>10.3862728</v>
      </c>
      <c r="S346" s="5">
        <f>[1]Hybrid!R44</f>
        <v>10.35008127</v>
      </c>
      <c r="T346" s="5">
        <f>[1]Hybrid!S44</f>
        <v>10.27515767</v>
      </c>
      <c r="U346" s="5">
        <f>[1]Hybrid!T44</f>
        <v>10.16636856</v>
      </c>
      <c r="V346" s="5">
        <f>[1]Hybrid!U44</f>
        <v>10.028662089999999</v>
      </c>
      <c r="W346" s="5">
        <f>[1]Hybrid!V44</f>
        <v>9.8661468689999996</v>
      </c>
      <c r="X346" s="5">
        <f>[1]Hybrid!W44</f>
        <v>9.6833053339999999</v>
      </c>
      <c r="Y346" s="5">
        <f>[1]Hybrid!X44</f>
        <v>9.4837508889999995</v>
      </c>
      <c r="Z346" s="5">
        <f>[1]Hybrid!Y44</f>
        <v>9.2704167819999999</v>
      </c>
      <c r="AA346" s="5">
        <f>[1]Hybrid!Z44</f>
        <v>9.0458664379999991</v>
      </c>
      <c r="AB346" s="5">
        <f>[1]Hybrid!AA44</f>
        <v>8.8116783590000001</v>
      </c>
      <c r="AC346" s="5">
        <f>[1]Hybrid!AB44</f>
        <v>8.5705131290000001</v>
      </c>
      <c r="AD346" s="5">
        <f>[1]Hybrid!AC44</f>
        <v>8.3246629429999999</v>
      </c>
      <c r="AE346" s="5">
        <f>[1]Hybrid!AD44</f>
        <v>8.0760412309999996</v>
      </c>
      <c r="AF346" s="5">
        <f>[1]Hybrid!AE44</f>
        <v>7.8262898730000003</v>
      </c>
      <c r="AG346" s="5">
        <f>[1]Hybrid!AF44</f>
        <v>7.5767697050000002</v>
      </c>
      <c r="AH346" s="5">
        <f>[1]Hybrid!AG44</f>
        <v>7.3286050219999996</v>
      </c>
      <c r="AI346" s="5">
        <f>[1]Hybrid!AH44</f>
        <v>7.0827393929999998</v>
      </c>
      <c r="AJ346" s="5">
        <f>[1]Hybrid!AI44</f>
        <v>6.8399814660000002</v>
      </c>
      <c r="AK346" s="5">
        <f>[1]Hybrid!AJ44</f>
        <v>6.6010320309999999</v>
      </c>
      <c r="AL346" s="5">
        <f>[1]Hybrid!AK44</f>
        <v>6.3664946489999998</v>
      </c>
    </row>
    <row r="347" spans="2:38" x14ac:dyDescent="0.3">
      <c r="B347" s="5" t="str">
        <f>[1]Hybrid!A46</f>
        <v>auto_ca_cgas_2</v>
      </c>
      <c r="C347" s="5">
        <f>[1]Hybrid!B46</f>
        <v>0.42568169729999999</v>
      </c>
      <c r="D347" s="5">
        <f>[1]Hybrid!C46</f>
        <v>0.45022395059999998</v>
      </c>
      <c r="E347" s="5">
        <f>[1]Hybrid!D46</f>
        <v>0.47797077609999999</v>
      </c>
      <c r="F347" s="5">
        <f>[1]Hybrid!E46</f>
        <v>0.50741975650000004</v>
      </c>
      <c r="G347" s="5">
        <f>[1]Hybrid!F46</f>
        <v>0.53740656840000001</v>
      </c>
      <c r="H347" s="5">
        <f>[1]Hybrid!G46</f>
        <v>0.56726424630000005</v>
      </c>
      <c r="I347" s="5">
        <f>[1]Hybrid!H46</f>
        <v>0.59633338970000005</v>
      </c>
      <c r="J347" s="5">
        <f>[1]Hybrid!I46</f>
        <v>0.62558684450000002</v>
      </c>
      <c r="K347" s="5">
        <f>[1]Hybrid!J46</f>
        <v>0.65619604929999997</v>
      </c>
      <c r="L347" s="5">
        <f>[1]Hybrid!K46</f>
        <v>0.68756761980000003</v>
      </c>
      <c r="M347" s="5">
        <f>[1]Hybrid!L46</f>
        <v>0.7194736826</v>
      </c>
      <c r="N347" s="5">
        <f>[1]Hybrid!M46</f>
        <v>0.75112885750000002</v>
      </c>
      <c r="O347" s="5">
        <f>[1]Hybrid!N46</f>
        <v>0.78201699749999998</v>
      </c>
      <c r="P347" s="5">
        <f>[1]Hybrid!O46</f>
        <v>0.81186848710000004</v>
      </c>
      <c r="Q347" s="5">
        <f>[1]Hybrid!P46</f>
        <v>0.84063262329999999</v>
      </c>
      <c r="R347" s="5">
        <f>[1]Hybrid!Q46</f>
        <v>0.86845323659999996</v>
      </c>
      <c r="S347" s="5">
        <f>[1]Hybrid!R46</f>
        <v>0.89557999909999997</v>
      </c>
      <c r="T347" s="5">
        <f>[1]Hybrid!S46</f>
        <v>0.92227172430000004</v>
      </c>
      <c r="U347" s="5">
        <f>[1]Hybrid!T46</f>
        <v>0.94872247570000001</v>
      </c>
      <c r="V347" s="5">
        <f>[1]Hybrid!U46</f>
        <v>0.97502968459999995</v>
      </c>
      <c r="W347" s="5">
        <f>[1]Hybrid!V46</f>
        <v>1.001058722</v>
      </c>
      <c r="X347" s="5">
        <f>[1]Hybrid!W46</f>
        <v>1.026950638</v>
      </c>
      <c r="Y347" s="5">
        <f>[1]Hybrid!X46</f>
        <v>1.0526719179999999</v>
      </c>
      <c r="Z347" s="5">
        <f>[1]Hybrid!Y46</f>
        <v>1.0781721580000001</v>
      </c>
      <c r="AA347" s="5">
        <f>[1]Hybrid!Z46</f>
        <v>1.1034426159999999</v>
      </c>
      <c r="AB347" s="5">
        <f>[1]Hybrid!AA46</f>
        <v>1.128042357</v>
      </c>
      <c r="AC347" s="5">
        <f>[1]Hybrid!AB46</f>
        <v>1.15239341</v>
      </c>
      <c r="AD347" s="5">
        <f>[1]Hybrid!AC46</f>
        <v>1.1766060309999999</v>
      </c>
      <c r="AE347" s="5">
        <f>[1]Hybrid!AD46</f>
        <v>1.200674665</v>
      </c>
      <c r="AF347" s="5">
        <f>[1]Hybrid!AE46</f>
        <v>1.2245752590000001</v>
      </c>
      <c r="AG347" s="5">
        <f>[1]Hybrid!AF46</f>
        <v>1.248279092</v>
      </c>
      <c r="AH347" s="5">
        <f>[1]Hybrid!AG46</f>
        <v>1.2717763710000001</v>
      </c>
      <c r="AI347" s="5">
        <f>[1]Hybrid!AH46</f>
        <v>1.2950866050000001</v>
      </c>
      <c r="AJ347" s="5">
        <f>[1]Hybrid!AI46</f>
        <v>1.3182546740000001</v>
      </c>
      <c r="AK347" s="5">
        <f>[1]Hybrid!AJ46</f>
        <v>1.341337545</v>
      </c>
      <c r="AL347" s="5">
        <f>[1]Hybrid!AK46</f>
        <v>1.3643889629999999</v>
      </c>
    </row>
    <row r="348" spans="2:38" x14ac:dyDescent="0.3">
      <c r="B348" s="5" t="str">
        <f>[1]Hybrid!A48</f>
        <v>auto_cb_cgas_2</v>
      </c>
      <c r="C348" s="5">
        <f>[1]Hybrid!B48</f>
        <v>0.49500522540000003</v>
      </c>
      <c r="D348" s="5">
        <f>[1]Hybrid!C48</f>
        <v>0.51311465150000002</v>
      </c>
      <c r="E348" s="5">
        <f>[1]Hybrid!D48</f>
        <v>0.53454230300000005</v>
      </c>
      <c r="F348" s="5">
        <f>[1]Hybrid!E48</f>
        <v>0.5578169731</v>
      </c>
      <c r="G348" s="5">
        <f>[1]Hybrid!F48</f>
        <v>0.58179864309999996</v>
      </c>
      <c r="H348" s="5">
        <f>[1]Hybrid!G48</f>
        <v>0.60582218710000002</v>
      </c>
      <c r="I348" s="5">
        <f>[1]Hybrid!H48</f>
        <v>0.62919311259999999</v>
      </c>
      <c r="J348" s="5">
        <f>[1]Hybrid!I48</f>
        <v>0.65274040219999996</v>
      </c>
      <c r="K348" s="5">
        <f>[1]Hybrid!J48</f>
        <v>0.6775820615</v>
      </c>
      <c r="L348" s="5">
        <f>[1]Hybrid!K48</f>
        <v>0.70315525499999998</v>
      </c>
      <c r="M348" s="5">
        <f>[1]Hybrid!L48</f>
        <v>0.7292574141</v>
      </c>
      <c r="N348" s="5">
        <f>[1]Hybrid!M48</f>
        <v>0.75516599110000004</v>
      </c>
      <c r="O348" s="5">
        <f>[1]Hybrid!N48</f>
        <v>0.78039962780000005</v>
      </c>
      <c r="P348" s="5">
        <f>[1]Hybrid!O48</f>
        <v>0.80469668969999997</v>
      </c>
      <c r="Q348" s="5">
        <f>[1]Hybrid!P48</f>
        <v>0.82798967379999999</v>
      </c>
      <c r="R348" s="5">
        <f>[1]Hybrid!Q48</f>
        <v>0.85038706040000001</v>
      </c>
      <c r="S348" s="5">
        <f>[1]Hybrid!R48</f>
        <v>0.87209599999999998</v>
      </c>
      <c r="T348" s="5">
        <f>[1]Hybrid!S48</f>
        <v>0.89333649329999998</v>
      </c>
      <c r="U348" s="5">
        <f>[1]Hybrid!T48</f>
        <v>0.91427471940000005</v>
      </c>
      <c r="V348" s="5">
        <f>[1]Hybrid!U48</f>
        <v>0.93499309730000002</v>
      </c>
      <c r="W348" s="5">
        <f>[1]Hybrid!V48</f>
        <v>0.95536503210000001</v>
      </c>
      <c r="X348" s="5">
        <f>[1]Hybrid!W48</f>
        <v>0.97551436329999996</v>
      </c>
      <c r="Y348" s="5">
        <f>[1]Hybrid!X48</f>
        <v>0.99540710990000003</v>
      </c>
      <c r="Z348" s="5">
        <f>[1]Hybrid!Y48</f>
        <v>1.0149910870000001</v>
      </c>
      <c r="AA348" s="5">
        <f>[1]Hybrid!Z48</f>
        <v>1.0342495789999999</v>
      </c>
      <c r="AB348" s="5">
        <f>[1]Hybrid!AA48</f>
        <v>1.052779076</v>
      </c>
      <c r="AC348" s="5">
        <f>[1]Hybrid!AB48</f>
        <v>1.0709454979999999</v>
      </c>
      <c r="AD348" s="5">
        <f>[1]Hybrid!AC48</f>
        <v>1.088843706</v>
      </c>
      <c r="AE348" s="5">
        <f>[1]Hybrid!AD48</f>
        <v>1.1064667619999999</v>
      </c>
      <c r="AF348" s="5">
        <f>[1]Hybrid!AE48</f>
        <v>1.1237915999999999</v>
      </c>
      <c r="AG348" s="5">
        <f>[1]Hybrid!AF48</f>
        <v>1.140789504</v>
      </c>
      <c r="AH348" s="5">
        <f>[1]Hybrid!AG48</f>
        <v>1.157446038</v>
      </c>
      <c r="AI348" s="5">
        <f>[1]Hybrid!AH48</f>
        <v>1.173770319</v>
      </c>
      <c r="AJ348" s="5">
        <f>[1]Hybrid!AI48</f>
        <v>1.1897924609999999</v>
      </c>
      <c r="AK348" s="5">
        <f>[1]Hybrid!AJ48</f>
        <v>1.2055530919999999</v>
      </c>
      <c r="AL348" s="5">
        <f>[1]Hybrid!AK48</f>
        <v>1.221090878</v>
      </c>
    </row>
    <row r="349" spans="2:38" x14ac:dyDescent="0.3">
      <c r="B349" s="5" t="str">
        <f>[1]Hybrid!A50</f>
        <v>auto_cc_cgas_2</v>
      </c>
      <c r="C349" s="5">
        <f>[1]Hybrid!B50</f>
        <v>0.40659851759999999</v>
      </c>
      <c r="D349" s="5">
        <f>[1]Hybrid!C50</f>
        <v>0.41509711599999999</v>
      </c>
      <c r="E349" s="5">
        <f>[1]Hybrid!D50</f>
        <v>0.42607702559999999</v>
      </c>
      <c r="F349" s="5">
        <f>[1]Hybrid!E50</f>
        <v>0.43849926779999998</v>
      </c>
      <c r="G349" s="5">
        <f>[1]Hybrid!F50</f>
        <v>0.45155879879999999</v>
      </c>
      <c r="H349" s="5">
        <f>[1]Hybrid!G50</f>
        <v>0.46477769749999998</v>
      </c>
      <c r="I349" s="5">
        <f>[1]Hybrid!H50</f>
        <v>0.47763344969999999</v>
      </c>
      <c r="J349" s="5">
        <f>[1]Hybrid!I50</f>
        <v>0.49062964939999998</v>
      </c>
      <c r="K349" s="5">
        <f>[1]Hybrid!J50</f>
        <v>0.50453538379999996</v>
      </c>
      <c r="L349" s="5">
        <f>[1]Hybrid!K50</f>
        <v>0.51896558849999996</v>
      </c>
      <c r="M349" s="5">
        <f>[1]Hybrid!L50</f>
        <v>0.53379046060000002</v>
      </c>
      <c r="N349" s="5">
        <f>[1]Hybrid!M50</f>
        <v>0.54853027880000005</v>
      </c>
      <c r="O349" s="5">
        <f>[1]Hybrid!N50</f>
        <v>0.56286087910000004</v>
      </c>
      <c r="P349" s="5">
        <f>[1]Hybrid!O50</f>
        <v>0.57659914140000001</v>
      </c>
      <c r="Q349" s="5">
        <f>[1]Hybrid!P50</f>
        <v>0.58968602299999995</v>
      </c>
      <c r="R349" s="5">
        <f>[1]Hybrid!Q50</f>
        <v>0.6021774835</v>
      </c>
      <c r="S349" s="5">
        <f>[1]Hybrid!R50</f>
        <v>0.61419606790000003</v>
      </c>
      <c r="T349" s="5">
        <f>[1]Hybrid!S50</f>
        <v>0.62587600089999995</v>
      </c>
      <c r="U349" s="5">
        <f>[1]Hybrid!T50</f>
        <v>0.63731972069999998</v>
      </c>
      <c r="V349" s="5">
        <f>[1]Hybrid!U50</f>
        <v>0.6485775318</v>
      </c>
      <c r="W349" s="5">
        <f>[1]Hybrid!V50</f>
        <v>0.65956401239999995</v>
      </c>
      <c r="X349" s="5">
        <f>[1]Hybrid!W50</f>
        <v>0.67035793809999999</v>
      </c>
      <c r="Y349" s="5">
        <f>[1]Hybrid!X50</f>
        <v>0.68093519999999996</v>
      </c>
      <c r="Z349" s="5">
        <f>[1]Hybrid!Y50</f>
        <v>0.69125802790000002</v>
      </c>
      <c r="AA349" s="5">
        <f>[1]Hybrid!Z50</f>
        <v>0.7013105073</v>
      </c>
      <c r="AB349" s="5">
        <f>[1]Hybrid!AA50</f>
        <v>0.71082709970000002</v>
      </c>
      <c r="AC349" s="5">
        <f>[1]Hybrid!AB50</f>
        <v>0.72003745389999996</v>
      </c>
      <c r="AD349" s="5">
        <f>[1]Hybrid!AC50</f>
        <v>0.72900126350000005</v>
      </c>
      <c r="AE349" s="5">
        <f>[1]Hybrid!AD50</f>
        <v>0.73771370790000002</v>
      </c>
      <c r="AF349" s="5">
        <f>[1]Hybrid!AE50</f>
        <v>0.74615987620000002</v>
      </c>
      <c r="AG349" s="5">
        <f>[1]Hybrid!AF50</f>
        <v>0.75432038729999995</v>
      </c>
      <c r="AH349" s="5">
        <f>[1]Hybrid!AG50</f>
        <v>0.76218356490000005</v>
      </c>
      <c r="AI349" s="5">
        <f>[1]Hybrid!AH50</f>
        <v>0.76975145339999995</v>
      </c>
      <c r="AJ349" s="5">
        <f>[1]Hybrid!AI50</f>
        <v>0.77703877850000003</v>
      </c>
      <c r="AK349" s="5">
        <f>[1]Hybrid!AJ50</f>
        <v>0.78406702319999999</v>
      </c>
      <c r="AL349" s="5">
        <f>[1]Hybrid!AK50</f>
        <v>0.79085709000000004</v>
      </c>
    </row>
    <row r="350" spans="2:38" x14ac:dyDescent="0.3">
      <c r="B350" s="5" t="str">
        <f>[1]Hybrid!A52</f>
        <v>auto_cd_cgas_2</v>
      </c>
      <c r="C350" s="5">
        <f>[1]Hybrid!B52</f>
        <v>0.2495444651</v>
      </c>
      <c r="D350" s="5">
        <f>[1]Hybrid!C52</f>
        <v>0.25264671529999999</v>
      </c>
      <c r="E350" s="5">
        <f>[1]Hybrid!D52</f>
        <v>0.25705868520000003</v>
      </c>
      <c r="F350" s="5">
        <f>[1]Hybrid!E52</f>
        <v>0.26219028570000003</v>
      </c>
      <c r="G350" s="5">
        <f>[1]Hybrid!F52</f>
        <v>0.26759126039999998</v>
      </c>
      <c r="H350" s="5">
        <f>[1]Hybrid!G52</f>
        <v>0.2729871042</v>
      </c>
      <c r="I350" s="5">
        <f>[1]Hybrid!H52</f>
        <v>0.27801712420000002</v>
      </c>
      <c r="J350" s="5">
        <f>[1]Hybrid!I52</f>
        <v>0.28281923619999999</v>
      </c>
      <c r="K350" s="5">
        <f>[1]Hybrid!J52</f>
        <v>0.28783697990000001</v>
      </c>
      <c r="L350" s="5">
        <f>[1]Hybrid!K52</f>
        <v>0.2928927093</v>
      </c>
      <c r="M350" s="5">
        <f>[1]Hybrid!L52</f>
        <v>0.29796170929999999</v>
      </c>
      <c r="N350" s="5">
        <f>[1]Hybrid!M52</f>
        <v>0.30284683559999998</v>
      </c>
      <c r="O350" s="5">
        <f>[1]Hybrid!N52</f>
        <v>0.30741039980000001</v>
      </c>
      <c r="P350" s="5">
        <f>[1]Hybrid!O52</f>
        <v>0.3115675229</v>
      </c>
      <c r="Q350" s="5">
        <f>[1]Hybrid!P52</f>
        <v>0.31527871070000002</v>
      </c>
      <c r="R350" s="5">
        <f>[1]Hybrid!Q52</f>
        <v>0.31855268619999999</v>
      </c>
      <c r="S350" s="5">
        <f>[1]Hybrid!R52</f>
        <v>0.3214307548</v>
      </c>
      <c r="T350" s="5">
        <f>[1]Hybrid!S52</f>
        <v>0.32396597049999998</v>
      </c>
      <c r="U350" s="5">
        <f>[1]Hybrid!T52</f>
        <v>0.32620455390000003</v>
      </c>
      <c r="V350" s="5">
        <f>[1]Hybrid!U52</f>
        <v>0.32817525510000001</v>
      </c>
      <c r="W350" s="5">
        <f>[1]Hybrid!V52</f>
        <v>0.32984971660000001</v>
      </c>
      <c r="X350" s="5">
        <f>[1]Hybrid!W52</f>
        <v>0.33127065</v>
      </c>
      <c r="Y350" s="5">
        <f>[1]Hybrid!X52</f>
        <v>0.33243664789999999</v>
      </c>
      <c r="Z350" s="5">
        <f>[1]Hybrid!Y52</f>
        <v>0.3333366968</v>
      </c>
      <c r="AA350" s="5">
        <f>[1]Hybrid!Z52</f>
        <v>0.33396653279999999</v>
      </c>
      <c r="AB350" s="5">
        <f>[1]Hybrid!AA52</f>
        <v>0.3342201876</v>
      </c>
      <c r="AC350" s="5">
        <f>[1]Hybrid!AB52</f>
        <v>0.33419062510000003</v>
      </c>
      <c r="AD350" s="5">
        <f>[1]Hybrid!AC52</f>
        <v>0.3339104061</v>
      </c>
      <c r="AE350" s="5">
        <f>[1]Hybrid!AD52</f>
        <v>0.3333874758</v>
      </c>
      <c r="AF350" s="5">
        <f>[1]Hybrid!AE52</f>
        <v>0.33262584070000001</v>
      </c>
      <c r="AG350" s="5">
        <f>[1]Hybrid!AF52</f>
        <v>0.33162604959999997</v>
      </c>
      <c r="AH350" s="5">
        <f>[1]Hybrid!AG52</f>
        <v>0.33038918960000002</v>
      </c>
      <c r="AI350" s="5">
        <f>[1]Hybrid!AH52</f>
        <v>0.328919552</v>
      </c>
      <c r="AJ350" s="5">
        <f>[1]Hybrid!AI52</f>
        <v>0.3272252672</v>
      </c>
      <c r="AK350" s="5">
        <f>[1]Hybrid!AJ52</f>
        <v>0.32531721470000002</v>
      </c>
      <c r="AL350" s="5">
        <f>[1]Hybrid!AK52</f>
        <v>0.32320708349999999</v>
      </c>
    </row>
    <row r="351" spans="2:38" x14ac:dyDescent="0.3">
      <c r="B351" s="5" t="str">
        <f>[1]Hybrid!A54</f>
        <v>auto_ce_cgas_2</v>
      </c>
      <c r="C351" s="5">
        <f>[1]Hybrid!B54</f>
        <v>0.15020246549999999</v>
      </c>
      <c r="D351" s="5">
        <f>[1]Hybrid!C54</f>
        <v>0.15226403220000001</v>
      </c>
      <c r="E351" s="5">
        <f>[1]Hybrid!D54</f>
        <v>0.15503085599999999</v>
      </c>
      <c r="F351" s="5">
        <f>[1]Hybrid!E54</f>
        <v>0.15813658050000001</v>
      </c>
      <c r="G351" s="5">
        <f>[1]Hybrid!F54</f>
        <v>0.1613060352</v>
      </c>
      <c r="H351" s="5">
        <f>[1]Hybrid!G54</f>
        <v>0.1643694473</v>
      </c>
      <c r="I351" s="5">
        <f>[1]Hybrid!H54</f>
        <v>0.16707560839999999</v>
      </c>
      <c r="J351" s="5">
        <f>[1]Hybrid!I54</f>
        <v>0.169450982</v>
      </c>
      <c r="K351" s="5">
        <f>[1]Hybrid!J54</f>
        <v>0.17178482149999999</v>
      </c>
      <c r="L351" s="5">
        <f>[1]Hybrid!K54</f>
        <v>0.173993861</v>
      </c>
      <c r="M351" s="5">
        <f>[1]Hybrid!L54</f>
        <v>0.17609100990000001</v>
      </c>
      <c r="N351" s="5">
        <f>[1]Hybrid!M54</f>
        <v>0.17799144920000001</v>
      </c>
      <c r="O351" s="5">
        <f>[1]Hybrid!N54</f>
        <v>0.17963343749999999</v>
      </c>
      <c r="P351" s="5">
        <f>[1]Hybrid!O54</f>
        <v>0.180975991</v>
      </c>
      <c r="Q351" s="5">
        <f>[1]Hybrid!P54</f>
        <v>0.18199621839999999</v>
      </c>
      <c r="R351" s="5">
        <f>[1]Hybrid!Q54</f>
        <v>0.18269485360000001</v>
      </c>
      <c r="S351" s="5">
        <f>[1]Hybrid!R54</f>
        <v>0.18309140639999999</v>
      </c>
      <c r="T351" s="5">
        <f>[1]Hybrid!S54</f>
        <v>0.18321506730000001</v>
      </c>
      <c r="U351" s="5">
        <f>[1]Hybrid!T54</f>
        <v>0.18309516719999999</v>
      </c>
      <c r="V351" s="5">
        <f>[1]Hybrid!U54</f>
        <v>0.182754624</v>
      </c>
      <c r="W351" s="5">
        <f>[1]Hybrid!V54</f>
        <v>0.1821886476</v>
      </c>
      <c r="X351" s="5">
        <f>[1]Hybrid!W54</f>
        <v>0.181427003</v>
      </c>
      <c r="Y351" s="5">
        <f>[1]Hybrid!X54</f>
        <v>0.18047752010000001</v>
      </c>
      <c r="Z351" s="5">
        <f>[1]Hybrid!Y54</f>
        <v>0.17934155039999999</v>
      </c>
      <c r="AA351" s="5">
        <f>[1]Hybrid!Z54</f>
        <v>0.1780225758</v>
      </c>
      <c r="AB351" s="5">
        <f>[1]Hybrid!AA54</f>
        <v>0.1764768028</v>
      </c>
      <c r="AC351" s="5">
        <f>[1]Hybrid!AB54</f>
        <v>0.17475189669999999</v>
      </c>
      <c r="AD351" s="5">
        <f>[1]Hybrid!AC54</f>
        <v>0.17287055230000001</v>
      </c>
      <c r="AE351" s="5">
        <f>[1]Hybrid!AD54</f>
        <v>0.17084431859999999</v>
      </c>
      <c r="AF351" s="5">
        <f>[1]Hybrid!AE54</f>
        <v>0.1686826236</v>
      </c>
      <c r="AG351" s="5">
        <f>[1]Hybrid!AF54</f>
        <v>0.16639244080000001</v>
      </c>
      <c r="AH351" s="5">
        <f>[1]Hybrid!AG54</f>
        <v>0.16397993220000001</v>
      </c>
      <c r="AI351" s="5">
        <f>[1]Hybrid!AH54</f>
        <v>0.16145185679999999</v>
      </c>
      <c r="AJ351" s="5">
        <f>[1]Hybrid!AI54</f>
        <v>0.1588162514</v>
      </c>
      <c r="AK351" s="5">
        <f>[1]Hybrid!AJ54</f>
        <v>0.1560823278</v>
      </c>
      <c r="AL351" s="5">
        <f>[1]Hybrid!AK54</f>
        <v>0.15325984619999999</v>
      </c>
    </row>
    <row r="352" spans="2:38" x14ac:dyDescent="0.3">
      <c r="B352" s="5" t="str">
        <f>[1]Hybrid!A56</f>
        <v>auto_cf_cgas_2</v>
      </c>
      <c r="C352" s="5">
        <f>[1]Hybrid!B56</f>
        <v>7.4609436000000001E-2</v>
      </c>
      <c r="D352" s="5">
        <f>[1]Hybrid!C56</f>
        <v>7.5392995899999996E-2</v>
      </c>
      <c r="E352" s="5">
        <f>[1]Hybrid!D56</f>
        <v>7.6381652600000002E-2</v>
      </c>
      <c r="F352" s="5">
        <f>[1]Hybrid!E56</f>
        <v>7.7395245299999998E-2</v>
      </c>
      <c r="G352" s="5">
        <f>[1]Hybrid!F56</f>
        <v>7.8307016300000004E-2</v>
      </c>
      <c r="H352" s="5">
        <f>[1]Hybrid!G56</f>
        <v>7.9038168399999997E-2</v>
      </c>
      <c r="I352" s="5">
        <f>[1]Hybrid!H56</f>
        <v>7.9434785199999997E-2</v>
      </c>
      <c r="J352" s="5">
        <f>[1]Hybrid!I56</f>
        <v>7.9447315399999996E-2</v>
      </c>
      <c r="K352" s="5">
        <f>[1]Hybrid!J56</f>
        <v>7.9246359700000005E-2</v>
      </c>
      <c r="L352" s="5">
        <f>[1]Hybrid!K56</f>
        <v>7.88373344E-2</v>
      </c>
      <c r="M352" s="5">
        <f>[1]Hybrid!L56</f>
        <v>7.8268127199999996E-2</v>
      </c>
      <c r="N352" s="5">
        <f>[1]Hybrid!M56</f>
        <v>7.7547397300000001E-2</v>
      </c>
      <c r="O352" s="5">
        <f>[1]Hybrid!N56</f>
        <v>7.6677801700000006E-2</v>
      </c>
      <c r="P352" s="5">
        <f>[1]Hybrid!O56</f>
        <v>7.5658430299999996E-2</v>
      </c>
      <c r="Q352" s="5">
        <f>[1]Hybrid!P56</f>
        <v>7.4486937599999997E-2</v>
      </c>
      <c r="R352" s="5">
        <f>[1]Hybrid!Q56</f>
        <v>7.3166294600000001E-2</v>
      </c>
      <c r="S352" s="5">
        <f>[1]Hybrid!R56</f>
        <v>7.1706966799999994E-2</v>
      </c>
      <c r="T352" s="5">
        <f>[1]Hybrid!S56</f>
        <v>7.0125622299999996E-2</v>
      </c>
      <c r="U352" s="5">
        <f>[1]Hybrid!T56</f>
        <v>6.8441900200000003E-2</v>
      </c>
      <c r="V352" s="5">
        <f>[1]Hybrid!U56</f>
        <v>6.6675139300000005E-2</v>
      </c>
      <c r="W352" s="5">
        <f>[1]Hybrid!V56</f>
        <v>6.4837926099999998E-2</v>
      </c>
      <c r="X352" s="5">
        <f>[1]Hybrid!W56</f>
        <v>6.2949063400000005E-2</v>
      </c>
      <c r="Y352" s="5">
        <f>[1]Hybrid!X56</f>
        <v>6.10213613E-2</v>
      </c>
      <c r="Z352" s="5">
        <f>[1]Hybrid!Y56</f>
        <v>5.9064236800000003E-2</v>
      </c>
      <c r="AA352" s="5">
        <f>[1]Hybrid!Z56</f>
        <v>5.7086164799999999E-2</v>
      </c>
      <c r="AB352" s="5">
        <f>[1]Hybrid!AA56</f>
        <v>5.5086655800000002E-2</v>
      </c>
      <c r="AC352" s="5">
        <f>[1]Hybrid!AB56</f>
        <v>5.30804182E-2</v>
      </c>
      <c r="AD352" s="5">
        <f>[1]Hybrid!AC56</f>
        <v>5.1078581300000002E-2</v>
      </c>
      <c r="AE352" s="5">
        <f>[1]Hybrid!AD56</f>
        <v>4.90896693E-2</v>
      </c>
      <c r="AF352" s="5">
        <f>[1]Hybrid!AE56</f>
        <v>4.7120948099999997E-2</v>
      </c>
      <c r="AG352" s="5">
        <f>[1]Hybrid!AF56</f>
        <v>4.5178242700000003E-2</v>
      </c>
      <c r="AH352" s="5">
        <f>[1]Hybrid!AG56</f>
        <v>4.32662714E-2</v>
      </c>
      <c r="AI352" s="5">
        <f>[1]Hybrid!AH56</f>
        <v>4.1389058100000001E-2</v>
      </c>
      <c r="AJ352" s="5">
        <f>[1]Hybrid!AI56</f>
        <v>3.95502415E-2</v>
      </c>
      <c r="AK352" s="5">
        <f>[1]Hybrid!AJ56</f>
        <v>3.7753205900000003E-2</v>
      </c>
      <c r="AL352" s="5">
        <f>[1]Hybrid!AK56</f>
        <v>3.6001060100000003E-2</v>
      </c>
    </row>
    <row r="353" spans="1:38" x14ac:dyDescent="0.3">
      <c r="B353" s="5" t="str">
        <f>[1]Hybrid!A58</f>
        <v>auto_cg_cgas_2</v>
      </c>
      <c r="C353" s="5">
        <f>[1]Hybrid!B58</f>
        <v>0.13435819299999999</v>
      </c>
      <c r="D353" s="5">
        <f>[1]Hybrid!C58</f>
        <v>0.13604005229999999</v>
      </c>
      <c r="E353" s="5">
        <f>[1]Hybrid!D58</f>
        <v>0.1378617892</v>
      </c>
      <c r="F353" s="5">
        <f>[1]Hybrid!E58</f>
        <v>0.139492376</v>
      </c>
      <c r="G353" s="5">
        <f>[1]Hybrid!F58</f>
        <v>0.14071647379999999</v>
      </c>
      <c r="H353" s="5">
        <f>[1]Hybrid!G58</f>
        <v>0.14140616789999999</v>
      </c>
      <c r="I353" s="5">
        <f>[1]Hybrid!H58</f>
        <v>0.14125795739999999</v>
      </c>
      <c r="J353" s="5">
        <f>[1]Hybrid!I58</f>
        <v>0.14014815589999999</v>
      </c>
      <c r="K353" s="5">
        <f>[1]Hybrid!J58</f>
        <v>0.13844839789999999</v>
      </c>
      <c r="L353" s="5">
        <f>[1]Hybrid!K58</f>
        <v>0.13624111359999999</v>
      </c>
      <c r="M353" s="5">
        <f>[1]Hybrid!L58</f>
        <v>0.13366978860000001</v>
      </c>
      <c r="N353" s="5">
        <f>[1]Hybrid!M58</f>
        <v>0.13080759989999999</v>
      </c>
      <c r="O353" s="5">
        <f>[1]Hybrid!N58</f>
        <v>0.12769824660000001</v>
      </c>
      <c r="P353" s="5">
        <f>[1]Hybrid!O58</f>
        <v>0.1243659431</v>
      </c>
      <c r="Q353" s="5">
        <f>[1]Hybrid!P58</f>
        <v>0.1208240087</v>
      </c>
      <c r="R353" s="5">
        <f>[1]Hybrid!Q58</f>
        <v>0.1170899814</v>
      </c>
      <c r="S353" s="5">
        <f>[1]Hybrid!R58</f>
        <v>0.1131918946</v>
      </c>
      <c r="T353" s="5">
        <f>[1]Hybrid!S58</f>
        <v>0.1091671145</v>
      </c>
      <c r="U353" s="5">
        <f>[1]Hybrid!T58</f>
        <v>0.1050570394</v>
      </c>
      <c r="V353" s="5">
        <f>[1]Hybrid!U58</f>
        <v>0.10090148979999999</v>
      </c>
      <c r="W353" s="5">
        <f>[1]Hybrid!V58</f>
        <v>9.6730901899999999E-2</v>
      </c>
      <c r="X353" s="5">
        <f>[1]Hybrid!W58</f>
        <v>9.2578077300000006E-2</v>
      </c>
      <c r="Y353" s="5">
        <f>[1]Hybrid!X58</f>
        <v>8.8467156699999994E-2</v>
      </c>
      <c r="Z353" s="5">
        <f>[1]Hybrid!Y58</f>
        <v>8.4416035900000005E-2</v>
      </c>
      <c r="AA353" s="5">
        <f>[1]Hybrid!Z58</f>
        <v>8.0439375300000004E-2</v>
      </c>
      <c r="AB353" s="5">
        <f>[1]Hybrid!AA58</f>
        <v>7.6543213799999996E-2</v>
      </c>
      <c r="AC353" s="5">
        <f>[1]Hybrid!AB58</f>
        <v>7.2743501200000005E-2</v>
      </c>
      <c r="AD353" s="5">
        <f>[1]Hybrid!AC58</f>
        <v>6.9052522699999994E-2</v>
      </c>
      <c r="AE353" s="5">
        <f>[1]Hybrid!AD58</f>
        <v>6.5479087500000005E-2</v>
      </c>
      <c r="AF353" s="5">
        <f>[1]Hybrid!AE58</f>
        <v>6.2029629900000001E-2</v>
      </c>
      <c r="AG353" s="5">
        <f>[1]Hybrid!AF58</f>
        <v>5.8708261300000002E-2</v>
      </c>
      <c r="AH353" s="5">
        <f>[1]Hybrid!AG58</f>
        <v>5.5517253900000001E-2</v>
      </c>
      <c r="AI353" s="5">
        <f>[1]Hybrid!AH58</f>
        <v>5.2457564599999999E-2</v>
      </c>
      <c r="AJ353" s="5">
        <f>[1]Hybrid!AI58</f>
        <v>4.9529231399999998E-2</v>
      </c>
      <c r="AK353" s="5">
        <f>[1]Hybrid!AJ58</f>
        <v>4.6731591400000001E-2</v>
      </c>
      <c r="AL353" s="5">
        <f>[1]Hybrid!AK58</f>
        <v>4.4063362000000002E-2</v>
      </c>
    </row>
    <row r="355" spans="1:38" x14ac:dyDescent="0.3">
      <c r="A355" s="12" t="s">
        <v>64</v>
      </c>
      <c r="B355" t="s">
        <v>83</v>
      </c>
      <c r="C355" s="2">
        <v>42005</v>
      </c>
      <c r="D355" s="2">
        <v>42370</v>
      </c>
      <c r="E355" s="2">
        <v>42736</v>
      </c>
      <c r="F355" s="2">
        <v>43101</v>
      </c>
      <c r="G355" s="2">
        <v>43466</v>
      </c>
      <c r="H355" s="2">
        <v>43831</v>
      </c>
      <c r="I355" s="2">
        <v>44197</v>
      </c>
      <c r="J355" s="2">
        <v>44562</v>
      </c>
      <c r="K355" s="2">
        <v>44927</v>
      </c>
      <c r="L355" s="2">
        <v>45292</v>
      </c>
      <c r="M355" s="2">
        <v>45658</v>
      </c>
      <c r="N355" s="2">
        <v>46023</v>
      </c>
      <c r="O355" s="2">
        <v>46388</v>
      </c>
      <c r="P355" s="2">
        <v>46753</v>
      </c>
      <c r="Q355" s="2">
        <v>47119</v>
      </c>
      <c r="R355" s="2">
        <v>47484</v>
      </c>
      <c r="S355" s="2">
        <v>47849</v>
      </c>
      <c r="T355" s="2">
        <v>48214</v>
      </c>
      <c r="U355" s="2">
        <v>48580</v>
      </c>
      <c r="V355" s="2">
        <v>48945</v>
      </c>
      <c r="W355" s="2">
        <v>49310</v>
      </c>
      <c r="X355" s="2">
        <v>49675</v>
      </c>
      <c r="Y355" s="2">
        <v>50041</v>
      </c>
      <c r="Z355" s="2">
        <v>50406</v>
      </c>
      <c r="AA355" s="2">
        <v>50771</v>
      </c>
      <c r="AB355" s="2">
        <v>51136</v>
      </c>
      <c r="AC355" s="2">
        <v>51502</v>
      </c>
      <c r="AD355" s="2">
        <v>51867</v>
      </c>
      <c r="AE355" s="2">
        <v>52232</v>
      </c>
      <c r="AF355" s="2">
        <v>52597</v>
      </c>
      <c r="AG355" s="2">
        <v>52963</v>
      </c>
      <c r="AH355" s="2">
        <v>53328</v>
      </c>
      <c r="AI355" s="2">
        <v>53693</v>
      </c>
      <c r="AJ355" s="2">
        <v>54058</v>
      </c>
      <c r="AK355" s="2">
        <v>54424</v>
      </c>
      <c r="AL355" s="2">
        <v>54789</v>
      </c>
    </row>
    <row r="356" spans="1:38" x14ac:dyDescent="0.3">
      <c r="A356" t="s">
        <v>27</v>
      </c>
      <c r="B356" t="s">
        <v>70</v>
      </c>
      <c r="C356" s="6">
        <f t="shared" ref="C356:AL356" si="82">C333+C347+C340</f>
        <v>7105.9689965623002</v>
      </c>
      <c r="D356" s="6">
        <f t="shared" si="82"/>
        <v>7167.8701310506003</v>
      </c>
      <c r="E356" s="6">
        <f t="shared" si="82"/>
        <v>7282.1147420061006</v>
      </c>
      <c r="F356" s="6">
        <f t="shared" si="82"/>
        <v>7429.0829375365001</v>
      </c>
      <c r="G356" s="6">
        <f t="shared" si="82"/>
        <v>7593.6382974983999</v>
      </c>
      <c r="H356" s="6">
        <f t="shared" si="82"/>
        <v>7766.9101580862989</v>
      </c>
      <c r="I356" s="6">
        <f t="shared" si="82"/>
        <v>7940.1573451696995</v>
      </c>
      <c r="J356" s="6">
        <f t="shared" si="82"/>
        <v>8124.1527310344991</v>
      </c>
      <c r="K356" s="6">
        <f t="shared" si="82"/>
        <v>8332.1548200993002</v>
      </c>
      <c r="L356" s="6">
        <f t="shared" si="82"/>
        <v>8556.0881984097996</v>
      </c>
      <c r="M356" s="6">
        <f t="shared" si="82"/>
        <v>8792.5565502826012</v>
      </c>
      <c r="N356" s="6">
        <f t="shared" si="82"/>
        <v>9031.6501190975014</v>
      </c>
      <c r="O356" s="6">
        <f t="shared" si="82"/>
        <v>9266.9091542775004</v>
      </c>
      <c r="P356" s="6">
        <f t="shared" si="82"/>
        <v>9494.9404006270997</v>
      </c>
      <c r="Q356" s="6">
        <f t="shared" si="82"/>
        <v>9714.9968773932997</v>
      </c>
      <c r="R356" s="6">
        <f t="shared" si="82"/>
        <v>9928.6355319466002</v>
      </c>
      <c r="S356" s="6">
        <f t="shared" si="82"/>
        <v>10138.630799399101</v>
      </c>
      <c r="T356" s="6">
        <f t="shared" si="82"/>
        <v>10347.818571824298</v>
      </c>
      <c r="U356" s="6">
        <f t="shared" si="82"/>
        <v>10558.2302230757</v>
      </c>
      <c r="V356" s="6">
        <f t="shared" si="82"/>
        <v>10770.736209884601</v>
      </c>
      <c r="W356" s="6">
        <f t="shared" si="82"/>
        <v>10983.437218122001</v>
      </c>
      <c r="X356" s="6">
        <f t="shared" si="82"/>
        <v>11197.808199538</v>
      </c>
      <c r="Y356" s="6">
        <f t="shared" si="82"/>
        <v>11413.229975517999</v>
      </c>
      <c r="Z356" s="6">
        <f t="shared" si="82"/>
        <v>11628.904683258001</v>
      </c>
      <c r="AA356" s="6">
        <f t="shared" si="82"/>
        <v>11844.555775616001</v>
      </c>
      <c r="AB356" s="6">
        <f t="shared" si="82"/>
        <v>12054.710240257</v>
      </c>
      <c r="AC356" s="6">
        <f t="shared" si="82"/>
        <v>12264.36125951</v>
      </c>
      <c r="AD356" s="6">
        <f t="shared" si="82"/>
        <v>12474.694361631</v>
      </c>
      <c r="AE356" s="6">
        <f t="shared" si="82"/>
        <v>12685.503226864999</v>
      </c>
      <c r="AF356" s="6">
        <f t="shared" si="82"/>
        <v>12896.381247059002</v>
      </c>
      <c r="AG356" s="6">
        <f t="shared" si="82"/>
        <v>13106.884466192001</v>
      </c>
      <c r="AH356" s="6">
        <f t="shared" si="82"/>
        <v>13316.809360171001</v>
      </c>
      <c r="AI356" s="6">
        <f t="shared" si="82"/>
        <v>13526.309529905</v>
      </c>
      <c r="AJ356" s="6">
        <f t="shared" si="82"/>
        <v>13735.842175774002</v>
      </c>
      <c r="AK356" s="6">
        <f t="shared" si="82"/>
        <v>13946.005858445</v>
      </c>
      <c r="AL356" s="6">
        <f t="shared" si="82"/>
        <v>14157.357631963001</v>
      </c>
    </row>
    <row r="357" spans="1:38" x14ac:dyDescent="0.3">
      <c r="B357" t="s">
        <v>71</v>
      </c>
      <c r="C357" s="6">
        <f t="shared" ref="C357:AL357" si="83">C334+C348+C341</f>
        <v>8263.1971436354015</v>
      </c>
      <c r="D357" s="6">
        <f t="shared" si="83"/>
        <v>8209.8729132815006</v>
      </c>
      <c r="E357" s="6">
        <f t="shared" si="83"/>
        <v>8214.3846243029984</v>
      </c>
      <c r="F357" s="6">
        <f t="shared" si="83"/>
        <v>8257.1463426830996</v>
      </c>
      <c r="G357" s="6">
        <f t="shared" si="83"/>
        <v>8322.9937550730992</v>
      </c>
      <c r="H357" s="6">
        <f t="shared" si="83"/>
        <v>8402.7783358271008</v>
      </c>
      <c r="I357" s="6">
        <f t="shared" si="83"/>
        <v>8487.0543357925981</v>
      </c>
      <c r="J357" s="6">
        <f t="shared" si="83"/>
        <v>8584.6149444021994</v>
      </c>
      <c r="K357" s="6">
        <f t="shared" si="83"/>
        <v>8707.8719400615009</v>
      </c>
      <c r="L357" s="6">
        <f t="shared" si="83"/>
        <v>8848.9391532750014</v>
      </c>
      <c r="M357" s="6">
        <f t="shared" si="83"/>
        <v>9004.5551092340993</v>
      </c>
      <c r="N357" s="6">
        <f t="shared" si="83"/>
        <v>9165.4029394411009</v>
      </c>
      <c r="O357" s="6">
        <f t="shared" si="83"/>
        <v>9325.2791635878002</v>
      </c>
      <c r="P357" s="6">
        <f t="shared" si="83"/>
        <v>9480.7303726397004</v>
      </c>
      <c r="Q357" s="6">
        <f t="shared" si="83"/>
        <v>9630.6623659837987</v>
      </c>
      <c r="R357" s="6">
        <f t="shared" si="83"/>
        <v>9776.0767123803998</v>
      </c>
      <c r="S357" s="6">
        <f t="shared" si="83"/>
        <v>9919.1234000399982</v>
      </c>
      <c r="T357" s="6">
        <f t="shared" si="83"/>
        <v>10062.075478793298</v>
      </c>
      <c r="U357" s="6">
        <f t="shared" si="83"/>
        <v>10206.547574219399</v>
      </c>
      <c r="V357" s="6">
        <f t="shared" si="83"/>
        <v>10353.1593752973</v>
      </c>
      <c r="W357" s="6">
        <f t="shared" si="83"/>
        <v>10500.0455168321</v>
      </c>
      <c r="X357" s="6">
        <f t="shared" si="83"/>
        <v>10648.4146575633</v>
      </c>
      <c r="Y357" s="6">
        <f t="shared" si="83"/>
        <v>10797.5895654099</v>
      </c>
      <c r="Z357" s="6">
        <f t="shared" si="83"/>
        <v>10946.702403087</v>
      </c>
      <c r="AA357" s="6">
        <f t="shared" si="83"/>
        <v>11095.336220478999</v>
      </c>
      <c r="AB357" s="6">
        <f t="shared" si="83"/>
        <v>11238.428568476</v>
      </c>
      <c r="AC357" s="6">
        <f t="shared" si="83"/>
        <v>11380.255749298</v>
      </c>
      <c r="AD357" s="6">
        <f t="shared" si="83"/>
        <v>11521.788421805999</v>
      </c>
      <c r="AE357" s="6">
        <f t="shared" si="83"/>
        <v>11662.778133761998</v>
      </c>
      <c r="AF357" s="6">
        <f t="shared" si="83"/>
        <v>11802.805872099998</v>
      </c>
      <c r="AG357" s="6">
        <f t="shared" si="83"/>
        <v>11941.404460903999</v>
      </c>
      <c r="AH357" s="6">
        <f t="shared" si="83"/>
        <v>12078.292606138</v>
      </c>
      <c r="AI357" s="6">
        <f t="shared" si="83"/>
        <v>12213.479345419</v>
      </c>
      <c r="AJ357" s="6">
        <f t="shared" si="83"/>
        <v>12347.228072561</v>
      </c>
      <c r="AK357" s="6">
        <f t="shared" si="83"/>
        <v>12479.928371992</v>
      </c>
      <c r="AL357" s="6">
        <f t="shared" si="83"/>
        <v>12611.946859778001</v>
      </c>
    </row>
    <row r="358" spans="1:38" x14ac:dyDescent="0.3">
      <c r="B358" t="s">
        <v>72</v>
      </c>
      <c r="C358" s="6">
        <f t="shared" ref="C358:AL358" si="84">C335+C349+C342</f>
        <v>6787.4105911386005</v>
      </c>
      <c r="D358" s="6">
        <f t="shared" si="84"/>
        <v>6666.999193916</v>
      </c>
      <c r="E358" s="6">
        <f t="shared" si="84"/>
        <v>6592.3040797355998</v>
      </c>
      <c r="F358" s="6">
        <f t="shared" si="84"/>
        <v>6549.2197237277996</v>
      </c>
      <c r="G358" s="6">
        <f t="shared" si="84"/>
        <v>6526.7854631388</v>
      </c>
      <c r="H358" s="6">
        <f t="shared" si="84"/>
        <v>6518.2089743975002</v>
      </c>
      <c r="I358" s="6">
        <f t="shared" si="84"/>
        <v>6516.2153618797001</v>
      </c>
      <c r="J358" s="6">
        <f t="shared" si="84"/>
        <v>6525.8342210694</v>
      </c>
      <c r="K358" s="6">
        <f t="shared" si="84"/>
        <v>6555.4212997638006</v>
      </c>
      <c r="L358" s="6">
        <f t="shared" si="84"/>
        <v>6599.4103055884989</v>
      </c>
      <c r="M358" s="6">
        <f t="shared" si="84"/>
        <v>6655.5214139906002</v>
      </c>
      <c r="N358" s="6">
        <f t="shared" si="84"/>
        <v>6717.4143270488003</v>
      </c>
      <c r="O358" s="6">
        <f t="shared" si="84"/>
        <v>6780.7740432690998</v>
      </c>
      <c r="P358" s="6">
        <f t="shared" si="84"/>
        <v>6843.0641520314002</v>
      </c>
      <c r="Q358" s="6">
        <f t="shared" si="84"/>
        <v>6903.2662558430002</v>
      </c>
      <c r="R358" s="6">
        <f t="shared" si="84"/>
        <v>6961.7407811234998</v>
      </c>
      <c r="S358" s="6">
        <f t="shared" si="84"/>
        <v>7019.6333734678992</v>
      </c>
      <c r="T358" s="6">
        <f t="shared" si="84"/>
        <v>7078.219133700899</v>
      </c>
      <c r="U358" s="6">
        <f t="shared" si="84"/>
        <v>7138.3928839107002</v>
      </c>
      <c r="V358" s="6">
        <f t="shared" si="84"/>
        <v>7200.4390571817994</v>
      </c>
      <c r="W358" s="6">
        <f t="shared" si="84"/>
        <v>7263.0357522123995</v>
      </c>
      <c r="X358" s="6">
        <f t="shared" si="84"/>
        <v>7326.8830699280998</v>
      </c>
      <c r="Y358" s="6">
        <f t="shared" si="84"/>
        <v>7391.4573068</v>
      </c>
      <c r="Z358" s="6">
        <f t="shared" si="84"/>
        <v>7456.0937513979006</v>
      </c>
      <c r="AA358" s="6">
        <f t="shared" si="84"/>
        <v>7520.4110129373003</v>
      </c>
      <c r="AB358" s="6">
        <f t="shared" si="84"/>
        <v>7581.0337007896997</v>
      </c>
      <c r="AC358" s="6">
        <f t="shared" si="84"/>
        <v>7640.6016266539</v>
      </c>
      <c r="AD358" s="6">
        <f t="shared" si="84"/>
        <v>7699.6856557635001</v>
      </c>
      <c r="AE358" s="6">
        <f t="shared" si="84"/>
        <v>7758.0873980078995</v>
      </c>
      <c r="AF358" s="6">
        <f t="shared" si="84"/>
        <v>7815.5049592761998</v>
      </c>
      <c r="AG358" s="6">
        <f t="shared" si="84"/>
        <v>7871.5977321872997</v>
      </c>
      <c r="AH358" s="6">
        <f t="shared" si="84"/>
        <v>7926.1289780648995</v>
      </c>
      <c r="AI358" s="6">
        <f t="shared" si="84"/>
        <v>7979.0337276534001</v>
      </c>
      <c r="AJ358" s="6">
        <f t="shared" si="84"/>
        <v>8030.4029784784998</v>
      </c>
      <c r="AK358" s="6">
        <f t="shared" si="84"/>
        <v>8080.4111172232006</v>
      </c>
      <c r="AL358" s="6">
        <f t="shared" si="84"/>
        <v>8129.2281900899998</v>
      </c>
    </row>
    <row r="359" spans="1:38" x14ac:dyDescent="0.3">
      <c r="B359" t="s">
        <v>73</v>
      </c>
      <c r="C359" s="6">
        <f t="shared" ref="C359:AL359" si="85">C336+C350+C343</f>
        <v>4165.6835237371006</v>
      </c>
      <c r="D359" s="6">
        <f t="shared" si="85"/>
        <v>4066.3811176463</v>
      </c>
      <c r="E359" s="6">
        <f t="shared" si="85"/>
        <v>3992.9434470901997</v>
      </c>
      <c r="F359" s="6">
        <f t="shared" si="85"/>
        <v>3937.2649657057</v>
      </c>
      <c r="G359" s="6">
        <f t="shared" si="85"/>
        <v>3893.1083195604001</v>
      </c>
      <c r="H359" s="6">
        <f t="shared" si="85"/>
        <v>3856.4914448242002</v>
      </c>
      <c r="I359" s="6">
        <f t="shared" si="85"/>
        <v>3822.4842259041998</v>
      </c>
      <c r="J359" s="6">
        <f t="shared" si="85"/>
        <v>3792.2215780761999</v>
      </c>
      <c r="K359" s="6">
        <f t="shared" si="85"/>
        <v>3770.5557368699001</v>
      </c>
      <c r="L359" s="6">
        <f t="shared" si="85"/>
        <v>3754.8353264892999</v>
      </c>
      <c r="M359" s="6">
        <f t="shared" si="85"/>
        <v>3744.3308357493001</v>
      </c>
      <c r="N359" s="6">
        <f t="shared" si="85"/>
        <v>3736.2890433356001</v>
      </c>
      <c r="O359" s="6">
        <f t="shared" si="85"/>
        <v>3728.7391820098001</v>
      </c>
      <c r="P359" s="6">
        <f t="shared" si="85"/>
        <v>3720.3924016229003</v>
      </c>
      <c r="Q359" s="6">
        <f t="shared" si="85"/>
        <v>3710.5359924906998</v>
      </c>
      <c r="R359" s="6">
        <f t="shared" si="85"/>
        <v>3699.0564218061995</v>
      </c>
      <c r="S359" s="6">
        <f t="shared" si="85"/>
        <v>3686.2428730748002</v>
      </c>
      <c r="T359" s="6">
        <f t="shared" si="85"/>
        <v>3672.5325589105</v>
      </c>
      <c r="U359" s="6">
        <f t="shared" si="85"/>
        <v>3658.2868308839002</v>
      </c>
      <c r="V359" s="6">
        <f t="shared" si="85"/>
        <v>3643.6653123750998</v>
      </c>
      <c r="W359" s="6">
        <f t="shared" si="85"/>
        <v>3628.1521752366002</v>
      </c>
      <c r="X359" s="6">
        <f t="shared" si="85"/>
        <v>3612.10552164</v>
      </c>
      <c r="Y359" s="6">
        <f t="shared" si="85"/>
        <v>3595.3587951879003</v>
      </c>
      <c r="Z359" s="6">
        <f t="shared" si="85"/>
        <v>3577.6418957768001</v>
      </c>
      <c r="AA359" s="6">
        <f t="shared" si="85"/>
        <v>3558.7781392227998</v>
      </c>
      <c r="AB359" s="6">
        <f t="shared" si="85"/>
        <v>3537.3779860375998</v>
      </c>
      <c r="AC359" s="6">
        <f t="shared" si="85"/>
        <v>3514.4703259850999</v>
      </c>
      <c r="AD359" s="6">
        <f t="shared" si="85"/>
        <v>3490.3492755061002</v>
      </c>
      <c r="AE359" s="6">
        <f t="shared" si="85"/>
        <v>3465.0154936157996</v>
      </c>
      <c r="AF359" s="6">
        <f t="shared" si="85"/>
        <v>3438.4288849607001</v>
      </c>
      <c r="AG359" s="6">
        <f t="shared" si="85"/>
        <v>3410.5141453995998</v>
      </c>
      <c r="AH359" s="6">
        <f t="shared" si="85"/>
        <v>3381.2085154895999</v>
      </c>
      <c r="AI359" s="6">
        <f t="shared" si="85"/>
        <v>3350.4930250520001</v>
      </c>
      <c r="AJ359" s="6">
        <f t="shared" si="85"/>
        <v>3318.3991509872003</v>
      </c>
      <c r="AK359" s="6">
        <f t="shared" si="85"/>
        <v>3284.9948601647002</v>
      </c>
      <c r="AL359" s="6">
        <f t="shared" si="85"/>
        <v>3250.3607545535001</v>
      </c>
    </row>
    <row r="360" spans="1:38" x14ac:dyDescent="0.3">
      <c r="B360" t="s">
        <v>74</v>
      </c>
      <c r="C360" s="6">
        <f t="shared" ref="C360:AL360" si="86">C337+C351+C344</f>
        <v>2507.3524895615005</v>
      </c>
      <c r="D360" s="6">
        <f t="shared" si="86"/>
        <v>2449.9161799352</v>
      </c>
      <c r="E360" s="6">
        <f t="shared" si="86"/>
        <v>2407.015178781</v>
      </c>
      <c r="F360" s="6">
        <f t="shared" si="86"/>
        <v>2373.6542578975</v>
      </c>
      <c r="G360" s="6">
        <f t="shared" si="86"/>
        <v>2346.0475240952001</v>
      </c>
      <c r="H360" s="6">
        <f t="shared" si="86"/>
        <v>2321.7610160873</v>
      </c>
      <c r="I360" s="6">
        <f t="shared" si="86"/>
        <v>2297.4338102784</v>
      </c>
      <c r="J360" s="6">
        <f t="shared" si="86"/>
        <v>2273.091444832</v>
      </c>
      <c r="K360" s="6">
        <f t="shared" si="86"/>
        <v>2251.9529406314996</v>
      </c>
      <c r="L360" s="6">
        <f t="shared" si="86"/>
        <v>2232.7311776309998</v>
      </c>
      <c r="M360" s="6">
        <f t="shared" si="86"/>
        <v>2215.3389797499003</v>
      </c>
      <c r="N360" s="6">
        <f t="shared" si="86"/>
        <v>2198.5369195691997</v>
      </c>
      <c r="O360" s="6">
        <f t="shared" si="86"/>
        <v>2181.3965188875</v>
      </c>
      <c r="P360" s="6">
        <f t="shared" si="86"/>
        <v>2163.2629979510002</v>
      </c>
      <c r="Q360" s="6">
        <f t="shared" si="86"/>
        <v>2143.7158311184003</v>
      </c>
      <c r="R360" s="6">
        <f t="shared" si="86"/>
        <v>2122.6305157136003</v>
      </c>
      <c r="S360" s="6">
        <f t="shared" si="86"/>
        <v>2100.1161006963998</v>
      </c>
      <c r="T360" s="6">
        <f t="shared" si="86"/>
        <v>2076.4032553273</v>
      </c>
      <c r="U360" s="6">
        <f t="shared" si="86"/>
        <v>2051.7286191171997</v>
      </c>
      <c r="V360" s="6">
        <f t="shared" si="86"/>
        <v>2026.2563025039999</v>
      </c>
      <c r="W360" s="6">
        <f t="shared" si="86"/>
        <v>1999.8227993076</v>
      </c>
      <c r="X360" s="6">
        <f t="shared" si="86"/>
        <v>1972.6895654129999</v>
      </c>
      <c r="Y360" s="6">
        <f t="shared" si="86"/>
        <v>1944.8571386901001</v>
      </c>
      <c r="Z360" s="6">
        <f t="shared" si="86"/>
        <v>1916.2540522004001</v>
      </c>
      <c r="AA360" s="6">
        <f t="shared" si="86"/>
        <v>1886.8408014458</v>
      </c>
      <c r="AB360" s="6">
        <f t="shared" si="86"/>
        <v>1856.0148972627999</v>
      </c>
      <c r="AC360" s="6">
        <f t="shared" si="86"/>
        <v>1824.2866254266999</v>
      </c>
      <c r="AD360" s="6">
        <f t="shared" si="86"/>
        <v>1791.8629363423001</v>
      </c>
      <c r="AE360" s="6">
        <f t="shared" si="86"/>
        <v>1758.8181660186001</v>
      </c>
      <c r="AF360" s="6">
        <f t="shared" si="86"/>
        <v>1725.2043596835999</v>
      </c>
      <c r="AG360" s="6">
        <f t="shared" si="86"/>
        <v>1691.0471914708</v>
      </c>
      <c r="AH360" s="6">
        <f t="shared" si="86"/>
        <v>1656.3657308022</v>
      </c>
      <c r="AI360" s="6">
        <f t="shared" si="86"/>
        <v>1621.1891899668001</v>
      </c>
      <c r="AJ360" s="6">
        <f t="shared" si="86"/>
        <v>1585.5647809413999</v>
      </c>
      <c r="AK360" s="6">
        <f t="shared" si="86"/>
        <v>1549.5561265278</v>
      </c>
      <c r="AL360" s="6">
        <f t="shared" si="86"/>
        <v>1513.2354416262001</v>
      </c>
    </row>
    <row r="361" spans="1:38" x14ac:dyDescent="0.3">
      <c r="B361" t="s">
        <v>75</v>
      </c>
      <c r="C361" s="6">
        <f t="shared" ref="C361:AL361" si="87">C338+C352+C345</f>
        <v>1245.466605953</v>
      </c>
      <c r="D361" s="6">
        <f t="shared" si="87"/>
        <v>1214.0468876889001</v>
      </c>
      <c r="E361" s="6">
        <f t="shared" si="87"/>
        <v>1188.1449829836001</v>
      </c>
      <c r="F361" s="6">
        <f t="shared" si="87"/>
        <v>1165.3222439982999</v>
      </c>
      <c r="G361" s="6">
        <f t="shared" si="87"/>
        <v>1143.8355894673</v>
      </c>
      <c r="H361" s="6">
        <f t="shared" si="87"/>
        <v>1122.5577675594002</v>
      </c>
      <c r="I361" s="6">
        <f t="shared" si="87"/>
        <v>1099.4859510222</v>
      </c>
      <c r="J361" s="6">
        <f t="shared" si="87"/>
        <v>1073.9067645224</v>
      </c>
      <c r="K361" s="6">
        <f t="shared" si="87"/>
        <v>1047.7737323306999</v>
      </c>
      <c r="L361" s="6">
        <f t="shared" si="87"/>
        <v>1021.0328652623999</v>
      </c>
      <c r="M361" s="6">
        <f t="shared" si="87"/>
        <v>994.14975228620006</v>
      </c>
      <c r="N361" s="6">
        <f t="shared" si="87"/>
        <v>967.11924411630002</v>
      </c>
      <c r="O361" s="6">
        <f t="shared" si="87"/>
        <v>939.87101231669999</v>
      </c>
      <c r="P361" s="6">
        <f t="shared" si="87"/>
        <v>912.29904685629992</v>
      </c>
      <c r="Q361" s="6">
        <f t="shared" si="87"/>
        <v>884.28718022659996</v>
      </c>
      <c r="R361" s="6">
        <f t="shared" si="87"/>
        <v>855.7899620856</v>
      </c>
      <c r="S361" s="6">
        <f t="shared" si="87"/>
        <v>826.85750396879996</v>
      </c>
      <c r="T361" s="6">
        <f t="shared" si="87"/>
        <v>797.61837608230007</v>
      </c>
      <c r="U361" s="6">
        <f t="shared" si="87"/>
        <v>768.23948990220003</v>
      </c>
      <c r="V361" s="6">
        <f t="shared" si="87"/>
        <v>738.8861092203</v>
      </c>
      <c r="W361" s="6">
        <f t="shared" si="87"/>
        <v>709.64421572010008</v>
      </c>
      <c r="X361" s="6">
        <f t="shared" si="87"/>
        <v>680.67735817439996</v>
      </c>
      <c r="Y361" s="6">
        <f t="shared" si="87"/>
        <v>652.0786147683001</v>
      </c>
      <c r="Z361" s="6">
        <f t="shared" si="87"/>
        <v>623.90272428380013</v>
      </c>
      <c r="AA361" s="6">
        <f t="shared" si="87"/>
        <v>596.19594786380003</v>
      </c>
      <c r="AB361" s="6">
        <f t="shared" si="87"/>
        <v>568.89961487479991</v>
      </c>
      <c r="AC361" s="6">
        <f t="shared" si="87"/>
        <v>542.14185914519999</v>
      </c>
      <c r="AD361" s="6">
        <f t="shared" si="87"/>
        <v>516.00899863129996</v>
      </c>
      <c r="AE361" s="6">
        <f t="shared" si="87"/>
        <v>490.5577692183</v>
      </c>
      <c r="AF361" s="6">
        <f t="shared" si="87"/>
        <v>465.83183525509997</v>
      </c>
      <c r="AG361" s="6">
        <f t="shared" si="87"/>
        <v>441.85964936170001</v>
      </c>
      <c r="AH361" s="6">
        <f t="shared" si="87"/>
        <v>418.65855561240005</v>
      </c>
      <c r="AI361" s="6">
        <f t="shared" si="87"/>
        <v>396.23977184109998</v>
      </c>
      <c r="AJ361" s="6">
        <f t="shared" si="87"/>
        <v>374.61205625849999</v>
      </c>
      <c r="AK361" s="6">
        <f t="shared" si="87"/>
        <v>353.78319192589998</v>
      </c>
      <c r="AL361" s="6">
        <f t="shared" si="87"/>
        <v>333.75961979710002</v>
      </c>
    </row>
    <row r="362" spans="1:38" x14ac:dyDescent="0.3">
      <c r="B362" t="s">
        <v>76</v>
      </c>
      <c r="C362" s="6">
        <f t="shared" ref="C362:AL362" si="88">C339+C353+C346</f>
        <v>2242.8616504070001</v>
      </c>
      <c r="D362" s="6">
        <f t="shared" si="88"/>
        <v>2189.5339513182998</v>
      </c>
      <c r="E362" s="6">
        <f t="shared" si="88"/>
        <v>2143.3373329002002</v>
      </c>
      <c r="F362" s="6">
        <f t="shared" si="88"/>
        <v>2099.8461127629998</v>
      </c>
      <c r="G362" s="6">
        <f t="shared" si="88"/>
        <v>2056.1192393878</v>
      </c>
      <c r="H362" s="6">
        <f t="shared" si="88"/>
        <v>2010.3315795669</v>
      </c>
      <c r="I362" s="6">
        <f t="shared" si="88"/>
        <v>1958.5913962304001</v>
      </c>
      <c r="J362" s="6">
        <f t="shared" si="88"/>
        <v>1899.2347633709001</v>
      </c>
      <c r="K362" s="6">
        <f t="shared" si="88"/>
        <v>1836.5914377798999</v>
      </c>
      <c r="L362" s="6">
        <f t="shared" si="88"/>
        <v>1771.4607189615999</v>
      </c>
      <c r="M362" s="6">
        <f t="shared" si="88"/>
        <v>1705.3769053235999</v>
      </c>
      <c r="N362" s="6">
        <f t="shared" si="88"/>
        <v>1639.0192099298999</v>
      </c>
      <c r="O362" s="6">
        <f t="shared" si="88"/>
        <v>1572.7148984266</v>
      </c>
      <c r="P362" s="6">
        <f t="shared" si="88"/>
        <v>1506.5641545230999</v>
      </c>
      <c r="Q362" s="6">
        <f t="shared" si="88"/>
        <v>1440.5460936187001</v>
      </c>
      <c r="R362" s="6">
        <f t="shared" si="88"/>
        <v>1374.7016577813999</v>
      </c>
      <c r="S362" s="6">
        <f t="shared" si="88"/>
        <v>1309.2076751646</v>
      </c>
      <c r="T362" s="6">
        <f t="shared" si="88"/>
        <v>1244.3604827844999</v>
      </c>
      <c r="U362" s="6">
        <f t="shared" si="88"/>
        <v>1180.5101495993999</v>
      </c>
      <c r="V362" s="6">
        <f t="shared" si="88"/>
        <v>1117.9919815797998</v>
      </c>
      <c r="W362" s="6">
        <f t="shared" si="88"/>
        <v>1057.0326517709</v>
      </c>
      <c r="X362" s="6">
        <f t="shared" si="88"/>
        <v>997.89268851129998</v>
      </c>
      <c r="Y362" s="6">
        <f t="shared" si="88"/>
        <v>940.73312984569998</v>
      </c>
      <c r="Z362" s="6">
        <f t="shared" si="88"/>
        <v>885.64570661789992</v>
      </c>
      <c r="AA362" s="6">
        <f t="shared" si="88"/>
        <v>832.68966601329998</v>
      </c>
      <c r="AB362" s="6">
        <f t="shared" si="88"/>
        <v>781.82713557279999</v>
      </c>
      <c r="AC362" s="6">
        <f t="shared" si="88"/>
        <v>733.14687103019992</v>
      </c>
      <c r="AD362" s="6">
        <f t="shared" si="88"/>
        <v>686.6988009657</v>
      </c>
      <c r="AE362" s="6">
        <f t="shared" si="88"/>
        <v>642.49653181849999</v>
      </c>
      <c r="AF362" s="6">
        <f t="shared" si="88"/>
        <v>600.53076760290003</v>
      </c>
      <c r="AG362" s="6">
        <f t="shared" si="88"/>
        <v>560.76992216629992</v>
      </c>
      <c r="AH362" s="6">
        <f t="shared" si="88"/>
        <v>523.16589827590008</v>
      </c>
      <c r="AI362" s="6">
        <f t="shared" si="88"/>
        <v>487.66028225759999</v>
      </c>
      <c r="AJ362" s="6">
        <f t="shared" si="88"/>
        <v>454.18891769739997</v>
      </c>
      <c r="AK362" s="6">
        <f t="shared" si="88"/>
        <v>422.68428302239994</v>
      </c>
      <c r="AL362" s="6">
        <f t="shared" si="88"/>
        <v>393.07619421099997</v>
      </c>
    </row>
    <row r="364" spans="1:38" x14ac:dyDescent="0.3">
      <c r="A364" s="12" t="s">
        <v>64</v>
      </c>
      <c r="B364" s="6" t="str">
        <f>[1]Hybrid!A19</f>
        <v>auto_ca_cfut_0</v>
      </c>
      <c r="C364" s="6">
        <f>[1]Hybrid!B19</f>
        <v>7095.7005250000002</v>
      </c>
      <c r="D364" s="6">
        <f>[1]Hybrid!C19</f>
        <v>7152.3233749999999</v>
      </c>
      <c r="E364" s="6">
        <f>[1]Hybrid!D19</f>
        <v>7260.9426700000004</v>
      </c>
      <c r="F364" s="6">
        <f>[1]Hybrid!E19</f>
        <v>7402.0124539999997</v>
      </c>
      <c r="G364" s="6">
        <f>[1]Hybrid!F19</f>
        <v>7560.4145399999998</v>
      </c>
      <c r="H364" s="6">
        <f>[1]Hybrid!G19</f>
        <v>7727.2612019999997</v>
      </c>
      <c r="I364" s="6">
        <f>[1]Hybrid!H19</f>
        <v>7897.3453689999997</v>
      </c>
      <c r="J364" s="6">
        <f>[1]Hybrid!I19</f>
        <v>8070.5328570000001</v>
      </c>
      <c r="K364" s="6">
        <f>[1]Hybrid!J19</f>
        <v>8248.4776999999995</v>
      </c>
      <c r="L364" s="6">
        <f>[1]Hybrid!K19</f>
        <v>8433.0300719999996</v>
      </c>
      <c r="M364" s="6">
        <f>[1]Hybrid!L19</f>
        <v>8627.1095939999996</v>
      </c>
      <c r="N364" s="6">
        <f>[1]Hybrid!M19</f>
        <v>8827.8061359999992</v>
      </c>
      <c r="O364" s="6">
        <f>[1]Hybrid!N19</f>
        <v>9033.6216889999996</v>
      </c>
      <c r="P364" s="6">
        <f>[1]Hybrid!O19</f>
        <v>9243.1282410000003</v>
      </c>
      <c r="Q364" s="6">
        <f>[1]Hybrid!P19</f>
        <v>9454.8262770000001</v>
      </c>
      <c r="R364" s="6">
        <f>[1]Hybrid!Q19</f>
        <v>9667.5956549999992</v>
      </c>
      <c r="S364" s="6">
        <f>[1]Hybrid!R19</f>
        <v>9880.7192759999998</v>
      </c>
      <c r="T364" s="6">
        <f>[1]Hybrid!S19</f>
        <v>10093.769480000001</v>
      </c>
      <c r="U364" s="6">
        <f>[1]Hybrid!T19</f>
        <v>10306.463089999999</v>
      </c>
      <c r="V364" s="6">
        <f>[1]Hybrid!U19</f>
        <v>10518.555609999999</v>
      </c>
      <c r="W364" s="6">
        <f>[1]Hybrid!V19</f>
        <v>10728.09036</v>
      </c>
      <c r="X364" s="6">
        <f>[1]Hybrid!W19</f>
        <v>10936.95253</v>
      </c>
      <c r="Y364" s="6">
        <f>[1]Hybrid!X19</f>
        <v>11145.11609</v>
      </c>
      <c r="Z364" s="6">
        <f>[1]Hybrid!Y19</f>
        <v>11352.21579</v>
      </c>
      <c r="AA364" s="6">
        <f>[1]Hybrid!Z19</f>
        <v>11558.14249</v>
      </c>
      <c r="AB364" s="6">
        <f>[1]Hybrid!AA19</f>
        <v>11757.56993</v>
      </c>
      <c r="AC364" s="6">
        <f>[1]Hybrid!AB19</f>
        <v>11955.26404</v>
      </c>
      <c r="AD364" s="6">
        <f>[1]Hybrid!AC19</f>
        <v>12152.37133</v>
      </c>
      <c r="AE364" s="6">
        <f>[1]Hybrid!AD19</f>
        <v>12348.816339999999</v>
      </c>
      <c r="AF364" s="6">
        <f>[1]Hybrid!AE19</f>
        <v>12544.3606</v>
      </c>
      <c r="AG364" s="6">
        <f>[1]Hybrid!AF19</f>
        <v>12738.716280000001</v>
      </c>
      <c r="AH364" s="6">
        <f>[1]Hybrid!AG19</f>
        <v>12931.762989999999</v>
      </c>
      <c r="AI364" s="6">
        <f>[1]Hybrid!AH19</f>
        <v>13123.633</v>
      </c>
      <c r="AJ364" s="6">
        <f>[1]Hybrid!AI19</f>
        <v>13314.663060000001</v>
      </c>
      <c r="AK364" s="6">
        <f>[1]Hybrid!AJ19</f>
        <v>13505.26599</v>
      </c>
      <c r="AL364" s="6">
        <f>[1]Hybrid!AK19</f>
        <v>13695.792799999999</v>
      </c>
    </row>
    <row r="365" spans="1:38" x14ac:dyDescent="0.3">
      <c r="A365" t="s">
        <v>26</v>
      </c>
      <c r="B365" s="6" t="str">
        <f>[1]Hybrid!A21</f>
        <v>auto_cb_cfut_0</v>
      </c>
      <c r="C365" s="6">
        <f>[1]Hybrid!B21</f>
        <v>8251.256421</v>
      </c>
      <c r="D365" s="6">
        <f>[1]Hybrid!C21</f>
        <v>8192.9547430000002</v>
      </c>
      <c r="E365" s="6">
        <f>[1]Hybrid!D21</f>
        <v>8192.1601879999998</v>
      </c>
      <c r="F365" s="6">
        <f>[1]Hybrid!E21</f>
        <v>8229.3540109999994</v>
      </c>
      <c r="G365" s="6">
        <f>[1]Hybrid!F21</f>
        <v>8289.3841329999996</v>
      </c>
      <c r="H365" s="6">
        <f>[1]Hybrid!G21</f>
        <v>8363.0822530000005</v>
      </c>
      <c r="I365" s="6">
        <f>[1]Hybrid!H21</f>
        <v>8444.7885370000004</v>
      </c>
      <c r="J365" s="6">
        <f>[1]Hybrid!I21</f>
        <v>8533.6819820000001</v>
      </c>
      <c r="K365" s="6">
        <f>[1]Hybrid!J21</f>
        <v>8630.6939189999994</v>
      </c>
      <c r="L365" s="6">
        <f>[1]Hybrid!K21</f>
        <v>8737.0310379999992</v>
      </c>
      <c r="M365" s="6">
        <f>[1]Hybrid!L21</f>
        <v>8855.0128160000004</v>
      </c>
      <c r="N365" s="6">
        <f>[1]Hybrid!M21</f>
        <v>8981.5663120000008</v>
      </c>
      <c r="O365" s="6">
        <f>[1]Hybrid!N21</f>
        <v>9114.9663770000006</v>
      </c>
      <c r="P365" s="6">
        <f>[1]Hybrid!O21</f>
        <v>9253.5892440000007</v>
      </c>
      <c r="Q365" s="6">
        <f>[1]Hybrid!P21</f>
        <v>9395.7577039999996</v>
      </c>
      <c r="R365" s="6">
        <f>[1]Hybrid!Q21</f>
        <v>9540.1599289999995</v>
      </c>
      <c r="S365" s="6">
        <f>[1]Hybrid!R21</f>
        <v>9685.8747789999998</v>
      </c>
      <c r="T365" s="6">
        <f>[1]Hybrid!S21</f>
        <v>9832.2711820000004</v>
      </c>
      <c r="U365" s="6">
        <f>[1]Hybrid!T21</f>
        <v>9978.8766589999996</v>
      </c>
      <c r="V365" s="6">
        <f>[1]Hybrid!U21</f>
        <v>10125.27836</v>
      </c>
      <c r="W365" s="6">
        <f>[1]Hybrid!V21</f>
        <v>10269.522199999999</v>
      </c>
      <c r="X365" s="6">
        <f>[1]Hybrid!W21</f>
        <v>10413.157929999999</v>
      </c>
      <c r="Y365" s="6">
        <f>[1]Hybrid!X21</f>
        <v>10556.031419999999</v>
      </c>
      <c r="Z365" s="6">
        <f>[1]Hybrid!Y21</f>
        <v>10697.672989999999</v>
      </c>
      <c r="AA365" s="6">
        <f>[1]Hybrid!Z21</f>
        <v>10837.837670000001</v>
      </c>
      <c r="AB365" s="6">
        <f>[1]Hybrid!AA21</f>
        <v>10971.61687</v>
      </c>
      <c r="AC365" s="6">
        <f>[1]Hybrid!AB21</f>
        <v>11103.101269999999</v>
      </c>
      <c r="AD365" s="6">
        <f>[1]Hybrid!AC21</f>
        <v>11233.226280000001</v>
      </c>
      <c r="AE365" s="6">
        <f>[1]Hybrid!AD21</f>
        <v>11361.85154</v>
      </c>
      <c r="AF365" s="6">
        <f>[1]Hybrid!AE21</f>
        <v>11488.696459999999</v>
      </c>
      <c r="AG365" s="6">
        <f>[1]Hybrid!AF21</f>
        <v>11613.425139999999</v>
      </c>
      <c r="AH365" s="6">
        <f>[1]Hybrid!AG21</f>
        <v>11735.83052</v>
      </c>
      <c r="AI365" s="6">
        <f>[1]Hybrid!AH21</f>
        <v>11855.911889999999</v>
      </c>
      <c r="AJ365" s="6">
        <f>[1]Hybrid!AI21</f>
        <v>11973.841420000001</v>
      </c>
      <c r="AK365" s="6">
        <f>[1]Hybrid!AJ21</f>
        <v>12089.86226</v>
      </c>
      <c r="AL365" s="6">
        <f>[1]Hybrid!AK21</f>
        <v>12204.17562</v>
      </c>
    </row>
    <row r="366" spans="1:38" x14ac:dyDescent="0.3">
      <c r="B366" s="6" t="str">
        <f>[1]Hybrid!A23</f>
        <v>auto_cc_cfut_0</v>
      </c>
      <c r="C366" s="6">
        <f>[1]Hybrid!B23</f>
        <v>6777.6024520000001</v>
      </c>
      <c r="D366" s="6">
        <f>[1]Hybrid!C23</f>
        <v>6653.8121849999998</v>
      </c>
      <c r="E366" s="6">
        <f>[1]Hybrid!D23</f>
        <v>6575.5134900000003</v>
      </c>
      <c r="F366" s="6">
        <f>[1]Hybrid!E23</f>
        <v>6528.6449640000001</v>
      </c>
      <c r="G366" s="6">
        <f>[1]Hybrid!F23</f>
        <v>6502.2511020000002</v>
      </c>
      <c r="H366" s="6">
        <f>[1]Hybrid!G23</f>
        <v>6489.5238650000001</v>
      </c>
      <c r="I366" s="6">
        <f>[1]Hybrid!H23</f>
        <v>6486.070882</v>
      </c>
      <c r="J366" s="6">
        <f>[1]Hybrid!I23</f>
        <v>6490.8323540000001</v>
      </c>
      <c r="K366" s="6">
        <f>[1]Hybrid!J23</f>
        <v>6503.989732</v>
      </c>
      <c r="L366" s="6">
        <f>[1]Hybrid!K23</f>
        <v>6525.9772869999997</v>
      </c>
      <c r="M366" s="6">
        <f>[1]Hybrid!L23</f>
        <v>6558.0597610000004</v>
      </c>
      <c r="N366" s="6">
        <f>[1]Hybrid!M23</f>
        <v>6597.9079949999996</v>
      </c>
      <c r="O366" s="6">
        <f>[1]Hybrid!N23</f>
        <v>6644.1228170000004</v>
      </c>
      <c r="P366" s="6">
        <f>[1]Hybrid!O23</f>
        <v>6695.3998179999999</v>
      </c>
      <c r="Q366" s="6">
        <f>[1]Hybrid!P23</f>
        <v>6750.4099429999997</v>
      </c>
      <c r="R366" s="6">
        <f>[1]Hybrid!Q23</f>
        <v>6808.0800799999997</v>
      </c>
      <c r="S366" s="6">
        <f>[1]Hybrid!R23</f>
        <v>6867.6121720000001</v>
      </c>
      <c r="T366" s="6">
        <f>[1]Hybrid!S23</f>
        <v>6928.4188469999999</v>
      </c>
      <c r="U366" s="6">
        <f>[1]Hybrid!T23</f>
        <v>6990.0371940000005</v>
      </c>
      <c r="V366" s="6">
        <f>[1]Hybrid!U23</f>
        <v>7052.0617410000004</v>
      </c>
      <c r="W366" s="6">
        <f>[1]Hybrid!V23</f>
        <v>7113.0883690000001</v>
      </c>
      <c r="X366" s="6">
        <f>[1]Hybrid!W23</f>
        <v>7174.0204389999999</v>
      </c>
      <c r="Y366" s="6">
        <f>[1]Hybrid!X23</f>
        <v>7234.6671450000003</v>
      </c>
      <c r="Z366" s="6">
        <f>[1]Hybrid!Y23</f>
        <v>7294.6281870000003</v>
      </c>
      <c r="AA366" s="6">
        <f>[1]Hybrid!Z23</f>
        <v>7353.6475549999996</v>
      </c>
      <c r="AB366" s="6">
        <f>[1]Hybrid!AA23</f>
        <v>7408.4633219999996</v>
      </c>
      <c r="AC366" s="6">
        <f>[1]Hybrid!AB23</f>
        <v>7461.6068509999996</v>
      </c>
      <c r="AD366" s="6">
        <f>[1]Hybrid!AC23</f>
        <v>7513.6262340000003</v>
      </c>
      <c r="AE366" s="6">
        <f>[1]Hybrid!AD23</f>
        <v>7564.3875639999997</v>
      </c>
      <c r="AF366" s="6">
        <f>[1]Hybrid!AE23</f>
        <v>7613.6712960000004</v>
      </c>
      <c r="AG366" s="6">
        <f>[1]Hybrid!AF23</f>
        <v>7661.2169329999997</v>
      </c>
      <c r="AH366" s="6">
        <f>[1]Hybrid!AG23</f>
        <v>7706.8362440000001</v>
      </c>
      <c r="AI366" s="6">
        <f>[1]Hybrid!AH23</f>
        <v>7750.4642670000003</v>
      </c>
      <c r="AJ366" s="6">
        <f>[1]Hybrid!AI23</f>
        <v>7792.1438049999997</v>
      </c>
      <c r="AK366" s="6">
        <f>[1]Hybrid!AJ23</f>
        <v>7831.9673190000003</v>
      </c>
      <c r="AL366" s="6">
        <f>[1]Hybrid!AK23</f>
        <v>7870.0102020000004</v>
      </c>
    </row>
    <row r="367" spans="1:38" x14ac:dyDescent="0.3">
      <c r="B367" s="6" t="str">
        <f>[1]Hybrid!A25</f>
        <v>auto_cd_cfut_0</v>
      </c>
      <c r="C367" s="6">
        <f>[1]Hybrid!B25</f>
        <v>4159.6639080000004</v>
      </c>
      <c r="D367" s="6">
        <f>[1]Hybrid!C25</f>
        <v>4058.5300339999999</v>
      </c>
      <c r="E367" s="6">
        <f>[1]Hybrid!D25</f>
        <v>3983.1642830000001</v>
      </c>
      <c r="F367" s="6">
        <f>[1]Hybrid!E25</f>
        <v>3925.5117650000002</v>
      </c>
      <c r="G367" s="6">
        <f>[1]Hybrid!F25</f>
        <v>3879.369897</v>
      </c>
      <c r="H367" s="6">
        <f>[1]Hybrid!G25</f>
        <v>3840.7758170000002</v>
      </c>
      <c r="I367" s="6">
        <f>[1]Hybrid!H25</f>
        <v>3807.004981</v>
      </c>
      <c r="J367" s="6">
        <f>[1]Hybrid!I25</f>
        <v>3777.077949</v>
      </c>
      <c r="K367" s="6">
        <f>[1]Hybrid!J25</f>
        <v>3750.7181310000001</v>
      </c>
      <c r="L367" s="6">
        <f>[1]Hybrid!K25</f>
        <v>3727.889338</v>
      </c>
      <c r="M367" s="6">
        <f>[1]Hybrid!L25</f>
        <v>3709.1143520000001</v>
      </c>
      <c r="N367" s="6">
        <f>[1]Hybrid!M25</f>
        <v>3693.2001869999999</v>
      </c>
      <c r="O367" s="6">
        <f>[1]Hybrid!N25</f>
        <v>3679.4237659999999</v>
      </c>
      <c r="P367" s="6">
        <f>[1]Hybrid!O25</f>
        <v>3667.1359480000001</v>
      </c>
      <c r="Q367" s="6">
        <f>[1]Hybrid!P25</f>
        <v>3655.6706450000001</v>
      </c>
      <c r="R367" s="6">
        <f>[1]Hybrid!Q25</f>
        <v>3644.4826419999999</v>
      </c>
      <c r="S367" s="6">
        <f>[1]Hybrid!R25</f>
        <v>3633.1639449999998</v>
      </c>
      <c r="T367" s="6">
        <f>[1]Hybrid!S25</f>
        <v>3621.4211230000001</v>
      </c>
      <c r="U367" s="6">
        <f>[1]Hybrid!T25</f>
        <v>3609.0388210000001</v>
      </c>
      <c r="V367" s="6">
        <f>[1]Hybrid!U25</f>
        <v>3595.8468790000002</v>
      </c>
      <c r="W367" s="6">
        <f>[1]Hybrid!V25</f>
        <v>3581.2440550000001</v>
      </c>
      <c r="X367" s="6">
        <f>[1]Hybrid!W25</f>
        <v>3565.6477629999999</v>
      </c>
      <c r="Y367" s="6">
        <f>[1]Hybrid!X25</f>
        <v>3549.0273280000001</v>
      </c>
      <c r="Z367" s="6">
        <f>[1]Hybrid!Y25</f>
        <v>3531.2422670000001</v>
      </c>
      <c r="AA367" s="6">
        <f>[1]Hybrid!Z25</f>
        <v>3512.1997200000001</v>
      </c>
      <c r="AB367" s="6">
        <f>[1]Hybrid!AA25</f>
        <v>3490.5678170000001</v>
      </c>
      <c r="AC367" s="6">
        <f>[1]Hybrid!AB25</f>
        <v>3467.3640070000001</v>
      </c>
      <c r="AD367" s="6">
        <f>[1]Hybrid!AC25</f>
        <v>3442.8804730000002</v>
      </c>
      <c r="AE367" s="6">
        <f>[1]Hybrid!AD25</f>
        <v>3417.1417620000002</v>
      </c>
      <c r="AF367" s="6">
        <f>[1]Hybrid!AE25</f>
        <v>3390.1381059999999</v>
      </c>
      <c r="AG367" s="6">
        <f>[1]Hybrid!AF25</f>
        <v>3361.8280159999999</v>
      </c>
      <c r="AH367" s="6">
        <f>[1]Hybrid!AG25</f>
        <v>3332.1775830000001</v>
      </c>
      <c r="AI367" s="6">
        <f>[1]Hybrid!AH25</f>
        <v>3301.1851489999999</v>
      </c>
      <c r="AJ367" s="6">
        <f>[1]Hybrid!AI25</f>
        <v>3268.8857600000001</v>
      </c>
      <c r="AK367" s="6">
        <f>[1]Hybrid!AJ25</f>
        <v>3235.3395559999999</v>
      </c>
      <c r="AL367" s="6">
        <f>[1]Hybrid!AK25</f>
        <v>3200.6131999999998</v>
      </c>
    </row>
    <row r="368" spans="1:38" x14ac:dyDescent="0.3">
      <c r="B368" s="6" t="str">
        <f>[1]Hybrid!A27</f>
        <v>auto_ce_cfut_0</v>
      </c>
      <c r="C368" s="6">
        <f>[1]Hybrid!B27</f>
        <v>2503.7292430000002</v>
      </c>
      <c r="D368" s="6">
        <f>[1]Hybrid!C27</f>
        <v>2445.168909</v>
      </c>
      <c r="E368" s="6">
        <f>[1]Hybrid!D27</f>
        <v>2401.094321</v>
      </c>
      <c r="F368" s="6">
        <f>[1]Hybrid!E27</f>
        <v>2366.542046</v>
      </c>
      <c r="G368" s="6">
        <f>[1]Hybrid!F27</f>
        <v>2337.747762</v>
      </c>
      <c r="H368" s="6">
        <f>[1]Hybrid!G27</f>
        <v>2312.2899480000001</v>
      </c>
      <c r="I368" s="6">
        <f>[1]Hybrid!H27</f>
        <v>2288.4604009999998</v>
      </c>
      <c r="J368" s="6">
        <f>[1]Hybrid!I27</f>
        <v>2265.5792630000001</v>
      </c>
      <c r="K368" s="6">
        <f>[1]Hybrid!J27</f>
        <v>2243.4131990000001</v>
      </c>
      <c r="L368" s="6">
        <f>[1]Hybrid!K27</f>
        <v>2221.9282840000001</v>
      </c>
      <c r="M368" s="6">
        <f>[1]Hybrid!L27</f>
        <v>2201.4752119999998</v>
      </c>
      <c r="N368" s="6">
        <f>[1]Hybrid!M27</f>
        <v>2181.4779170000002</v>
      </c>
      <c r="O368" s="6">
        <f>[1]Hybrid!N27</f>
        <v>2161.6185009999999</v>
      </c>
      <c r="P368" s="6">
        <f>[1]Hybrid!O27</f>
        <v>2141.6258659999999</v>
      </c>
      <c r="Q368" s="6">
        <f>[1]Hybrid!P27</f>
        <v>2121.2114029999998</v>
      </c>
      <c r="R368" s="6">
        <f>[1]Hybrid!Q27</f>
        <v>2100.1462849999998</v>
      </c>
      <c r="S368" s="6">
        <f>[1]Hybrid!R27</f>
        <v>2078.2744520000001</v>
      </c>
      <c r="T368" s="6">
        <f>[1]Hybrid!S27</f>
        <v>2055.5042360000002</v>
      </c>
      <c r="U368" s="6">
        <f>[1]Hybrid!T27</f>
        <v>2031.7904510000001</v>
      </c>
      <c r="V368" s="6">
        <f>[1]Hybrid!U27</f>
        <v>2007.115857</v>
      </c>
      <c r="W368" s="6">
        <f>[1]Hybrid!V27</f>
        <v>1981.249305</v>
      </c>
      <c r="X368" s="6">
        <f>[1]Hybrid!W27</f>
        <v>1954.4635659999999</v>
      </c>
      <c r="Y368" s="6">
        <f>[1]Hybrid!X27</f>
        <v>1926.8183489999999</v>
      </c>
      <c r="Z368" s="6">
        <f>[1]Hybrid!Y27</f>
        <v>1898.3080970000001</v>
      </c>
      <c r="AA368" s="6">
        <f>[1]Hybrid!Z27</f>
        <v>1868.9418479999999</v>
      </c>
      <c r="AB368" s="6">
        <f>[1]Hybrid!AA27</f>
        <v>1838.1494439999999</v>
      </c>
      <c r="AC368" s="6">
        <f>[1]Hybrid!AB27</f>
        <v>1806.441012</v>
      </c>
      <c r="AD368" s="6">
        <f>[1]Hybrid!AC27</f>
        <v>1774.019918</v>
      </c>
      <c r="AE368" s="6">
        <f>[1]Hybrid!AD27</f>
        <v>1740.965825</v>
      </c>
      <c r="AF368" s="6">
        <f>[1]Hybrid!AE27</f>
        <v>1707.338688</v>
      </c>
      <c r="AG368" s="6">
        <f>[1]Hybrid!AF27</f>
        <v>1673.175217</v>
      </c>
      <c r="AH368" s="6">
        <f>[1]Hybrid!AG27</f>
        <v>1638.5057200000001</v>
      </c>
      <c r="AI368" s="6">
        <f>[1]Hybrid!AH27</f>
        <v>1603.3676459999999</v>
      </c>
      <c r="AJ368" s="6">
        <f>[1]Hybrid!AI27</f>
        <v>1567.8115009999999</v>
      </c>
      <c r="AK368" s="6">
        <f>[1]Hybrid!AJ27</f>
        <v>1531.8991960000001</v>
      </c>
      <c r="AL368" s="6">
        <f>[1]Hybrid!AK27</f>
        <v>1495.6977670000001</v>
      </c>
    </row>
    <row r="369" spans="2:38" x14ac:dyDescent="0.3">
      <c r="B369" s="6" t="str">
        <f>[1]Hybrid!A29</f>
        <v>auto_cf_cfut_0</v>
      </c>
      <c r="C369" s="6">
        <f>[1]Hybrid!B29</f>
        <v>1243.6668460000001</v>
      </c>
      <c r="D369" s="6">
        <f>[1]Hybrid!C29</f>
        <v>1211.7160160000001</v>
      </c>
      <c r="E369" s="6">
        <f>[1]Hybrid!D29</f>
        <v>1185.2758690000001</v>
      </c>
      <c r="F369" s="6">
        <f>[1]Hybrid!E29</f>
        <v>1161.9256499999999</v>
      </c>
      <c r="G369" s="6">
        <f>[1]Hybrid!F29</f>
        <v>1139.9346290000001</v>
      </c>
      <c r="H369" s="6">
        <f>[1]Hybrid!G29</f>
        <v>1118.183338</v>
      </c>
      <c r="I369" s="6">
        <f>[1]Hybrid!H29</f>
        <v>1095.846935</v>
      </c>
      <c r="J369" s="6">
        <f>[1]Hybrid!I29</f>
        <v>1072.5563279999999</v>
      </c>
      <c r="K369" s="6">
        <f>[1]Hybrid!J29</f>
        <v>1048.1997570000001</v>
      </c>
      <c r="L369" s="6">
        <f>[1]Hybrid!K29</f>
        <v>1022.84196</v>
      </c>
      <c r="M369" s="6">
        <f>[1]Hybrid!L29</f>
        <v>996.77853619999996</v>
      </c>
      <c r="N369" s="6">
        <f>[1]Hybrid!M29</f>
        <v>970.01810139999998</v>
      </c>
      <c r="O369" s="6">
        <f>[1]Hybrid!N29</f>
        <v>942.64344270000004</v>
      </c>
      <c r="P369" s="6">
        <f>[1]Hybrid!O29</f>
        <v>914.74838880000004</v>
      </c>
      <c r="Q369" s="6">
        <f>[1]Hybrid!P29</f>
        <v>886.40193369999997</v>
      </c>
      <c r="R369" s="6">
        <f>[1]Hybrid!Q29</f>
        <v>857.67652290000001</v>
      </c>
      <c r="S369" s="6">
        <f>[1]Hybrid!R29</f>
        <v>828.65695010000002</v>
      </c>
      <c r="T369" s="6">
        <f>[1]Hybrid!S29</f>
        <v>799.4412122</v>
      </c>
      <c r="U369" s="6">
        <f>[1]Hybrid!T29</f>
        <v>770.13588049999998</v>
      </c>
      <c r="V369" s="6">
        <f>[1]Hybrid!U29</f>
        <v>740.8490984</v>
      </c>
      <c r="W369" s="6">
        <f>[1]Hybrid!V29</f>
        <v>711.63134170000001</v>
      </c>
      <c r="X369" s="6">
        <f>[1]Hybrid!W29</f>
        <v>682.63645469999994</v>
      </c>
      <c r="Y369" s="6">
        <f>[1]Hybrid!X29</f>
        <v>653.96677439999996</v>
      </c>
      <c r="Z369" s="6">
        <f>[1]Hybrid!Y29</f>
        <v>625.69402260000004</v>
      </c>
      <c r="AA369" s="6">
        <f>[1]Hybrid!Z29</f>
        <v>597.87999179999997</v>
      </c>
      <c r="AB369" s="6">
        <f>[1]Hybrid!AA29</f>
        <v>570.47479190000001</v>
      </c>
      <c r="AC369" s="6">
        <f>[1]Hybrid!AB29</f>
        <v>543.60951379999995</v>
      </c>
      <c r="AD369" s="6">
        <f>[1]Hybrid!AC29</f>
        <v>517.36898919999999</v>
      </c>
      <c r="AE369" s="6">
        <f>[1]Hybrid!AD29</f>
        <v>491.80880359999998</v>
      </c>
      <c r="AF369" s="6">
        <f>[1]Hybrid!AE29</f>
        <v>466.97211049999999</v>
      </c>
      <c r="AG369" s="6">
        <f>[1]Hybrid!AF29</f>
        <v>442.8881768</v>
      </c>
      <c r="AH369" s="6">
        <f>[1]Hybrid!AG29</f>
        <v>419.57612330000001</v>
      </c>
      <c r="AI369" s="6">
        <f>[1]Hybrid!AH29</f>
        <v>397.04913099999999</v>
      </c>
      <c r="AJ369" s="6">
        <f>[1]Hybrid!AI29</f>
        <v>375.31741349999999</v>
      </c>
      <c r="AK369" s="6">
        <f>[1]Hybrid!AJ29</f>
        <v>354.38937600000003</v>
      </c>
      <c r="AL369" s="6">
        <f>[1]Hybrid!AK29</f>
        <v>334.27132180000001</v>
      </c>
    </row>
    <row r="370" spans="2:38" x14ac:dyDescent="0.3">
      <c r="B370" s="6" t="str">
        <f>[1]Hybrid!A31</f>
        <v>auto_cg_cfut_0</v>
      </c>
      <c r="C370" s="6">
        <f>[1]Hybrid!B31</f>
        <v>2239.620606</v>
      </c>
      <c r="D370" s="6">
        <f>[1]Hybrid!C31</f>
        <v>2185.306388</v>
      </c>
      <c r="E370" s="6">
        <f>[1]Hybrid!D31</f>
        <v>2138.1351690000001</v>
      </c>
      <c r="F370" s="6">
        <f>[1]Hybrid!E31</f>
        <v>2093.714845</v>
      </c>
      <c r="G370" s="6">
        <f>[1]Hybrid!F31</f>
        <v>2049.1259100000002</v>
      </c>
      <c r="H370" s="6">
        <f>[1]Hybrid!G31</f>
        <v>2002.556482</v>
      </c>
      <c r="I370" s="6">
        <f>[1]Hybrid!H31</f>
        <v>1952.7054539999999</v>
      </c>
      <c r="J370" s="6">
        <f>[1]Hybrid!I31</f>
        <v>1899.0984599999999</v>
      </c>
      <c r="K370" s="6">
        <f>[1]Hybrid!J31</f>
        <v>1841.8079740000001</v>
      </c>
      <c r="L370" s="6">
        <f>[1]Hybrid!K31</f>
        <v>1781.3165690000001</v>
      </c>
      <c r="M370" s="6">
        <f>[1]Hybrid!L31</f>
        <v>1718.539049</v>
      </c>
      <c r="N370" s="6">
        <f>[1]Hybrid!M31</f>
        <v>1653.987633</v>
      </c>
      <c r="O370" s="6">
        <f>[1]Hybrid!N31</f>
        <v>1588.2168939999999</v>
      </c>
      <c r="P370" s="6">
        <f>[1]Hybrid!O31</f>
        <v>1521.7456689999999</v>
      </c>
      <c r="Q370" s="6">
        <f>[1]Hybrid!P31</f>
        <v>1454.99829</v>
      </c>
      <c r="R370" s="6">
        <f>[1]Hybrid!Q31</f>
        <v>1388.350815</v>
      </c>
      <c r="S370" s="6">
        <f>[1]Hybrid!R31</f>
        <v>1322.1511310000001</v>
      </c>
      <c r="T370" s="6">
        <f>[1]Hybrid!S31</f>
        <v>1256.7257059999999</v>
      </c>
      <c r="U370" s="6">
        <f>[1]Hybrid!T31</f>
        <v>1192.376444</v>
      </c>
      <c r="V370" s="6">
        <f>[1]Hybrid!U31</f>
        <v>1129.3731720000001</v>
      </c>
      <c r="W370" s="6">
        <f>[1]Hybrid!V31</f>
        <v>1067.8957800000001</v>
      </c>
      <c r="X370" s="6">
        <f>[1]Hybrid!W31</f>
        <v>1008.190526</v>
      </c>
      <c r="Y370" s="6">
        <f>[1]Hybrid!X31</f>
        <v>950.42859209999995</v>
      </c>
      <c r="Z370" s="6">
        <f>[1]Hybrid!Y31</f>
        <v>894.72229400000003</v>
      </c>
      <c r="AA370" s="6">
        <f>[1]Hybrid!Z31</f>
        <v>841.15027650000002</v>
      </c>
      <c r="AB370" s="6">
        <f>[1]Hybrid!AA31</f>
        <v>789.68531470000005</v>
      </c>
      <c r="AC370" s="6">
        <f>[1]Hybrid!AB31</f>
        <v>740.42153670000005</v>
      </c>
      <c r="AD370" s="6">
        <f>[1]Hybrid!AC31</f>
        <v>693.40884249999999</v>
      </c>
      <c r="AE370" s="6">
        <f>[1]Hybrid!AD31</f>
        <v>648.66039190000004</v>
      </c>
      <c r="AF370" s="6">
        <f>[1]Hybrid!AE31</f>
        <v>606.16692799999998</v>
      </c>
      <c r="AG370" s="6">
        <f>[1]Hybrid!AF31</f>
        <v>565.89797699999997</v>
      </c>
      <c r="AH370" s="6">
        <f>[1]Hybrid!AG31</f>
        <v>527.80726979999997</v>
      </c>
      <c r="AI370" s="6">
        <f>[1]Hybrid!AH31</f>
        <v>491.83824449999997</v>
      </c>
      <c r="AJ370" s="6">
        <f>[1]Hybrid!AI31</f>
        <v>457.92804719999998</v>
      </c>
      <c r="AK370" s="6">
        <f>[1]Hybrid!AJ31</f>
        <v>426.00967709999998</v>
      </c>
      <c r="AL370" s="6">
        <f>[1]Hybrid!AK31</f>
        <v>396.01277720000002</v>
      </c>
    </row>
    <row r="371" spans="2:38" x14ac:dyDescent="0.3">
      <c r="B371" s="6" t="str">
        <f>[1]Hybrid!A33</f>
        <v>auto_ca_cele_0</v>
      </c>
      <c r="C371" s="6">
        <f>[1]Hybrid!B33</f>
        <v>9.8427898650000003</v>
      </c>
      <c r="D371" s="6">
        <f>[1]Hybrid!C33</f>
        <v>15.096532099999999</v>
      </c>
      <c r="E371" s="6">
        <f>[1]Hybrid!D33</f>
        <v>20.694101230000001</v>
      </c>
      <c r="F371" s="6">
        <f>[1]Hybrid!E33</f>
        <v>26.56306378</v>
      </c>
      <c r="G371" s="6">
        <f>[1]Hybrid!F33</f>
        <v>32.686350930000003</v>
      </c>
      <c r="H371" s="6">
        <f>[1]Hybrid!G33</f>
        <v>39.081691839999998</v>
      </c>
      <c r="I371" s="6">
        <f>[1]Hybrid!H33</f>
        <v>45.75147217</v>
      </c>
      <c r="J371" s="6">
        <f>[1]Hybrid!I33</f>
        <v>52.693778350000002</v>
      </c>
      <c r="K371" s="6">
        <f>[1]Hybrid!J33</f>
        <v>59.88855951</v>
      </c>
      <c r="L371" s="6">
        <f>[1]Hybrid!K33</f>
        <v>67.305921260000005</v>
      </c>
      <c r="M371" s="6">
        <f>[1]Hybrid!L33</f>
        <v>74.942732309999997</v>
      </c>
      <c r="N371" s="6">
        <f>[1]Hybrid!M33</f>
        <v>82.754687450000006</v>
      </c>
      <c r="O371" s="6">
        <f>[1]Hybrid!N33</f>
        <v>90.726789490000002</v>
      </c>
      <c r="P371" s="6">
        <f>[1]Hybrid!O33</f>
        <v>98.859125879999993</v>
      </c>
      <c r="Q371" s="6">
        <f>[1]Hybrid!P33</f>
        <v>107.15700080000001</v>
      </c>
      <c r="R371" s="6">
        <f>[1]Hybrid!Q33</f>
        <v>115.631576</v>
      </c>
      <c r="S371" s="6">
        <f>[1]Hybrid!R33</f>
        <v>124.29855209999999</v>
      </c>
      <c r="T371" s="6">
        <f>[1]Hybrid!S33</f>
        <v>133.17765829999999</v>
      </c>
      <c r="U371" s="6">
        <f>[1]Hybrid!T33</f>
        <v>142.29283040000001</v>
      </c>
      <c r="V371" s="6">
        <f>[1]Hybrid!U33</f>
        <v>151.67254879999999</v>
      </c>
      <c r="W371" s="6">
        <f>[1]Hybrid!V33</f>
        <v>161.32241020000001</v>
      </c>
      <c r="X371" s="6">
        <f>[1]Hybrid!W33</f>
        <v>171.30704460000001</v>
      </c>
      <c r="Y371" s="6">
        <f>[1]Hybrid!X33</f>
        <v>181.67407270000001</v>
      </c>
      <c r="Z371" s="6">
        <f>[1]Hybrid!Y33</f>
        <v>192.46855500000001</v>
      </c>
      <c r="AA371" s="6">
        <f>[1]Hybrid!Z33</f>
        <v>203.7396698</v>
      </c>
      <c r="AB371" s="6">
        <f>[1]Hybrid!AA33</f>
        <v>215.4373003</v>
      </c>
      <c r="AC371" s="6">
        <f>[1]Hybrid!AB33</f>
        <v>227.67780669999999</v>
      </c>
      <c r="AD371" s="6">
        <f>[1]Hybrid!AC33</f>
        <v>240.53519600000001</v>
      </c>
      <c r="AE371" s="6">
        <f>[1]Hybrid!AD33</f>
        <v>254.0737895</v>
      </c>
      <c r="AF371" s="6">
        <f>[1]Hybrid!AE33</f>
        <v>268.36553379999998</v>
      </c>
      <c r="AG371" s="6">
        <f>[1]Hybrid!AF33</f>
        <v>283.48761250000001</v>
      </c>
      <c r="AH371" s="6">
        <f>[1]Hybrid!AG33</f>
        <v>299.52284780000002</v>
      </c>
      <c r="AI371" s="6">
        <f>[1]Hybrid!AH33</f>
        <v>316.56023449999998</v>
      </c>
      <c r="AJ371" s="6">
        <f>[1]Hybrid!AI33</f>
        <v>334.69553869999999</v>
      </c>
      <c r="AK371" s="6">
        <f>[1]Hybrid!AJ33</f>
        <v>354.03179720000003</v>
      </c>
      <c r="AL371" s="6">
        <f>[1]Hybrid!AK33</f>
        <v>374.67962290000003</v>
      </c>
    </row>
    <row r="372" spans="2:38" x14ac:dyDescent="0.3">
      <c r="B372" s="6" t="str">
        <f>[1]Hybrid!A35</f>
        <v>auto_cb_cele_0</v>
      </c>
      <c r="C372" s="6">
        <f>[1]Hybrid!B35</f>
        <v>11.44571741</v>
      </c>
      <c r="D372" s="6">
        <f>[1]Hybrid!C35</f>
        <v>16.40505563</v>
      </c>
      <c r="E372" s="6">
        <f>[1]Hybrid!D35</f>
        <v>21.689893999999999</v>
      </c>
      <c r="F372" s="6">
        <f>[1]Hybrid!E35</f>
        <v>27.234514709999999</v>
      </c>
      <c r="G372" s="6">
        <f>[1]Hybrid!F35</f>
        <v>33.027823429999998</v>
      </c>
      <c r="H372" s="6">
        <f>[1]Hybrid!G35</f>
        <v>39.090260639999997</v>
      </c>
      <c r="I372" s="6">
        <f>[1]Hybrid!H35</f>
        <v>45.423771479999999</v>
      </c>
      <c r="J372" s="6">
        <f>[1]Hybrid!I35</f>
        <v>52.022441229999998</v>
      </c>
      <c r="K372" s="6">
        <f>[1]Hybrid!J35</f>
        <v>58.860959110000003</v>
      </c>
      <c r="L372" s="6">
        <f>[1]Hybrid!K35</f>
        <v>65.90460315</v>
      </c>
      <c r="M372" s="6">
        <f>[1]Hybrid!L35</f>
        <v>73.146057540000001</v>
      </c>
      <c r="N372" s="6">
        <f>[1]Hybrid!M35</f>
        <v>80.54049551</v>
      </c>
      <c r="O372" s="6">
        <f>[1]Hybrid!N35</f>
        <v>88.071765670000005</v>
      </c>
      <c r="P372" s="6">
        <f>[1]Hybrid!O35</f>
        <v>95.738734440000002</v>
      </c>
      <c r="Q372" s="6">
        <f>[1]Hybrid!P35</f>
        <v>103.5451997</v>
      </c>
      <c r="R372" s="6">
        <f>[1]Hybrid!Q35</f>
        <v>111.5002477</v>
      </c>
      <c r="S372" s="6">
        <f>[1]Hybrid!R35</f>
        <v>119.6169718</v>
      </c>
      <c r="T372" s="6">
        <f>[1]Hybrid!S35</f>
        <v>127.912088</v>
      </c>
      <c r="U372" s="6">
        <f>[1]Hybrid!T35</f>
        <v>136.40620279999999</v>
      </c>
      <c r="V372" s="6">
        <f>[1]Hybrid!U35</f>
        <v>145.12414559999999</v>
      </c>
      <c r="W372" s="6">
        <f>[1]Hybrid!V35</f>
        <v>154.06893600000001</v>
      </c>
      <c r="X372" s="6">
        <f>[1]Hybrid!W35</f>
        <v>163.29884419999999</v>
      </c>
      <c r="Y372" s="6">
        <f>[1]Hybrid!X35</f>
        <v>172.85622520000001</v>
      </c>
      <c r="Z372" s="6">
        <f>[1]Hybrid!Y35</f>
        <v>182.7802696</v>
      </c>
      <c r="AA372" s="6">
        <f>[1]Hybrid!Z35</f>
        <v>193.11314189999999</v>
      </c>
      <c r="AB372" s="6">
        <f>[1]Hybrid!AA35</f>
        <v>203.80338850000001</v>
      </c>
      <c r="AC372" s="6">
        <f>[1]Hybrid!AB35</f>
        <v>214.95352009999999</v>
      </c>
      <c r="AD372" s="6">
        <f>[1]Hybrid!AC35</f>
        <v>226.62744839999999</v>
      </c>
      <c r="AE372" s="6">
        <f>[1]Hybrid!AD35</f>
        <v>238.87962429999999</v>
      </c>
      <c r="AF372" s="6">
        <f>[1]Hybrid!AE35</f>
        <v>251.77075249999999</v>
      </c>
      <c r="AG372" s="6">
        <f>[1]Hybrid!AF35</f>
        <v>265.36501470000002</v>
      </c>
      <c r="AH372" s="6">
        <f>[1]Hybrid!AG35</f>
        <v>279.7300692</v>
      </c>
      <c r="AI372" s="6">
        <f>[1]Hybrid!AH35</f>
        <v>294.93742989999998</v>
      </c>
      <c r="AJ372" s="6">
        <f>[1]Hybrid!AI35</f>
        <v>311.06309340000001</v>
      </c>
      <c r="AK372" s="6">
        <f>[1]Hybrid!AJ35</f>
        <v>328.1881242</v>
      </c>
      <c r="AL372" s="6">
        <f>[1]Hybrid!AK35</f>
        <v>346.39897250000001</v>
      </c>
    </row>
    <row r="373" spans="2:38" x14ac:dyDescent="0.3">
      <c r="B373" s="6" t="str">
        <f>[1]Hybrid!A37</f>
        <v>auto_cc_cele_0</v>
      </c>
      <c r="C373" s="6">
        <f>[1]Hybrid!B37</f>
        <v>9.4015406210000005</v>
      </c>
      <c r="D373" s="6">
        <f>[1]Hybrid!C37</f>
        <v>12.7719118</v>
      </c>
      <c r="E373" s="6">
        <f>[1]Hybrid!D37</f>
        <v>16.36451271</v>
      </c>
      <c r="F373" s="6">
        <f>[1]Hybrid!E37</f>
        <v>20.136260459999999</v>
      </c>
      <c r="G373" s="6">
        <f>[1]Hybrid!F37</f>
        <v>24.082802340000001</v>
      </c>
      <c r="H373" s="6">
        <f>[1]Hybrid!G37</f>
        <v>28.220331699999999</v>
      </c>
      <c r="I373" s="6">
        <f>[1]Hybrid!H37</f>
        <v>32.549748000000001</v>
      </c>
      <c r="J373" s="6">
        <f>[1]Hybrid!I37</f>
        <v>37.064075389999999</v>
      </c>
      <c r="K373" s="6">
        <f>[1]Hybrid!J37</f>
        <v>41.741667710000002</v>
      </c>
      <c r="L373" s="6">
        <f>[1]Hybrid!K37</f>
        <v>46.554461439999997</v>
      </c>
      <c r="M373" s="6">
        <f>[1]Hybrid!L37</f>
        <v>51.494513359999999</v>
      </c>
      <c r="N373" s="6">
        <f>[1]Hybrid!M37</f>
        <v>56.529281179999998</v>
      </c>
      <c r="O373" s="6">
        <f>[1]Hybrid!N37</f>
        <v>61.646392140000003</v>
      </c>
      <c r="P373" s="6">
        <f>[1]Hybrid!O37</f>
        <v>66.844187419999997</v>
      </c>
      <c r="Q373" s="6">
        <f>[1]Hybrid!P37</f>
        <v>72.12435164</v>
      </c>
      <c r="R373" s="6">
        <f>[1]Hybrid!Q37</f>
        <v>77.49199763</v>
      </c>
      <c r="S373" s="6">
        <f>[1]Hybrid!R37</f>
        <v>82.954778059999995</v>
      </c>
      <c r="T373" s="6">
        <f>[1]Hybrid!S37</f>
        <v>88.522689029999995</v>
      </c>
      <c r="U373" s="6">
        <f>[1]Hybrid!T37</f>
        <v>94.208316310000001</v>
      </c>
      <c r="V373" s="6">
        <f>[1]Hybrid!U37</f>
        <v>100.0270663</v>
      </c>
      <c r="W373" s="6">
        <f>[1]Hybrid!V37</f>
        <v>105.9794059</v>
      </c>
      <c r="X373" s="6">
        <f>[1]Hybrid!W37</f>
        <v>112.10298779999999</v>
      </c>
      <c r="Y373" s="6">
        <f>[1]Hybrid!X37</f>
        <v>118.4247421</v>
      </c>
      <c r="Z373" s="6">
        <f>[1]Hybrid!Y37</f>
        <v>124.9689608</v>
      </c>
      <c r="AA373" s="6">
        <f>[1]Hybrid!Z37</f>
        <v>131.76136700000001</v>
      </c>
      <c r="AB373" s="6">
        <f>[1]Hybrid!AA37</f>
        <v>138.7643309</v>
      </c>
      <c r="AC373" s="6">
        <f>[1]Hybrid!AB37</f>
        <v>146.0425583</v>
      </c>
      <c r="AD373" s="6">
        <f>[1]Hybrid!AC37</f>
        <v>153.63547980000001</v>
      </c>
      <c r="AE373" s="6">
        <f>[1]Hybrid!AD37</f>
        <v>161.57592099999999</v>
      </c>
      <c r="AF373" s="6">
        <f>[1]Hybrid!AE37</f>
        <v>169.90035750000001</v>
      </c>
      <c r="AG373" s="6">
        <f>[1]Hybrid!AF37</f>
        <v>178.64671899999999</v>
      </c>
      <c r="AH373" s="6">
        <f>[1]Hybrid!AG37</f>
        <v>187.8541693</v>
      </c>
      <c r="AI373" s="6">
        <f>[1]Hybrid!AH37</f>
        <v>197.56330589999999</v>
      </c>
      <c r="AJ373" s="6">
        <f>[1]Hybrid!AI37</f>
        <v>207.81664280000001</v>
      </c>
      <c r="AK373" s="6">
        <f>[1]Hybrid!AJ37</f>
        <v>218.6590965</v>
      </c>
      <c r="AL373" s="6">
        <f>[1]Hybrid!AK37</f>
        <v>230.1382385</v>
      </c>
    </row>
    <row r="374" spans="2:38" x14ac:dyDescent="0.3">
      <c r="B374" s="6" t="str">
        <f>[1]Hybrid!A39</f>
        <v>auto_cd_cele_0</v>
      </c>
      <c r="C374" s="6">
        <f>[1]Hybrid!B39</f>
        <v>5.770071272</v>
      </c>
      <c r="D374" s="6">
        <f>[1]Hybrid!C39</f>
        <v>7.5984369310000002</v>
      </c>
      <c r="E374" s="6">
        <f>[1]Hybrid!D39</f>
        <v>9.5221054049999996</v>
      </c>
      <c r="F374" s="6">
        <f>[1]Hybrid!E39</f>
        <v>11.49101042</v>
      </c>
      <c r="G374" s="6">
        <f>[1]Hybrid!F39</f>
        <v>13.4708313</v>
      </c>
      <c r="H374" s="6">
        <f>[1]Hybrid!G39</f>
        <v>15.44264072</v>
      </c>
      <c r="I374" s="6">
        <f>[1]Hybrid!H39</f>
        <v>17.3913935</v>
      </c>
      <c r="J374" s="6">
        <f>[1]Hybrid!I39</f>
        <v>19.311033699999999</v>
      </c>
      <c r="K374" s="6">
        <f>[1]Hybrid!J39</f>
        <v>21.197606990000001</v>
      </c>
      <c r="L374" s="6">
        <f>[1]Hybrid!K39</f>
        <v>23.048089239999999</v>
      </c>
      <c r="M374" s="6">
        <f>[1]Hybrid!L39</f>
        <v>24.866601119999999</v>
      </c>
      <c r="N374" s="6">
        <f>[1]Hybrid!M39</f>
        <v>26.643429319999999</v>
      </c>
      <c r="O374" s="6">
        <f>[1]Hybrid!N39</f>
        <v>28.374490590000001</v>
      </c>
      <c r="P374" s="6">
        <f>[1]Hybrid!O39</f>
        <v>30.057639900000002</v>
      </c>
      <c r="Q374" s="6">
        <f>[1]Hybrid!P39</f>
        <v>31.690796460000001</v>
      </c>
      <c r="R374" s="6">
        <f>[1]Hybrid!Q39</f>
        <v>33.272787700000002</v>
      </c>
      <c r="S374" s="6">
        <f>[1]Hybrid!R39</f>
        <v>34.803372850000002</v>
      </c>
      <c r="T374" s="6">
        <f>[1]Hybrid!S39</f>
        <v>36.283138510000001</v>
      </c>
      <c r="U374" s="6">
        <f>[1]Hybrid!T39</f>
        <v>37.713345689999997</v>
      </c>
      <c r="V374" s="6">
        <f>[1]Hybrid!U39</f>
        <v>39.095755019999999</v>
      </c>
      <c r="W374" s="6">
        <f>[1]Hybrid!V39</f>
        <v>40.427387289999999</v>
      </c>
      <c r="X374" s="6">
        <f>[1]Hybrid!W39</f>
        <v>41.715887639999998</v>
      </c>
      <c r="Y374" s="6">
        <f>[1]Hybrid!X39</f>
        <v>42.964842150000003</v>
      </c>
      <c r="Z374" s="6">
        <f>[1]Hybrid!Y39</f>
        <v>44.176454069999998</v>
      </c>
      <c r="AA374" s="6">
        <f>[1]Hybrid!Z39</f>
        <v>45.353022420000002</v>
      </c>
      <c r="AB374" s="6">
        <f>[1]Hybrid!AA39</f>
        <v>46.481605889999997</v>
      </c>
      <c r="AC374" s="6">
        <f>[1]Hybrid!AB39</f>
        <v>47.574772170000003</v>
      </c>
      <c r="AD374" s="6">
        <f>[1]Hybrid!AC39</f>
        <v>48.638294019999996</v>
      </c>
      <c r="AE374" s="6">
        <f>[1]Hybrid!AD39</f>
        <v>49.675428680000003</v>
      </c>
      <c r="AF374" s="6">
        <f>[1]Hybrid!AE39</f>
        <v>50.689394370000002</v>
      </c>
      <c r="AG374" s="6">
        <f>[1]Hybrid!AF39</f>
        <v>51.682993320000001</v>
      </c>
      <c r="AH374" s="6">
        <f>[1]Hybrid!AG39</f>
        <v>52.658751590000001</v>
      </c>
      <c r="AI374" s="6">
        <f>[1]Hybrid!AH39</f>
        <v>53.619106670000001</v>
      </c>
      <c r="AJ374" s="6">
        <f>[1]Hybrid!AI39</f>
        <v>54.566562400000002</v>
      </c>
      <c r="AK374" s="6">
        <f>[1]Hybrid!AJ39</f>
        <v>55.503758609999998</v>
      </c>
      <c r="AL374" s="6">
        <f>[1]Hybrid!AK39</f>
        <v>56.433444700000003</v>
      </c>
    </row>
    <row r="375" spans="2:38" x14ac:dyDescent="0.3">
      <c r="B375" s="6" t="str">
        <f>[1]Hybrid!A41</f>
        <v>auto_ce_cele_0</v>
      </c>
      <c r="C375" s="6">
        <f>[1]Hybrid!B41</f>
        <v>3.4730440960000002</v>
      </c>
      <c r="D375" s="6">
        <f>[1]Hybrid!C41</f>
        <v>4.5950069029999998</v>
      </c>
      <c r="E375" s="6">
        <f>[1]Hybrid!D41</f>
        <v>5.7658269249999998</v>
      </c>
      <c r="F375" s="6">
        <f>[1]Hybrid!E41</f>
        <v>6.954075317</v>
      </c>
      <c r="G375" s="6">
        <f>[1]Hybrid!F41</f>
        <v>8.1384560599999993</v>
      </c>
      <c r="H375" s="6">
        <f>[1]Hybrid!G41</f>
        <v>9.3066986400000005</v>
      </c>
      <c r="I375" s="6">
        <f>[1]Hybrid!H41</f>
        <v>10.448371570000001</v>
      </c>
      <c r="J375" s="6">
        <f>[1]Hybrid!I41</f>
        <v>11.5581294</v>
      </c>
      <c r="K375" s="6">
        <f>[1]Hybrid!J41</f>
        <v>12.63210829</v>
      </c>
      <c r="L375" s="6">
        <f>[1]Hybrid!K41</f>
        <v>13.667619759999999</v>
      </c>
      <c r="M375" s="6">
        <f>[1]Hybrid!L41</f>
        <v>14.66686683</v>
      </c>
      <c r="N375" s="6">
        <f>[1]Hybrid!M41</f>
        <v>15.62477955</v>
      </c>
      <c r="O375" s="6">
        <f>[1]Hybrid!N41</f>
        <v>16.539511170000001</v>
      </c>
      <c r="P375" s="6">
        <f>[1]Hybrid!O41</f>
        <v>17.41040945</v>
      </c>
      <c r="Q375" s="6">
        <f>[1]Hybrid!P41</f>
        <v>18.23679697</v>
      </c>
      <c r="R375" s="6">
        <f>[1]Hybrid!Q41</f>
        <v>19.01843362</v>
      </c>
      <c r="S375" s="6">
        <f>[1]Hybrid!R41</f>
        <v>19.75556679</v>
      </c>
      <c r="T375" s="6">
        <f>[1]Hybrid!S41</f>
        <v>20.448915960000001</v>
      </c>
      <c r="U375" s="6">
        <f>[1]Hybrid!T41</f>
        <v>21.099608409999998</v>
      </c>
      <c r="V375" s="6">
        <f>[1]Hybrid!U41</f>
        <v>21.709072330000001</v>
      </c>
      <c r="W375" s="6">
        <f>[1]Hybrid!V41</f>
        <v>22.27634879</v>
      </c>
      <c r="X375" s="6">
        <f>[1]Hybrid!W41</f>
        <v>22.8057716</v>
      </c>
      <c r="Y375" s="6">
        <f>[1]Hybrid!X41</f>
        <v>23.299721689999998</v>
      </c>
      <c r="Z375" s="6">
        <f>[1]Hybrid!Y41</f>
        <v>23.759746509999999</v>
      </c>
      <c r="AA375" s="6">
        <f>[1]Hybrid!Z41</f>
        <v>24.187315259999998</v>
      </c>
      <c r="AB375" s="6">
        <f>[1]Hybrid!AA41</f>
        <v>24.576648909999999</v>
      </c>
      <c r="AC375" s="6">
        <f>[1]Hybrid!AB41</f>
        <v>24.933818120000002</v>
      </c>
      <c r="AD375" s="6">
        <f>[1]Hybrid!AC41</f>
        <v>25.26202936</v>
      </c>
      <c r="AE375" s="6">
        <f>[1]Hybrid!AD41</f>
        <v>25.563297729999999</v>
      </c>
      <c r="AF375" s="6">
        <f>[1]Hybrid!AE41</f>
        <v>25.83954537</v>
      </c>
      <c r="AG375" s="6">
        <f>[1]Hybrid!AF41</f>
        <v>26.092361669999999</v>
      </c>
      <c r="AH375" s="6">
        <f>[1]Hybrid!AG41</f>
        <v>26.323052730000001</v>
      </c>
      <c r="AI375" s="6">
        <f>[1]Hybrid!AH41</f>
        <v>26.532758730000001</v>
      </c>
      <c r="AJ375" s="6">
        <f>[1]Hybrid!AI41</f>
        <v>26.722576759999999</v>
      </c>
      <c r="AK375" s="6">
        <f>[1]Hybrid!AJ41</f>
        <v>26.893639180000001</v>
      </c>
      <c r="AL375" s="6">
        <f>[1]Hybrid!AK41</f>
        <v>27.047126810000002</v>
      </c>
    </row>
    <row r="376" spans="2:38" x14ac:dyDescent="0.3">
      <c r="B376" s="6" t="str">
        <f>[1]Hybrid!A43</f>
        <v>auto_cf_cele_0</v>
      </c>
      <c r="C376" s="6">
        <f>[1]Hybrid!B43</f>
        <v>1.7251505170000001</v>
      </c>
      <c r="D376" s="6">
        <f>[1]Hybrid!C43</f>
        <v>2.2554786930000001</v>
      </c>
      <c r="E376" s="6">
        <f>[1]Hybrid!D43</f>
        <v>2.7927323309999998</v>
      </c>
      <c r="F376" s="6">
        <f>[1]Hybrid!E43</f>
        <v>3.3191987529999998</v>
      </c>
      <c r="G376" s="6">
        <f>[1]Hybrid!F43</f>
        <v>3.8226534509999999</v>
      </c>
      <c r="H376" s="6">
        <f>[1]Hybrid!G43</f>
        <v>4.2953913909999999</v>
      </c>
      <c r="I376" s="6">
        <f>[1]Hybrid!H43</f>
        <v>4.7312684110000003</v>
      </c>
      <c r="J376" s="6">
        <f>[1]Hybrid!I43</f>
        <v>5.1273855319999999</v>
      </c>
      <c r="K376" s="6">
        <f>[1]Hybrid!J43</f>
        <v>5.4827396879999997</v>
      </c>
      <c r="L376" s="6">
        <f>[1]Hybrid!K43</f>
        <v>5.797915186</v>
      </c>
      <c r="M376" s="6">
        <f>[1]Hybrid!L43</f>
        <v>6.0759331159999999</v>
      </c>
      <c r="N376" s="6">
        <f>[1]Hybrid!M43</f>
        <v>6.3175361270000003</v>
      </c>
      <c r="O376" s="6">
        <f>[1]Hybrid!N43</f>
        <v>6.5242988139999998</v>
      </c>
      <c r="P376" s="6">
        <f>[1]Hybrid!O43</f>
        <v>6.6980357699999997</v>
      </c>
      <c r="Q376" s="6">
        <f>[1]Hybrid!P43</f>
        <v>6.8403661949999996</v>
      </c>
      <c r="R376" s="6">
        <f>[1]Hybrid!Q43</f>
        <v>6.9529270749999998</v>
      </c>
      <c r="S376" s="6">
        <f>[1]Hybrid!R43</f>
        <v>7.0374452180000002</v>
      </c>
      <c r="T376" s="6">
        <f>[1]Hybrid!S43</f>
        <v>7.0957551519999997</v>
      </c>
      <c r="U376" s="6">
        <f>[1]Hybrid!T43</f>
        <v>7.1297699379999999</v>
      </c>
      <c r="V376" s="6">
        <f>[1]Hybrid!U43</f>
        <v>7.1414231600000004</v>
      </c>
      <c r="W376" s="6">
        <f>[1]Hybrid!V43</f>
        <v>7.1320916729999997</v>
      </c>
      <c r="X376" s="6">
        <f>[1]Hybrid!W43</f>
        <v>7.1041213250000004</v>
      </c>
      <c r="Y376" s="6">
        <f>[1]Hybrid!X43</f>
        <v>7.0594034409999997</v>
      </c>
      <c r="Z376" s="6">
        <f>[1]Hybrid!Y43</f>
        <v>6.9995203139999997</v>
      </c>
      <c r="AA376" s="6">
        <f>[1]Hybrid!Z43</f>
        <v>6.9259302079999996</v>
      </c>
      <c r="AB376" s="6">
        <f>[1]Hybrid!AA43</f>
        <v>6.8389486030000004</v>
      </c>
      <c r="AC376" s="6">
        <f>[1]Hybrid!AB43</f>
        <v>6.7405955110000004</v>
      </c>
      <c r="AD376" s="6">
        <f>[1]Hybrid!AC43</f>
        <v>6.6324928160000001</v>
      </c>
      <c r="AE376" s="6">
        <f>[1]Hybrid!AD43</f>
        <v>6.5159882729999996</v>
      </c>
      <c r="AF376" s="6">
        <f>[1]Hybrid!AE43</f>
        <v>6.3923055489999996</v>
      </c>
      <c r="AG376" s="6">
        <f>[1]Hybrid!AF43</f>
        <v>6.262513781</v>
      </c>
      <c r="AH376" s="6">
        <f>[1]Hybrid!AG43</f>
        <v>6.1275533820000003</v>
      </c>
      <c r="AI376" s="6">
        <f>[1]Hybrid!AH43</f>
        <v>5.9882748469999996</v>
      </c>
      <c r="AJ376" s="6">
        <f>[1]Hybrid!AI43</f>
        <v>5.8454717780000003</v>
      </c>
      <c r="AK376" s="6">
        <f>[1]Hybrid!AJ43</f>
        <v>5.6998982859999998</v>
      </c>
      <c r="AL376" s="6">
        <f>[1]Hybrid!AK43</f>
        <v>5.5522707020000004</v>
      </c>
    </row>
    <row r="377" spans="2:38" x14ac:dyDescent="0.3">
      <c r="B377" s="6" t="str">
        <f>[1]Hybrid!A45</f>
        <v>auto_cg_cele_0</v>
      </c>
      <c r="C377" s="6">
        <f>[1]Hybrid!B45</f>
        <v>3.1066862139999998</v>
      </c>
      <c r="D377" s="6">
        <f>[1]Hybrid!C45</f>
        <v>4.0915232660000003</v>
      </c>
      <c r="E377" s="6">
        <f>[1]Hybrid!D45</f>
        <v>5.0643021109999999</v>
      </c>
      <c r="F377" s="6">
        <f>[1]Hybrid!E45</f>
        <v>5.9917753869999997</v>
      </c>
      <c r="G377" s="6">
        <f>[1]Hybrid!F45</f>
        <v>6.8526129139999998</v>
      </c>
      <c r="H377" s="6">
        <f>[1]Hybrid!G45</f>
        <v>7.6336913989999999</v>
      </c>
      <c r="I377" s="6">
        <f>[1]Hybrid!H45</f>
        <v>8.3245961269999995</v>
      </c>
      <c r="J377" s="6">
        <f>[1]Hybrid!I45</f>
        <v>8.9209828210000008</v>
      </c>
      <c r="K377" s="6">
        <f>[1]Hybrid!J45</f>
        <v>9.4229322389999997</v>
      </c>
      <c r="L377" s="6">
        <f>[1]Hybrid!K45</f>
        <v>9.8345035969999994</v>
      </c>
      <c r="M377" s="6">
        <f>[1]Hybrid!L45</f>
        <v>10.16451159</v>
      </c>
      <c r="N377" s="6">
        <f>[1]Hybrid!M45</f>
        <v>10.418854830000001</v>
      </c>
      <c r="O377" s="6">
        <f>[1]Hybrid!N45</f>
        <v>10.60423428</v>
      </c>
      <c r="P377" s="6">
        <f>[1]Hybrid!O45</f>
        <v>10.72735525</v>
      </c>
      <c r="Q377" s="6">
        <f>[1]Hybrid!P45</f>
        <v>10.79419961</v>
      </c>
      <c r="R377" s="6">
        <f>[1]Hybrid!Q45</f>
        <v>10.810362789999999</v>
      </c>
      <c r="S377" s="6">
        <f>[1]Hybrid!R45</f>
        <v>10.78120897</v>
      </c>
      <c r="T377" s="6">
        <f>[1]Hybrid!S45</f>
        <v>10.71193162</v>
      </c>
      <c r="U377" s="6">
        <f>[1]Hybrid!T45</f>
        <v>10.607526679999999</v>
      </c>
      <c r="V377" s="6">
        <f>[1]Hybrid!U45</f>
        <v>10.472716399999999</v>
      </c>
      <c r="W377" s="6">
        <f>[1]Hybrid!V45</f>
        <v>10.311369640000001</v>
      </c>
      <c r="X377" s="6">
        <f>[1]Hybrid!W45</f>
        <v>10.12797679</v>
      </c>
      <c r="Y377" s="6">
        <f>[1]Hybrid!X45</f>
        <v>9.9263335860000002</v>
      </c>
      <c r="Z377" s="6">
        <f>[1]Hybrid!Y45</f>
        <v>9.7096364400000006</v>
      </c>
      <c r="AA377" s="6">
        <f>[1]Hybrid!Z45</f>
        <v>9.4807041650000006</v>
      </c>
      <c r="AB377" s="6">
        <f>[1]Hybrid!AA45</f>
        <v>9.2412432629999994</v>
      </c>
      <c r="AC377" s="6">
        <f>[1]Hybrid!AB45</f>
        <v>8.9940674890000007</v>
      </c>
      <c r="AD377" s="6">
        <f>[1]Hybrid!AC45</f>
        <v>8.7415555289999993</v>
      </c>
      <c r="AE377" s="6">
        <f>[1]Hybrid!AD45</f>
        <v>8.4856875679999995</v>
      </c>
      <c r="AF377" s="6">
        <f>[1]Hybrid!AE45</f>
        <v>8.2281693239999996</v>
      </c>
      <c r="AG377" s="6">
        <f>[1]Hybrid!AF45</f>
        <v>7.9704285710000002</v>
      </c>
      <c r="AH377" s="6">
        <f>[1]Hybrid!AG45</f>
        <v>7.7136592640000003</v>
      </c>
      <c r="AI377" s="6">
        <f>[1]Hybrid!AH45</f>
        <v>7.4588736090000003</v>
      </c>
      <c r="AJ377" s="6">
        <f>[1]Hybrid!AI45</f>
        <v>7.2069439839999996</v>
      </c>
      <c r="AK377" s="6">
        <f>[1]Hybrid!AJ45</f>
        <v>6.9586278879999997</v>
      </c>
      <c r="AL377" s="6">
        <f>[1]Hybrid!AK45</f>
        <v>6.7145785069999997</v>
      </c>
    </row>
    <row r="378" spans="2:38" x14ac:dyDescent="0.3">
      <c r="B378" s="6" t="str">
        <f>[1]Hybrid!A47</f>
        <v>auto_ca_cgas_0</v>
      </c>
      <c r="C378" s="6">
        <f>[1]Hybrid!B47</f>
        <v>0.42568169729999999</v>
      </c>
      <c r="D378" s="6">
        <f>[1]Hybrid!C47</f>
        <v>0.45022395059999998</v>
      </c>
      <c r="E378" s="6">
        <f>[1]Hybrid!D47</f>
        <v>0.47797077609999999</v>
      </c>
      <c r="F378" s="6">
        <f>[1]Hybrid!E47</f>
        <v>0.50741975650000004</v>
      </c>
      <c r="G378" s="6">
        <f>[1]Hybrid!F47</f>
        <v>0.53740656840000001</v>
      </c>
      <c r="H378" s="6">
        <f>[1]Hybrid!G47</f>
        <v>0.56726424630000005</v>
      </c>
      <c r="I378" s="6">
        <f>[1]Hybrid!H47</f>
        <v>0.59661861890000001</v>
      </c>
      <c r="J378" s="6">
        <f>[1]Hybrid!I47</f>
        <v>0.62551103590000001</v>
      </c>
      <c r="K378" s="6">
        <f>[1]Hybrid!J47</f>
        <v>0.65412961589999996</v>
      </c>
      <c r="L378" s="6">
        <f>[1]Hybrid!K47</f>
        <v>0.68267801110000004</v>
      </c>
      <c r="M378" s="6">
        <f>[1]Hybrid!L47</f>
        <v>0.71144908740000001</v>
      </c>
      <c r="N378" s="6">
        <f>[1]Hybrid!M47</f>
        <v>0.74024673080000003</v>
      </c>
      <c r="O378" s="6">
        <f>[1]Hybrid!N47</f>
        <v>0.76898669279999998</v>
      </c>
      <c r="P378" s="6">
        <f>[1]Hybrid!O47</f>
        <v>0.79758607680000004</v>
      </c>
      <c r="Q378" s="6">
        <f>[1]Hybrid!P47</f>
        <v>0.82595182430000003</v>
      </c>
      <c r="R378" s="6">
        <f>[1]Hybrid!Q47</f>
        <v>0.85401876089999995</v>
      </c>
      <c r="S378" s="6">
        <f>[1]Hybrid!R47</f>
        <v>0.88175232240000001</v>
      </c>
      <c r="T378" s="6">
        <f>[1]Hybrid!S47</f>
        <v>0.90913973250000002</v>
      </c>
      <c r="U378" s="6">
        <f>[1]Hybrid!T47</f>
        <v>0.93617835510000003</v>
      </c>
      <c r="V378" s="6">
        <f>[1]Hybrid!U47</f>
        <v>0.96286711879999998</v>
      </c>
      <c r="W378" s="6">
        <f>[1]Hybrid!V47</f>
        <v>0.98905957730000005</v>
      </c>
      <c r="X378" s="6">
        <f>[1]Hybrid!W47</f>
        <v>1.0149284030000001</v>
      </c>
      <c r="Y378" s="6">
        <f>[1]Hybrid!X47</f>
        <v>1.04048724</v>
      </c>
      <c r="Z378" s="6">
        <f>[1]Hybrid!Y47</f>
        <v>1.065720209</v>
      </c>
      <c r="AA378" s="6">
        <f>[1]Hybrid!Z47</f>
        <v>1.090631554</v>
      </c>
      <c r="AB378" s="6">
        <f>[1]Hybrid!AA47</f>
        <v>1.1147862420000001</v>
      </c>
      <c r="AC378" s="6">
        <f>[1]Hybrid!AB47</f>
        <v>1.1385894640000001</v>
      </c>
      <c r="AD378" s="6">
        <f>[1]Hybrid!AC47</f>
        <v>1.162148175</v>
      </c>
      <c r="AE378" s="6">
        <f>[1]Hybrid!AD47</f>
        <v>1.1854674780000001</v>
      </c>
      <c r="AF378" s="6">
        <f>[1]Hybrid!AE47</f>
        <v>1.208537975</v>
      </c>
      <c r="AG378" s="6">
        <f>[1]Hybrid!AF47</f>
        <v>1.2313451449999999</v>
      </c>
      <c r="AH378" s="6">
        <f>[1]Hybrid!AG47</f>
        <v>1.2538875629999999</v>
      </c>
      <c r="AI378" s="6">
        <f>[1]Hybrid!AH47</f>
        <v>1.276184327</v>
      </c>
      <c r="AJ378" s="6">
        <f>[1]Hybrid!AI47</f>
        <v>1.2982713910000001</v>
      </c>
      <c r="AK378" s="6">
        <f>[1]Hybrid!AJ47</f>
        <v>1.32019105</v>
      </c>
      <c r="AL378" s="6">
        <f>[1]Hybrid!AK47</f>
        <v>1.3419804630000001</v>
      </c>
    </row>
    <row r="379" spans="2:38" x14ac:dyDescent="0.3">
      <c r="B379" s="6" t="str">
        <f>[1]Hybrid!A49</f>
        <v>auto_cb_cgas_0</v>
      </c>
      <c r="C379" s="6">
        <f>[1]Hybrid!B49</f>
        <v>0.49500522540000003</v>
      </c>
      <c r="D379" s="6">
        <f>[1]Hybrid!C49</f>
        <v>0.51311465150000002</v>
      </c>
      <c r="E379" s="6">
        <f>[1]Hybrid!D49</f>
        <v>0.53454230300000005</v>
      </c>
      <c r="F379" s="6">
        <f>[1]Hybrid!E49</f>
        <v>0.5578169731</v>
      </c>
      <c r="G379" s="6">
        <f>[1]Hybrid!F49</f>
        <v>0.58179864309999996</v>
      </c>
      <c r="H379" s="6">
        <f>[1]Hybrid!G49</f>
        <v>0.60582218710000002</v>
      </c>
      <c r="I379" s="6">
        <f>[1]Hybrid!H49</f>
        <v>0.62949885839999997</v>
      </c>
      <c r="J379" s="6">
        <f>[1]Hybrid!I49</f>
        <v>0.65283371940000001</v>
      </c>
      <c r="K379" s="6">
        <f>[1]Hybrid!J49</f>
        <v>0.67597336350000004</v>
      </c>
      <c r="L379" s="6">
        <f>[1]Hybrid!K49</f>
        <v>0.69908444439999995</v>
      </c>
      <c r="M379" s="6">
        <f>[1]Hybrid!L49</f>
        <v>0.72242457510000002</v>
      </c>
      <c r="N379" s="6">
        <f>[1]Hybrid!M49</f>
        <v>0.74579740989999999</v>
      </c>
      <c r="O379" s="6">
        <f>[1]Hybrid!N49</f>
        <v>0.76911201360000003</v>
      </c>
      <c r="P379" s="6">
        <f>[1]Hybrid!O49</f>
        <v>0.79228037309999999</v>
      </c>
      <c r="Q379" s="6">
        <f>[1]Hybrid!P49</f>
        <v>0.81520487050000001</v>
      </c>
      <c r="R379" s="6">
        <f>[1]Hybrid!Q49</f>
        <v>0.83781371940000005</v>
      </c>
      <c r="S379" s="6">
        <f>[1]Hybrid!R49</f>
        <v>0.86006386599999995</v>
      </c>
      <c r="T379" s="6">
        <f>[1]Hybrid!S49</f>
        <v>0.88193329399999998</v>
      </c>
      <c r="U379" s="6">
        <f>[1]Hybrid!T49</f>
        <v>0.90341056060000002</v>
      </c>
      <c r="V379" s="6">
        <f>[1]Hybrid!U49</f>
        <v>0.92448685919999996</v>
      </c>
      <c r="W379" s="6">
        <f>[1]Hybrid!V49</f>
        <v>0.94502175249999998</v>
      </c>
      <c r="X379" s="6">
        <f>[1]Hybrid!W49</f>
        <v>0.9651651684</v>
      </c>
      <c r="Y379" s="6">
        <f>[1]Hybrid!X49</f>
        <v>0.98492464810000002</v>
      </c>
      <c r="Z379" s="6">
        <f>[1]Hybrid!Y49</f>
        <v>1.004279747</v>
      </c>
      <c r="AA379" s="6">
        <f>[1]Hybrid!Z49</f>
        <v>1.0232271040000001</v>
      </c>
      <c r="AB379" s="6">
        <f>[1]Hybrid!AA49</f>
        <v>1.041370173</v>
      </c>
      <c r="AC379" s="6">
        <f>[1]Hybrid!AB49</f>
        <v>1.0590611350000001</v>
      </c>
      <c r="AD379" s="6">
        <f>[1]Hybrid!AC49</f>
        <v>1.076391831</v>
      </c>
      <c r="AE379" s="6">
        <f>[1]Hybrid!AD49</f>
        <v>1.093364096</v>
      </c>
      <c r="AF379" s="6">
        <f>[1]Hybrid!AE49</f>
        <v>1.1099669560000001</v>
      </c>
      <c r="AG379" s="6">
        <f>[1]Hybrid!AF49</f>
        <v>1.1261836380000001</v>
      </c>
      <c r="AH379" s="6">
        <f>[1]Hybrid!AG49</f>
        <v>1.1420070499999999</v>
      </c>
      <c r="AI379" s="6">
        <f>[1]Hybrid!AH49</f>
        <v>1.1574465190000001</v>
      </c>
      <c r="AJ379" s="6">
        <f>[1]Hybrid!AI49</f>
        <v>1.1725253149999999</v>
      </c>
      <c r="AK379" s="6">
        <f>[1]Hybrid!AJ49</f>
        <v>1.187272337</v>
      </c>
      <c r="AL379" s="6">
        <f>[1]Hybrid!AK49</f>
        <v>1.2017127460000001</v>
      </c>
    </row>
    <row r="380" spans="2:38" x14ac:dyDescent="0.3">
      <c r="B380" s="6" t="str">
        <f>[1]Hybrid!A51</f>
        <v>auto_cc_cgas_0</v>
      </c>
      <c r="C380" s="6">
        <f>[1]Hybrid!B51</f>
        <v>0.40659851759999999</v>
      </c>
      <c r="D380" s="6">
        <f>[1]Hybrid!C51</f>
        <v>0.41509711599999999</v>
      </c>
      <c r="E380" s="6">
        <f>[1]Hybrid!D51</f>
        <v>0.42607702559999999</v>
      </c>
      <c r="F380" s="6">
        <f>[1]Hybrid!E51</f>
        <v>0.43849926779999998</v>
      </c>
      <c r="G380" s="6">
        <f>[1]Hybrid!F51</f>
        <v>0.45155879879999999</v>
      </c>
      <c r="H380" s="6">
        <f>[1]Hybrid!G51</f>
        <v>0.46477769749999998</v>
      </c>
      <c r="I380" s="6">
        <f>[1]Hybrid!H51</f>
        <v>0.477866346</v>
      </c>
      <c r="J380" s="6">
        <f>[1]Hybrid!I51</f>
        <v>0.4908044835</v>
      </c>
      <c r="K380" s="6">
        <f>[1]Hybrid!J51</f>
        <v>0.50367046540000004</v>
      </c>
      <c r="L380" s="6">
        <f>[1]Hybrid!K51</f>
        <v>0.51656017610000005</v>
      </c>
      <c r="M380" s="6">
        <f>[1]Hybrid!L51</f>
        <v>0.52963611460000004</v>
      </c>
      <c r="N380" s="6">
        <f>[1]Hybrid!M51</f>
        <v>0.54275696579999999</v>
      </c>
      <c r="O380" s="6">
        <f>[1]Hybrid!N51</f>
        <v>0.55585314770000005</v>
      </c>
      <c r="P380" s="6">
        <f>[1]Hybrid!O51</f>
        <v>0.56885824119999995</v>
      </c>
      <c r="Q380" s="6">
        <f>[1]Hybrid!P51</f>
        <v>0.58169937959999996</v>
      </c>
      <c r="R380" s="6">
        <f>[1]Hybrid!Q51</f>
        <v>0.59432106350000002</v>
      </c>
      <c r="S380" s="6">
        <f>[1]Hybrid!R51</f>
        <v>0.60668735380000005</v>
      </c>
      <c r="T380" s="6">
        <f>[1]Hybrid!S51</f>
        <v>0.61877704010000001</v>
      </c>
      <c r="U380" s="6">
        <f>[1]Hybrid!T51</f>
        <v>0.63057685350000003</v>
      </c>
      <c r="V380" s="6">
        <f>[1]Hybrid!U51</f>
        <v>0.64207615360000003</v>
      </c>
      <c r="W380" s="6">
        <f>[1]Hybrid!V51</f>
        <v>0.65317841659999998</v>
      </c>
      <c r="X380" s="6">
        <f>[1]Hybrid!W51</f>
        <v>0.66397782530000005</v>
      </c>
      <c r="Y380" s="6">
        <f>[1]Hybrid!X51</f>
        <v>0.67447666039999998</v>
      </c>
      <c r="Z380" s="6">
        <f>[1]Hybrid!Y51</f>
        <v>0.6846582121</v>
      </c>
      <c r="AA380" s="6">
        <f>[1]Hybrid!Z51</f>
        <v>0.6945163204</v>
      </c>
      <c r="AB380" s="6">
        <f>[1]Hybrid!AA51</f>
        <v>0.70379100630000002</v>
      </c>
      <c r="AC380" s="6">
        <f>[1]Hybrid!AB51</f>
        <v>0.71270391359999996</v>
      </c>
      <c r="AD380" s="6">
        <f>[1]Hybrid!AC51</f>
        <v>0.72131276649999998</v>
      </c>
      <c r="AE380" s="6">
        <f>[1]Hybrid!AD51</f>
        <v>0.72961796919999999</v>
      </c>
      <c r="AF380" s="6">
        <f>[1]Hybrid!AE51</f>
        <v>0.73761183060000002</v>
      </c>
      <c r="AG380" s="6">
        <f>[1]Hybrid!AF51</f>
        <v>0.74528226490000005</v>
      </c>
      <c r="AH380" s="6">
        <f>[1]Hybrid!AG51</f>
        <v>0.75262230919999995</v>
      </c>
      <c r="AI380" s="6">
        <f>[1]Hybrid!AH51</f>
        <v>0.75963456159999998</v>
      </c>
      <c r="AJ380" s="6">
        <f>[1]Hybrid!AI51</f>
        <v>0.76633008629999999</v>
      </c>
      <c r="AK380" s="6">
        <f>[1]Hybrid!AJ51</f>
        <v>0.77272370759999998</v>
      </c>
      <c r="AL380" s="6">
        <f>[1]Hybrid!AK51</f>
        <v>0.77882849389999997</v>
      </c>
    </row>
    <row r="381" spans="2:38" x14ac:dyDescent="0.3">
      <c r="B381" s="6" t="str">
        <f>[1]Hybrid!A53</f>
        <v>auto_cd_cgas_0</v>
      </c>
      <c r="C381" s="6">
        <f>[1]Hybrid!B53</f>
        <v>0.2495444651</v>
      </c>
      <c r="D381" s="6">
        <f>[1]Hybrid!C53</f>
        <v>0.25264671529999999</v>
      </c>
      <c r="E381" s="6">
        <f>[1]Hybrid!D53</f>
        <v>0.25705868520000003</v>
      </c>
      <c r="F381" s="6">
        <f>[1]Hybrid!E53</f>
        <v>0.26219028570000003</v>
      </c>
      <c r="G381" s="6">
        <f>[1]Hybrid!F53</f>
        <v>0.26759126039999998</v>
      </c>
      <c r="H381" s="6">
        <f>[1]Hybrid!G53</f>
        <v>0.2729871042</v>
      </c>
      <c r="I381" s="6">
        <f>[1]Hybrid!H53</f>
        <v>0.27819859200000002</v>
      </c>
      <c r="J381" s="6">
        <f>[1]Hybrid!I53</f>
        <v>0.28318649600000001</v>
      </c>
      <c r="K381" s="6">
        <f>[1]Hybrid!J53</f>
        <v>0.2879666837</v>
      </c>
      <c r="L381" s="6">
        <f>[1]Hybrid!K53</f>
        <v>0.29257241880000001</v>
      </c>
      <c r="M381" s="6">
        <f>[1]Hybrid!L53</f>
        <v>0.29708160919999999</v>
      </c>
      <c r="N381" s="6">
        <f>[1]Hybrid!M53</f>
        <v>0.30142656820000002</v>
      </c>
      <c r="O381" s="6">
        <f>[1]Hybrid!N53</f>
        <v>0.30557551719999998</v>
      </c>
      <c r="P381" s="6">
        <f>[1]Hybrid!O53</f>
        <v>0.3095001483</v>
      </c>
      <c r="Q381" s="6">
        <f>[1]Hybrid!P53</f>
        <v>0.31316825459999997</v>
      </c>
      <c r="R381" s="6">
        <f>[1]Hybrid!Q53</f>
        <v>0.3165554424</v>
      </c>
      <c r="S381" s="6">
        <f>[1]Hybrid!R53</f>
        <v>0.31964680610000001</v>
      </c>
      <c r="T381" s="6">
        <f>[1]Hybrid!S53</f>
        <v>0.32243532879999998</v>
      </c>
      <c r="U381" s="6">
        <f>[1]Hybrid!T53</f>
        <v>0.32491907310000001</v>
      </c>
      <c r="V381" s="6">
        <f>[1]Hybrid!U53</f>
        <v>0.32709861130000001</v>
      </c>
      <c r="W381" s="6">
        <f>[1]Hybrid!V53</f>
        <v>0.32893715220000003</v>
      </c>
      <c r="X381" s="6">
        <f>[1]Hybrid!W53</f>
        <v>0.33048185149999998</v>
      </c>
      <c r="Y381" s="6">
        <f>[1]Hybrid!X53</f>
        <v>0.33174200209999999</v>
      </c>
      <c r="Z381" s="6">
        <f>[1]Hybrid!Y53</f>
        <v>0.33271689040000002</v>
      </c>
      <c r="AA381" s="6">
        <f>[1]Hybrid!Z53</f>
        <v>0.33340892999999999</v>
      </c>
      <c r="AB381" s="6">
        <f>[1]Hybrid!AA53</f>
        <v>0.33371568600000001</v>
      </c>
      <c r="AC381" s="6">
        <f>[1]Hybrid!AB53</f>
        <v>0.33372978679999998</v>
      </c>
      <c r="AD381" s="6">
        <f>[1]Hybrid!AC53</f>
        <v>0.33348379309999998</v>
      </c>
      <c r="AE381" s="6">
        <f>[1]Hybrid!AD53</f>
        <v>0.33298765629999999</v>
      </c>
      <c r="AF381" s="6">
        <f>[1]Hybrid!AE53</f>
        <v>0.33224798370000003</v>
      </c>
      <c r="AG381" s="6">
        <f>[1]Hybrid!AF53</f>
        <v>0.3312682408</v>
      </c>
      <c r="AH381" s="6">
        <f>[1]Hybrid!AG53</f>
        <v>0.33005204199999999</v>
      </c>
      <c r="AI381" s="6">
        <f>[1]Hybrid!AH53</f>
        <v>0.32860526350000002</v>
      </c>
      <c r="AJ381" s="6">
        <f>[1]Hybrid!AI53</f>
        <v>0.32693648710000001</v>
      </c>
      <c r="AK381" s="6">
        <f>[1]Hybrid!AJ53</f>
        <v>0.32505609549999998</v>
      </c>
      <c r="AL381" s="6">
        <f>[1]Hybrid!AK53</f>
        <v>0.32297476349999998</v>
      </c>
    </row>
    <row r="382" spans="2:38" x14ac:dyDescent="0.3">
      <c r="B382" s="6" t="str">
        <f>[1]Hybrid!A55</f>
        <v>auto_ce_cgas_0</v>
      </c>
      <c r="C382" s="6">
        <f>[1]Hybrid!B55</f>
        <v>0.15020246549999999</v>
      </c>
      <c r="D382" s="6">
        <f>[1]Hybrid!C55</f>
        <v>0.15226403220000001</v>
      </c>
      <c r="E382" s="6">
        <f>[1]Hybrid!D55</f>
        <v>0.15503085599999999</v>
      </c>
      <c r="F382" s="6">
        <f>[1]Hybrid!E55</f>
        <v>0.15813658050000001</v>
      </c>
      <c r="G382" s="6">
        <f>[1]Hybrid!F55</f>
        <v>0.1613060352</v>
      </c>
      <c r="H382" s="6">
        <f>[1]Hybrid!G55</f>
        <v>0.1643694473</v>
      </c>
      <c r="I382" s="6">
        <f>[1]Hybrid!H55</f>
        <v>0.16721174990000001</v>
      </c>
      <c r="J382" s="6">
        <f>[1]Hybrid!I55</f>
        <v>0.16980029199999999</v>
      </c>
      <c r="K382" s="6">
        <f>[1]Hybrid!J55</f>
        <v>0.1721375315</v>
      </c>
      <c r="L382" s="6">
        <f>[1]Hybrid!K55</f>
        <v>0.17424099979999999</v>
      </c>
      <c r="M382" s="6">
        <f>[1]Hybrid!L55</f>
        <v>0.1761592229</v>
      </c>
      <c r="N382" s="6">
        <f>[1]Hybrid!M55</f>
        <v>0.1778621289</v>
      </c>
      <c r="O382" s="6">
        <f>[1]Hybrid!N55</f>
        <v>0.17933944800000001</v>
      </c>
      <c r="P382" s="6">
        <f>[1]Hybrid!O55</f>
        <v>0.1805834053</v>
      </c>
      <c r="Q382" s="6">
        <f>[1]Hybrid!P55</f>
        <v>0.181583469</v>
      </c>
      <c r="R382" s="6">
        <f>[1]Hybrid!Q55</f>
        <v>0.18233290029999999</v>
      </c>
      <c r="S382" s="6">
        <f>[1]Hybrid!R55</f>
        <v>0.18282999929999999</v>
      </c>
      <c r="T382" s="6">
        <f>[1]Hybrid!S55</f>
        <v>0.18307756150000001</v>
      </c>
      <c r="U382" s="6">
        <f>[1]Hybrid!T55</f>
        <v>0.18308151319999999</v>
      </c>
      <c r="V382" s="6">
        <f>[1]Hybrid!U55</f>
        <v>0.18284946299999999</v>
      </c>
      <c r="W382" s="6">
        <f>[1]Hybrid!V55</f>
        <v>0.18237046030000001</v>
      </c>
      <c r="X382" s="6">
        <f>[1]Hybrid!W55</f>
        <v>0.18167506250000001</v>
      </c>
      <c r="Y382" s="6">
        <f>[1]Hybrid!X55</f>
        <v>0.1807758012</v>
      </c>
      <c r="Z382" s="6">
        <f>[1]Hybrid!Y55</f>
        <v>0.17967933180000001</v>
      </c>
      <c r="AA382" s="6">
        <f>[1]Hybrid!Z55</f>
        <v>0.1783930836</v>
      </c>
      <c r="AB382" s="6">
        <f>[1]Hybrid!AA55</f>
        <v>0.176875422</v>
      </c>
      <c r="AC382" s="6">
        <f>[1]Hybrid!AB55</f>
        <v>0.1751743425</v>
      </c>
      <c r="AD382" s="6">
        <f>[1]Hybrid!AC55</f>
        <v>0.17331240510000001</v>
      </c>
      <c r="AE382" s="6">
        <f>[1]Hybrid!AD55</f>
        <v>0.17130169649999999</v>
      </c>
      <c r="AF382" s="6">
        <f>[1]Hybrid!AE55</f>
        <v>0.1691524136</v>
      </c>
      <c r="AG382" s="6">
        <f>[1]Hybrid!AF55</f>
        <v>0.1668725546</v>
      </c>
      <c r="AH382" s="6">
        <f>[1]Hybrid!AG55</f>
        <v>0.16446932049999999</v>
      </c>
      <c r="AI382" s="6">
        <f>[1]Hybrid!AH55</f>
        <v>0.1619502599</v>
      </c>
      <c r="AJ382" s="6">
        <f>[1]Hybrid!AI55</f>
        <v>0.15932379159999999</v>
      </c>
      <c r="AK382" s="6">
        <f>[1]Hybrid!AJ55</f>
        <v>0.15659909659999999</v>
      </c>
      <c r="AL382" s="6">
        <f>[1]Hybrid!AK55</f>
        <v>0.1537856172</v>
      </c>
    </row>
    <row r="383" spans="2:38" x14ac:dyDescent="0.3">
      <c r="B383" s="6" t="str">
        <f>[1]Hybrid!A57</f>
        <v>auto_cf_cgas_0</v>
      </c>
      <c r="C383" s="6">
        <f>[1]Hybrid!B57</f>
        <v>7.4609436000000001E-2</v>
      </c>
      <c r="D383" s="6">
        <f>[1]Hybrid!C57</f>
        <v>7.5392995899999996E-2</v>
      </c>
      <c r="E383" s="6">
        <f>[1]Hybrid!D57</f>
        <v>7.6381652600000002E-2</v>
      </c>
      <c r="F383" s="6">
        <f>[1]Hybrid!E57</f>
        <v>7.7395245299999998E-2</v>
      </c>
      <c r="G383" s="6">
        <f>[1]Hybrid!F57</f>
        <v>7.8307016300000004E-2</v>
      </c>
      <c r="H383" s="6">
        <f>[1]Hybrid!G57</f>
        <v>7.9038168399999997E-2</v>
      </c>
      <c r="I383" s="6">
        <f>[1]Hybrid!H57</f>
        <v>7.9532261500000007E-2</v>
      </c>
      <c r="J383" s="6">
        <f>[1]Hybrid!I57</f>
        <v>7.9769278799999996E-2</v>
      </c>
      <c r="K383" s="6">
        <f>[1]Hybrid!J57</f>
        <v>7.974966E-2</v>
      </c>
      <c r="L383" s="6">
        <f>[1]Hybrid!K57</f>
        <v>7.9487914500000006E-2</v>
      </c>
      <c r="M383" s="6">
        <f>[1]Hybrid!L57</f>
        <v>7.9017462999999996E-2</v>
      </c>
      <c r="N383" s="6">
        <f>[1]Hybrid!M57</f>
        <v>7.8347460100000002E-2</v>
      </c>
      <c r="O383" s="6">
        <f>[1]Hybrid!N57</f>
        <v>7.7492775799999997E-2</v>
      </c>
      <c r="P383" s="6">
        <f>[1]Hybrid!O57</f>
        <v>7.6468819899999999E-2</v>
      </c>
      <c r="Q383" s="6">
        <f>[1]Hybrid!P57</f>
        <v>7.5288565599999996E-2</v>
      </c>
      <c r="R383" s="6">
        <f>[1]Hybrid!Q57</f>
        <v>7.3964916800000002E-2</v>
      </c>
      <c r="S383" s="6">
        <f>[1]Hybrid!R57</f>
        <v>7.2511481599999997E-2</v>
      </c>
      <c r="T383" s="6">
        <f>[1]Hybrid!S57</f>
        <v>7.0942681300000004E-2</v>
      </c>
      <c r="U383" s="6">
        <f>[1]Hybrid!T57</f>
        <v>6.9273396900000006E-2</v>
      </c>
      <c r="V383" s="6">
        <f>[1]Hybrid!U57</f>
        <v>6.7518408099999996E-2</v>
      </c>
      <c r="W383" s="6">
        <f>[1]Hybrid!V57</f>
        <v>6.56874333E-2</v>
      </c>
      <c r="X383" s="6">
        <f>[1]Hybrid!W57</f>
        <v>6.3798597499999998E-2</v>
      </c>
      <c r="Y383" s="6">
        <f>[1]Hybrid!X57</f>
        <v>6.1865571500000001E-2</v>
      </c>
      <c r="Z383" s="6">
        <f>[1]Hybrid!Y57</f>
        <v>5.9899268700000001E-2</v>
      </c>
      <c r="AA383" s="6">
        <f>[1]Hybrid!Z57</f>
        <v>5.7909555299999999E-2</v>
      </c>
      <c r="AB383" s="6">
        <f>[1]Hybrid!AA57</f>
        <v>5.5896702100000001E-2</v>
      </c>
      <c r="AC383" s="6">
        <f>[1]Hybrid!AB57</f>
        <v>5.3875841399999999E-2</v>
      </c>
      <c r="AD383" s="6">
        <f>[1]Hybrid!AC57</f>
        <v>5.1858130199999998E-2</v>
      </c>
      <c r="AE383" s="6">
        <f>[1]Hybrid!AD57</f>
        <v>4.9852126099999998E-2</v>
      </c>
      <c r="AF383" s="6">
        <f>[1]Hybrid!AE57</f>
        <v>4.7865170700000001E-2</v>
      </c>
      <c r="AG383" s="6">
        <f>[1]Hybrid!AF57</f>
        <v>4.5903262200000003E-2</v>
      </c>
      <c r="AH383" s="6">
        <f>[1]Hybrid!AG57</f>
        <v>4.3971362899999998E-2</v>
      </c>
      <c r="AI383" s="6">
        <f>[1]Hybrid!AH57</f>
        <v>4.2073751100000001E-2</v>
      </c>
      <c r="AJ383" s="6">
        <f>[1]Hybrid!AI57</f>
        <v>4.0214274500000001E-2</v>
      </c>
      <c r="AK383" s="6">
        <f>[1]Hybrid!AJ57</f>
        <v>3.8396455000000003E-2</v>
      </c>
      <c r="AL383" s="6">
        <f>[1]Hybrid!AK57</f>
        <v>3.6623472999999997E-2</v>
      </c>
    </row>
    <row r="384" spans="2:38" x14ac:dyDescent="0.3">
      <c r="B384" s="6" t="str">
        <f>[1]Hybrid!A59</f>
        <v>auto_cg_cgas_0</v>
      </c>
      <c r="C384" s="6">
        <f>[1]Hybrid!B59</f>
        <v>0.13435819299999999</v>
      </c>
      <c r="D384" s="6">
        <f>[1]Hybrid!C59</f>
        <v>0.13604005229999999</v>
      </c>
      <c r="E384" s="6">
        <f>[1]Hybrid!D59</f>
        <v>0.1378617892</v>
      </c>
      <c r="F384" s="6">
        <f>[1]Hybrid!E59</f>
        <v>0.139492376</v>
      </c>
      <c r="G384" s="6">
        <f>[1]Hybrid!F59</f>
        <v>0.14071647379999999</v>
      </c>
      <c r="H384" s="6">
        <f>[1]Hybrid!G59</f>
        <v>0.14140616789999999</v>
      </c>
      <c r="I384" s="6">
        <f>[1]Hybrid!H59</f>
        <v>0.141472603</v>
      </c>
      <c r="J384" s="6">
        <f>[1]Hybrid!I59</f>
        <v>0.1408934265</v>
      </c>
      <c r="K384" s="6">
        <f>[1]Hybrid!J59</f>
        <v>0.13969052169999999</v>
      </c>
      <c r="L384" s="6">
        <f>[1]Hybrid!K59</f>
        <v>0.13791933109999999</v>
      </c>
      <c r="M384" s="6">
        <f>[1]Hybrid!L59</f>
        <v>0.13567129920000001</v>
      </c>
      <c r="N384" s="6">
        <f>[1]Hybrid!M59</f>
        <v>0.13300431430000001</v>
      </c>
      <c r="O384" s="6">
        <f>[1]Hybrid!N59</f>
        <v>0.12997955389999999</v>
      </c>
      <c r="P384" s="6">
        <f>[1]Hybrid!O59</f>
        <v>0.12665499529999999</v>
      </c>
      <c r="Q384" s="6">
        <f>[1]Hybrid!P59</f>
        <v>0.12308044460000001</v>
      </c>
      <c r="R384" s="6">
        <f>[1]Hybrid!Q59</f>
        <v>0.1193013139</v>
      </c>
      <c r="S384" s="6">
        <f>[1]Hybrid!R59</f>
        <v>0.1153602691</v>
      </c>
      <c r="T384" s="6">
        <f>[1]Hybrid!S59</f>
        <v>0.1112977842</v>
      </c>
      <c r="U384" s="6">
        <f>[1]Hybrid!T59</f>
        <v>0.1071518744</v>
      </c>
      <c r="V384" s="6">
        <f>[1]Hybrid!U59</f>
        <v>0.102957458</v>
      </c>
      <c r="W384" s="6">
        <f>[1]Hybrid!V59</f>
        <v>9.8741479199999996E-2</v>
      </c>
      <c r="X384" s="6">
        <f>[1]Hybrid!W59</f>
        <v>9.4535950100000002E-2</v>
      </c>
      <c r="Y384" s="6">
        <f>[1]Hybrid!X59</f>
        <v>9.0366184399999994E-2</v>
      </c>
      <c r="Z384" s="6">
        <f>[1]Hybrid!Y59</f>
        <v>8.6252088000000005E-2</v>
      </c>
      <c r="AA384" s="6">
        <f>[1]Hybrid!Z59</f>
        <v>8.2210227900000002E-2</v>
      </c>
      <c r="AB384" s="6">
        <f>[1]Hybrid!AA59</f>
        <v>7.8247755599999996E-2</v>
      </c>
      <c r="AC384" s="6">
        <f>[1]Hybrid!AB59</f>
        <v>7.4381392800000001E-2</v>
      </c>
      <c r="AD384" s="6">
        <f>[1]Hybrid!AC59</f>
        <v>7.06237158E-2</v>
      </c>
      <c r="AE384" s="6">
        <f>[1]Hybrid!AD59</f>
        <v>6.6983754300000004E-2</v>
      </c>
      <c r="AF384" s="6">
        <f>[1]Hybrid!AE59</f>
        <v>6.3468176799999998E-2</v>
      </c>
      <c r="AG384" s="6">
        <f>[1]Hybrid!AF59</f>
        <v>6.00813917E-2</v>
      </c>
      <c r="AH384" s="6">
        <f>[1]Hybrid!AG59</f>
        <v>5.6826005999999998E-2</v>
      </c>
      <c r="AI384" s="6">
        <f>[1]Hybrid!AH59</f>
        <v>5.3703296300000002E-2</v>
      </c>
      <c r="AJ384" s="6">
        <f>[1]Hybrid!AI59</f>
        <v>5.0713561099999999E-2</v>
      </c>
      <c r="AK384" s="6">
        <f>[1]Hybrid!AJ59</f>
        <v>4.7856320899999999E-2</v>
      </c>
      <c r="AL384" s="6">
        <f>[1]Hybrid!AK59</f>
        <v>4.5130406300000002E-2</v>
      </c>
    </row>
    <row r="386" spans="1:38" x14ac:dyDescent="0.3">
      <c r="A386" s="12" t="s">
        <v>64</v>
      </c>
      <c r="B386" t="s">
        <v>83</v>
      </c>
      <c r="C386" s="2">
        <v>42005</v>
      </c>
      <c r="D386" s="2">
        <v>42370</v>
      </c>
      <c r="E386" s="2">
        <v>42736</v>
      </c>
      <c r="F386" s="2">
        <v>43101</v>
      </c>
      <c r="G386" s="2">
        <v>43466</v>
      </c>
      <c r="H386" s="2">
        <v>43831</v>
      </c>
      <c r="I386" s="2">
        <v>44197</v>
      </c>
      <c r="J386" s="2">
        <v>44562</v>
      </c>
      <c r="K386" s="2">
        <v>44927</v>
      </c>
      <c r="L386" s="2">
        <v>45292</v>
      </c>
      <c r="M386" s="2">
        <v>45658</v>
      </c>
      <c r="N386" s="2">
        <v>46023</v>
      </c>
      <c r="O386" s="2">
        <v>46388</v>
      </c>
      <c r="P386" s="2">
        <v>46753</v>
      </c>
      <c r="Q386" s="2">
        <v>47119</v>
      </c>
      <c r="R386" s="2">
        <v>47484</v>
      </c>
      <c r="S386" s="2">
        <v>47849</v>
      </c>
      <c r="T386" s="2">
        <v>48214</v>
      </c>
      <c r="U386" s="2">
        <v>48580</v>
      </c>
      <c r="V386" s="2">
        <v>48945</v>
      </c>
      <c r="W386" s="2">
        <v>49310</v>
      </c>
      <c r="X386" s="2">
        <v>49675</v>
      </c>
      <c r="Y386" s="2">
        <v>50041</v>
      </c>
      <c r="Z386" s="2">
        <v>50406</v>
      </c>
      <c r="AA386" s="2">
        <v>50771</v>
      </c>
      <c r="AB386" s="2">
        <v>51136</v>
      </c>
      <c r="AC386" s="2">
        <v>51502</v>
      </c>
      <c r="AD386" s="2">
        <v>51867</v>
      </c>
      <c r="AE386" s="2">
        <v>52232</v>
      </c>
      <c r="AF386" s="2">
        <v>52597</v>
      </c>
      <c r="AG386" s="2">
        <v>52963</v>
      </c>
      <c r="AH386" s="2">
        <v>53328</v>
      </c>
      <c r="AI386" s="2">
        <v>53693</v>
      </c>
      <c r="AJ386" s="2">
        <v>54058</v>
      </c>
      <c r="AK386" s="2">
        <v>54424</v>
      </c>
      <c r="AL386" s="2">
        <v>54789</v>
      </c>
    </row>
    <row r="387" spans="1:38" x14ac:dyDescent="0.3">
      <c r="A387" t="s">
        <v>26</v>
      </c>
      <c r="B387" t="s">
        <v>70</v>
      </c>
      <c r="C387" s="6">
        <f>C364+C371+C378</f>
        <v>7105.9689965623002</v>
      </c>
      <c r="D387" s="6">
        <f t="shared" ref="D387:AL387" si="89">D364+D371+D378</f>
        <v>7167.8701310506003</v>
      </c>
      <c r="E387" s="6">
        <f t="shared" si="89"/>
        <v>7282.1147420061006</v>
      </c>
      <c r="F387" s="6">
        <f t="shared" si="89"/>
        <v>7429.0829375365001</v>
      </c>
      <c r="G387" s="6">
        <f t="shared" si="89"/>
        <v>7593.6382974983999</v>
      </c>
      <c r="H387" s="6">
        <f t="shared" si="89"/>
        <v>7766.9101580862989</v>
      </c>
      <c r="I387" s="6">
        <f t="shared" si="89"/>
        <v>7943.6934597888994</v>
      </c>
      <c r="J387" s="6">
        <f t="shared" si="89"/>
        <v>8123.8521463858997</v>
      </c>
      <c r="K387" s="6">
        <f t="shared" si="89"/>
        <v>8309.0203891258989</v>
      </c>
      <c r="L387" s="6">
        <f t="shared" si="89"/>
        <v>8501.0186712711002</v>
      </c>
      <c r="M387" s="6">
        <f t="shared" si="89"/>
        <v>8702.7637753973995</v>
      </c>
      <c r="N387" s="6">
        <f t="shared" si="89"/>
        <v>8911.3010701807998</v>
      </c>
      <c r="O387" s="6">
        <f t="shared" si="89"/>
        <v>9125.1174651827987</v>
      </c>
      <c r="P387" s="6">
        <f t="shared" si="89"/>
        <v>9342.7849529568011</v>
      </c>
      <c r="Q387" s="6">
        <f t="shared" si="89"/>
        <v>9562.8092296242994</v>
      </c>
      <c r="R387" s="6">
        <f t="shared" si="89"/>
        <v>9784.0812497608986</v>
      </c>
      <c r="S387" s="6">
        <f t="shared" si="89"/>
        <v>10005.8995804224</v>
      </c>
      <c r="T387" s="6">
        <f t="shared" si="89"/>
        <v>10227.856278032499</v>
      </c>
      <c r="U387" s="6">
        <f t="shared" si="89"/>
        <v>10449.692098755098</v>
      </c>
      <c r="V387" s="6">
        <f t="shared" si="89"/>
        <v>10671.191025918799</v>
      </c>
      <c r="W387" s="6">
        <f t="shared" si="89"/>
        <v>10890.4018297773</v>
      </c>
      <c r="X387" s="6">
        <f t="shared" si="89"/>
        <v>11109.274503003</v>
      </c>
      <c r="Y387" s="6">
        <f t="shared" si="89"/>
        <v>11327.830649939999</v>
      </c>
      <c r="Z387" s="6">
        <f t="shared" si="89"/>
        <v>11545.750065209</v>
      </c>
      <c r="AA387" s="6">
        <f t="shared" si="89"/>
        <v>11762.972791353999</v>
      </c>
      <c r="AB387" s="6">
        <f t="shared" si="89"/>
        <v>11974.122016542</v>
      </c>
      <c r="AC387" s="6">
        <f t="shared" si="89"/>
        <v>12184.080436164</v>
      </c>
      <c r="AD387" s="6">
        <f t="shared" si="89"/>
        <v>12394.068674175001</v>
      </c>
      <c r="AE387" s="6">
        <f t="shared" si="89"/>
        <v>12604.075596978</v>
      </c>
      <c r="AF387" s="6">
        <f t="shared" si="89"/>
        <v>12813.934671775001</v>
      </c>
      <c r="AG387" s="6">
        <f t="shared" si="89"/>
        <v>13023.435237645001</v>
      </c>
      <c r="AH387" s="6">
        <f t="shared" si="89"/>
        <v>13232.539725363</v>
      </c>
      <c r="AI387" s="6">
        <f t="shared" si="89"/>
        <v>13441.469418827</v>
      </c>
      <c r="AJ387" s="6">
        <f t="shared" si="89"/>
        <v>13650.656870091001</v>
      </c>
      <c r="AK387" s="6">
        <f t="shared" si="89"/>
        <v>13860.617978249998</v>
      </c>
      <c r="AL387" s="6">
        <f t="shared" si="89"/>
        <v>14071.814403362998</v>
      </c>
    </row>
    <row r="388" spans="1:38" x14ac:dyDescent="0.3">
      <c r="B388" t="s">
        <v>71</v>
      </c>
      <c r="C388" s="6">
        <f t="shared" ref="C388:AL388" si="90">C365+C372+C379</f>
        <v>8263.1971436354015</v>
      </c>
      <c r="D388" s="6">
        <f t="shared" si="90"/>
        <v>8209.8729132815006</v>
      </c>
      <c r="E388" s="6">
        <f t="shared" si="90"/>
        <v>8214.3846243029984</v>
      </c>
      <c r="F388" s="6">
        <f t="shared" si="90"/>
        <v>8257.1463426830996</v>
      </c>
      <c r="G388" s="6">
        <f t="shared" si="90"/>
        <v>8322.9937550730992</v>
      </c>
      <c r="H388" s="6">
        <f t="shared" si="90"/>
        <v>8402.7783358271008</v>
      </c>
      <c r="I388" s="6">
        <f t="shared" si="90"/>
        <v>8490.8418073384</v>
      </c>
      <c r="J388" s="6">
        <f t="shared" si="90"/>
        <v>8586.357256949399</v>
      </c>
      <c r="K388" s="6">
        <f t="shared" si="90"/>
        <v>8690.2308514734996</v>
      </c>
      <c r="L388" s="6">
        <f t="shared" si="90"/>
        <v>8803.6347255944002</v>
      </c>
      <c r="M388" s="6">
        <f t="shared" si="90"/>
        <v>8928.8812981151004</v>
      </c>
      <c r="N388" s="6">
        <f t="shared" si="90"/>
        <v>9062.8526049199008</v>
      </c>
      <c r="O388" s="6">
        <f t="shared" si="90"/>
        <v>9203.8072546836011</v>
      </c>
      <c r="P388" s="6">
        <f t="shared" si="90"/>
        <v>9350.1202588131</v>
      </c>
      <c r="Q388" s="6">
        <f t="shared" si="90"/>
        <v>9500.1181085704993</v>
      </c>
      <c r="R388" s="6">
        <f t="shared" si="90"/>
        <v>9652.4979904193988</v>
      </c>
      <c r="S388" s="6">
        <f t="shared" si="90"/>
        <v>9806.351814665999</v>
      </c>
      <c r="T388" s="6">
        <f t="shared" si="90"/>
        <v>9961.0652032939997</v>
      </c>
      <c r="U388" s="6">
        <f t="shared" si="90"/>
        <v>10116.186272360601</v>
      </c>
      <c r="V388" s="6">
        <f t="shared" si="90"/>
        <v>10271.3269924592</v>
      </c>
      <c r="W388" s="6">
        <f t="shared" si="90"/>
        <v>10424.5361577525</v>
      </c>
      <c r="X388" s="6">
        <f t="shared" si="90"/>
        <v>10577.4219393684</v>
      </c>
      <c r="Y388" s="6">
        <f t="shared" si="90"/>
        <v>10729.872569848099</v>
      </c>
      <c r="Z388" s="6">
        <f t="shared" si="90"/>
        <v>10881.457539346999</v>
      </c>
      <c r="AA388" s="6">
        <f t="shared" si="90"/>
        <v>11031.974039004001</v>
      </c>
      <c r="AB388" s="6">
        <f t="shared" si="90"/>
        <v>11176.461628673</v>
      </c>
      <c r="AC388" s="6">
        <f t="shared" si="90"/>
        <v>11319.113851234999</v>
      </c>
      <c r="AD388" s="6">
        <f t="shared" si="90"/>
        <v>11460.930120231002</v>
      </c>
      <c r="AE388" s="6">
        <f t="shared" si="90"/>
        <v>11601.824528395999</v>
      </c>
      <c r="AF388" s="6">
        <f t="shared" si="90"/>
        <v>11741.577179456001</v>
      </c>
      <c r="AG388" s="6">
        <f t="shared" si="90"/>
        <v>11879.916338338</v>
      </c>
      <c r="AH388" s="6">
        <f t="shared" si="90"/>
        <v>12016.702596250001</v>
      </c>
      <c r="AI388" s="6">
        <f t="shared" si="90"/>
        <v>12152.006766418999</v>
      </c>
      <c r="AJ388" s="6">
        <f t="shared" si="90"/>
        <v>12286.077038715001</v>
      </c>
      <c r="AK388" s="6">
        <f t="shared" si="90"/>
        <v>12419.237656537</v>
      </c>
      <c r="AL388" s="6">
        <f t="shared" si="90"/>
        <v>12551.776305246</v>
      </c>
    </row>
    <row r="389" spans="1:38" x14ac:dyDescent="0.3">
      <c r="B389" t="s">
        <v>72</v>
      </c>
      <c r="C389" s="6">
        <f t="shared" ref="C389:AL389" si="91">C366+C373+C380</f>
        <v>6787.4105911386005</v>
      </c>
      <c r="D389" s="6">
        <f t="shared" si="91"/>
        <v>6666.999193916</v>
      </c>
      <c r="E389" s="6">
        <f t="shared" si="91"/>
        <v>6592.3040797355998</v>
      </c>
      <c r="F389" s="6">
        <f t="shared" si="91"/>
        <v>6549.2197237277996</v>
      </c>
      <c r="G389" s="6">
        <f t="shared" si="91"/>
        <v>6526.7854631388</v>
      </c>
      <c r="H389" s="6">
        <f t="shared" si="91"/>
        <v>6518.2089743975002</v>
      </c>
      <c r="I389" s="6">
        <f t="shared" si="91"/>
        <v>6519.0984963460005</v>
      </c>
      <c r="J389" s="6">
        <f t="shared" si="91"/>
        <v>6528.3872338735</v>
      </c>
      <c r="K389" s="6">
        <f t="shared" si="91"/>
        <v>6546.2350701754003</v>
      </c>
      <c r="L389" s="6">
        <f t="shared" si="91"/>
        <v>6573.0483086160993</v>
      </c>
      <c r="M389" s="6">
        <f t="shared" si="91"/>
        <v>6610.083910474601</v>
      </c>
      <c r="N389" s="6">
        <f t="shared" si="91"/>
        <v>6654.9800331458</v>
      </c>
      <c r="O389" s="6">
        <f t="shared" si="91"/>
        <v>6706.3250622877003</v>
      </c>
      <c r="P389" s="6">
        <f t="shared" si="91"/>
        <v>6762.8128636612</v>
      </c>
      <c r="Q389" s="6">
        <f t="shared" si="91"/>
        <v>6823.1159940195994</v>
      </c>
      <c r="R389" s="6">
        <f t="shared" si="91"/>
        <v>6886.1663986934991</v>
      </c>
      <c r="S389" s="6">
        <f t="shared" si="91"/>
        <v>6951.1736374138</v>
      </c>
      <c r="T389" s="6">
        <f t="shared" si="91"/>
        <v>7017.5603130701002</v>
      </c>
      <c r="U389" s="6">
        <f t="shared" si="91"/>
        <v>7084.8760871635004</v>
      </c>
      <c r="V389" s="6">
        <f t="shared" si="91"/>
        <v>7152.7308834536007</v>
      </c>
      <c r="W389" s="6">
        <f t="shared" si="91"/>
        <v>7219.7209533165997</v>
      </c>
      <c r="X389" s="6">
        <f t="shared" si="91"/>
        <v>7286.7874046253</v>
      </c>
      <c r="Y389" s="6">
        <f t="shared" si="91"/>
        <v>7353.7663637604001</v>
      </c>
      <c r="Z389" s="6">
        <f t="shared" si="91"/>
        <v>7420.2818060120999</v>
      </c>
      <c r="AA389" s="6">
        <f t="shared" si="91"/>
        <v>7486.1034383203996</v>
      </c>
      <c r="AB389" s="6">
        <f t="shared" si="91"/>
        <v>7547.9314439062991</v>
      </c>
      <c r="AC389" s="6">
        <f t="shared" si="91"/>
        <v>7608.3621132135995</v>
      </c>
      <c r="AD389" s="6">
        <f t="shared" si="91"/>
        <v>7667.9830265665005</v>
      </c>
      <c r="AE389" s="6">
        <f t="shared" si="91"/>
        <v>7726.6931029691996</v>
      </c>
      <c r="AF389" s="6">
        <f t="shared" si="91"/>
        <v>7784.3092653306003</v>
      </c>
      <c r="AG389" s="6">
        <f t="shared" si="91"/>
        <v>7840.6089342649002</v>
      </c>
      <c r="AH389" s="6">
        <f t="shared" si="91"/>
        <v>7895.4430356091998</v>
      </c>
      <c r="AI389" s="6">
        <f t="shared" si="91"/>
        <v>7948.7872074616007</v>
      </c>
      <c r="AJ389" s="6">
        <f t="shared" si="91"/>
        <v>8000.7267778862997</v>
      </c>
      <c r="AK389" s="6">
        <f t="shared" si="91"/>
        <v>8051.3991392075995</v>
      </c>
      <c r="AL389" s="6">
        <f t="shared" si="91"/>
        <v>8100.9272689938998</v>
      </c>
    </row>
    <row r="390" spans="1:38" x14ac:dyDescent="0.3">
      <c r="B390" t="s">
        <v>73</v>
      </c>
      <c r="C390" s="6">
        <f t="shared" ref="C390:AL390" si="92">C367+C374+C381</f>
        <v>4165.6835237371006</v>
      </c>
      <c r="D390" s="6">
        <f t="shared" si="92"/>
        <v>4066.3811176463</v>
      </c>
      <c r="E390" s="6">
        <f t="shared" si="92"/>
        <v>3992.9434470901997</v>
      </c>
      <c r="F390" s="6">
        <f t="shared" si="92"/>
        <v>3937.2649657057</v>
      </c>
      <c r="G390" s="6">
        <f t="shared" si="92"/>
        <v>3893.1083195604001</v>
      </c>
      <c r="H390" s="6">
        <f t="shared" si="92"/>
        <v>3856.4914448242002</v>
      </c>
      <c r="I390" s="6">
        <f t="shared" si="92"/>
        <v>3824.6745730920002</v>
      </c>
      <c r="J390" s="6">
        <f t="shared" si="92"/>
        <v>3796.6721691959997</v>
      </c>
      <c r="K390" s="6">
        <f t="shared" si="92"/>
        <v>3772.2037046737</v>
      </c>
      <c r="L390" s="6">
        <f t="shared" si="92"/>
        <v>3751.2299996587999</v>
      </c>
      <c r="M390" s="6">
        <f t="shared" si="92"/>
        <v>3734.2780347292</v>
      </c>
      <c r="N390" s="6">
        <f t="shared" si="92"/>
        <v>3720.1450428881999</v>
      </c>
      <c r="O390" s="6">
        <f t="shared" si="92"/>
        <v>3708.1038321071997</v>
      </c>
      <c r="P390" s="6">
        <f t="shared" si="92"/>
        <v>3697.5030880483</v>
      </c>
      <c r="Q390" s="6">
        <f t="shared" si="92"/>
        <v>3687.6746097146001</v>
      </c>
      <c r="R390" s="6">
        <f t="shared" si="92"/>
        <v>3678.0719851424001</v>
      </c>
      <c r="S390" s="6">
        <f t="shared" si="92"/>
        <v>3668.2869646560998</v>
      </c>
      <c r="T390" s="6">
        <f t="shared" si="92"/>
        <v>3658.0266968388</v>
      </c>
      <c r="U390" s="6">
        <f t="shared" si="92"/>
        <v>3647.0770857631001</v>
      </c>
      <c r="V390" s="6">
        <f t="shared" si="92"/>
        <v>3635.2697326313</v>
      </c>
      <c r="W390" s="6">
        <f t="shared" si="92"/>
        <v>3622.0003794422</v>
      </c>
      <c r="X390" s="6">
        <f t="shared" si="92"/>
        <v>3607.6941324914997</v>
      </c>
      <c r="Y390" s="6">
        <f t="shared" si="92"/>
        <v>3592.3239121521001</v>
      </c>
      <c r="Z390" s="6">
        <f t="shared" si="92"/>
        <v>3575.7514379604004</v>
      </c>
      <c r="AA390" s="6">
        <f t="shared" si="92"/>
        <v>3557.8861513500001</v>
      </c>
      <c r="AB390" s="6">
        <f t="shared" si="92"/>
        <v>3537.383138576</v>
      </c>
      <c r="AC390" s="6">
        <f t="shared" si="92"/>
        <v>3515.2725089568003</v>
      </c>
      <c r="AD390" s="6">
        <f t="shared" si="92"/>
        <v>3491.8522508131005</v>
      </c>
      <c r="AE390" s="6">
        <f t="shared" si="92"/>
        <v>3467.1501783363001</v>
      </c>
      <c r="AF390" s="6">
        <f t="shared" si="92"/>
        <v>3441.1597483537003</v>
      </c>
      <c r="AG390" s="6">
        <f t="shared" si="92"/>
        <v>3413.8422775608001</v>
      </c>
      <c r="AH390" s="6">
        <f t="shared" si="92"/>
        <v>3385.166386632</v>
      </c>
      <c r="AI390" s="6">
        <f t="shared" si="92"/>
        <v>3355.1328609334996</v>
      </c>
      <c r="AJ390" s="6">
        <f t="shared" si="92"/>
        <v>3323.7792588870998</v>
      </c>
      <c r="AK390" s="6">
        <f t="shared" si="92"/>
        <v>3291.1683707054999</v>
      </c>
      <c r="AL390" s="6">
        <f t="shared" si="92"/>
        <v>3257.3696194634999</v>
      </c>
    </row>
    <row r="391" spans="1:38" x14ac:dyDescent="0.3">
      <c r="B391" t="s">
        <v>74</v>
      </c>
      <c r="C391" s="6">
        <f t="shared" ref="C391:AL391" si="93">C368+C375+C382</f>
        <v>2507.3524895615005</v>
      </c>
      <c r="D391" s="6">
        <f t="shared" si="93"/>
        <v>2449.9161799352</v>
      </c>
      <c r="E391" s="6">
        <f t="shared" si="93"/>
        <v>2407.015178781</v>
      </c>
      <c r="F391" s="6">
        <f t="shared" si="93"/>
        <v>2373.6542578975</v>
      </c>
      <c r="G391" s="6">
        <f t="shared" si="93"/>
        <v>2346.0475240952001</v>
      </c>
      <c r="H391" s="6">
        <f t="shared" si="93"/>
        <v>2321.7610160873</v>
      </c>
      <c r="I391" s="6">
        <f t="shared" si="93"/>
        <v>2299.0759843198998</v>
      </c>
      <c r="J391" s="6">
        <f t="shared" si="93"/>
        <v>2277.3071926920002</v>
      </c>
      <c r="K391" s="6">
        <f t="shared" si="93"/>
        <v>2256.2174448215001</v>
      </c>
      <c r="L391" s="6">
        <f t="shared" si="93"/>
        <v>2235.7701447598001</v>
      </c>
      <c r="M391" s="6">
        <f t="shared" si="93"/>
        <v>2216.3182380528997</v>
      </c>
      <c r="N391" s="6">
        <f t="shared" si="93"/>
        <v>2197.2805586789</v>
      </c>
      <c r="O391" s="6">
        <f t="shared" si="93"/>
        <v>2178.337351618</v>
      </c>
      <c r="P391" s="6">
        <f t="shared" si="93"/>
        <v>2159.2168588552995</v>
      </c>
      <c r="Q391" s="6">
        <f t="shared" si="93"/>
        <v>2139.6297834389998</v>
      </c>
      <c r="R391" s="6">
        <f t="shared" si="93"/>
        <v>2119.3470515202998</v>
      </c>
      <c r="S391" s="6">
        <f t="shared" si="93"/>
        <v>2098.2128487893001</v>
      </c>
      <c r="T391" s="6">
        <f t="shared" si="93"/>
        <v>2076.1362295214999</v>
      </c>
      <c r="U391" s="6">
        <f t="shared" si="93"/>
        <v>2053.0731409231998</v>
      </c>
      <c r="V391" s="6">
        <f t="shared" si="93"/>
        <v>2029.0077787929999</v>
      </c>
      <c r="W391" s="6">
        <f t="shared" si="93"/>
        <v>2003.7080242503</v>
      </c>
      <c r="X391" s="6">
        <f t="shared" si="93"/>
        <v>1977.4510126625</v>
      </c>
      <c r="Y391" s="6">
        <f t="shared" si="93"/>
        <v>1950.2988464912</v>
      </c>
      <c r="Z391" s="6">
        <f t="shared" si="93"/>
        <v>1922.2475228418</v>
      </c>
      <c r="AA391" s="6">
        <f t="shared" si="93"/>
        <v>1893.3075563436</v>
      </c>
      <c r="AB391" s="6">
        <f t="shared" si="93"/>
        <v>1862.9029683319998</v>
      </c>
      <c r="AC391" s="6">
        <f t="shared" si="93"/>
        <v>1831.5500044625001</v>
      </c>
      <c r="AD391" s="6">
        <f t="shared" si="93"/>
        <v>1799.4552597651</v>
      </c>
      <c r="AE391" s="6">
        <f t="shared" si="93"/>
        <v>1766.7004244264999</v>
      </c>
      <c r="AF391" s="6">
        <f t="shared" si="93"/>
        <v>1733.3473857836</v>
      </c>
      <c r="AG391" s="6">
        <f t="shared" si="93"/>
        <v>1699.4344512246</v>
      </c>
      <c r="AH391" s="6">
        <f t="shared" si="93"/>
        <v>1664.9932420505002</v>
      </c>
      <c r="AI391" s="6">
        <f t="shared" si="93"/>
        <v>1630.0623549899001</v>
      </c>
      <c r="AJ391" s="6">
        <f t="shared" si="93"/>
        <v>1594.6934015515999</v>
      </c>
      <c r="AK391" s="6">
        <f t="shared" si="93"/>
        <v>1558.9494342766002</v>
      </c>
      <c r="AL391" s="6">
        <f t="shared" si="93"/>
        <v>1522.8986794272</v>
      </c>
    </row>
    <row r="392" spans="1:38" x14ac:dyDescent="0.3">
      <c r="B392" t="s">
        <v>75</v>
      </c>
      <c r="C392" s="6">
        <f t="shared" ref="C392:AL392" si="94">C369+C376+C383</f>
        <v>1245.466605953</v>
      </c>
      <c r="D392" s="6">
        <f t="shared" si="94"/>
        <v>1214.0468876889001</v>
      </c>
      <c r="E392" s="6">
        <f t="shared" si="94"/>
        <v>1188.1449829836001</v>
      </c>
      <c r="F392" s="6">
        <f t="shared" si="94"/>
        <v>1165.3222439982999</v>
      </c>
      <c r="G392" s="6">
        <f t="shared" si="94"/>
        <v>1143.8355894673</v>
      </c>
      <c r="H392" s="6">
        <f t="shared" si="94"/>
        <v>1122.5577675594002</v>
      </c>
      <c r="I392" s="6">
        <f t="shared" si="94"/>
        <v>1100.6577356724999</v>
      </c>
      <c r="J392" s="6">
        <f t="shared" si="94"/>
        <v>1077.7634828108</v>
      </c>
      <c r="K392" s="6">
        <f t="shared" si="94"/>
        <v>1053.7622463480002</v>
      </c>
      <c r="L392" s="6">
        <f t="shared" si="94"/>
        <v>1028.7193631005</v>
      </c>
      <c r="M392" s="6">
        <f t="shared" si="94"/>
        <v>1002.933486779</v>
      </c>
      <c r="N392" s="6">
        <f t="shared" si="94"/>
        <v>976.41398498709998</v>
      </c>
      <c r="O392" s="6">
        <f t="shared" si="94"/>
        <v>949.24523428980001</v>
      </c>
      <c r="P392" s="6">
        <f t="shared" si="94"/>
        <v>921.5228933899001</v>
      </c>
      <c r="Q392" s="6">
        <f t="shared" si="94"/>
        <v>893.31758846059995</v>
      </c>
      <c r="R392" s="6">
        <f t="shared" si="94"/>
        <v>864.70341489180009</v>
      </c>
      <c r="S392" s="6">
        <f t="shared" si="94"/>
        <v>835.76690679960006</v>
      </c>
      <c r="T392" s="6">
        <f t="shared" si="94"/>
        <v>806.60791003330007</v>
      </c>
      <c r="U392" s="6">
        <f t="shared" si="94"/>
        <v>777.3349238349</v>
      </c>
      <c r="V392" s="6">
        <f t="shared" si="94"/>
        <v>748.05803996810005</v>
      </c>
      <c r="W392" s="6">
        <f t="shared" si="94"/>
        <v>718.82912080630001</v>
      </c>
      <c r="X392" s="6">
        <f t="shared" si="94"/>
        <v>689.80437462249995</v>
      </c>
      <c r="Y392" s="6">
        <f t="shared" si="94"/>
        <v>661.08804341249993</v>
      </c>
      <c r="Z392" s="6">
        <f t="shared" si="94"/>
        <v>632.75344218270004</v>
      </c>
      <c r="AA392" s="6">
        <f t="shared" si="94"/>
        <v>604.86383156329987</v>
      </c>
      <c r="AB392" s="6">
        <f t="shared" si="94"/>
        <v>577.36963720509993</v>
      </c>
      <c r="AC392" s="6">
        <f t="shared" si="94"/>
        <v>550.40398515239997</v>
      </c>
      <c r="AD392" s="6">
        <f t="shared" si="94"/>
        <v>524.05334014619996</v>
      </c>
      <c r="AE392" s="6">
        <f t="shared" si="94"/>
        <v>498.37464399909999</v>
      </c>
      <c r="AF392" s="6">
        <f t="shared" si="94"/>
        <v>473.41228121969999</v>
      </c>
      <c r="AG392" s="6">
        <f t="shared" si="94"/>
        <v>449.19659384319999</v>
      </c>
      <c r="AH392" s="6">
        <f t="shared" si="94"/>
        <v>425.74764804489996</v>
      </c>
      <c r="AI392" s="6">
        <f t="shared" si="94"/>
        <v>403.07947959810002</v>
      </c>
      <c r="AJ392" s="6">
        <f t="shared" si="94"/>
        <v>381.20309955249996</v>
      </c>
      <c r="AK392" s="6">
        <f t="shared" si="94"/>
        <v>360.12767074100003</v>
      </c>
      <c r="AL392" s="6">
        <f t="shared" si="94"/>
        <v>339.86021597500002</v>
      </c>
    </row>
    <row r="393" spans="1:38" x14ac:dyDescent="0.3">
      <c r="B393" t="s">
        <v>76</v>
      </c>
      <c r="C393" s="6">
        <f t="shared" ref="C393:AL393" si="95">C370+C377+C384</f>
        <v>2242.8616504070001</v>
      </c>
      <c r="D393" s="6">
        <f t="shared" si="95"/>
        <v>2189.5339513182998</v>
      </c>
      <c r="E393" s="6">
        <f t="shared" si="95"/>
        <v>2143.3373329002002</v>
      </c>
      <c r="F393" s="6">
        <f t="shared" si="95"/>
        <v>2099.8461127629998</v>
      </c>
      <c r="G393" s="6">
        <f t="shared" si="95"/>
        <v>2056.1192393878</v>
      </c>
      <c r="H393" s="6">
        <f t="shared" si="95"/>
        <v>2010.3315795669</v>
      </c>
      <c r="I393" s="6">
        <f t="shared" si="95"/>
        <v>1961.1715227299999</v>
      </c>
      <c r="J393" s="6">
        <f t="shared" si="95"/>
        <v>1908.1603362475</v>
      </c>
      <c r="K393" s="6">
        <f t="shared" si="95"/>
        <v>1851.3705967607</v>
      </c>
      <c r="L393" s="6">
        <f t="shared" si="95"/>
        <v>1791.2889919281001</v>
      </c>
      <c r="M393" s="6">
        <f t="shared" si="95"/>
        <v>1728.8392318892002</v>
      </c>
      <c r="N393" s="6">
        <f t="shared" si="95"/>
        <v>1664.5394921443001</v>
      </c>
      <c r="O393" s="6">
        <f t="shared" si="95"/>
        <v>1598.9511078338999</v>
      </c>
      <c r="P393" s="6">
        <f t="shared" si="95"/>
        <v>1532.5996792453</v>
      </c>
      <c r="Q393" s="6">
        <f t="shared" si="95"/>
        <v>1465.9155700546</v>
      </c>
      <c r="R393" s="6">
        <f t="shared" si="95"/>
        <v>1399.2804791039</v>
      </c>
      <c r="S393" s="6">
        <f t="shared" si="95"/>
        <v>1333.0477002391001</v>
      </c>
      <c r="T393" s="6">
        <f t="shared" si="95"/>
        <v>1267.5489354041999</v>
      </c>
      <c r="U393" s="6">
        <f t="shared" si="95"/>
        <v>1203.0911225544</v>
      </c>
      <c r="V393" s="6">
        <f t="shared" si="95"/>
        <v>1139.9488458580001</v>
      </c>
      <c r="W393" s="6">
        <f t="shared" si="95"/>
        <v>1078.3058911192002</v>
      </c>
      <c r="X393" s="6">
        <f t="shared" si="95"/>
        <v>1018.4130387401</v>
      </c>
      <c r="Y393" s="6">
        <f t="shared" si="95"/>
        <v>960.44529187039996</v>
      </c>
      <c r="Z393" s="6">
        <f t="shared" si="95"/>
        <v>904.51818252800012</v>
      </c>
      <c r="AA393" s="6">
        <f t="shared" si="95"/>
        <v>850.7131908929</v>
      </c>
      <c r="AB393" s="6">
        <f t="shared" si="95"/>
        <v>799.0048057186001</v>
      </c>
      <c r="AC393" s="6">
        <f t="shared" si="95"/>
        <v>749.48998558180006</v>
      </c>
      <c r="AD393" s="6">
        <f t="shared" si="95"/>
        <v>702.22102174480005</v>
      </c>
      <c r="AE393" s="6">
        <f t="shared" si="95"/>
        <v>657.21306322230009</v>
      </c>
      <c r="AF393" s="6">
        <f t="shared" si="95"/>
        <v>614.45856550079998</v>
      </c>
      <c r="AG393" s="6">
        <f t="shared" si="95"/>
        <v>573.92848696269994</v>
      </c>
      <c r="AH393" s="6">
        <f t="shared" si="95"/>
        <v>535.57775507000008</v>
      </c>
      <c r="AI393" s="6">
        <f t="shared" si="95"/>
        <v>499.3508214053</v>
      </c>
      <c r="AJ393" s="6">
        <f t="shared" si="95"/>
        <v>465.1857047451</v>
      </c>
      <c r="AK393" s="6">
        <f t="shared" si="95"/>
        <v>433.0161613089</v>
      </c>
      <c r="AL393" s="6">
        <f t="shared" si="95"/>
        <v>402.77248611330003</v>
      </c>
    </row>
    <row r="395" spans="1:38" x14ac:dyDescent="0.3">
      <c r="A395" s="12" t="s">
        <v>65</v>
      </c>
      <c r="C395" s="2">
        <v>42005</v>
      </c>
      <c r="D395" s="2">
        <v>42370</v>
      </c>
      <c r="E395" s="2">
        <v>42736</v>
      </c>
      <c r="F395" s="2">
        <v>43101</v>
      </c>
      <c r="G395" s="2">
        <v>43466</v>
      </c>
      <c r="H395" s="2">
        <v>43831</v>
      </c>
      <c r="I395" s="2">
        <v>44197</v>
      </c>
      <c r="J395" s="2">
        <v>44562</v>
      </c>
      <c r="K395" s="2">
        <v>44927</v>
      </c>
      <c r="L395" s="2">
        <v>45292</v>
      </c>
      <c r="M395" s="2">
        <v>45658</v>
      </c>
      <c r="N395" s="2">
        <v>46023</v>
      </c>
      <c r="O395" s="2">
        <v>46388</v>
      </c>
      <c r="P395" s="2">
        <v>46753</v>
      </c>
      <c r="Q395" s="2">
        <v>47119</v>
      </c>
      <c r="R395" s="2">
        <v>47484</v>
      </c>
      <c r="S395" s="2">
        <v>47849</v>
      </c>
      <c r="T395" s="2">
        <v>48214</v>
      </c>
      <c r="U395" s="2">
        <v>48580</v>
      </c>
      <c r="V395" s="2">
        <v>48945</v>
      </c>
      <c r="W395" s="2">
        <v>49310</v>
      </c>
      <c r="X395" s="2">
        <v>49675</v>
      </c>
      <c r="Y395" s="2">
        <v>50041</v>
      </c>
      <c r="Z395" s="2">
        <v>50406</v>
      </c>
      <c r="AA395" s="2">
        <v>50771</v>
      </c>
      <c r="AB395" s="2">
        <v>51136</v>
      </c>
      <c r="AC395" s="2">
        <v>51502</v>
      </c>
      <c r="AD395" s="2">
        <v>51867</v>
      </c>
      <c r="AE395" s="2">
        <v>52232</v>
      </c>
      <c r="AF395" s="2">
        <v>52597</v>
      </c>
      <c r="AG395" s="2">
        <v>52963</v>
      </c>
      <c r="AH395" s="2">
        <v>53328</v>
      </c>
      <c r="AI395" s="2">
        <v>53693</v>
      </c>
      <c r="AJ395" s="2">
        <v>54058</v>
      </c>
      <c r="AK395" s="2">
        <v>54424</v>
      </c>
      <c r="AL395" s="2">
        <v>54789</v>
      </c>
    </row>
    <row r="396" spans="1:38" x14ac:dyDescent="0.3">
      <c r="A396" t="s">
        <v>27</v>
      </c>
      <c r="B396" t="s">
        <v>39</v>
      </c>
      <c r="C396" s="6">
        <f>[1]Results!F104</f>
        <v>3.476542051</v>
      </c>
      <c r="D396" s="6">
        <f>[1]Results!G104</f>
        <v>7.0992244930000004</v>
      </c>
      <c r="E396" s="6">
        <f>[1]Results!H104</f>
        <v>13.930695070000001</v>
      </c>
      <c r="F396" s="6">
        <f>[1]Results!I104</f>
        <v>21.193309129999999</v>
      </c>
      <c r="G396" s="6">
        <f>[1]Results!J104</f>
        <v>28.457763740000001</v>
      </c>
      <c r="H396" s="6">
        <f>[1]Results!K104</f>
        <v>35.782543189999998</v>
      </c>
      <c r="I396" s="6">
        <f>[1]Results!L104</f>
        <v>42.67736893</v>
      </c>
      <c r="J396" s="6">
        <f>[1]Results!M104</f>
        <v>50.686369800000001</v>
      </c>
      <c r="K396" s="6">
        <f>[1]Results!N104</f>
        <v>59.205479099999998</v>
      </c>
      <c r="L396" s="6">
        <f>[1]Results!O104</f>
        <v>67.895615399999997</v>
      </c>
      <c r="M396" s="6">
        <f>[1]Results!P104</f>
        <v>76.721415750000006</v>
      </c>
      <c r="N396" s="6">
        <f>[1]Results!Q104</f>
        <v>85.53249477</v>
      </c>
      <c r="O396" s="6">
        <f>[1]Results!R104</f>
        <v>94.305586079999998</v>
      </c>
      <c r="P396" s="6">
        <f>[1]Results!S104</f>
        <v>102.9347903</v>
      </c>
      <c r="Q396" s="6">
        <f>[1]Results!T104</f>
        <v>111.5924796</v>
      </c>
      <c r="R396" s="6">
        <f>[1]Results!U104</f>
        <v>120.2347578</v>
      </c>
      <c r="S396" s="6">
        <f>[1]Results!V104</f>
        <v>128.84407949999999</v>
      </c>
      <c r="T396" s="6">
        <f>[1]Results!W104</f>
        <v>137.41476990000001</v>
      </c>
      <c r="U396" s="6">
        <f>[1]Results!X104</f>
        <v>145.94600370000001</v>
      </c>
      <c r="V396" s="6">
        <f>[1]Results!Y104</f>
        <v>154.43810350000001</v>
      </c>
      <c r="W396" s="6">
        <f>[1]Results!Z104</f>
        <v>162.8650931</v>
      </c>
      <c r="X396" s="6">
        <f>[1]Results!AA104</f>
        <v>171.27748990000001</v>
      </c>
      <c r="Y396" s="6">
        <f>[1]Results!AB104</f>
        <v>179.64751759999999</v>
      </c>
      <c r="Z396" s="6">
        <f>[1]Results!AC104</f>
        <v>187.9734675</v>
      </c>
      <c r="AA396" s="6">
        <f>[1]Results!AD104</f>
        <v>196.25435949999999</v>
      </c>
      <c r="AB396" s="6">
        <f>[1]Results!AE104</f>
        <v>204.41973540000001</v>
      </c>
      <c r="AC396" s="6">
        <f>[1]Results!AF104</f>
        <v>212.57829749999999</v>
      </c>
      <c r="AD396" s="6">
        <f>[1]Results!AG104</f>
        <v>220.69267769999999</v>
      </c>
      <c r="AE396" s="6">
        <f>[1]Results!AH104</f>
        <v>228.76288310000001</v>
      </c>
      <c r="AF396" s="6">
        <f>[1]Results!AI104</f>
        <v>236.78884619999999</v>
      </c>
      <c r="AG396" s="6">
        <f>[1]Results!AJ104</f>
        <v>244.7703587</v>
      </c>
      <c r="AH396" s="6">
        <f>[1]Results!AK104</f>
        <v>252.70727790000001</v>
      </c>
      <c r="AI396" s="6">
        <f>[1]Results!AL104</f>
        <v>260.59972979999998</v>
      </c>
      <c r="AJ396" s="6">
        <f>[1]Results!AM104</f>
        <v>268.4481452</v>
      </c>
      <c r="AK396" s="6">
        <f>[1]Results!AN104</f>
        <v>276.2531449</v>
      </c>
      <c r="AL396" s="6">
        <f>[1]Results!AO104</f>
        <v>284.01540080000001</v>
      </c>
    </row>
    <row r="397" spans="1:38" x14ac:dyDescent="0.3">
      <c r="B397" t="s">
        <v>40</v>
      </c>
      <c r="C397" s="6">
        <f>[1]Results!F105</f>
        <v>68.80476281</v>
      </c>
      <c r="D397" s="6">
        <f>[1]Results!G105</f>
        <v>76.701300149999994</v>
      </c>
      <c r="E397" s="6">
        <f>[1]Results!H105</f>
        <v>82.885768369999994</v>
      </c>
      <c r="F397" s="6">
        <f>[1]Results!I105</f>
        <v>88.188079909999999</v>
      </c>
      <c r="G397" s="6">
        <f>[1]Results!J105</f>
        <v>93.055322869999998</v>
      </c>
      <c r="H397" s="6">
        <f>[1]Results!K105</f>
        <v>97.61531076</v>
      </c>
      <c r="I397" s="6">
        <f>[1]Results!L105</f>
        <v>101.6575686</v>
      </c>
      <c r="J397" s="6">
        <f>[1]Results!M105</f>
        <v>104.9639243</v>
      </c>
      <c r="K397" s="6">
        <f>[1]Results!N105</f>
        <v>107.94093669999999</v>
      </c>
      <c r="L397" s="6">
        <f>[1]Results!O105</f>
        <v>110.7958306</v>
      </c>
      <c r="M397" s="6">
        <f>[1]Results!P105</f>
        <v>114.6159117</v>
      </c>
      <c r="N397" s="6">
        <f>[1]Results!Q105</f>
        <v>117.3645623</v>
      </c>
      <c r="O397" s="6">
        <f>[1]Results!R105</f>
        <v>120.10141539999999</v>
      </c>
      <c r="P397" s="6">
        <f>[1]Results!S105</f>
        <v>122.87691479999999</v>
      </c>
      <c r="Q397" s="6">
        <f>[1]Results!T105</f>
        <v>125.60242220000001</v>
      </c>
      <c r="R397" s="6">
        <f>[1]Results!U105</f>
        <v>128.3039934</v>
      </c>
      <c r="S397" s="6">
        <f>[1]Results!V105</f>
        <v>130.99595020000001</v>
      </c>
      <c r="T397" s="6">
        <f>[1]Results!W105</f>
        <v>133.68622389999999</v>
      </c>
      <c r="U397" s="6">
        <f>[1]Results!X105</f>
        <v>136.3791081</v>
      </c>
      <c r="V397" s="6">
        <f>[1]Results!Y105</f>
        <v>139.07665900000001</v>
      </c>
      <c r="W397" s="6">
        <f>[1]Results!Z105</f>
        <v>141.09263759999999</v>
      </c>
      <c r="X397" s="6">
        <f>[1]Results!AA105</f>
        <v>143.7988004</v>
      </c>
      <c r="Y397" s="6">
        <f>[1]Results!AB105</f>
        <v>146.50986219999999</v>
      </c>
      <c r="Z397" s="6">
        <f>[1]Results!AC105</f>
        <v>149.22538309999999</v>
      </c>
      <c r="AA397" s="6">
        <f>[1]Results!AD105</f>
        <v>151.94518429999999</v>
      </c>
      <c r="AB397" s="6">
        <f>[1]Results!AE105</f>
        <v>152.7942185</v>
      </c>
      <c r="AC397" s="6">
        <f>[1]Results!AF105</f>
        <v>154.63674560000001</v>
      </c>
      <c r="AD397" s="6">
        <f>[1]Results!AG105</f>
        <v>156.47943939999999</v>
      </c>
      <c r="AE397" s="6">
        <f>[1]Results!AH105</f>
        <v>158.32220280000001</v>
      </c>
      <c r="AF397" s="6">
        <f>[1]Results!AI105</f>
        <v>160.164895</v>
      </c>
      <c r="AG397" s="6">
        <f>[1]Results!AJ105</f>
        <v>162.0073845</v>
      </c>
      <c r="AH397" s="6">
        <f>[1]Results!AK105</f>
        <v>163.84963200000001</v>
      </c>
      <c r="AI397" s="6">
        <f>[1]Results!AL105</f>
        <v>165.69172219999999</v>
      </c>
      <c r="AJ397" s="6">
        <f>[1]Results!AM105</f>
        <v>167.53383310000001</v>
      </c>
      <c r="AK397" s="6">
        <f>[1]Results!AN105</f>
        <v>169.37616729999999</v>
      </c>
      <c r="AL397" s="6">
        <f>[1]Results!AO105</f>
        <v>171.2189022</v>
      </c>
    </row>
    <row r="398" spans="1:38" x14ac:dyDescent="0.3">
      <c r="B398" t="s">
        <v>41</v>
      </c>
      <c r="C398" s="6">
        <f>[1]Results!F106</f>
        <v>408.28039699999999</v>
      </c>
      <c r="D398" s="6">
        <f>[1]Results!G106</f>
        <v>423.5108955</v>
      </c>
      <c r="E398" s="6">
        <f>[1]Results!H106</f>
        <v>436.57268920000001</v>
      </c>
      <c r="F398" s="6">
        <f>[1]Results!I106</f>
        <v>448.16201369999999</v>
      </c>
      <c r="G398" s="6">
        <f>[1]Results!J106</f>
        <v>459.08412120000003</v>
      </c>
      <c r="H398" s="6">
        <f>[1]Results!K106</f>
        <v>469.60596520000001</v>
      </c>
      <c r="I398" s="6">
        <f>[1]Results!L106</f>
        <v>478.43445550000001</v>
      </c>
      <c r="J398" s="6">
        <f>[1]Results!M106</f>
        <v>486.52787130000002</v>
      </c>
      <c r="K398" s="6">
        <f>[1]Results!N106</f>
        <v>494.3131664</v>
      </c>
      <c r="L398" s="6">
        <f>[1]Results!O106</f>
        <v>501.99550950000003</v>
      </c>
      <c r="M398" s="6">
        <f>[1]Results!P106</f>
        <v>512.53337060000001</v>
      </c>
      <c r="N398" s="6">
        <f>[1]Results!Q106</f>
        <v>520.13606460000005</v>
      </c>
      <c r="O398" s="6">
        <f>[1]Results!R106</f>
        <v>527.72598070000004</v>
      </c>
      <c r="P398" s="6">
        <f>[1]Results!S106</f>
        <v>535.34912999999995</v>
      </c>
      <c r="Q398" s="6">
        <f>[1]Results!T106</f>
        <v>542.92127140000002</v>
      </c>
      <c r="R398" s="6">
        <f>[1]Results!U106</f>
        <v>550.47052010000004</v>
      </c>
      <c r="S398" s="6">
        <f>[1]Results!V106</f>
        <v>558.01457870000002</v>
      </c>
      <c r="T398" s="6">
        <f>[1]Results!W106</f>
        <v>565.56444329999999</v>
      </c>
      <c r="U398" s="6">
        <f>[1]Results!X106</f>
        <v>573.1264817</v>
      </c>
      <c r="V398" s="6">
        <f>[1]Results!Y106</f>
        <v>580.7035674</v>
      </c>
      <c r="W398" s="6">
        <f>[1]Results!Z106</f>
        <v>586.36742179999999</v>
      </c>
      <c r="X398" s="6">
        <f>[1]Results!AA106</f>
        <v>593.96860000000004</v>
      </c>
      <c r="Y398" s="6">
        <f>[1]Results!AB106</f>
        <v>601.58297319999997</v>
      </c>
      <c r="Z398" s="6">
        <f>[1]Results!AC106</f>
        <v>609.20929820000003</v>
      </c>
      <c r="AA398" s="6">
        <f>[1]Results!AD106</f>
        <v>616.84708950000004</v>
      </c>
      <c r="AB398" s="6">
        <f>[1]Results!AE106</f>
        <v>619.23162739999998</v>
      </c>
      <c r="AC398" s="6">
        <f>[1]Results!AF106</f>
        <v>624.4043494</v>
      </c>
      <c r="AD398" s="6">
        <f>[1]Results!AG106</f>
        <v>629.57659200000001</v>
      </c>
      <c r="AE398" s="6">
        <f>[1]Results!AH106</f>
        <v>634.74807629999998</v>
      </c>
      <c r="AF398" s="6">
        <f>[1]Results!AI106</f>
        <v>639.91841060000002</v>
      </c>
      <c r="AG398" s="6">
        <f>[1]Results!AJ106</f>
        <v>645.08724540000003</v>
      </c>
      <c r="AH398" s="6">
        <f>[1]Results!AK106</f>
        <v>650.25449330000004</v>
      </c>
      <c r="AI398" s="6">
        <f>[1]Results!AL106</f>
        <v>655.42040850000001</v>
      </c>
      <c r="AJ398" s="6">
        <f>[1]Results!AM106</f>
        <v>660.5854971</v>
      </c>
      <c r="AK398" s="6">
        <f>[1]Results!AN106</f>
        <v>665.75032610000005</v>
      </c>
      <c r="AL398" s="6">
        <f>[1]Results!AO106</f>
        <v>670.91538509999998</v>
      </c>
    </row>
    <row r="399" spans="1:38" x14ac:dyDescent="0.3">
      <c r="B399" t="s">
        <v>42</v>
      </c>
      <c r="C399" s="6">
        <f>[1]Results!F107</f>
        <v>954.38155940000001</v>
      </c>
      <c r="D399" s="6">
        <f>[1]Results!G107</f>
        <v>946.68620120000003</v>
      </c>
      <c r="E399" s="6">
        <f>[1]Results!H107</f>
        <v>940.18309839999995</v>
      </c>
      <c r="F399" s="6">
        <f>[1]Results!I107</f>
        <v>934.55450470000005</v>
      </c>
      <c r="G399" s="6">
        <f>[1]Results!J107</f>
        <v>929.46705050000003</v>
      </c>
      <c r="H399" s="6">
        <f>[1]Results!K107</f>
        <v>924.72215440000002</v>
      </c>
      <c r="I399" s="6">
        <f>[1]Results!L107</f>
        <v>920.09282580000001</v>
      </c>
      <c r="J399" s="6">
        <f>[1]Results!M107</f>
        <v>915.69425709999996</v>
      </c>
      <c r="K399" s="6">
        <f>[1]Results!N107</f>
        <v>911.45738180000001</v>
      </c>
      <c r="L399" s="6">
        <f>[1]Results!O107</f>
        <v>907.32430220000003</v>
      </c>
      <c r="M399" s="6">
        <f>[1]Results!P107</f>
        <v>903.25427779999995</v>
      </c>
      <c r="N399" s="6">
        <f>[1]Results!Q107</f>
        <v>899.21790729999998</v>
      </c>
      <c r="O399" s="6">
        <f>[1]Results!R107</f>
        <v>895.19419379999999</v>
      </c>
      <c r="P399" s="6">
        <f>[1]Results!S107</f>
        <v>891.17280689999996</v>
      </c>
      <c r="Q399" s="6">
        <f>[1]Results!T107</f>
        <v>887.1544116</v>
      </c>
      <c r="R399" s="6">
        <f>[1]Results!U107</f>
        <v>883.14329250000003</v>
      </c>
      <c r="S399" s="6">
        <f>[1]Results!V107</f>
        <v>879.1453027</v>
      </c>
      <c r="T399" s="6">
        <f>[1]Results!W107</f>
        <v>875.16544480000005</v>
      </c>
      <c r="U399" s="6">
        <f>[1]Results!X107</f>
        <v>871.20684730000005</v>
      </c>
      <c r="V399" s="6">
        <f>[1]Results!Y107</f>
        <v>867.27039979999995</v>
      </c>
      <c r="W399" s="6">
        <f>[1]Results!Z107</f>
        <v>863.35554920000004</v>
      </c>
      <c r="X399" s="6">
        <f>[1]Results!AA107</f>
        <v>859.45983290000004</v>
      </c>
      <c r="Y399" s="6">
        <f>[1]Results!AB107</f>
        <v>855.58162159999995</v>
      </c>
      <c r="Z399" s="6">
        <f>[1]Results!AC107</f>
        <v>851.71936630000005</v>
      </c>
      <c r="AA399" s="6">
        <f>[1]Results!AD107</f>
        <v>847.87238639999998</v>
      </c>
      <c r="AB399" s="6">
        <f>[1]Results!AE107</f>
        <v>844.04164720000006</v>
      </c>
      <c r="AC399" s="6">
        <f>[1]Results!AF107</f>
        <v>840.22627580000005</v>
      </c>
      <c r="AD399" s="6">
        <f>[1]Results!AG107</f>
        <v>836.42682490000004</v>
      </c>
      <c r="AE399" s="6">
        <f>[1]Results!AH107</f>
        <v>832.64278039999999</v>
      </c>
      <c r="AF399" s="6">
        <f>[1]Results!AI107</f>
        <v>828.8735054</v>
      </c>
      <c r="AG399" s="6">
        <f>[1]Results!AJ107</f>
        <v>825.11845200000005</v>
      </c>
      <c r="AH399" s="6">
        <f>[1]Results!AK107</f>
        <v>821.37740140000005</v>
      </c>
      <c r="AI399" s="6">
        <f>[1]Results!AL107</f>
        <v>817.65052519999995</v>
      </c>
      <c r="AJ399" s="6">
        <f>[1]Results!AM107</f>
        <v>813.93826490000004</v>
      </c>
      <c r="AK399" s="6">
        <f>[1]Results!AN107</f>
        <v>810.24110329999996</v>
      </c>
      <c r="AL399" s="6">
        <f>[1]Results!AO107</f>
        <v>806.5594155</v>
      </c>
    </row>
    <row r="400" spans="1:38" x14ac:dyDescent="0.3">
      <c r="B400" t="s">
        <v>43</v>
      </c>
      <c r="C400" s="6">
        <f>[1]Results!F108</f>
        <v>878.79999729999997</v>
      </c>
      <c r="D400" s="6">
        <f>[1]Results!G108</f>
        <v>870.04263679999997</v>
      </c>
      <c r="E400" s="6">
        <f>[1]Results!H108</f>
        <v>863.22911360000001</v>
      </c>
      <c r="F400" s="6">
        <f>[1]Results!I108</f>
        <v>857.45735960000002</v>
      </c>
      <c r="G400" s="6">
        <f>[1]Results!J108</f>
        <v>852.22932200000002</v>
      </c>
      <c r="H400" s="6">
        <f>[1]Results!K108</f>
        <v>847.28726080000001</v>
      </c>
      <c r="I400" s="6">
        <f>[1]Results!L108</f>
        <v>842.5018139</v>
      </c>
      <c r="J400" s="6">
        <f>[1]Results!M108</f>
        <v>837.82647399999996</v>
      </c>
      <c r="K400" s="6">
        <f>[1]Results!N108</f>
        <v>833.22223269999995</v>
      </c>
      <c r="L400" s="6">
        <f>[1]Results!O108</f>
        <v>828.66608740000004</v>
      </c>
      <c r="M400" s="6">
        <f>[1]Results!P108</f>
        <v>824.14124460000005</v>
      </c>
      <c r="N400" s="6">
        <f>[1]Results!Q108</f>
        <v>819.63584800000001</v>
      </c>
      <c r="O400" s="6">
        <f>[1]Results!R108</f>
        <v>815.1463205</v>
      </c>
      <c r="P400" s="6">
        <f>[1]Results!S108</f>
        <v>810.67344379999997</v>
      </c>
      <c r="Q400" s="6">
        <f>[1]Results!T108</f>
        <v>806.22008700000004</v>
      </c>
      <c r="R400" s="6">
        <f>[1]Results!U108</f>
        <v>801.78959359999999</v>
      </c>
      <c r="S400" s="6">
        <f>[1]Results!V108</f>
        <v>797.38477590000002</v>
      </c>
      <c r="T400" s="6">
        <f>[1]Results!W108</f>
        <v>793.00716920000002</v>
      </c>
      <c r="U400" s="6">
        <f>[1]Results!X108</f>
        <v>788.65683009999998</v>
      </c>
      <c r="V400" s="6">
        <f>[1]Results!Y108</f>
        <v>784.33262030000003</v>
      </c>
      <c r="W400" s="6">
        <f>[1]Results!Z108</f>
        <v>780.03274239999996</v>
      </c>
      <c r="X400" s="6">
        <f>[1]Results!AA108</f>
        <v>775.75597049999999</v>
      </c>
      <c r="Y400" s="6">
        <f>[1]Results!AB108</f>
        <v>771.50151470000003</v>
      </c>
      <c r="Z400" s="6">
        <f>[1]Results!AC108</f>
        <v>767.26908539999999</v>
      </c>
      <c r="AA400" s="6">
        <f>[1]Results!AD108</f>
        <v>763.05878410000003</v>
      </c>
      <c r="AB400" s="6">
        <f>[1]Results!AE108</f>
        <v>758.8703706</v>
      </c>
      <c r="AC400" s="6">
        <f>[1]Results!AF108</f>
        <v>754.70430150000004</v>
      </c>
      <c r="AD400" s="6">
        <f>[1]Results!AG108</f>
        <v>750.56058710000002</v>
      </c>
      <c r="AE400" s="6">
        <f>[1]Results!AH108</f>
        <v>746.43878659999996</v>
      </c>
      <c r="AF400" s="6">
        <f>[1]Results!AI108</f>
        <v>742.33837489999996</v>
      </c>
      <c r="AG400" s="6">
        <f>[1]Results!AJ108</f>
        <v>738.25902870000004</v>
      </c>
      <c r="AH400" s="6">
        <f>[1]Results!AK108</f>
        <v>734.20072040000002</v>
      </c>
      <c r="AI400" s="6">
        <f>[1]Results!AL108</f>
        <v>730.1636317</v>
      </c>
      <c r="AJ400" s="6">
        <f>[1]Results!AM108</f>
        <v>726.1480037</v>
      </c>
      <c r="AK400" s="6">
        <f>[1]Results!AN108</f>
        <v>722.15398519999997</v>
      </c>
      <c r="AL400" s="6">
        <f>[1]Results!AO108</f>
        <v>718.18157280000003</v>
      </c>
    </row>
    <row r="401" spans="1:38" x14ac:dyDescent="0.3">
      <c r="B401" t="s">
        <v>44</v>
      </c>
      <c r="C401" s="6">
        <f>[1]Results!F109</f>
        <v>139.85209269999999</v>
      </c>
      <c r="D401" s="6">
        <f>[1]Results!G109</f>
        <v>137.9614138</v>
      </c>
      <c r="E401" s="6">
        <f>[1]Results!H109</f>
        <v>136.1236074</v>
      </c>
      <c r="F401" s="6">
        <f>[1]Results!I109</f>
        <v>134.3328626</v>
      </c>
      <c r="G401" s="6">
        <f>[1]Results!J109</f>
        <v>132.59747340000001</v>
      </c>
      <c r="H401" s="6">
        <f>[1]Results!K109</f>
        <v>130.92073790000001</v>
      </c>
      <c r="I401" s="6">
        <f>[1]Results!L109</f>
        <v>129.25513889999999</v>
      </c>
      <c r="J401" s="6">
        <f>[1]Results!M109</f>
        <v>127.6282453</v>
      </c>
      <c r="K401" s="6">
        <f>[1]Results!N109</f>
        <v>125.92724080000001</v>
      </c>
      <c r="L401" s="6">
        <f>[1]Results!O109</f>
        <v>124.158968</v>
      </c>
      <c r="M401" s="6">
        <f>[1]Results!P109</f>
        <v>122.3603734</v>
      </c>
      <c r="N401" s="6">
        <f>[1]Results!Q109</f>
        <v>120.5769906</v>
      </c>
      <c r="O401" s="6">
        <f>[1]Results!R109</f>
        <v>118.8511014</v>
      </c>
      <c r="P401" s="6">
        <f>[1]Results!S109</f>
        <v>117.2010178</v>
      </c>
      <c r="Q401" s="6">
        <f>[1]Results!T109</f>
        <v>115.6242641</v>
      </c>
      <c r="R401" s="6">
        <f>[1]Results!U109</f>
        <v>114.10428659999999</v>
      </c>
      <c r="S401" s="6">
        <f>[1]Results!V109</f>
        <v>112.6195067</v>
      </c>
      <c r="T401" s="6">
        <f>[1]Results!W109</f>
        <v>111.151421</v>
      </c>
      <c r="U401" s="6">
        <f>[1]Results!X109</f>
        <v>109.6878487</v>
      </c>
      <c r="V401" s="6">
        <f>[1]Results!Y109</f>
        <v>108.2241628</v>
      </c>
      <c r="W401" s="6">
        <f>[1]Results!Z109</f>
        <v>106.7606972</v>
      </c>
      <c r="X401" s="6">
        <f>[1]Results!AA109</f>
        <v>105.3042986</v>
      </c>
      <c r="Y401" s="6">
        <f>[1]Results!AB109</f>
        <v>103.86083379999999</v>
      </c>
      <c r="Z401" s="6">
        <f>[1]Results!AC109</f>
        <v>102.43547049999999</v>
      </c>
      <c r="AA401" s="6">
        <f>[1]Results!AD109</f>
        <v>101.030523</v>
      </c>
      <c r="AB401" s="6">
        <f>[1]Results!AE109</f>
        <v>99.642209910000005</v>
      </c>
      <c r="AC401" s="6">
        <f>[1]Results!AF109</f>
        <v>98.271511239999995</v>
      </c>
      <c r="AD401" s="6">
        <f>[1]Results!AG109</f>
        <v>96.917344279999995</v>
      </c>
      <c r="AE401" s="6">
        <f>[1]Results!AH109</f>
        <v>95.581081780000005</v>
      </c>
      <c r="AF401" s="6">
        <f>[1]Results!AI109</f>
        <v>94.264519649999997</v>
      </c>
      <c r="AG401" s="6">
        <f>[1]Results!AJ109</f>
        <v>92.969264339999995</v>
      </c>
      <c r="AH401" s="6">
        <f>[1]Results!AK109</f>
        <v>91.695916710000006</v>
      </c>
      <c r="AI401" s="6">
        <f>[1]Results!AL109</f>
        <v>90.443790509999999</v>
      </c>
      <c r="AJ401" s="6">
        <f>[1]Results!AM109</f>
        <v>89.211249440000003</v>
      </c>
      <c r="AK401" s="6">
        <f>[1]Results!AN109</f>
        <v>87.996432769999998</v>
      </c>
      <c r="AL401" s="6">
        <f>[1]Results!AO109</f>
        <v>86.797772370000004</v>
      </c>
    </row>
    <row r="402" spans="1:38" x14ac:dyDescent="0.3">
      <c r="B402" t="s">
        <v>45</v>
      </c>
      <c r="C402" s="6">
        <f>[1]Results!F110</f>
        <v>3.874567114</v>
      </c>
      <c r="D402" s="6">
        <f>[1]Results!G110</f>
        <v>3.7247016309999998</v>
      </c>
      <c r="E402" s="6">
        <f>[1]Results!H110</f>
        <v>3.5831348620000001</v>
      </c>
      <c r="F402" s="6">
        <f>[1]Results!I110</f>
        <v>3.4488551159999998</v>
      </c>
      <c r="G402" s="6">
        <f>[1]Results!J110</f>
        <v>3.3221597639999998</v>
      </c>
      <c r="H402" s="6">
        <f>[1]Results!K110</f>
        <v>3.2030279180000001</v>
      </c>
      <c r="I402" s="6">
        <f>[1]Results!L110</f>
        <v>3.087618032</v>
      </c>
      <c r="J402" s="6">
        <f>[1]Results!M110</f>
        <v>2.978706893</v>
      </c>
      <c r="K402" s="6">
        <f>[1]Results!N110</f>
        <v>2.8678398490000001</v>
      </c>
      <c r="L402" s="6">
        <f>[1]Results!O110</f>
        <v>2.7558627520000001</v>
      </c>
      <c r="M402" s="6">
        <f>[1]Results!P110</f>
        <v>2.6452879419999999</v>
      </c>
      <c r="N402" s="6">
        <f>[1]Results!Q110</f>
        <v>2.5387897430000002</v>
      </c>
      <c r="O402" s="6">
        <f>[1]Results!R110</f>
        <v>2.4386545979999998</v>
      </c>
      <c r="P402" s="6">
        <f>[1]Results!S110</f>
        <v>2.3456651800000001</v>
      </c>
      <c r="Q402" s="6">
        <f>[1]Results!T110</f>
        <v>2.2593722729999999</v>
      </c>
      <c r="R402" s="6">
        <f>[1]Results!U110</f>
        <v>2.1785297890000002</v>
      </c>
      <c r="S402" s="6">
        <f>[1]Results!V110</f>
        <v>2.1016745769999998</v>
      </c>
      <c r="T402" s="6">
        <f>[1]Results!W110</f>
        <v>2.0276229350000001</v>
      </c>
      <c r="U402" s="6">
        <f>[1]Results!X110</f>
        <v>1.955637624</v>
      </c>
      <c r="V402" s="6">
        <f>[1]Results!Y110</f>
        <v>1.885446371</v>
      </c>
      <c r="W402" s="6">
        <f>[1]Results!Z110</f>
        <v>1.817049548</v>
      </c>
      <c r="X402" s="6">
        <f>[1]Results!AA110</f>
        <v>1.7507673580000001</v>
      </c>
      <c r="Y402" s="6">
        <f>[1]Results!AB110</f>
        <v>1.6868281709999999</v>
      </c>
      <c r="Z402" s="6">
        <f>[1]Results!AC110</f>
        <v>1.6253999109999999</v>
      </c>
      <c r="AA402" s="6">
        <f>[1]Results!AD110</f>
        <v>1.5664976719999999</v>
      </c>
      <c r="AB402" s="6">
        <f>[1]Results!AE110</f>
        <v>1.5098533300000001</v>
      </c>
      <c r="AC402" s="6">
        <f>[1]Results!AF110</f>
        <v>1.4554360019999999</v>
      </c>
      <c r="AD402" s="6">
        <f>[1]Results!AG110</f>
        <v>1.403114816</v>
      </c>
      <c r="AE402" s="6">
        <f>[1]Results!AH110</f>
        <v>1.3528679619999999</v>
      </c>
      <c r="AF402" s="6">
        <f>[1]Results!AI110</f>
        <v>1.304687484</v>
      </c>
      <c r="AG402" s="6">
        <f>[1]Results!AJ110</f>
        <v>1.2585549680000001</v>
      </c>
      <c r="AH402" s="6">
        <f>[1]Results!AK110</f>
        <v>1.2144119170000001</v>
      </c>
      <c r="AI402" s="6">
        <f>[1]Results!AL110</f>
        <v>1.1721533200000001</v>
      </c>
      <c r="AJ402" s="6">
        <f>[1]Results!AM110</f>
        <v>1.131644919</v>
      </c>
      <c r="AK402" s="6">
        <f>[1]Results!AN110</f>
        <v>1.0927525709999999</v>
      </c>
      <c r="AL402" s="6">
        <f>[1]Results!AO110</f>
        <v>1.0553609779999999</v>
      </c>
    </row>
    <row r="404" spans="1:38" x14ac:dyDescent="0.3">
      <c r="A404" s="12" t="s">
        <v>65</v>
      </c>
      <c r="C404" s="2">
        <v>42005</v>
      </c>
      <c r="D404" s="2">
        <v>42370</v>
      </c>
      <c r="E404" s="2">
        <v>42736</v>
      </c>
      <c r="F404" s="2">
        <v>43101</v>
      </c>
      <c r="G404" s="2">
        <v>43466</v>
      </c>
      <c r="H404" s="2">
        <v>43831</v>
      </c>
      <c r="I404" s="2">
        <v>44197</v>
      </c>
      <c r="J404" s="2">
        <v>44562</v>
      </c>
      <c r="K404" s="2">
        <v>44927</v>
      </c>
      <c r="L404" s="2">
        <v>45292</v>
      </c>
      <c r="M404" s="2">
        <v>45658</v>
      </c>
      <c r="N404" s="2">
        <v>46023</v>
      </c>
      <c r="O404" s="2">
        <v>46388</v>
      </c>
      <c r="P404" s="2">
        <v>46753</v>
      </c>
      <c r="Q404" s="2">
        <v>47119</v>
      </c>
      <c r="R404" s="2">
        <v>47484</v>
      </c>
      <c r="S404" s="2">
        <v>47849</v>
      </c>
      <c r="T404" s="2">
        <v>48214</v>
      </c>
      <c r="U404" s="2">
        <v>48580</v>
      </c>
      <c r="V404" s="2">
        <v>48945</v>
      </c>
      <c r="W404" s="2">
        <v>49310</v>
      </c>
      <c r="X404" s="2">
        <v>49675</v>
      </c>
      <c r="Y404" s="2">
        <v>50041</v>
      </c>
      <c r="Z404" s="2">
        <v>50406</v>
      </c>
      <c r="AA404" s="2">
        <v>50771</v>
      </c>
      <c r="AB404" s="2">
        <v>51136</v>
      </c>
      <c r="AC404" s="2">
        <v>51502</v>
      </c>
      <c r="AD404" s="2">
        <v>51867</v>
      </c>
      <c r="AE404" s="2">
        <v>52232</v>
      </c>
      <c r="AF404" s="2">
        <v>52597</v>
      </c>
      <c r="AG404" s="2">
        <v>52963</v>
      </c>
      <c r="AH404" s="2">
        <v>53328</v>
      </c>
      <c r="AI404" s="2">
        <v>53693</v>
      </c>
      <c r="AJ404" s="2">
        <v>54058</v>
      </c>
      <c r="AK404" s="2">
        <v>54424</v>
      </c>
      <c r="AL404" s="2">
        <v>54789</v>
      </c>
    </row>
    <row r="405" spans="1:38" x14ac:dyDescent="0.3">
      <c r="A405" t="s">
        <v>26</v>
      </c>
      <c r="B405" t="s">
        <v>39</v>
      </c>
      <c r="C405" s="6">
        <f>[1]Results!F112</f>
        <v>3.476542051</v>
      </c>
      <c r="D405" s="6">
        <f>[1]Results!G112</f>
        <v>7.0992244930000004</v>
      </c>
      <c r="E405" s="6">
        <f>[1]Results!H112</f>
        <v>13.930695070000001</v>
      </c>
      <c r="F405" s="6">
        <f>[1]Results!I112</f>
        <v>21.193309129999999</v>
      </c>
      <c r="G405" s="6">
        <f>[1]Results!J112</f>
        <v>28.457763740000001</v>
      </c>
      <c r="H405" s="6">
        <f>[1]Results!K112</f>
        <v>35.782543189999998</v>
      </c>
      <c r="I405" s="6">
        <f>[1]Results!L112</f>
        <v>43.149881970000003</v>
      </c>
      <c r="J405" s="6">
        <f>[1]Results!M112</f>
        <v>50.552811400000003</v>
      </c>
      <c r="K405" s="6">
        <f>[1]Results!N112</f>
        <v>57.920923979999998</v>
      </c>
      <c r="L405" s="6">
        <f>[1]Results!O112</f>
        <v>65.15817758</v>
      </c>
      <c r="M405" s="6">
        <f>[1]Results!P112</f>
        <v>72.230702429999994</v>
      </c>
      <c r="N405" s="6">
        <f>[1]Results!Q112</f>
        <v>78.886914790000006</v>
      </c>
      <c r="O405" s="6">
        <f>[1]Results!R112</f>
        <v>85.123244369999995</v>
      </c>
      <c r="P405" s="6">
        <f>[1]Results!S112</f>
        <v>90.954486250000002</v>
      </c>
      <c r="Q405" s="6">
        <f>[1]Results!T112</f>
        <v>96.528613500000006</v>
      </c>
      <c r="R405" s="6">
        <f>[1]Results!U112</f>
        <v>102.2024878</v>
      </c>
      <c r="S405" s="6">
        <f>[1]Results!V112</f>
        <v>108.1638548</v>
      </c>
      <c r="T405" s="6">
        <f>[1]Results!W112</f>
        <v>114.3231734</v>
      </c>
      <c r="U405" s="6">
        <f>[1]Results!X112</f>
        <v>120.5549645</v>
      </c>
      <c r="V405" s="6">
        <f>[1]Results!Y112</f>
        <v>126.7838721</v>
      </c>
      <c r="W405" s="6">
        <f>[1]Results!Z112</f>
        <v>132.82834819999999</v>
      </c>
      <c r="X405" s="6">
        <f>[1]Results!AA112</f>
        <v>139.02317450000001</v>
      </c>
      <c r="Y405" s="6">
        <f>[1]Results!AB112</f>
        <v>145.2749895</v>
      </c>
      <c r="Z405" s="6">
        <f>[1]Results!AC112</f>
        <v>151.64360389999999</v>
      </c>
      <c r="AA405" s="6">
        <f>[1]Results!AD112</f>
        <v>158.13298979999999</v>
      </c>
      <c r="AB405" s="6">
        <f>[1]Results!AE112</f>
        <v>164.42636640000001</v>
      </c>
      <c r="AC405" s="6">
        <f>[1]Results!AF112</f>
        <v>170.89736970000001</v>
      </c>
      <c r="AD405" s="6">
        <f>[1]Results!AG112</f>
        <v>177.40324089999999</v>
      </c>
      <c r="AE405" s="6">
        <f>[1]Results!AH112</f>
        <v>183.9592744</v>
      </c>
      <c r="AF405" s="6">
        <f>[1]Results!AI112</f>
        <v>190.57806020000001</v>
      </c>
      <c r="AG405" s="6">
        <f>[1]Results!AJ112</f>
        <v>197.2673929</v>
      </c>
      <c r="AH405" s="6">
        <f>[1]Results!AK112</f>
        <v>204.02256120000001</v>
      </c>
      <c r="AI405" s="6">
        <f>[1]Results!AL112</f>
        <v>210.8249361</v>
      </c>
      <c r="AJ405" s="6">
        <f>[1]Results!AM112</f>
        <v>217.64746349999999</v>
      </c>
      <c r="AK405" s="6">
        <f>[1]Results!AN112</f>
        <v>224.46158149999999</v>
      </c>
      <c r="AL405" s="6">
        <f>[1]Results!AO112</f>
        <v>231.24283130000001</v>
      </c>
    </row>
    <row r="406" spans="1:38" x14ac:dyDescent="0.3">
      <c r="B406" t="s">
        <v>40</v>
      </c>
      <c r="C406" s="6">
        <f>[1]Results!F113</f>
        <v>68.80476281</v>
      </c>
      <c r="D406" s="6">
        <f>[1]Results!G113</f>
        <v>76.701300149999994</v>
      </c>
      <c r="E406" s="6">
        <f>[1]Results!H113</f>
        <v>82.885768369999994</v>
      </c>
      <c r="F406" s="6">
        <f>[1]Results!I113</f>
        <v>88.188079909999999</v>
      </c>
      <c r="G406" s="6">
        <f>[1]Results!J113</f>
        <v>93.055322869999998</v>
      </c>
      <c r="H406" s="6">
        <f>[1]Results!K113</f>
        <v>97.61531076</v>
      </c>
      <c r="I406" s="6">
        <f>[1]Results!L113</f>
        <v>101.3453765</v>
      </c>
      <c r="J406" s="6">
        <f>[1]Results!M113</f>
        <v>104.94736930000001</v>
      </c>
      <c r="K406" s="6">
        <f>[1]Results!N113</f>
        <v>108.5000378</v>
      </c>
      <c r="L406" s="6">
        <f>[1]Results!O113</f>
        <v>112.0821802</v>
      </c>
      <c r="M406" s="6">
        <f>[1]Results!P113</f>
        <v>116.7909272</v>
      </c>
      <c r="N406" s="6">
        <f>[1]Results!Q113</f>
        <v>120.6807829</v>
      </c>
      <c r="O406" s="6">
        <f>[1]Results!R113</f>
        <v>124.87595279999999</v>
      </c>
      <c r="P406" s="6">
        <f>[1]Results!S113</f>
        <v>129.53245720000001</v>
      </c>
      <c r="Q406" s="6">
        <f>[1]Results!T113</f>
        <v>134.78060389999999</v>
      </c>
      <c r="R406" s="6">
        <f>[1]Results!U113</f>
        <v>140.13108460000001</v>
      </c>
      <c r="S406" s="6">
        <f>[1]Results!V113</f>
        <v>145.1165828</v>
      </c>
      <c r="T406" s="6">
        <f>[1]Results!W113</f>
        <v>149.72423449999999</v>
      </c>
      <c r="U406" s="6">
        <f>[1]Results!X113</f>
        <v>154.07999749999999</v>
      </c>
      <c r="V406" s="6">
        <f>[1]Results!Y113</f>
        <v>158.2922006</v>
      </c>
      <c r="W406" s="6">
        <f>[1]Results!Z113</f>
        <v>161.83559769999999</v>
      </c>
      <c r="X406" s="6">
        <f>[1]Results!AA113</f>
        <v>165.916357</v>
      </c>
      <c r="Y406" s="6">
        <f>[1]Results!AB113</f>
        <v>169.89485060000001</v>
      </c>
      <c r="Z406" s="6">
        <f>[1]Results!AC113</f>
        <v>173.74344210000001</v>
      </c>
      <c r="AA406" s="6">
        <f>[1]Results!AD113</f>
        <v>177.4680927</v>
      </c>
      <c r="AB406" s="6">
        <f>[1]Results!AE113</f>
        <v>179.34707299999999</v>
      </c>
      <c r="AC406" s="6">
        <f>[1]Results!AF113</f>
        <v>182.1025463</v>
      </c>
      <c r="AD406" s="6">
        <f>[1]Results!AG113</f>
        <v>184.8008873</v>
      </c>
      <c r="AE406" s="6">
        <f>[1]Results!AH113</f>
        <v>187.43733030000001</v>
      </c>
      <c r="AF406" s="6">
        <f>[1]Results!AI113</f>
        <v>190.00733919999999</v>
      </c>
      <c r="AG406" s="6">
        <f>[1]Results!AJ113</f>
        <v>192.50846390000001</v>
      </c>
      <c r="AH406" s="6">
        <f>[1]Results!AK113</f>
        <v>194.9448304</v>
      </c>
      <c r="AI406" s="6">
        <f>[1]Results!AL113</f>
        <v>197.3279934</v>
      </c>
      <c r="AJ406" s="6">
        <f>[1]Results!AM113</f>
        <v>199.67395389999999</v>
      </c>
      <c r="AK406" s="6">
        <f>[1]Results!AN113</f>
        <v>201.99938040000001</v>
      </c>
      <c r="AL406" s="6">
        <f>[1]Results!AO113</f>
        <v>204.3185445</v>
      </c>
    </row>
    <row r="407" spans="1:38" x14ac:dyDescent="0.3">
      <c r="B407" t="s">
        <v>41</v>
      </c>
      <c r="C407" s="6">
        <f>[1]Results!F114</f>
        <v>408.28039699999999</v>
      </c>
      <c r="D407" s="6">
        <f>[1]Results!G114</f>
        <v>423.5108955</v>
      </c>
      <c r="E407" s="6">
        <f>[1]Results!H114</f>
        <v>436.57268920000001</v>
      </c>
      <c r="F407" s="6">
        <f>[1]Results!I114</f>
        <v>448.16201369999999</v>
      </c>
      <c r="G407" s="6">
        <f>[1]Results!J114</f>
        <v>459.08412120000003</v>
      </c>
      <c r="H407" s="6">
        <f>[1]Results!K114</f>
        <v>469.60596520000001</v>
      </c>
      <c r="I407" s="6">
        <f>[1]Results!L114</f>
        <v>478.13532140000001</v>
      </c>
      <c r="J407" s="6">
        <f>[1]Results!M114</f>
        <v>486.52252579999998</v>
      </c>
      <c r="K407" s="6">
        <f>[1]Results!N114</f>
        <v>494.86012770000002</v>
      </c>
      <c r="L407" s="6">
        <f>[1]Results!O114</f>
        <v>503.23303329999999</v>
      </c>
      <c r="M407" s="6">
        <f>[1]Results!P114</f>
        <v>514.61661590000006</v>
      </c>
      <c r="N407" s="6">
        <f>[1]Results!Q114</f>
        <v>523.31390480000005</v>
      </c>
      <c r="O407" s="6">
        <f>[1]Results!R114</f>
        <v>532.31561839999995</v>
      </c>
      <c r="P407" s="6">
        <f>[1]Results!S114</f>
        <v>541.77215769999998</v>
      </c>
      <c r="Q407" s="6">
        <f>[1]Results!T114</f>
        <v>551.81055119999996</v>
      </c>
      <c r="R407" s="6">
        <f>[1]Results!U114</f>
        <v>561.95631739999999</v>
      </c>
      <c r="S407" s="6">
        <f>[1]Results!V114</f>
        <v>571.75564559999998</v>
      </c>
      <c r="T407" s="6">
        <f>[1]Results!W114</f>
        <v>581.19579580000004</v>
      </c>
      <c r="U407" s="6">
        <f>[1]Results!X114</f>
        <v>590.39890100000002</v>
      </c>
      <c r="V407" s="6">
        <f>[1]Results!Y114</f>
        <v>599.47001799999998</v>
      </c>
      <c r="W407" s="6">
        <f>[1]Results!Z114</f>
        <v>606.63701419999995</v>
      </c>
      <c r="X407" s="6">
        <f>[1]Results!AA114</f>
        <v>615.59076889999994</v>
      </c>
      <c r="Y407" s="6">
        <f>[1]Results!AB114</f>
        <v>624.45217500000001</v>
      </c>
      <c r="Z407" s="6">
        <f>[1]Results!AC114</f>
        <v>633.19423210000002</v>
      </c>
      <c r="AA407" s="6">
        <f>[1]Results!AD114</f>
        <v>641.82283810000001</v>
      </c>
      <c r="AB407" s="6">
        <f>[1]Results!AE114</f>
        <v>645.22183610000002</v>
      </c>
      <c r="AC407" s="6">
        <f>[1]Results!AF114</f>
        <v>651.29539620000003</v>
      </c>
      <c r="AD407" s="6">
        <f>[1]Results!AG114</f>
        <v>657.31279310000002</v>
      </c>
      <c r="AE407" s="6">
        <f>[1]Results!AH114</f>
        <v>663.2691446</v>
      </c>
      <c r="AF407" s="6">
        <f>[1]Results!AI114</f>
        <v>669.15969070000006</v>
      </c>
      <c r="AG407" s="6">
        <f>[1]Results!AJ114</f>
        <v>674.98184330000004</v>
      </c>
      <c r="AH407" s="6">
        <f>[1]Results!AK114</f>
        <v>680.73965959999998</v>
      </c>
      <c r="AI407" s="6">
        <f>[1]Results!AL114</f>
        <v>686.44464719999996</v>
      </c>
      <c r="AJ407" s="6">
        <f>[1]Results!AM114</f>
        <v>692.11276150000003</v>
      </c>
      <c r="AK407" s="6">
        <f>[1]Results!AN114</f>
        <v>697.76060589999997</v>
      </c>
      <c r="AL407" s="6">
        <f>[1]Results!AO114</f>
        <v>703.40235070000006</v>
      </c>
    </row>
    <row r="408" spans="1:38" x14ac:dyDescent="0.3">
      <c r="B408" t="s">
        <v>42</v>
      </c>
      <c r="C408" s="6">
        <f>[1]Results!F115</f>
        <v>954.38155940000001</v>
      </c>
      <c r="D408" s="6">
        <f>[1]Results!G115</f>
        <v>946.68620120000003</v>
      </c>
      <c r="E408" s="6">
        <f>[1]Results!H115</f>
        <v>940.18309839999995</v>
      </c>
      <c r="F408" s="6">
        <f>[1]Results!I115</f>
        <v>934.55450470000005</v>
      </c>
      <c r="G408" s="6">
        <f>[1]Results!J115</f>
        <v>929.46705050000003</v>
      </c>
      <c r="H408" s="6">
        <f>[1]Results!K115</f>
        <v>924.72215440000002</v>
      </c>
      <c r="I408" s="6">
        <f>[1]Results!L115</f>
        <v>920.19097390000002</v>
      </c>
      <c r="J408" s="6">
        <f>[1]Results!M115</f>
        <v>915.79353909999998</v>
      </c>
      <c r="K408" s="6">
        <f>[1]Results!N115</f>
        <v>911.48015959999998</v>
      </c>
      <c r="L408" s="6">
        <f>[1]Results!O115</f>
        <v>907.21597569999994</v>
      </c>
      <c r="M408" s="6">
        <f>[1]Results!P115</f>
        <v>902.9707995</v>
      </c>
      <c r="N408" s="6">
        <f>[1]Results!Q115</f>
        <v>898.67826839999998</v>
      </c>
      <c r="O408" s="6">
        <f>[1]Results!R115</f>
        <v>894.20320260000005</v>
      </c>
      <c r="P408" s="6">
        <f>[1]Results!S115</f>
        <v>889.21874070000001</v>
      </c>
      <c r="Q408" s="6">
        <f>[1]Results!T115</f>
        <v>883.31244530000004</v>
      </c>
      <c r="R408" s="6">
        <f>[1]Results!U115</f>
        <v>877.08548619999999</v>
      </c>
      <c r="S408" s="6">
        <f>[1]Results!V115</f>
        <v>871.26810520000004</v>
      </c>
      <c r="T408" s="6">
        <f>[1]Results!W115</f>
        <v>865.97455730000001</v>
      </c>
      <c r="U408" s="6">
        <f>[1]Results!X115</f>
        <v>861.08249750000004</v>
      </c>
      <c r="V408" s="6">
        <f>[1]Results!Y115</f>
        <v>856.45433720000005</v>
      </c>
      <c r="W408" s="6">
        <f>[1]Results!Z115</f>
        <v>851.92815880000001</v>
      </c>
      <c r="X408" s="6">
        <f>[1]Results!AA115</f>
        <v>847.54625750000002</v>
      </c>
      <c r="Y408" s="6">
        <f>[1]Results!AB115</f>
        <v>843.28683409999996</v>
      </c>
      <c r="Z408" s="6">
        <f>[1]Results!AC115</f>
        <v>839.14371059999996</v>
      </c>
      <c r="AA408" s="6">
        <f>[1]Results!AD115</f>
        <v>835.10101329999998</v>
      </c>
      <c r="AB408" s="6">
        <f>[1]Results!AE115</f>
        <v>831.10476019999999</v>
      </c>
      <c r="AC408" s="6">
        <f>[1]Results!AF115</f>
        <v>827.1684851</v>
      </c>
      <c r="AD408" s="6">
        <f>[1]Results!AG115</f>
        <v>823.28033149999999</v>
      </c>
      <c r="AE408" s="6">
        <f>[1]Results!AH115</f>
        <v>819.43386239999995</v>
      </c>
      <c r="AF408" s="6">
        <f>[1]Results!AI115</f>
        <v>815.62486520000004</v>
      </c>
      <c r="AG408" s="6">
        <f>[1]Results!AJ115</f>
        <v>811.84994319999998</v>
      </c>
      <c r="AH408" s="6">
        <f>[1]Results!AK115</f>
        <v>808.10568450000005</v>
      </c>
      <c r="AI408" s="6">
        <f>[1]Results!AL115</f>
        <v>804.38859209999998</v>
      </c>
      <c r="AJ408" s="6">
        <f>[1]Results!AM115</f>
        <v>800.69538469999998</v>
      </c>
      <c r="AK408" s="6">
        <f>[1]Results!AN115</f>
        <v>797.02320010000005</v>
      </c>
      <c r="AL408" s="6">
        <f>[1]Results!AO115</f>
        <v>793.36963690000005</v>
      </c>
    </row>
    <row r="409" spans="1:38" x14ac:dyDescent="0.3">
      <c r="B409" t="s">
        <v>43</v>
      </c>
      <c r="C409" s="6">
        <f>[1]Results!F116</f>
        <v>878.79999729999997</v>
      </c>
      <c r="D409" s="6">
        <f>[1]Results!G116</f>
        <v>870.04263679999997</v>
      </c>
      <c r="E409" s="6">
        <f>[1]Results!H116</f>
        <v>863.22911360000001</v>
      </c>
      <c r="F409" s="6">
        <f>[1]Results!I116</f>
        <v>857.45735960000002</v>
      </c>
      <c r="G409" s="6">
        <f>[1]Results!J116</f>
        <v>852.22932200000002</v>
      </c>
      <c r="H409" s="6">
        <f>[1]Results!K116</f>
        <v>847.28726080000001</v>
      </c>
      <c r="I409" s="6">
        <f>[1]Results!L116</f>
        <v>842.50161939999998</v>
      </c>
      <c r="J409" s="6">
        <f>[1]Results!M116</f>
        <v>837.80916130000003</v>
      </c>
      <c r="K409" s="6">
        <f>[1]Results!N116</f>
        <v>833.17972610000004</v>
      </c>
      <c r="L409" s="6">
        <f>[1]Results!O116</f>
        <v>828.59858789999998</v>
      </c>
      <c r="M409" s="6">
        <f>[1]Results!P116</f>
        <v>824.05744159999995</v>
      </c>
      <c r="N409" s="6">
        <f>[1]Results!Q116</f>
        <v>819.54999869999995</v>
      </c>
      <c r="O409" s="6">
        <f>[1]Results!R116</f>
        <v>815.07153010000002</v>
      </c>
      <c r="P409" s="6">
        <f>[1]Results!S116</f>
        <v>810.61894859999995</v>
      </c>
      <c r="Q409" s="6">
        <f>[1]Results!T116</f>
        <v>806.19050500000003</v>
      </c>
      <c r="R409" s="6">
        <f>[1]Results!U116</f>
        <v>801.78534430000002</v>
      </c>
      <c r="S409" s="6">
        <f>[1]Results!V116</f>
        <v>797.403099</v>
      </c>
      <c r="T409" s="6">
        <f>[1]Results!W116</f>
        <v>793.04357640000001</v>
      </c>
      <c r="U409" s="6">
        <f>[1]Results!X116</f>
        <v>788.70657389999997</v>
      </c>
      <c r="V409" s="6">
        <f>[1]Results!Y116</f>
        <v>784.39182679999999</v>
      </c>
      <c r="W409" s="6">
        <f>[1]Results!Z116</f>
        <v>780.09888939999996</v>
      </c>
      <c r="X409" s="6">
        <f>[1]Results!AA116</f>
        <v>775.82772790000001</v>
      </c>
      <c r="Y409" s="6">
        <f>[1]Results!AB116</f>
        <v>771.57823280000002</v>
      </c>
      <c r="Z409" s="6">
        <f>[1]Results!AC116</f>
        <v>767.35030359999996</v>
      </c>
      <c r="AA409" s="6">
        <f>[1]Results!AD116</f>
        <v>763.14400460000002</v>
      </c>
      <c r="AB409" s="6">
        <f>[1]Results!AE116</f>
        <v>758.95905679999998</v>
      </c>
      <c r="AC409" s="6">
        <f>[1]Results!AF116</f>
        <v>754.79592430000002</v>
      </c>
      <c r="AD409" s="6">
        <f>[1]Results!AG116</f>
        <v>750.65482340000005</v>
      </c>
      <c r="AE409" s="6">
        <f>[1]Results!AH116</f>
        <v>746.53548509999996</v>
      </c>
      <c r="AF409" s="6">
        <f>[1]Results!AI116</f>
        <v>742.43750799999998</v>
      </c>
      <c r="AG409" s="6">
        <f>[1]Results!AJ116</f>
        <v>738.36062660000005</v>
      </c>
      <c r="AH409" s="6">
        <f>[1]Results!AK116</f>
        <v>734.30481199999997</v>
      </c>
      <c r="AI409" s="6">
        <f>[1]Results!AL116</f>
        <v>730.27021439999999</v>
      </c>
      <c r="AJ409" s="6">
        <f>[1]Results!AM116</f>
        <v>726.25703309999994</v>
      </c>
      <c r="AK409" s="6">
        <f>[1]Results!AN116</f>
        <v>722.26539639999999</v>
      </c>
      <c r="AL409" s="6">
        <f>[1]Results!AO116</f>
        <v>718.29530130000001</v>
      </c>
    </row>
    <row r="410" spans="1:38" x14ac:dyDescent="0.3">
      <c r="B410" t="s">
        <v>44</v>
      </c>
      <c r="C410" s="6">
        <f>[1]Results!F117</f>
        <v>139.85209269999999</v>
      </c>
      <c r="D410" s="6">
        <f>[1]Results!G117</f>
        <v>137.9614138</v>
      </c>
      <c r="E410" s="6">
        <f>[1]Results!H117</f>
        <v>136.1236074</v>
      </c>
      <c r="F410" s="6">
        <f>[1]Results!I117</f>
        <v>134.3328626</v>
      </c>
      <c r="G410" s="6">
        <f>[1]Results!J117</f>
        <v>132.59747340000001</v>
      </c>
      <c r="H410" s="6">
        <f>[1]Results!K117</f>
        <v>130.92073790000001</v>
      </c>
      <c r="I410" s="6">
        <f>[1]Results!L117</f>
        <v>129.29314350000001</v>
      </c>
      <c r="J410" s="6">
        <f>[1]Results!M117</f>
        <v>127.69745500000001</v>
      </c>
      <c r="K410" s="6">
        <f>[1]Results!N117</f>
        <v>126.1142949</v>
      </c>
      <c r="L410" s="6">
        <f>[1]Results!O117</f>
        <v>124.5269208</v>
      </c>
      <c r="M410" s="6">
        <f>[1]Results!P117</f>
        <v>122.9279896</v>
      </c>
      <c r="N410" s="6">
        <f>[1]Results!Q117</f>
        <v>121.3136679</v>
      </c>
      <c r="O410" s="6">
        <f>[1]Results!R117</f>
        <v>119.6907647</v>
      </c>
      <c r="P410" s="6">
        <f>[1]Results!S117</f>
        <v>118.067594</v>
      </c>
      <c r="Q410" s="6">
        <f>[1]Results!T117</f>
        <v>116.4526709</v>
      </c>
      <c r="R410" s="6">
        <f>[1]Results!U117</f>
        <v>114.8524283</v>
      </c>
      <c r="S410" s="6">
        <f>[1]Results!V117</f>
        <v>113.2703973</v>
      </c>
      <c r="T410" s="6">
        <f>[1]Results!W117</f>
        <v>111.7078276</v>
      </c>
      <c r="U410" s="6">
        <f>[1]Results!X117</f>
        <v>110.16488560000001</v>
      </c>
      <c r="V410" s="6">
        <f>[1]Results!Y117</f>
        <v>108.6416282</v>
      </c>
      <c r="W410" s="6">
        <f>[1]Results!Z117</f>
        <v>107.137017</v>
      </c>
      <c r="X410" s="6">
        <f>[1]Results!AA117</f>
        <v>105.6532742</v>
      </c>
      <c r="Y410" s="6">
        <f>[1]Results!AB117</f>
        <v>104.19098529999999</v>
      </c>
      <c r="Z410" s="6">
        <f>[1]Results!AC117</f>
        <v>102.7514192</v>
      </c>
      <c r="AA410" s="6">
        <f>[1]Results!AD117</f>
        <v>101.334766</v>
      </c>
      <c r="AB410" s="6">
        <f>[1]Results!AE117</f>
        <v>99.936709550000003</v>
      </c>
      <c r="AC410" s="6">
        <f>[1]Results!AF117</f>
        <v>98.558253730000004</v>
      </c>
      <c r="AD410" s="6">
        <f>[1]Results!AG117</f>
        <v>97.198278630000004</v>
      </c>
      <c r="AE410" s="6">
        <f>[1]Results!AH117</f>
        <v>95.85790858</v>
      </c>
      <c r="AF410" s="6">
        <f>[1]Results!AI117</f>
        <v>94.5385201</v>
      </c>
      <c r="AG410" s="6">
        <f>[1]Results!AJ117</f>
        <v>93.241092940000001</v>
      </c>
      <c r="AH410" s="6">
        <f>[1]Results!AK117</f>
        <v>91.96570328</v>
      </c>
      <c r="AI410" s="6">
        <f>[1]Results!AL117</f>
        <v>90.711407280000003</v>
      </c>
      <c r="AJ410" s="6">
        <f>[1]Results!AM117</f>
        <v>89.476547049999994</v>
      </c>
      <c r="AK410" s="6">
        <f>[1]Results!AN117</f>
        <v>88.259305449999999</v>
      </c>
      <c r="AL410" s="6">
        <f>[1]Results!AO117</f>
        <v>87.058242489999998</v>
      </c>
    </row>
    <row r="411" spans="1:38" x14ac:dyDescent="0.3">
      <c r="B411" t="s">
        <v>45</v>
      </c>
      <c r="C411" s="6">
        <f>[1]Results!F118</f>
        <v>3.874567114</v>
      </c>
      <c r="D411" s="6">
        <f>[1]Results!G118</f>
        <v>3.7247016309999998</v>
      </c>
      <c r="E411" s="6">
        <f>[1]Results!H118</f>
        <v>3.5831348620000001</v>
      </c>
      <c r="F411" s="6">
        <f>[1]Results!I118</f>
        <v>3.4488551159999998</v>
      </c>
      <c r="G411" s="6">
        <f>[1]Results!J118</f>
        <v>3.3221597639999998</v>
      </c>
      <c r="H411" s="6">
        <f>[1]Results!K118</f>
        <v>3.2030279180000001</v>
      </c>
      <c r="I411" s="6">
        <f>[1]Results!L118</f>
        <v>3.0904729620000002</v>
      </c>
      <c r="J411" s="6">
        <f>[1]Results!M118</f>
        <v>2.9829869520000001</v>
      </c>
      <c r="K411" s="6">
        <f>[1]Results!N118</f>
        <v>2.879007353</v>
      </c>
      <c r="L411" s="6">
        <f>[1]Results!O118</f>
        <v>2.777300436</v>
      </c>
      <c r="M411" s="6">
        <f>[1]Results!P118</f>
        <v>2.6774055790000002</v>
      </c>
      <c r="N411" s="6">
        <f>[1]Results!Q118</f>
        <v>2.579119768</v>
      </c>
      <c r="O411" s="6">
        <f>[1]Results!R118</f>
        <v>2.4829393340000001</v>
      </c>
      <c r="P411" s="6">
        <f>[1]Results!S118</f>
        <v>2.3893841789999999</v>
      </c>
      <c r="Q411" s="6">
        <f>[1]Results!T118</f>
        <v>2.298918494</v>
      </c>
      <c r="R411" s="6">
        <f>[1]Results!U118</f>
        <v>2.2118252310000002</v>
      </c>
      <c r="S411" s="6">
        <f>[1]Results!V118</f>
        <v>2.1281838820000001</v>
      </c>
      <c r="T411" s="6">
        <f>[1]Results!W118</f>
        <v>2.047930053</v>
      </c>
      <c r="U411" s="6">
        <f>[1]Results!X118</f>
        <v>1.9709372789999999</v>
      </c>
      <c r="V411" s="6">
        <f>[1]Results!Y118</f>
        <v>1.897076148</v>
      </c>
      <c r="W411" s="6">
        <f>[1]Results!Z118</f>
        <v>1.826165483</v>
      </c>
      <c r="X411" s="6">
        <f>[1]Results!AA118</f>
        <v>1.7581997789999999</v>
      </c>
      <c r="Y411" s="6">
        <f>[1]Results!AB118</f>
        <v>1.693083925</v>
      </c>
      <c r="Z411" s="6">
        <f>[1]Results!AC118</f>
        <v>1.6307595100000001</v>
      </c>
      <c r="AA411" s="6">
        <f>[1]Results!AD118</f>
        <v>1.5711199890000001</v>
      </c>
      <c r="AB411" s="6">
        <f>[1]Results!AE118</f>
        <v>1.5138602919999999</v>
      </c>
      <c r="AC411" s="6">
        <f>[1]Results!AF118</f>
        <v>1.4589416900000001</v>
      </c>
      <c r="AD411" s="6">
        <f>[1]Results!AG118</f>
        <v>1.406225429</v>
      </c>
      <c r="AE411" s="6">
        <f>[1]Results!AH118</f>
        <v>1.355673466</v>
      </c>
      <c r="AF411" s="6">
        <f>[1]Results!AI118</f>
        <v>1.3072558729999999</v>
      </c>
      <c r="AG411" s="6">
        <f>[1]Results!AJ118</f>
        <v>1.260925818</v>
      </c>
      <c r="AH411" s="6">
        <f>[1]Results!AK118</f>
        <v>1.2166025300000001</v>
      </c>
      <c r="AI411" s="6">
        <f>[1]Results!AL118</f>
        <v>1.1741705609999999</v>
      </c>
      <c r="AJ411" s="6">
        <f>[1]Results!AM118</f>
        <v>1.133494711</v>
      </c>
      <c r="AK411" s="6">
        <f>[1]Results!AN118</f>
        <v>1.094442342</v>
      </c>
      <c r="AL411" s="6">
        <f>[1]Results!AO118</f>
        <v>1.0569024060000001</v>
      </c>
    </row>
    <row r="413" spans="1:38" x14ac:dyDescent="0.3">
      <c r="A413" s="12" t="s">
        <v>66</v>
      </c>
      <c r="B413" s="6" t="str">
        <f>[1]Emissions!A830</f>
        <v>ems_ci_co2_sagr_2</v>
      </c>
      <c r="C413" s="6">
        <f>[1]Emissions!B830</f>
        <v>11.901709650000001</v>
      </c>
      <c r="D413" s="6">
        <f>[1]Emissions!C830</f>
        <v>11.865325289999999</v>
      </c>
      <c r="E413" s="6">
        <f>[1]Emissions!D830</f>
        <v>11.775022570000001</v>
      </c>
      <c r="F413" s="6">
        <f>[1]Emissions!E830</f>
        <v>11.674868979999999</v>
      </c>
      <c r="G413" s="6">
        <f>[1]Emissions!F830</f>
        <v>11.61176485</v>
      </c>
      <c r="H413" s="6">
        <f>[1]Emissions!G830</f>
        <v>11.61844994</v>
      </c>
      <c r="I413" s="6">
        <f>[1]Emissions!H830</f>
        <v>12.581330850000001</v>
      </c>
      <c r="J413" s="6">
        <f>[1]Emissions!I830</f>
        <v>12.847198519999999</v>
      </c>
      <c r="K413" s="6">
        <f>[1]Emissions!J830</f>
        <v>12.895912020000001</v>
      </c>
      <c r="L413" s="6">
        <f>[1]Emissions!K830</f>
        <v>12.809264430000001</v>
      </c>
      <c r="M413" s="6">
        <f>[1]Emissions!L830</f>
        <v>12.64142666</v>
      </c>
      <c r="N413" s="6">
        <f>[1]Emissions!M830</f>
        <v>12.454484600000001</v>
      </c>
      <c r="O413" s="6">
        <f>[1]Emissions!N830</f>
        <v>12.300703110000001</v>
      </c>
      <c r="P413" s="6">
        <f>[1]Emissions!O830</f>
        <v>12.21324744</v>
      </c>
      <c r="Q413" s="6">
        <f>[1]Emissions!P830</f>
        <v>12.20161725</v>
      </c>
      <c r="R413" s="6">
        <f>[1]Emissions!Q830</f>
        <v>12.254300239999999</v>
      </c>
      <c r="S413" s="6">
        <f>[1]Emissions!R830</f>
        <v>12.346632769999999</v>
      </c>
      <c r="T413" s="6">
        <f>[1]Emissions!S830</f>
        <v>12.450725479999999</v>
      </c>
      <c r="U413" s="6">
        <f>[1]Emissions!T830</f>
        <v>12.54425883</v>
      </c>
      <c r="V413" s="6">
        <f>[1]Emissions!U830</f>
        <v>12.615405300000001</v>
      </c>
      <c r="W413" s="6">
        <f>[1]Emissions!V830</f>
        <v>12.658769230000001</v>
      </c>
      <c r="X413" s="6">
        <f>[1]Emissions!W830</f>
        <v>12.68323189</v>
      </c>
      <c r="Y413" s="6">
        <f>[1]Emissions!X830</f>
        <v>12.69777264</v>
      </c>
      <c r="Z413" s="6">
        <f>[1]Emissions!Y830</f>
        <v>12.71167121</v>
      </c>
      <c r="AA413" s="6">
        <f>[1]Emissions!Z830</f>
        <v>12.73089729</v>
      </c>
      <c r="AB413" s="6">
        <f>[1]Emissions!AA830</f>
        <v>12.74433427</v>
      </c>
      <c r="AC413" s="6">
        <f>[1]Emissions!AB830</f>
        <v>12.75609661</v>
      </c>
      <c r="AD413" s="6">
        <f>[1]Emissions!AC830</f>
        <v>12.76307663</v>
      </c>
      <c r="AE413" s="6">
        <f>[1]Emissions!AD830</f>
        <v>12.76661009</v>
      </c>
      <c r="AF413" s="6">
        <f>[1]Emissions!AE830</f>
        <v>12.77036506</v>
      </c>
      <c r="AG413" s="6">
        <f>[1]Emissions!AF830</f>
        <v>12.7785978</v>
      </c>
      <c r="AH413" s="6">
        <f>[1]Emissions!AG830</f>
        <v>12.794185880000001</v>
      </c>
      <c r="AI413" s="6">
        <f>[1]Emissions!AH830</f>
        <v>12.817557470000001</v>
      </c>
      <c r="AJ413" s="6">
        <f>[1]Emissions!AI830</f>
        <v>12.84679846</v>
      </c>
      <c r="AK413" s="6">
        <f>[1]Emissions!AJ830</f>
        <v>12.87865337</v>
      </c>
      <c r="AL413" s="6">
        <f>[1]Emissions!AK830</f>
        <v>12.90984278</v>
      </c>
    </row>
    <row r="414" spans="1:38" x14ac:dyDescent="0.3">
      <c r="A414" t="s">
        <v>27</v>
      </c>
      <c r="B414" s="6" t="str">
        <f>[1]Emissions!A831</f>
        <v>ems_y_co2_sagr_2</v>
      </c>
      <c r="C414" s="6">
        <f>[1]Emissions!B831</f>
        <v>2.3491547580000001</v>
      </c>
      <c r="D414" s="6">
        <f>[1]Emissions!C831</f>
        <v>2.336805848</v>
      </c>
      <c r="E414" s="6">
        <f>[1]Emissions!D831</f>
        <v>2.3326691560000001</v>
      </c>
      <c r="F414" s="6">
        <f>[1]Emissions!E831</f>
        <v>2.3367146239999999</v>
      </c>
      <c r="G414" s="6">
        <f>[1]Emissions!F831</f>
        <v>2.3492396850000001</v>
      </c>
      <c r="H414" s="6">
        <f>[1]Emissions!G831</f>
        <v>2.3684399300000001</v>
      </c>
      <c r="I414" s="6">
        <f>[1]Emissions!H831</f>
        <v>2.3754866880000001</v>
      </c>
      <c r="J414" s="6">
        <f>[1]Emissions!I831</f>
        <v>2.3663719379999999</v>
      </c>
      <c r="K414" s="6">
        <f>[1]Emissions!J831</f>
        <v>2.3442209890000001</v>
      </c>
      <c r="L414" s="6">
        <f>[1]Emissions!K831</f>
        <v>2.3220139149999999</v>
      </c>
      <c r="M414" s="6">
        <f>[1]Emissions!L831</f>
        <v>2.3089111820000001</v>
      </c>
      <c r="N414" s="6">
        <f>[1]Emissions!M831</f>
        <v>2.3042017549999998</v>
      </c>
      <c r="O414" s="6">
        <f>[1]Emissions!N831</f>
        <v>2.3084325319999999</v>
      </c>
      <c r="P414" s="6">
        <f>[1]Emissions!O831</f>
        <v>2.3195514510000002</v>
      </c>
      <c r="Q414" s="6">
        <f>[1]Emissions!P831</f>
        <v>2.3349341799999999</v>
      </c>
      <c r="R414" s="6">
        <f>[1]Emissions!Q831</f>
        <v>2.352078519</v>
      </c>
      <c r="S414" s="6">
        <f>[1]Emissions!R831</f>
        <v>2.369039076</v>
      </c>
      <c r="T414" s="6">
        <f>[1]Emissions!S831</f>
        <v>2.3845653389999999</v>
      </c>
      <c r="U414" s="6">
        <f>[1]Emissions!T831</f>
        <v>2.398033619</v>
      </c>
      <c r="V414" s="6">
        <f>[1]Emissions!U831</f>
        <v>2.4092869119999998</v>
      </c>
      <c r="W414" s="6">
        <f>[1]Emissions!V831</f>
        <v>2.4167417119999999</v>
      </c>
      <c r="X414" s="6">
        <f>[1]Emissions!W831</f>
        <v>2.4234127010000002</v>
      </c>
      <c r="Y414" s="6">
        <f>[1]Emissions!X831</f>
        <v>2.429140662</v>
      </c>
      <c r="Z414" s="6">
        <f>[1]Emissions!Y831</f>
        <v>2.4344512379999999</v>
      </c>
      <c r="AA414" s="6">
        <f>[1]Emissions!Z831</f>
        <v>2.4397471720000001</v>
      </c>
      <c r="AB414" s="6">
        <f>[1]Emissions!AA831</f>
        <v>2.4405134369999999</v>
      </c>
      <c r="AC414" s="6">
        <f>[1]Emissions!AB831</f>
        <v>2.4423908700000001</v>
      </c>
      <c r="AD414" s="6">
        <f>[1]Emissions!AC831</f>
        <v>2.444972693</v>
      </c>
      <c r="AE414" s="6">
        <f>[1]Emissions!AD831</f>
        <v>2.4487183419999998</v>
      </c>
      <c r="AF414" s="6">
        <f>[1]Emissions!AE831</f>
        <v>2.4536743460000001</v>
      </c>
      <c r="AG414" s="6">
        <f>[1]Emissions!AF831</f>
        <v>2.45963303</v>
      </c>
      <c r="AH414" s="6">
        <f>[1]Emissions!AG831</f>
        <v>2.4662532920000002</v>
      </c>
      <c r="AI414" s="6">
        <f>[1]Emissions!AH831</f>
        <v>2.4731725770000001</v>
      </c>
      <c r="AJ414" s="6">
        <f>[1]Emissions!AI831</f>
        <v>2.4800851289999999</v>
      </c>
      <c r="AK414" s="6">
        <f>[1]Emissions!AJ831</f>
        <v>2.4867785160000002</v>
      </c>
      <c r="AL414" s="6">
        <f>[1]Emissions!AK831</f>
        <v>2.4931353089999999</v>
      </c>
    </row>
    <row r="415" spans="1:38" x14ac:dyDescent="0.3">
      <c r="B415" s="6" t="str">
        <f>[1]Emissions!A832</f>
        <v>ems_mat_co2_sagr_2</v>
      </c>
      <c r="C415" s="6">
        <f>[1]Emissions!B832</f>
        <v>0</v>
      </c>
      <c r="D415" s="6">
        <f>[1]Emissions!C832</f>
        <v>0</v>
      </c>
      <c r="E415" s="6">
        <f>[1]Emissions!D832</f>
        <v>0</v>
      </c>
      <c r="F415" s="6">
        <f>[1]Emissions!E832</f>
        <v>0</v>
      </c>
      <c r="G415" s="6">
        <f>[1]Emissions!F832</f>
        <v>0</v>
      </c>
      <c r="H415" s="6">
        <f>[1]Emissions!G832</f>
        <v>0</v>
      </c>
      <c r="I415" s="6">
        <f>[1]Emissions!H832</f>
        <v>0</v>
      </c>
      <c r="J415" s="6">
        <f>[1]Emissions!I832</f>
        <v>0</v>
      </c>
      <c r="K415" s="6">
        <f>[1]Emissions!J832</f>
        <v>0</v>
      </c>
      <c r="L415" s="6">
        <f>[1]Emissions!K832</f>
        <v>0</v>
      </c>
      <c r="M415" s="6">
        <f>[1]Emissions!L832</f>
        <v>0</v>
      </c>
      <c r="N415" s="6">
        <f>[1]Emissions!M832</f>
        <v>0</v>
      </c>
      <c r="O415" s="6">
        <f>[1]Emissions!N832</f>
        <v>0</v>
      </c>
      <c r="P415" s="6">
        <f>[1]Emissions!O832</f>
        <v>0</v>
      </c>
      <c r="Q415" s="6">
        <f>[1]Emissions!P832</f>
        <v>0</v>
      </c>
      <c r="R415" s="6">
        <f>[1]Emissions!Q832</f>
        <v>0</v>
      </c>
      <c r="S415" s="6">
        <f>[1]Emissions!R832</f>
        <v>0</v>
      </c>
      <c r="T415" s="6">
        <f>[1]Emissions!S832</f>
        <v>0</v>
      </c>
      <c r="U415" s="6">
        <f>[1]Emissions!T832</f>
        <v>0</v>
      </c>
      <c r="V415" s="6">
        <f>[1]Emissions!U832</f>
        <v>0</v>
      </c>
      <c r="W415" s="6">
        <f>[1]Emissions!V832</f>
        <v>0</v>
      </c>
      <c r="X415" s="6">
        <f>[1]Emissions!W832</f>
        <v>0</v>
      </c>
      <c r="Y415" s="6">
        <f>[1]Emissions!X832</f>
        <v>0</v>
      </c>
      <c r="Z415" s="6">
        <f>[1]Emissions!Y832</f>
        <v>0</v>
      </c>
      <c r="AA415" s="6">
        <f>[1]Emissions!Z832</f>
        <v>0</v>
      </c>
      <c r="AB415" s="6">
        <f>[1]Emissions!AA832</f>
        <v>0</v>
      </c>
      <c r="AC415" s="6">
        <f>[1]Emissions!AB832</f>
        <v>0</v>
      </c>
      <c r="AD415" s="6">
        <f>[1]Emissions!AC832</f>
        <v>0</v>
      </c>
      <c r="AE415" s="6">
        <f>[1]Emissions!AD832</f>
        <v>0</v>
      </c>
      <c r="AF415" s="6">
        <f>[1]Emissions!AE832</f>
        <v>0</v>
      </c>
      <c r="AG415" s="6">
        <f>[1]Emissions!AF832</f>
        <v>0</v>
      </c>
      <c r="AH415" s="6">
        <f>[1]Emissions!AG832</f>
        <v>0</v>
      </c>
      <c r="AI415" s="6">
        <f>[1]Emissions!AH832</f>
        <v>0</v>
      </c>
      <c r="AJ415" s="6">
        <f>[1]Emissions!AI832</f>
        <v>0</v>
      </c>
      <c r="AK415" s="6">
        <f>[1]Emissions!AJ832</f>
        <v>0</v>
      </c>
      <c r="AL415" s="6">
        <f>[1]Emissions!AK832</f>
        <v>0</v>
      </c>
    </row>
    <row r="416" spans="1:38" x14ac:dyDescent="0.3">
      <c r="B416" s="6" t="str">
        <f>[1]Emissions!A833</f>
        <v>ems_ci_co2_sfor_2</v>
      </c>
      <c r="C416" s="6">
        <f>[1]Emissions!B833</f>
        <v>0.5205475946</v>
      </c>
      <c r="D416" s="6">
        <f>[1]Emissions!C833</f>
        <v>0.5105853186</v>
      </c>
      <c r="E416" s="6">
        <f>[1]Emissions!D833</f>
        <v>0.49800627060000002</v>
      </c>
      <c r="F416" s="6">
        <f>[1]Emissions!E833</f>
        <v>0.48586200089999998</v>
      </c>
      <c r="G416" s="6">
        <f>[1]Emissions!F833</f>
        <v>0.47599754500000002</v>
      </c>
      <c r="H416" s="6">
        <f>[1]Emissions!G833</f>
        <v>0.46976320570000002</v>
      </c>
      <c r="I416" s="6">
        <f>[1]Emissions!H833</f>
        <v>0.51297993649999996</v>
      </c>
      <c r="J416" s="6">
        <f>[1]Emissions!I833</f>
        <v>0.5242775046</v>
      </c>
      <c r="K416" s="6">
        <f>[1]Emissions!J833</f>
        <v>0.52854394000000005</v>
      </c>
      <c r="L416" s="6">
        <f>[1]Emissions!K833</f>
        <v>0.52845978449999997</v>
      </c>
      <c r="M416" s="6">
        <f>[1]Emissions!L833</f>
        <v>0.52546673089999996</v>
      </c>
      <c r="N416" s="6">
        <f>[1]Emissions!M833</f>
        <v>0.52006903569999996</v>
      </c>
      <c r="O416" s="6">
        <f>[1]Emissions!N833</f>
        <v>0.51505430799999996</v>
      </c>
      <c r="P416" s="6">
        <f>[1]Emissions!O833</f>
        <v>0.51218950760000004</v>
      </c>
      <c r="Q416" s="6">
        <f>[1]Emissions!P833</f>
        <v>0.51214012109999996</v>
      </c>
      <c r="R416" s="6">
        <f>[1]Emissions!Q833</f>
        <v>0.51468059040000003</v>
      </c>
      <c r="S416" s="6">
        <f>[1]Emissions!R833</f>
        <v>0.5190070832</v>
      </c>
      <c r="T416" s="6">
        <f>[1]Emissions!S833</f>
        <v>0.52415760519999999</v>
      </c>
      <c r="U416" s="6">
        <f>[1]Emissions!T833</f>
        <v>0.52936600830000002</v>
      </c>
      <c r="V416" s="6">
        <f>[1]Emissions!U833</f>
        <v>0.53424467949999999</v>
      </c>
      <c r="W416" s="6">
        <f>[1]Emissions!V833</f>
        <v>0.53824866819999995</v>
      </c>
      <c r="X416" s="6">
        <f>[1]Emissions!W833</f>
        <v>0.54257176579999999</v>
      </c>
      <c r="Y416" s="6">
        <f>[1]Emissions!X833</f>
        <v>0.5470248888</v>
      </c>
      <c r="Z416" s="6">
        <f>[1]Emissions!Y833</f>
        <v>0.55170534459999998</v>
      </c>
      <c r="AA416" s="6">
        <f>[1]Emissions!Z833</f>
        <v>0.55673885919999999</v>
      </c>
      <c r="AB416" s="6">
        <f>[1]Emissions!AA833</f>
        <v>0.56049333020000003</v>
      </c>
      <c r="AC416" s="6">
        <f>[1]Emissions!AB833</f>
        <v>0.56528474750000002</v>
      </c>
      <c r="AD416" s="6">
        <f>[1]Emissions!AC833</f>
        <v>0.57014304159999996</v>
      </c>
      <c r="AE416" s="6">
        <f>[1]Emissions!AD833</f>
        <v>0.57473023590000005</v>
      </c>
      <c r="AF416" s="6">
        <f>[1]Emissions!AE833</f>
        <v>0.57915773739999998</v>
      </c>
      <c r="AG416" s="6">
        <f>[1]Emissions!AF833</f>
        <v>0.58367134330000003</v>
      </c>
      <c r="AH416" s="6">
        <f>[1]Emissions!AG833</f>
        <v>0.58847748820000001</v>
      </c>
      <c r="AI416" s="6">
        <f>[1]Emissions!AH833</f>
        <v>0.59366740029999998</v>
      </c>
      <c r="AJ416" s="6">
        <f>[1]Emissions!AI833</f>
        <v>0.59921303390000002</v>
      </c>
      <c r="AK416" s="6">
        <f>[1]Emissions!AJ833</f>
        <v>0.60501074320000003</v>
      </c>
      <c r="AL416" s="6">
        <f>[1]Emissions!AK833</f>
        <v>0.61094197829999997</v>
      </c>
    </row>
    <row r="417" spans="2:38" x14ac:dyDescent="0.3">
      <c r="B417" s="6" t="str">
        <f>[1]Emissions!A834</f>
        <v>ems_y_co2_sfor_2</v>
      </c>
      <c r="C417" s="6">
        <f>[1]Emissions!B834</f>
        <v>0</v>
      </c>
      <c r="D417" s="6">
        <f>[1]Emissions!C834</f>
        <v>0</v>
      </c>
      <c r="E417" s="6">
        <f>[1]Emissions!D834</f>
        <v>0</v>
      </c>
      <c r="F417" s="6">
        <f>[1]Emissions!E834</f>
        <v>0</v>
      </c>
      <c r="G417" s="6">
        <f>[1]Emissions!F834</f>
        <v>0</v>
      </c>
      <c r="H417" s="6">
        <f>[1]Emissions!G834</f>
        <v>0</v>
      </c>
      <c r="I417" s="6">
        <f>[1]Emissions!H834</f>
        <v>0</v>
      </c>
      <c r="J417" s="6">
        <f>[1]Emissions!I834</f>
        <v>0</v>
      </c>
      <c r="K417" s="6">
        <f>[1]Emissions!J834</f>
        <v>0</v>
      </c>
      <c r="L417" s="6">
        <f>[1]Emissions!K834</f>
        <v>0</v>
      </c>
      <c r="M417" s="6">
        <f>[1]Emissions!L834</f>
        <v>0</v>
      </c>
      <c r="N417" s="6">
        <f>[1]Emissions!M834</f>
        <v>0</v>
      </c>
      <c r="O417" s="6">
        <f>[1]Emissions!N834</f>
        <v>0</v>
      </c>
      <c r="P417" s="6">
        <f>[1]Emissions!O834</f>
        <v>0</v>
      </c>
      <c r="Q417" s="6">
        <f>[1]Emissions!P834</f>
        <v>0</v>
      </c>
      <c r="R417" s="6">
        <f>[1]Emissions!Q834</f>
        <v>0</v>
      </c>
      <c r="S417" s="6">
        <f>[1]Emissions!R834</f>
        <v>0</v>
      </c>
      <c r="T417" s="6">
        <f>[1]Emissions!S834</f>
        <v>0</v>
      </c>
      <c r="U417" s="6">
        <f>[1]Emissions!T834</f>
        <v>0</v>
      </c>
      <c r="V417" s="6">
        <f>[1]Emissions!U834</f>
        <v>0</v>
      </c>
      <c r="W417" s="6">
        <f>[1]Emissions!V834</f>
        <v>0</v>
      </c>
      <c r="X417" s="6">
        <f>[1]Emissions!W834</f>
        <v>0</v>
      </c>
      <c r="Y417" s="6">
        <f>[1]Emissions!X834</f>
        <v>0</v>
      </c>
      <c r="Z417" s="6">
        <f>[1]Emissions!Y834</f>
        <v>0</v>
      </c>
      <c r="AA417" s="6">
        <f>[1]Emissions!Z834</f>
        <v>0</v>
      </c>
      <c r="AB417" s="6">
        <f>[1]Emissions!AA834</f>
        <v>0</v>
      </c>
      <c r="AC417" s="6">
        <f>[1]Emissions!AB834</f>
        <v>0</v>
      </c>
      <c r="AD417" s="6">
        <f>[1]Emissions!AC834</f>
        <v>0</v>
      </c>
      <c r="AE417" s="6">
        <f>[1]Emissions!AD834</f>
        <v>0</v>
      </c>
      <c r="AF417" s="6">
        <f>[1]Emissions!AE834</f>
        <v>0</v>
      </c>
      <c r="AG417" s="6">
        <f>[1]Emissions!AF834</f>
        <v>0</v>
      </c>
      <c r="AH417" s="6">
        <f>[1]Emissions!AG834</f>
        <v>0</v>
      </c>
      <c r="AI417" s="6">
        <f>[1]Emissions!AH834</f>
        <v>0</v>
      </c>
      <c r="AJ417" s="6">
        <f>[1]Emissions!AI834</f>
        <v>0</v>
      </c>
      <c r="AK417" s="6">
        <f>[1]Emissions!AJ834</f>
        <v>0</v>
      </c>
      <c r="AL417" s="6">
        <f>[1]Emissions!AK834</f>
        <v>0</v>
      </c>
    </row>
    <row r="418" spans="2:38" x14ac:dyDescent="0.3">
      <c r="B418" s="6" t="str">
        <f>[1]Emissions!A835</f>
        <v>ems_mat_co2_sfor_2</v>
      </c>
      <c r="C418" s="6">
        <f>[1]Emissions!B835</f>
        <v>0</v>
      </c>
      <c r="D418" s="6">
        <f>[1]Emissions!C835</f>
        <v>0</v>
      </c>
      <c r="E418" s="6">
        <f>[1]Emissions!D835</f>
        <v>0</v>
      </c>
      <c r="F418" s="6">
        <f>[1]Emissions!E835</f>
        <v>0</v>
      </c>
      <c r="G418" s="6">
        <f>[1]Emissions!F835</f>
        <v>0</v>
      </c>
      <c r="H418" s="6">
        <f>[1]Emissions!G835</f>
        <v>0</v>
      </c>
      <c r="I418" s="6">
        <f>[1]Emissions!H835</f>
        <v>0</v>
      </c>
      <c r="J418" s="6">
        <f>[1]Emissions!I835</f>
        <v>0</v>
      </c>
      <c r="K418" s="6">
        <f>[1]Emissions!J835</f>
        <v>0</v>
      </c>
      <c r="L418" s="6">
        <f>[1]Emissions!K835</f>
        <v>0</v>
      </c>
      <c r="M418" s="6">
        <f>[1]Emissions!L835</f>
        <v>0</v>
      </c>
      <c r="N418" s="6">
        <f>[1]Emissions!M835</f>
        <v>0</v>
      </c>
      <c r="O418" s="6">
        <f>[1]Emissions!N835</f>
        <v>0</v>
      </c>
      <c r="P418" s="6">
        <f>[1]Emissions!O835</f>
        <v>0</v>
      </c>
      <c r="Q418" s="6">
        <f>[1]Emissions!P835</f>
        <v>0</v>
      </c>
      <c r="R418" s="6">
        <f>[1]Emissions!Q835</f>
        <v>0</v>
      </c>
      <c r="S418" s="6">
        <f>[1]Emissions!R835</f>
        <v>0</v>
      </c>
      <c r="T418" s="6">
        <f>[1]Emissions!S835</f>
        <v>0</v>
      </c>
      <c r="U418" s="6">
        <f>[1]Emissions!T835</f>
        <v>0</v>
      </c>
      <c r="V418" s="6">
        <f>[1]Emissions!U835</f>
        <v>0</v>
      </c>
      <c r="W418" s="6">
        <f>[1]Emissions!V835</f>
        <v>0</v>
      </c>
      <c r="X418" s="6">
        <f>[1]Emissions!W835</f>
        <v>0</v>
      </c>
      <c r="Y418" s="6">
        <f>[1]Emissions!X835</f>
        <v>0</v>
      </c>
      <c r="Z418" s="6">
        <f>[1]Emissions!Y835</f>
        <v>0</v>
      </c>
      <c r="AA418" s="6">
        <f>[1]Emissions!Z835</f>
        <v>0</v>
      </c>
      <c r="AB418" s="6">
        <f>[1]Emissions!AA835</f>
        <v>0</v>
      </c>
      <c r="AC418" s="6">
        <f>[1]Emissions!AB835</f>
        <v>0</v>
      </c>
      <c r="AD418" s="6">
        <f>[1]Emissions!AC835</f>
        <v>0</v>
      </c>
      <c r="AE418" s="6">
        <f>[1]Emissions!AD835</f>
        <v>0</v>
      </c>
      <c r="AF418" s="6">
        <f>[1]Emissions!AE835</f>
        <v>0</v>
      </c>
      <c r="AG418" s="6">
        <f>[1]Emissions!AF835</f>
        <v>0</v>
      </c>
      <c r="AH418" s="6">
        <f>[1]Emissions!AG835</f>
        <v>0</v>
      </c>
      <c r="AI418" s="6">
        <f>[1]Emissions!AH835</f>
        <v>0</v>
      </c>
      <c r="AJ418" s="6">
        <f>[1]Emissions!AI835</f>
        <v>0</v>
      </c>
      <c r="AK418" s="6">
        <f>[1]Emissions!AJ835</f>
        <v>0</v>
      </c>
      <c r="AL418" s="6">
        <f>[1]Emissions!AK835</f>
        <v>0</v>
      </c>
    </row>
    <row r="419" spans="2:38" x14ac:dyDescent="0.3">
      <c r="B419" s="6" t="str">
        <f>[1]Emissions!A836</f>
        <v>ems_ci_co2_sfoo_2</v>
      </c>
      <c r="C419" s="6">
        <f>[1]Emissions!B836</f>
        <v>9.8888167879999997</v>
      </c>
      <c r="D419" s="6">
        <f>[1]Emissions!C836</f>
        <v>9.9154227150000001</v>
      </c>
      <c r="E419" s="6">
        <f>[1]Emissions!D836</f>
        <v>9.9045798129999998</v>
      </c>
      <c r="F419" s="6">
        <f>[1]Emissions!E836</f>
        <v>9.8873288109999997</v>
      </c>
      <c r="G419" s="6">
        <f>[1]Emissions!F836</f>
        <v>9.8853138040000008</v>
      </c>
      <c r="H419" s="6">
        <f>[1]Emissions!G836</f>
        <v>9.9099053609999999</v>
      </c>
      <c r="I419" s="6">
        <f>[1]Emissions!H836</f>
        <v>10.01067001</v>
      </c>
      <c r="J419" s="6">
        <f>[1]Emissions!I836</f>
        <v>10.025962760000001</v>
      </c>
      <c r="K419" s="6">
        <f>[1]Emissions!J836</f>
        <v>9.9722545300000007</v>
      </c>
      <c r="L419" s="6">
        <f>[1]Emissions!K836</f>
        <v>9.8877470029999994</v>
      </c>
      <c r="M419" s="6">
        <f>[1]Emissions!L836</f>
        <v>9.8041447910000006</v>
      </c>
      <c r="N419" s="6">
        <f>[1]Emissions!M836</f>
        <v>9.7349629520000001</v>
      </c>
      <c r="O419" s="6">
        <f>[1]Emissions!N836</f>
        <v>9.6936171200000008</v>
      </c>
      <c r="P419" s="6">
        <f>[1]Emissions!O836</f>
        <v>9.6851233259999994</v>
      </c>
      <c r="Q419" s="6">
        <f>[1]Emissions!P836</f>
        <v>9.7076879439999999</v>
      </c>
      <c r="R419" s="6">
        <f>[1]Emissions!Q836</f>
        <v>9.7539531200000003</v>
      </c>
      <c r="S419" s="6">
        <f>[1]Emissions!R836</f>
        <v>9.8136613799999992</v>
      </c>
      <c r="T419" s="6">
        <f>[1]Emissions!S836</f>
        <v>9.876819953</v>
      </c>
      <c r="U419" s="6">
        <f>[1]Emissions!T836</f>
        <v>9.9362157579999995</v>
      </c>
      <c r="V419" s="6">
        <f>[1]Emissions!U836</f>
        <v>9.9884523240000007</v>
      </c>
      <c r="W419" s="6">
        <f>[1]Emissions!V836</f>
        <v>10.02850233</v>
      </c>
      <c r="X419" s="6">
        <f>[1]Emissions!W836</f>
        <v>10.06417398</v>
      </c>
      <c r="Y419" s="6">
        <f>[1]Emissions!X836</f>
        <v>10.09754006</v>
      </c>
      <c r="Z419" s="6">
        <f>[1]Emissions!Y836</f>
        <v>10.131147779999999</v>
      </c>
      <c r="AA419" s="6">
        <f>[1]Emissions!Z836</f>
        <v>10.166185759999999</v>
      </c>
      <c r="AB419" s="6">
        <f>[1]Emissions!AA836</f>
        <v>10.18812323</v>
      </c>
      <c r="AC419" s="6">
        <f>[1]Emissions!AB836</f>
        <v>10.207552720000001</v>
      </c>
      <c r="AD419" s="6">
        <f>[1]Emissions!AC836</f>
        <v>10.223622389999999</v>
      </c>
      <c r="AE419" s="6">
        <f>[1]Emissions!AD836</f>
        <v>10.23797491</v>
      </c>
      <c r="AF419" s="6">
        <f>[1]Emissions!AE836</f>
        <v>10.25247753</v>
      </c>
      <c r="AG419" s="6">
        <f>[1]Emissions!AF836</f>
        <v>10.268816899999999</v>
      </c>
      <c r="AH419" s="6">
        <f>[1]Emissions!AG836</f>
        <v>10.28799381</v>
      </c>
      <c r="AI419" s="6">
        <f>[1]Emissions!AH836</f>
        <v>10.310097150000001</v>
      </c>
      <c r="AJ419" s="6">
        <f>[1]Emissions!AI836</f>
        <v>10.334436999999999</v>
      </c>
      <c r="AK419" s="6">
        <f>[1]Emissions!AJ836</f>
        <v>10.35992676</v>
      </c>
      <c r="AL419" s="6">
        <f>[1]Emissions!AK836</f>
        <v>10.38552095</v>
      </c>
    </row>
    <row r="420" spans="2:38" x14ac:dyDescent="0.3">
      <c r="B420" s="6" t="str">
        <f>[1]Emissions!A837</f>
        <v>ems_y_co2_sfoo_2</v>
      </c>
      <c r="C420" s="6">
        <f>[1]Emissions!B837</f>
        <v>0</v>
      </c>
      <c r="D420" s="6">
        <f>[1]Emissions!C837</f>
        <v>0</v>
      </c>
      <c r="E420" s="6">
        <f>[1]Emissions!D837</f>
        <v>0</v>
      </c>
      <c r="F420" s="6">
        <f>[1]Emissions!E837</f>
        <v>0</v>
      </c>
      <c r="G420" s="6">
        <f>[1]Emissions!F837</f>
        <v>0</v>
      </c>
      <c r="H420" s="6">
        <f>[1]Emissions!G837</f>
        <v>0</v>
      </c>
      <c r="I420" s="6">
        <f>[1]Emissions!H837</f>
        <v>0</v>
      </c>
      <c r="J420" s="6">
        <f>[1]Emissions!I837</f>
        <v>0</v>
      </c>
      <c r="K420" s="6">
        <f>[1]Emissions!J837</f>
        <v>0</v>
      </c>
      <c r="L420" s="6">
        <f>[1]Emissions!K837</f>
        <v>0</v>
      </c>
      <c r="M420" s="6">
        <f>[1]Emissions!L837</f>
        <v>0</v>
      </c>
      <c r="N420" s="6">
        <f>[1]Emissions!M837</f>
        <v>0</v>
      </c>
      <c r="O420" s="6">
        <f>[1]Emissions!N837</f>
        <v>0</v>
      </c>
      <c r="P420" s="6">
        <f>[1]Emissions!O837</f>
        <v>0</v>
      </c>
      <c r="Q420" s="6">
        <f>[1]Emissions!P837</f>
        <v>0</v>
      </c>
      <c r="R420" s="6">
        <f>[1]Emissions!Q837</f>
        <v>0</v>
      </c>
      <c r="S420" s="6">
        <f>[1]Emissions!R837</f>
        <v>0</v>
      </c>
      <c r="T420" s="6">
        <f>[1]Emissions!S837</f>
        <v>0</v>
      </c>
      <c r="U420" s="6">
        <f>[1]Emissions!T837</f>
        <v>0</v>
      </c>
      <c r="V420" s="6">
        <f>[1]Emissions!U837</f>
        <v>0</v>
      </c>
      <c r="W420" s="6">
        <f>[1]Emissions!V837</f>
        <v>0</v>
      </c>
      <c r="X420" s="6">
        <f>[1]Emissions!W837</f>
        <v>0</v>
      </c>
      <c r="Y420" s="6">
        <f>[1]Emissions!X837</f>
        <v>0</v>
      </c>
      <c r="Z420" s="6">
        <f>[1]Emissions!Y837</f>
        <v>0</v>
      </c>
      <c r="AA420" s="6">
        <f>[1]Emissions!Z837</f>
        <v>0</v>
      </c>
      <c r="AB420" s="6">
        <f>[1]Emissions!AA837</f>
        <v>0</v>
      </c>
      <c r="AC420" s="6">
        <f>[1]Emissions!AB837</f>
        <v>0</v>
      </c>
      <c r="AD420" s="6">
        <f>[1]Emissions!AC837</f>
        <v>0</v>
      </c>
      <c r="AE420" s="6">
        <f>[1]Emissions!AD837</f>
        <v>0</v>
      </c>
      <c r="AF420" s="6">
        <f>[1]Emissions!AE837</f>
        <v>0</v>
      </c>
      <c r="AG420" s="6">
        <f>[1]Emissions!AF837</f>
        <v>0</v>
      </c>
      <c r="AH420" s="6">
        <f>[1]Emissions!AG837</f>
        <v>0</v>
      </c>
      <c r="AI420" s="6">
        <f>[1]Emissions!AH837</f>
        <v>0</v>
      </c>
      <c r="AJ420" s="6">
        <f>[1]Emissions!AI837</f>
        <v>0</v>
      </c>
      <c r="AK420" s="6">
        <f>[1]Emissions!AJ837</f>
        <v>0</v>
      </c>
      <c r="AL420" s="6">
        <f>[1]Emissions!AK837</f>
        <v>0</v>
      </c>
    </row>
    <row r="421" spans="2:38" x14ac:dyDescent="0.3">
      <c r="B421" s="6" t="str">
        <f>[1]Emissions!A838</f>
        <v>ems_mat_co2_sfoo_2</v>
      </c>
      <c r="C421" s="6">
        <f>[1]Emissions!B838</f>
        <v>0</v>
      </c>
      <c r="D421" s="6">
        <f>[1]Emissions!C838</f>
        <v>0</v>
      </c>
      <c r="E421" s="6">
        <f>[1]Emissions!D838</f>
        <v>0</v>
      </c>
      <c r="F421" s="6">
        <f>[1]Emissions!E838</f>
        <v>0</v>
      </c>
      <c r="G421" s="6">
        <f>[1]Emissions!F838</f>
        <v>0</v>
      </c>
      <c r="H421" s="6">
        <f>[1]Emissions!G838</f>
        <v>0</v>
      </c>
      <c r="I421" s="6">
        <f>[1]Emissions!H838</f>
        <v>0</v>
      </c>
      <c r="J421" s="6">
        <f>[1]Emissions!I838</f>
        <v>0</v>
      </c>
      <c r="K421" s="6">
        <f>[1]Emissions!J838</f>
        <v>0</v>
      </c>
      <c r="L421" s="6">
        <f>[1]Emissions!K838</f>
        <v>0</v>
      </c>
      <c r="M421" s="6">
        <f>[1]Emissions!L838</f>
        <v>0</v>
      </c>
      <c r="N421" s="6">
        <f>[1]Emissions!M838</f>
        <v>0</v>
      </c>
      <c r="O421" s="6">
        <f>[1]Emissions!N838</f>
        <v>0</v>
      </c>
      <c r="P421" s="6">
        <f>[1]Emissions!O838</f>
        <v>0</v>
      </c>
      <c r="Q421" s="6">
        <f>[1]Emissions!P838</f>
        <v>0</v>
      </c>
      <c r="R421" s="6">
        <f>[1]Emissions!Q838</f>
        <v>0</v>
      </c>
      <c r="S421" s="6">
        <f>[1]Emissions!R838</f>
        <v>0</v>
      </c>
      <c r="T421" s="6">
        <f>[1]Emissions!S838</f>
        <v>0</v>
      </c>
      <c r="U421" s="6">
        <f>[1]Emissions!T838</f>
        <v>0</v>
      </c>
      <c r="V421" s="6">
        <f>[1]Emissions!U838</f>
        <v>0</v>
      </c>
      <c r="W421" s="6">
        <f>[1]Emissions!V838</f>
        <v>0</v>
      </c>
      <c r="X421" s="6">
        <f>[1]Emissions!W838</f>
        <v>0</v>
      </c>
      <c r="Y421" s="6">
        <f>[1]Emissions!X838</f>
        <v>0</v>
      </c>
      <c r="Z421" s="6">
        <f>[1]Emissions!Y838</f>
        <v>0</v>
      </c>
      <c r="AA421" s="6">
        <f>[1]Emissions!Z838</f>
        <v>0</v>
      </c>
      <c r="AB421" s="6">
        <f>[1]Emissions!AA838</f>
        <v>0</v>
      </c>
      <c r="AC421" s="6">
        <f>[1]Emissions!AB838</f>
        <v>0</v>
      </c>
      <c r="AD421" s="6">
        <f>[1]Emissions!AC838</f>
        <v>0</v>
      </c>
      <c r="AE421" s="6">
        <f>[1]Emissions!AD838</f>
        <v>0</v>
      </c>
      <c r="AF421" s="6">
        <f>[1]Emissions!AE838</f>
        <v>0</v>
      </c>
      <c r="AG421" s="6">
        <f>[1]Emissions!AF838</f>
        <v>0</v>
      </c>
      <c r="AH421" s="6">
        <f>[1]Emissions!AG838</f>
        <v>0</v>
      </c>
      <c r="AI421" s="6">
        <f>[1]Emissions!AH838</f>
        <v>0</v>
      </c>
      <c r="AJ421" s="6">
        <f>[1]Emissions!AI838</f>
        <v>0</v>
      </c>
      <c r="AK421" s="6">
        <f>[1]Emissions!AJ838</f>
        <v>0</v>
      </c>
      <c r="AL421" s="6">
        <f>[1]Emissions!AK838</f>
        <v>0</v>
      </c>
    </row>
    <row r="422" spans="2:38" x14ac:dyDescent="0.3">
      <c r="B422" s="6" t="str">
        <f>[1]Emissions!A839</f>
        <v>ems_ci_co2_sveh_2</v>
      </c>
      <c r="C422" s="6">
        <f>[1]Emissions!B839</f>
        <v>1.2356966540000001</v>
      </c>
      <c r="D422" s="6">
        <f>[1]Emissions!C839</f>
        <v>1.2454449160000001</v>
      </c>
      <c r="E422" s="6">
        <f>[1]Emissions!D839</f>
        <v>1.2482506799999999</v>
      </c>
      <c r="F422" s="6">
        <f>[1]Emissions!E839</f>
        <v>1.2469868879999999</v>
      </c>
      <c r="G422" s="6">
        <f>[1]Emissions!F839</f>
        <v>1.247486088</v>
      </c>
      <c r="H422" s="6">
        <f>[1]Emissions!G839</f>
        <v>1.2550343340000001</v>
      </c>
      <c r="I422" s="6">
        <f>[1]Emissions!H839</f>
        <v>1.3262926319999999</v>
      </c>
      <c r="J422" s="6">
        <f>[1]Emissions!I839</f>
        <v>1.372071745</v>
      </c>
      <c r="K422" s="6">
        <f>[1]Emissions!J839</f>
        <v>1.4043806240000001</v>
      </c>
      <c r="L422" s="6">
        <f>[1]Emissions!K839</f>
        <v>1.4191575400000001</v>
      </c>
      <c r="M422" s="6">
        <f>[1]Emissions!L839</f>
        <v>1.4191842160000001</v>
      </c>
      <c r="N422" s="6">
        <f>[1]Emissions!M839</f>
        <v>1.411815576</v>
      </c>
      <c r="O422" s="6">
        <f>[1]Emissions!N839</f>
        <v>1.405673978</v>
      </c>
      <c r="P422" s="6">
        <f>[1]Emissions!O839</f>
        <v>1.4067705020000001</v>
      </c>
      <c r="Q422" s="6">
        <f>[1]Emissions!P839</f>
        <v>1.417436498</v>
      </c>
      <c r="R422" s="6">
        <f>[1]Emissions!Q839</f>
        <v>1.436706394</v>
      </c>
      <c r="S422" s="6">
        <f>[1]Emissions!R839</f>
        <v>1.4615504210000001</v>
      </c>
      <c r="T422" s="6">
        <f>[1]Emissions!S839</f>
        <v>1.4884367060000001</v>
      </c>
      <c r="U422" s="6">
        <f>[1]Emissions!T839</f>
        <v>1.5146679220000001</v>
      </c>
      <c r="V422" s="6">
        <f>[1]Emissions!U839</f>
        <v>1.5390515950000001</v>
      </c>
      <c r="W422" s="6">
        <f>[1]Emissions!V839</f>
        <v>1.561220703</v>
      </c>
      <c r="X422" s="6">
        <f>[1]Emissions!W839</f>
        <v>1.5828408650000001</v>
      </c>
      <c r="Y422" s="6">
        <f>[1]Emissions!X839</f>
        <v>1.6047209929999999</v>
      </c>
      <c r="Z422" s="6">
        <f>[1]Emissions!Y839</f>
        <v>1.627748693</v>
      </c>
      <c r="AA422" s="6">
        <f>[1]Emissions!Z839</f>
        <v>1.6523227460000001</v>
      </c>
      <c r="AB422" s="6">
        <f>[1]Emissions!AA839</f>
        <v>1.6763194729999999</v>
      </c>
      <c r="AC422" s="6">
        <f>[1]Emissions!AB839</f>
        <v>1.7006478700000001</v>
      </c>
      <c r="AD422" s="6">
        <f>[1]Emissions!AC839</f>
        <v>1.723885702</v>
      </c>
      <c r="AE422" s="6">
        <f>[1]Emissions!AD839</f>
        <v>1.7458766459999999</v>
      </c>
      <c r="AF422" s="6">
        <f>[1]Emissions!AE839</f>
        <v>1.7673248800000001</v>
      </c>
      <c r="AG422" s="6">
        <f>[1]Emissions!AF839</f>
        <v>1.7892225450000001</v>
      </c>
      <c r="AH422" s="6">
        <f>[1]Emissions!AG839</f>
        <v>1.8123425</v>
      </c>
      <c r="AI422" s="6">
        <f>[1]Emissions!AH839</f>
        <v>1.836967376</v>
      </c>
      <c r="AJ422" s="6">
        <f>[1]Emissions!AI839</f>
        <v>1.8628911480000001</v>
      </c>
      <c r="AK422" s="6">
        <f>[1]Emissions!AJ839</f>
        <v>1.8896176790000001</v>
      </c>
      <c r="AL422" s="6">
        <f>[1]Emissions!AK839</f>
        <v>1.91662569</v>
      </c>
    </row>
    <row r="423" spans="2:38" x14ac:dyDescent="0.3">
      <c r="B423" s="6" t="str">
        <f>[1]Emissions!A840</f>
        <v>ems_y_co2_sveh_2</v>
      </c>
      <c r="C423" s="6">
        <f>[1]Emissions!B840</f>
        <v>0</v>
      </c>
      <c r="D423" s="6">
        <f>[1]Emissions!C840</f>
        <v>0</v>
      </c>
      <c r="E423" s="6">
        <f>[1]Emissions!D840</f>
        <v>0</v>
      </c>
      <c r="F423" s="6">
        <f>[1]Emissions!E840</f>
        <v>0</v>
      </c>
      <c r="G423" s="6">
        <f>[1]Emissions!F840</f>
        <v>0</v>
      </c>
      <c r="H423" s="6">
        <f>[1]Emissions!G840</f>
        <v>0</v>
      </c>
      <c r="I423" s="6">
        <f>[1]Emissions!H840</f>
        <v>0</v>
      </c>
      <c r="J423" s="6">
        <f>[1]Emissions!I840</f>
        <v>0</v>
      </c>
      <c r="K423" s="6">
        <f>[1]Emissions!J840</f>
        <v>0</v>
      </c>
      <c r="L423" s="6">
        <f>[1]Emissions!K840</f>
        <v>0</v>
      </c>
      <c r="M423" s="6">
        <f>[1]Emissions!L840</f>
        <v>0</v>
      </c>
      <c r="N423" s="6">
        <f>[1]Emissions!M840</f>
        <v>0</v>
      </c>
      <c r="O423" s="6">
        <f>[1]Emissions!N840</f>
        <v>0</v>
      </c>
      <c r="P423" s="6">
        <f>[1]Emissions!O840</f>
        <v>0</v>
      </c>
      <c r="Q423" s="6">
        <f>[1]Emissions!P840</f>
        <v>0</v>
      </c>
      <c r="R423" s="6">
        <f>[1]Emissions!Q840</f>
        <v>0</v>
      </c>
      <c r="S423" s="6">
        <f>[1]Emissions!R840</f>
        <v>0</v>
      </c>
      <c r="T423" s="6">
        <f>[1]Emissions!S840</f>
        <v>0</v>
      </c>
      <c r="U423" s="6">
        <f>[1]Emissions!T840</f>
        <v>0</v>
      </c>
      <c r="V423" s="6">
        <f>[1]Emissions!U840</f>
        <v>0</v>
      </c>
      <c r="W423" s="6">
        <f>[1]Emissions!V840</f>
        <v>0</v>
      </c>
      <c r="X423" s="6">
        <f>[1]Emissions!W840</f>
        <v>0</v>
      </c>
      <c r="Y423" s="6">
        <f>[1]Emissions!X840</f>
        <v>0</v>
      </c>
      <c r="Z423" s="6">
        <f>[1]Emissions!Y840</f>
        <v>0</v>
      </c>
      <c r="AA423" s="6">
        <f>[1]Emissions!Z840</f>
        <v>0</v>
      </c>
      <c r="AB423" s="6">
        <f>[1]Emissions!AA840</f>
        <v>0</v>
      </c>
      <c r="AC423" s="6">
        <f>[1]Emissions!AB840</f>
        <v>0</v>
      </c>
      <c r="AD423" s="6">
        <f>[1]Emissions!AC840</f>
        <v>0</v>
      </c>
      <c r="AE423" s="6">
        <f>[1]Emissions!AD840</f>
        <v>0</v>
      </c>
      <c r="AF423" s="6">
        <f>[1]Emissions!AE840</f>
        <v>0</v>
      </c>
      <c r="AG423" s="6">
        <f>[1]Emissions!AF840</f>
        <v>0</v>
      </c>
      <c r="AH423" s="6">
        <f>[1]Emissions!AG840</f>
        <v>0</v>
      </c>
      <c r="AI423" s="6">
        <f>[1]Emissions!AH840</f>
        <v>0</v>
      </c>
      <c r="AJ423" s="6">
        <f>[1]Emissions!AI840</f>
        <v>0</v>
      </c>
      <c r="AK423" s="6">
        <f>[1]Emissions!AJ840</f>
        <v>0</v>
      </c>
      <c r="AL423" s="6">
        <f>[1]Emissions!AK840</f>
        <v>0</v>
      </c>
    </row>
    <row r="424" spans="2:38" x14ac:dyDescent="0.3">
      <c r="B424" s="6" t="str">
        <f>[1]Emissions!A841</f>
        <v>ems_mat_co2_sveh_2</v>
      </c>
      <c r="C424" s="6">
        <f>[1]Emissions!B841</f>
        <v>0</v>
      </c>
      <c r="D424" s="6">
        <f>[1]Emissions!C841</f>
        <v>0</v>
      </c>
      <c r="E424" s="6">
        <f>[1]Emissions!D841</f>
        <v>0</v>
      </c>
      <c r="F424" s="6">
        <f>[1]Emissions!E841</f>
        <v>0</v>
      </c>
      <c r="G424" s="6">
        <f>[1]Emissions!F841</f>
        <v>0</v>
      </c>
      <c r="H424" s="6">
        <f>[1]Emissions!G841</f>
        <v>0</v>
      </c>
      <c r="I424" s="6">
        <f>[1]Emissions!H841</f>
        <v>0</v>
      </c>
      <c r="J424" s="6">
        <f>[1]Emissions!I841</f>
        <v>0</v>
      </c>
      <c r="K424" s="6">
        <f>[1]Emissions!J841</f>
        <v>0</v>
      </c>
      <c r="L424" s="6">
        <f>[1]Emissions!K841</f>
        <v>0</v>
      </c>
      <c r="M424" s="6">
        <f>[1]Emissions!L841</f>
        <v>0</v>
      </c>
      <c r="N424" s="6">
        <f>[1]Emissions!M841</f>
        <v>0</v>
      </c>
      <c r="O424" s="6">
        <f>[1]Emissions!N841</f>
        <v>0</v>
      </c>
      <c r="P424" s="6">
        <f>[1]Emissions!O841</f>
        <v>0</v>
      </c>
      <c r="Q424" s="6">
        <f>[1]Emissions!P841</f>
        <v>0</v>
      </c>
      <c r="R424" s="6">
        <f>[1]Emissions!Q841</f>
        <v>0</v>
      </c>
      <c r="S424" s="6">
        <f>[1]Emissions!R841</f>
        <v>0</v>
      </c>
      <c r="T424" s="6">
        <f>[1]Emissions!S841</f>
        <v>0</v>
      </c>
      <c r="U424" s="6">
        <f>[1]Emissions!T841</f>
        <v>0</v>
      </c>
      <c r="V424" s="6">
        <f>[1]Emissions!U841</f>
        <v>0</v>
      </c>
      <c r="W424" s="6">
        <f>[1]Emissions!V841</f>
        <v>0</v>
      </c>
      <c r="X424" s="6">
        <f>[1]Emissions!W841</f>
        <v>0</v>
      </c>
      <c r="Y424" s="6">
        <f>[1]Emissions!X841</f>
        <v>0</v>
      </c>
      <c r="Z424" s="6">
        <f>[1]Emissions!Y841</f>
        <v>0</v>
      </c>
      <c r="AA424" s="6">
        <f>[1]Emissions!Z841</f>
        <v>0</v>
      </c>
      <c r="AB424" s="6">
        <f>[1]Emissions!AA841</f>
        <v>0</v>
      </c>
      <c r="AC424" s="6">
        <f>[1]Emissions!AB841</f>
        <v>0</v>
      </c>
      <c r="AD424" s="6">
        <f>[1]Emissions!AC841</f>
        <v>0</v>
      </c>
      <c r="AE424" s="6">
        <f>[1]Emissions!AD841</f>
        <v>0</v>
      </c>
      <c r="AF424" s="6">
        <f>[1]Emissions!AE841</f>
        <v>0</v>
      </c>
      <c r="AG424" s="6">
        <f>[1]Emissions!AF841</f>
        <v>0</v>
      </c>
      <c r="AH424" s="6">
        <f>[1]Emissions!AG841</f>
        <v>0</v>
      </c>
      <c r="AI424" s="6">
        <f>[1]Emissions!AH841</f>
        <v>0</v>
      </c>
      <c r="AJ424" s="6">
        <f>[1]Emissions!AI841</f>
        <v>0</v>
      </c>
      <c r="AK424" s="6">
        <f>[1]Emissions!AJ841</f>
        <v>0</v>
      </c>
      <c r="AL424" s="6">
        <f>[1]Emissions!AK841</f>
        <v>0</v>
      </c>
    </row>
    <row r="425" spans="2:38" x14ac:dyDescent="0.3">
      <c r="B425" s="6" t="str">
        <f>[1]Emissions!A842</f>
        <v>ems_ci_co2_sgla_2</v>
      </c>
      <c r="C425" s="6">
        <f>[1]Emissions!B842</f>
        <v>5.7362378749999996</v>
      </c>
      <c r="D425" s="6">
        <f>[1]Emissions!C842</f>
        <v>5.9142073079999999</v>
      </c>
      <c r="E425" s="6">
        <f>[1]Emissions!D842</f>
        <v>6.1227892500000003</v>
      </c>
      <c r="F425" s="6">
        <f>[1]Emissions!E842</f>
        <v>6.2858231580000004</v>
      </c>
      <c r="G425" s="6">
        <f>[1]Emissions!F842</f>
        <v>6.4081311630000002</v>
      </c>
      <c r="H425" s="6">
        <f>[1]Emissions!G842</f>
        <v>6.5125996129999999</v>
      </c>
      <c r="I425" s="6">
        <f>[1]Emissions!H842</f>
        <v>6.550962051</v>
      </c>
      <c r="J425" s="6">
        <f>[1]Emissions!I842</f>
        <v>6.5753562280000004</v>
      </c>
      <c r="K425" s="6">
        <f>[1]Emissions!J842</f>
        <v>6.6145691419999997</v>
      </c>
      <c r="L425" s="6">
        <f>[1]Emissions!K842</f>
        <v>6.6707408839999998</v>
      </c>
      <c r="M425" s="6">
        <f>[1]Emissions!L842</f>
        <v>6.8177564879999997</v>
      </c>
      <c r="N425" s="6">
        <f>[1]Emissions!M842</f>
        <v>6.8886679969999998</v>
      </c>
      <c r="O425" s="6">
        <f>[1]Emissions!N842</f>
        <v>6.9758277160000004</v>
      </c>
      <c r="P425" s="6">
        <f>[1]Emissions!O842</f>
        <v>7.0856294660000003</v>
      </c>
      <c r="Q425" s="6">
        <f>[1]Emissions!P842</f>
        <v>7.2068416590000002</v>
      </c>
      <c r="R425" s="6">
        <f>[1]Emissions!Q842</f>
        <v>7.3305859919999996</v>
      </c>
      <c r="S425" s="6">
        <f>[1]Emissions!R842</f>
        <v>7.4526231249999997</v>
      </c>
      <c r="T425" s="6">
        <f>[1]Emissions!S842</f>
        <v>7.5723485720000001</v>
      </c>
      <c r="U425" s="6">
        <f>[1]Emissions!T842</f>
        <v>7.691253927</v>
      </c>
      <c r="V425" s="6">
        <f>[1]Emissions!U842</f>
        <v>7.8114643739999998</v>
      </c>
      <c r="W425" s="6">
        <f>[1]Emissions!V842</f>
        <v>7.8828732290000003</v>
      </c>
      <c r="X425" s="6">
        <f>[1]Emissions!W842</f>
        <v>8.0239308969999996</v>
      </c>
      <c r="Y425" s="6">
        <f>[1]Emissions!X842</f>
        <v>8.1715923640000003</v>
      </c>
      <c r="Z425" s="6">
        <f>[1]Emissions!Y842</f>
        <v>8.3144739160000007</v>
      </c>
      <c r="AA425" s="6">
        <f>[1]Emissions!Z842</f>
        <v>8.4544158120000006</v>
      </c>
      <c r="AB425" s="6">
        <f>[1]Emissions!AA842</f>
        <v>8.4404676090000006</v>
      </c>
      <c r="AC425" s="6">
        <f>[1]Emissions!AB842</f>
        <v>8.5603028440000006</v>
      </c>
      <c r="AD425" s="6">
        <f>[1]Emissions!AC842</f>
        <v>8.7054910050000007</v>
      </c>
      <c r="AE425" s="6">
        <f>[1]Emissions!AD842</f>
        <v>8.8493590189999995</v>
      </c>
      <c r="AF425" s="6">
        <f>[1]Emissions!AE842</f>
        <v>8.9908317069999999</v>
      </c>
      <c r="AG425" s="6">
        <f>[1]Emissions!AF842</f>
        <v>9.1319338440000006</v>
      </c>
      <c r="AH425" s="6">
        <f>[1]Emissions!AG842</f>
        <v>9.2737467220000003</v>
      </c>
      <c r="AI425" s="6">
        <f>[1]Emissions!AH842</f>
        <v>9.4164920960000007</v>
      </c>
      <c r="AJ425" s="6">
        <f>[1]Emissions!AI842</f>
        <v>9.5601188399999995</v>
      </c>
      <c r="AK425" s="6">
        <f>[1]Emissions!AJ842</f>
        <v>9.7046818409999993</v>
      </c>
      <c r="AL425" s="6">
        <f>[1]Emissions!AK842</f>
        <v>9.8504452659999995</v>
      </c>
    </row>
    <row r="426" spans="2:38" x14ac:dyDescent="0.3">
      <c r="B426" s="6" t="str">
        <f>[1]Emissions!A843</f>
        <v>ems_y_co2_sgla_2</v>
      </c>
      <c r="C426" s="6">
        <f>[1]Emissions!B843</f>
        <v>0</v>
      </c>
      <c r="D426" s="6">
        <f>[1]Emissions!C843</f>
        <v>0</v>
      </c>
      <c r="E426" s="6">
        <f>[1]Emissions!D843</f>
        <v>0</v>
      </c>
      <c r="F426" s="6">
        <f>[1]Emissions!E843</f>
        <v>0</v>
      </c>
      <c r="G426" s="6">
        <f>[1]Emissions!F843</f>
        <v>0</v>
      </c>
      <c r="H426" s="6">
        <f>[1]Emissions!G843</f>
        <v>0</v>
      </c>
      <c r="I426" s="6">
        <f>[1]Emissions!H843</f>
        <v>0</v>
      </c>
      <c r="J426" s="6">
        <f>[1]Emissions!I843</f>
        <v>0</v>
      </c>
      <c r="K426" s="6">
        <f>[1]Emissions!J843</f>
        <v>0</v>
      </c>
      <c r="L426" s="6">
        <f>[1]Emissions!K843</f>
        <v>0</v>
      </c>
      <c r="M426" s="6">
        <f>[1]Emissions!L843</f>
        <v>0</v>
      </c>
      <c r="N426" s="6">
        <f>[1]Emissions!M843</f>
        <v>0</v>
      </c>
      <c r="O426" s="6">
        <f>[1]Emissions!N843</f>
        <v>0</v>
      </c>
      <c r="P426" s="6">
        <f>[1]Emissions!O843</f>
        <v>0</v>
      </c>
      <c r="Q426" s="6">
        <f>[1]Emissions!P843</f>
        <v>0</v>
      </c>
      <c r="R426" s="6">
        <f>[1]Emissions!Q843</f>
        <v>0</v>
      </c>
      <c r="S426" s="6">
        <f>[1]Emissions!R843</f>
        <v>0</v>
      </c>
      <c r="T426" s="6">
        <f>[1]Emissions!S843</f>
        <v>0</v>
      </c>
      <c r="U426" s="6">
        <f>[1]Emissions!T843</f>
        <v>0</v>
      </c>
      <c r="V426" s="6">
        <f>[1]Emissions!U843</f>
        <v>0</v>
      </c>
      <c r="W426" s="6">
        <f>[1]Emissions!V843</f>
        <v>0</v>
      </c>
      <c r="X426" s="6">
        <f>[1]Emissions!W843</f>
        <v>0</v>
      </c>
      <c r="Y426" s="6">
        <f>[1]Emissions!X843</f>
        <v>0</v>
      </c>
      <c r="Z426" s="6">
        <f>[1]Emissions!Y843</f>
        <v>0</v>
      </c>
      <c r="AA426" s="6">
        <f>[1]Emissions!Z843</f>
        <v>0</v>
      </c>
      <c r="AB426" s="6">
        <f>[1]Emissions!AA843</f>
        <v>0</v>
      </c>
      <c r="AC426" s="6">
        <f>[1]Emissions!AB843</f>
        <v>0</v>
      </c>
      <c r="AD426" s="6">
        <f>[1]Emissions!AC843</f>
        <v>0</v>
      </c>
      <c r="AE426" s="6">
        <f>[1]Emissions!AD843</f>
        <v>0</v>
      </c>
      <c r="AF426" s="6">
        <f>[1]Emissions!AE843</f>
        <v>0</v>
      </c>
      <c r="AG426" s="6">
        <f>[1]Emissions!AF843</f>
        <v>0</v>
      </c>
      <c r="AH426" s="6">
        <f>[1]Emissions!AG843</f>
        <v>0</v>
      </c>
      <c r="AI426" s="6">
        <f>[1]Emissions!AH843</f>
        <v>0</v>
      </c>
      <c r="AJ426" s="6">
        <f>[1]Emissions!AI843</f>
        <v>0</v>
      </c>
      <c r="AK426" s="6">
        <f>[1]Emissions!AJ843</f>
        <v>0</v>
      </c>
      <c r="AL426" s="6">
        <f>[1]Emissions!AK843</f>
        <v>0</v>
      </c>
    </row>
    <row r="427" spans="2:38" x14ac:dyDescent="0.3">
      <c r="B427" s="6" t="str">
        <f>[1]Emissions!A844</f>
        <v>ems_mat_co2_sgla_2</v>
      </c>
      <c r="C427" s="6">
        <f>[1]Emissions!B844</f>
        <v>13.794878300000001</v>
      </c>
      <c r="D427" s="6">
        <f>[1]Emissions!C844</f>
        <v>14.22168933</v>
      </c>
      <c r="E427" s="6">
        <f>[1]Emissions!D844</f>
        <v>14.7433982</v>
      </c>
      <c r="F427" s="6">
        <f>[1]Emissions!E844</f>
        <v>15.17198741</v>
      </c>
      <c r="G427" s="6">
        <f>[1]Emissions!F844</f>
        <v>15.506028909999999</v>
      </c>
      <c r="H427" s="6">
        <f>[1]Emissions!G844</f>
        <v>15.78745518</v>
      </c>
      <c r="I427" s="6">
        <f>[1]Emissions!H844</f>
        <v>15.7742182</v>
      </c>
      <c r="J427" s="6">
        <f>[1]Emissions!I844</f>
        <v>15.76311415</v>
      </c>
      <c r="K427" s="6">
        <f>[1]Emissions!J844</f>
        <v>15.809601049999999</v>
      </c>
      <c r="L427" s="6">
        <f>[1]Emissions!K844</f>
        <v>15.92837331</v>
      </c>
      <c r="M427" s="6">
        <f>[1]Emissions!L844</f>
        <v>16.298820129999999</v>
      </c>
      <c r="N427" s="6">
        <f>[1]Emissions!M844</f>
        <v>16.507048019999999</v>
      </c>
      <c r="O427" s="6">
        <f>[1]Emissions!N844</f>
        <v>16.760257119999999</v>
      </c>
      <c r="P427" s="6">
        <f>[1]Emissions!O844</f>
        <v>17.060963810000001</v>
      </c>
      <c r="Q427" s="6">
        <f>[1]Emissions!P844</f>
        <v>17.374332389999999</v>
      </c>
      <c r="R427" s="6">
        <f>[1]Emissions!Q844</f>
        <v>17.677529610000001</v>
      </c>
      <c r="S427" s="6">
        <f>[1]Emissions!R844</f>
        <v>17.964237749999999</v>
      </c>
      <c r="T427" s="6">
        <f>[1]Emissions!S844</f>
        <v>18.239420500000001</v>
      </c>
      <c r="U427" s="6">
        <f>[1]Emissions!T844</f>
        <v>18.51254303</v>
      </c>
      <c r="V427" s="6">
        <f>[1]Emissions!U844</f>
        <v>18.79212325</v>
      </c>
      <c r="W427" s="6">
        <f>[1]Emissions!V844</f>
        <v>18.956847620000001</v>
      </c>
      <c r="X427" s="6">
        <f>[1]Emissions!W844</f>
        <v>19.29339938</v>
      </c>
      <c r="Y427" s="6">
        <f>[1]Emissions!X844</f>
        <v>19.647406190000002</v>
      </c>
      <c r="Z427" s="6">
        <f>[1]Emissions!Y844</f>
        <v>19.989243869999999</v>
      </c>
      <c r="AA427" s="6">
        <f>[1]Emissions!Z844</f>
        <v>20.32200104</v>
      </c>
      <c r="AB427" s="6">
        <f>[1]Emissions!AA844</f>
        <v>20.2791617</v>
      </c>
      <c r="AC427" s="6">
        <f>[1]Emissions!AB844</f>
        <v>20.559752</v>
      </c>
      <c r="AD427" s="6">
        <f>[1]Emissions!AC844</f>
        <v>20.904472309999999</v>
      </c>
      <c r="AE427" s="6">
        <f>[1]Emissions!AD844</f>
        <v>21.249670340000002</v>
      </c>
      <c r="AF427" s="6">
        <f>[1]Emissions!AE844</f>
        <v>21.591668819999999</v>
      </c>
      <c r="AG427" s="6">
        <f>[1]Emissions!AF844</f>
        <v>21.9334159</v>
      </c>
      <c r="AH427" s="6">
        <f>[1]Emissions!AG844</f>
        <v>22.275732300000001</v>
      </c>
      <c r="AI427" s="6">
        <f>[1]Emissions!AH844</f>
        <v>22.618187200000001</v>
      </c>
      <c r="AJ427" s="6">
        <f>[1]Emissions!AI844</f>
        <v>22.960692550000001</v>
      </c>
      <c r="AK427" s="6">
        <f>[1]Emissions!AJ844</f>
        <v>23.304153800000002</v>
      </c>
      <c r="AL427" s="6">
        <f>[1]Emissions!AK844</f>
        <v>23.650227950000001</v>
      </c>
    </row>
    <row r="428" spans="2:38" x14ac:dyDescent="0.3">
      <c r="B428" s="6" t="str">
        <f>[1]Emissions!A845</f>
        <v>ems_ci_co2_spap_2</v>
      </c>
      <c r="C428" s="6">
        <f>[1]Emissions!B845</f>
        <v>3.019823943</v>
      </c>
      <c r="D428" s="6">
        <f>[1]Emissions!C845</f>
        <v>3.0370934169999999</v>
      </c>
      <c r="E428" s="6">
        <f>[1]Emissions!D845</f>
        <v>3.0625783090000001</v>
      </c>
      <c r="F428" s="6">
        <f>[1]Emissions!E845</f>
        <v>3.1031887889999998</v>
      </c>
      <c r="G428" s="6">
        <f>[1]Emissions!F845</f>
        <v>3.1541549459999998</v>
      </c>
      <c r="H428" s="6">
        <f>[1]Emissions!G845</f>
        <v>3.210510829</v>
      </c>
      <c r="I428" s="6">
        <f>[1]Emissions!H845</f>
        <v>3.2553929190000002</v>
      </c>
      <c r="J428" s="6">
        <f>[1]Emissions!I845</f>
        <v>3.2871696109999999</v>
      </c>
      <c r="K428" s="6">
        <f>[1]Emissions!J845</f>
        <v>3.3190780040000001</v>
      </c>
      <c r="L428" s="6">
        <f>[1]Emissions!K845</f>
        <v>3.3569274830000002</v>
      </c>
      <c r="M428" s="6">
        <f>[1]Emissions!L845</f>
        <v>3.401188265</v>
      </c>
      <c r="N428" s="6">
        <f>[1]Emissions!M845</f>
        <v>3.460845489</v>
      </c>
      <c r="O428" s="6">
        <f>[1]Emissions!N845</f>
        <v>3.5259291859999999</v>
      </c>
      <c r="P428" s="6">
        <f>[1]Emissions!O845</f>
        <v>3.5928426830000002</v>
      </c>
      <c r="Q428" s="6">
        <f>[1]Emissions!P845</f>
        <v>3.659144564</v>
      </c>
      <c r="R428" s="6">
        <f>[1]Emissions!Q845</f>
        <v>3.7234103360000002</v>
      </c>
      <c r="S428" s="6">
        <f>[1]Emissions!R845</f>
        <v>3.7854667059999998</v>
      </c>
      <c r="T428" s="6">
        <f>[1]Emissions!S845</f>
        <v>3.8461569579999999</v>
      </c>
      <c r="U428" s="6">
        <f>[1]Emissions!T845</f>
        <v>3.9067773799999999</v>
      </c>
      <c r="V428" s="6">
        <f>[1]Emissions!U845</f>
        <v>3.9684982290000002</v>
      </c>
      <c r="W428" s="6">
        <f>[1]Emissions!V845</f>
        <v>4.0332386800000002</v>
      </c>
      <c r="X428" s="6">
        <f>[1]Emissions!W845</f>
        <v>4.0957865819999997</v>
      </c>
      <c r="Y428" s="6">
        <f>[1]Emissions!X845</f>
        <v>4.1610735959999996</v>
      </c>
      <c r="Z428" s="6">
        <f>[1]Emissions!Y845</f>
        <v>4.2287467970000003</v>
      </c>
      <c r="AA428" s="6">
        <f>[1]Emissions!Z845</f>
        <v>4.2979397529999996</v>
      </c>
      <c r="AB428" s="6">
        <f>[1]Emissions!AA845</f>
        <v>4.3704700890000003</v>
      </c>
      <c r="AC428" s="6">
        <f>[1]Emissions!AB845</f>
        <v>4.4350256000000003</v>
      </c>
      <c r="AD428" s="6">
        <f>[1]Emissions!AC845</f>
        <v>4.4998178729999996</v>
      </c>
      <c r="AE428" s="6">
        <f>[1]Emissions!AD845</f>
        <v>4.5663216909999997</v>
      </c>
      <c r="AF428" s="6">
        <f>[1]Emissions!AE845</f>
        <v>4.6346620429999996</v>
      </c>
      <c r="AG428" s="6">
        <f>[1]Emissions!AF845</f>
        <v>4.7045685400000004</v>
      </c>
      <c r="AH428" s="6">
        <f>[1]Emissions!AG845</f>
        <v>4.7756368589999996</v>
      </c>
      <c r="AI428" s="6">
        <f>[1]Emissions!AH845</f>
        <v>4.8475138170000003</v>
      </c>
      <c r="AJ428" s="6">
        <f>[1]Emissions!AI845</f>
        <v>4.920018346</v>
      </c>
      <c r="AK428" s="6">
        <f>[1]Emissions!AJ845</f>
        <v>4.9931678689999996</v>
      </c>
      <c r="AL428" s="6">
        <f>[1]Emissions!AK845</f>
        <v>5.0671211439999997</v>
      </c>
    </row>
    <row r="429" spans="2:38" x14ac:dyDescent="0.3">
      <c r="B429" s="6" t="str">
        <f>[1]Emissions!A846</f>
        <v>ems_y_co2_spap_2</v>
      </c>
      <c r="C429" s="6">
        <f>[1]Emissions!B846</f>
        <v>0</v>
      </c>
      <c r="D429" s="6">
        <f>[1]Emissions!C846</f>
        <v>0</v>
      </c>
      <c r="E429" s="6">
        <f>[1]Emissions!D846</f>
        <v>0</v>
      </c>
      <c r="F429" s="6">
        <f>[1]Emissions!E846</f>
        <v>0</v>
      </c>
      <c r="G429" s="6">
        <f>[1]Emissions!F846</f>
        <v>0</v>
      </c>
      <c r="H429" s="6">
        <f>[1]Emissions!G846</f>
        <v>0</v>
      </c>
      <c r="I429" s="6">
        <f>[1]Emissions!H846</f>
        <v>0</v>
      </c>
      <c r="J429" s="6">
        <f>[1]Emissions!I846</f>
        <v>0</v>
      </c>
      <c r="K429" s="6">
        <f>[1]Emissions!J846</f>
        <v>0</v>
      </c>
      <c r="L429" s="6">
        <f>[1]Emissions!K846</f>
        <v>0</v>
      </c>
      <c r="M429" s="6">
        <f>[1]Emissions!L846</f>
        <v>0</v>
      </c>
      <c r="N429" s="6">
        <f>[1]Emissions!M846</f>
        <v>0</v>
      </c>
      <c r="O429" s="6">
        <f>[1]Emissions!N846</f>
        <v>0</v>
      </c>
      <c r="P429" s="6">
        <f>[1]Emissions!O846</f>
        <v>0</v>
      </c>
      <c r="Q429" s="6">
        <f>[1]Emissions!P846</f>
        <v>0</v>
      </c>
      <c r="R429" s="6">
        <f>[1]Emissions!Q846</f>
        <v>0</v>
      </c>
      <c r="S429" s="6">
        <f>[1]Emissions!R846</f>
        <v>0</v>
      </c>
      <c r="T429" s="6">
        <f>[1]Emissions!S846</f>
        <v>0</v>
      </c>
      <c r="U429" s="6">
        <f>[1]Emissions!T846</f>
        <v>0</v>
      </c>
      <c r="V429" s="6">
        <f>[1]Emissions!U846</f>
        <v>0</v>
      </c>
      <c r="W429" s="6">
        <f>[1]Emissions!V846</f>
        <v>0</v>
      </c>
      <c r="X429" s="6">
        <f>[1]Emissions!W846</f>
        <v>0</v>
      </c>
      <c r="Y429" s="6">
        <f>[1]Emissions!X846</f>
        <v>0</v>
      </c>
      <c r="Z429" s="6">
        <f>[1]Emissions!Y846</f>
        <v>0</v>
      </c>
      <c r="AA429" s="6">
        <f>[1]Emissions!Z846</f>
        <v>0</v>
      </c>
      <c r="AB429" s="6">
        <f>[1]Emissions!AA846</f>
        <v>0</v>
      </c>
      <c r="AC429" s="6">
        <f>[1]Emissions!AB846</f>
        <v>0</v>
      </c>
      <c r="AD429" s="6">
        <f>[1]Emissions!AC846</f>
        <v>0</v>
      </c>
      <c r="AE429" s="6">
        <f>[1]Emissions!AD846</f>
        <v>0</v>
      </c>
      <c r="AF429" s="6">
        <f>[1]Emissions!AE846</f>
        <v>0</v>
      </c>
      <c r="AG429" s="6">
        <f>[1]Emissions!AF846</f>
        <v>0</v>
      </c>
      <c r="AH429" s="6">
        <f>[1]Emissions!AG846</f>
        <v>0</v>
      </c>
      <c r="AI429" s="6">
        <f>[1]Emissions!AH846</f>
        <v>0</v>
      </c>
      <c r="AJ429" s="6">
        <f>[1]Emissions!AI846</f>
        <v>0</v>
      </c>
      <c r="AK429" s="6">
        <f>[1]Emissions!AJ846</f>
        <v>0</v>
      </c>
      <c r="AL429" s="6">
        <f>[1]Emissions!AK846</f>
        <v>0</v>
      </c>
    </row>
    <row r="430" spans="2:38" x14ac:dyDescent="0.3">
      <c r="B430" s="6" t="str">
        <f>[1]Emissions!A847</f>
        <v>ems_mat_co2_spap_2</v>
      </c>
      <c r="C430" s="6">
        <f>[1]Emissions!B847</f>
        <v>0</v>
      </c>
      <c r="D430" s="6">
        <f>[1]Emissions!C847</f>
        <v>0</v>
      </c>
      <c r="E430" s="6">
        <f>[1]Emissions!D847</f>
        <v>0</v>
      </c>
      <c r="F430" s="6">
        <f>[1]Emissions!E847</f>
        <v>0</v>
      </c>
      <c r="G430" s="6">
        <f>[1]Emissions!F847</f>
        <v>0</v>
      </c>
      <c r="H430" s="6">
        <f>[1]Emissions!G847</f>
        <v>0</v>
      </c>
      <c r="I430" s="6">
        <f>[1]Emissions!H847</f>
        <v>0</v>
      </c>
      <c r="J430" s="6">
        <f>[1]Emissions!I847</f>
        <v>0</v>
      </c>
      <c r="K430" s="6">
        <f>[1]Emissions!J847</f>
        <v>0</v>
      </c>
      <c r="L430" s="6">
        <f>[1]Emissions!K847</f>
        <v>0</v>
      </c>
      <c r="M430" s="6">
        <f>[1]Emissions!L847</f>
        <v>0</v>
      </c>
      <c r="N430" s="6">
        <f>[1]Emissions!M847</f>
        <v>0</v>
      </c>
      <c r="O430" s="6">
        <f>[1]Emissions!N847</f>
        <v>0</v>
      </c>
      <c r="P430" s="6">
        <f>[1]Emissions!O847</f>
        <v>0</v>
      </c>
      <c r="Q430" s="6">
        <f>[1]Emissions!P847</f>
        <v>0</v>
      </c>
      <c r="R430" s="6">
        <f>[1]Emissions!Q847</f>
        <v>0</v>
      </c>
      <c r="S430" s="6">
        <f>[1]Emissions!R847</f>
        <v>0</v>
      </c>
      <c r="T430" s="6">
        <f>[1]Emissions!S847</f>
        <v>0</v>
      </c>
      <c r="U430" s="6">
        <f>[1]Emissions!T847</f>
        <v>0</v>
      </c>
      <c r="V430" s="6">
        <f>[1]Emissions!U847</f>
        <v>0</v>
      </c>
      <c r="W430" s="6">
        <f>[1]Emissions!V847</f>
        <v>0</v>
      </c>
      <c r="X430" s="6">
        <f>[1]Emissions!W847</f>
        <v>0</v>
      </c>
      <c r="Y430" s="6">
        <f>[1]Emissions!X847</f>
        <v>0</v>
      </c>
      <c r="Z430" s="6">
        <f>[1]Emissions!Y847</f>
        <v>0</v>
      </c>
      <c r="AA430" s="6">
        <f>[1]Emissions!Z847</f>
        <v>0</v>
      </c>
      <c r="AB430" s="6">
        <f>[1]Emissions!AA847</f>
        <v>0</v>
      </c>
      <c r="AC430" s="6">
        <f>[1]Emissions!AB847</f>
        <v>0</v>
      </c>
      <c r="AD430" s="6">
        <f>[1]Emissions!AC847</f>
        <v>0</v>
      </c>
      <c r="AE430" s="6">
        <f>[1]Emissions!AD847</f>
        <v>0</v>
      </c>
      <c r="AF430" s="6">
        <f>[1]Emissions!AE847</f>
        <v>0</v>
      </c>
      <c r="AG430" s="6">
        <f>[1]Emissions!AF847</f>
        <v>0</v>
      </c>
      <c r="AH430" s="6">
        <f>[1]Emissions!AG847</f>
        <v>0</v>
      </c>
      <c r="AI430" s="6">
        <f>[1]Emissions!AH847</f>
        <v>0</v>
      </c>
      <c r="AJ430" s="6">
        <f>[1]Emissions!AI847</f>
        <v>0</v>
      </c>
      <c r="AK430" s="6">
        <f>[1]Emissions!AJ847</f>
        <v>0</v>
      </c>
      <c r="AL430" s="6">
        <f>[1]Emissions!AK847</f>
        <v>0</v>
      </c>
    </row>
    <row r="431" spans="2:38" x14ac:dyDescent="0.3">
      <c r="B431" s="6" t="str">
        <f>[1]Emissions!A848</f>
        <v>ems_ci_co2_sche_2</v>
      </c>
      <c r="C431" s="6">
        <f>[1]Emissions!B848</f>
        <v>3.8354572290000002</v>
      </c>
      <c r="D431" s="6">
        <f>[1]Emissions!C848</f>
        <v>3.8344472760000001</v>
      </c>
      <c r="E431" s="6">
        <f>[1]Emissions!D848</f>
        <v>3.8453262760000002</v>
      </c>
      <c r="F431" s="6">
        <f>[1]Emissions!E848</f>
        <v>3.8701029330000001</v>
      </c>
      <c r="G431" s="6">
        <f>[1]Emissions!F848</f>
        <v>3.906545049</v>
      </c>
      <c r="H431" s="6">
        <f>[1]Emissions!G848</f>
        <v>3.9525100740000001</v>
      </c>
      <c r="I431" s="6">
        <f>[1]Emissions!H848</f>
        <v>3.998201441</v>
      </c>
      <c r="J431" s="6">
        <f>[1]Emissions!I848</f>
        <v>4.0308220229999998</v>
      </c>
      <c r="K431" s="6">
        <f>[1]Emissions!J848</f>
        <v>4.0616421249999997</v>
      </c>
      <c r="L431" s="6">
        <f>[1]Emissions!K848</f>
        <v>4.0951612669999999</v>
      </c>
      <c r="M431" s="6">
        <f>[1]Emissions!L848</f>
        <v>4.141291818</v>
      </c>
      <c r="N431" s="6">
        <f>[1]Emissions!M848</f>
        <v>4.1897603419999996</v>
      </c>
      <c r="O431" s="6">
        <f>[1]Emissions!N848</f>
        <v>4.2452246860000002</v>
      </c>
      <c r="P431" s="6">
        <f>[1]Emissions!O848</f>
        <v>4.3071043639999997</v>
      </c>
      <c r="Q431" s="6">
        <f>[1]Emissions!P848</f>
        <v>4.3729760569999998</v>
      </c>
      <c r="R431" s="6">
        <f>[1]Emissions!Q848</f>
        <v>4.4405073049999997</v>
      </c>
      <c r="S431" s="6">
        <f>[1]Emissions!R848</f>
        <v>4.508210987</v>
      </c>
      <c r="T431" s="6">
        <f>[1]Emissions!S848</f>
        <v>4.5756156539999999</v>
      </c>
      <c r="U431" s="6">
        <f>[1]Emissions!T848</f>
        <v>4.6430459439999998</v>
      </c>
      <c r="V431" s="6">
        <f>[1]Emissions!U848</f>
        <v>4.7112051150000003</v>
      </c>
      <c r="W431" s="6">
        <f>[1]Emissions!V848</f>
        <v>4.7757536729999996</v>
      </c>
      <c r="X431" s="6">
        <f>[1]Emissions!W848</f>
        <v>4.8463231740000001</v>
      </c>
      <c r="Y431" s="6">
        <f>[1]Emissions!X848</f>
        <v>4.919729394</v>
      </c>
      <c r="Z431" s="6">
        <f>[1]Emissions!Y848</f>
        <v>4.9948713439999999</v>
      </c>
      <c r="AA431" s="6">
        <f>[1]Emissions!Z848</f>
        <v>5.0713954169999997</v>
      </c>
      <c r="AB431" s="6">
        <f>[1]Emissions!AA848</f>
        <v>5.1339385719999999</v>
      </c>
      <c r="AC431" s="6">
        <f>[1]Emissions!AB848</f>
        <v>5.204240253</v>
      </c>
      <c r="AD431" s="6">
        <f>[1]Emissions!AC848</f>
        <v>5.2772028329999996</v>
      </c>
      <c r="AE431" s="6">
        <f>[1]Emissions!AD848</f>
        <v>5.3515116989999996</v>
      </c>
      <c r="AF431" s="6">
        <f>[1]Emissions!AE848</f>
        <v>5.4272858450000001</v>
      </c>
      <c r="AG431" s="6">
        <f>[1]Emissions!AF848</f>
        <v>5.5046771479999999</v>
      </c>
      <c r="AH431" s="6">
        <f>[1]Emissions!AG848</f>
        <v>5.5836093309999999</v>
      </c>
      <c r="AI431" s="6">
        <f>[1]Emissions!AH848</f>
        <v>5.663860519</v>
      </c>
      <c r="AJ431" s="6">
        <f>[1]Emissions!AI848</f>
        <v>5.7452059670000004</v>
      </c>
      <c r="AK431" s="6">
        <f>[1]Emissions!AJ848</f>
        <v>5.8275199630000003</v>
      </c>
      <c r="AL431" s="6">
        <f>[1]Emissions!AK848</f>
        <v>5.9108052779999998</v>
      </c>
    </row>
    <row r="432" spans="2:38" x14ac:dyDescent="0.3">
      <c r="B432" s="6" t="str">
        <f>[1]Emissions!A849</f>
        <v>ems_y_co2_sche_2</v>
      </c>
      <c r="C432" s="6">
        <f>[1]Emissions!B849</f>
        <v>0</v>
      </c>
      <c r="D432" s="6">
        <f>[1]Emissions!C849</f>
        <v>0</v>
      </c>
      <c r="E432" s="6">
        <f>[1]Emissions!D849</f>
        <v>0</v>
      </c>
      <c r="F432" s="6">
        <f>[1]Emissions!E849</f>
        <v>0</v>
      </c>
      <c r="G432" s="6">
        <f>[1]Emissions!F849</f>
        <v>0</v>
      </c>
      <c r="H432" s="6">
        <f>[1]Emissions!G849</f>
        <v>0</v>
      </c>
      <c r="I432" s="6">
        <f>[1]Emissions!H849</f>
        <v>0</v>
      </c>
      <c r="J432" s="6">
        <f>[1]Emissions!I849</f>
        <v>0</v>
      </c>
      <c r="K432" s="6">
        <f>[1]Emissions!J849</f>
        <v>0</v>
      </c>
      <c r="L432" s="6">
        <f>[1]Emissions!K849</f>
        <v>0</v>
      </c>
      <c r="M432" s="6">
        <f>[1]Emissions!L849</f>
        <v>0</v>
      </c>
      <c r="N432" s="6">
        <f>[1]Emissions!M849</f>
        <v>0</v>
      </c>
      <c r="O432" s="6">
        <f>[1]Emissions!N849</f>
        <v>0</v>
      </c>
      <c r="P432" s="6">
        <f>[1]Emissions!O849</f>
        <v>0</v>
      </c>
      <c r="Q432" s="6">
        <f>[1]Emissions!P849</f>
        <v>0</v>
      </c>
      <c r="R432" s="6">
        <f>[1]Emissions!Q849</f>
        <v>0</v>
      </c>
      <c r="S432" s="6">
        <f>[1]Emissions!R849</f>
        <v>0</v>
      </c>
      <c r="T432" s="6">
        <f>[1]Emissions!S849</f>
        <v>0</v>
      </c>
      <c r="U432" s="6">
        <f>[1]Emissions!T849</f>
        <v>0</v>
      </c>
      <c r="V432" s="6">
        <f>[1]Emissions!U849</f>
        <v>0</v>
      </c>
      <c r="W432" s="6">
        <f>[1]Emissions!V849</f>
        <v>0</v>
      </c>
      <c r="X432" s="6">
        <f>[1]Emissions!W849</f>
        <v>0</v>
      </c>
      <c r="Y432" s="6">
        <f>[1]Emissions!X849</f>
        <v>0</v>
      </c>
      <c r="Z432" s="6">
        <f>[1]Emissions!Y849</f>
        <v>0</v>
      </c>
      <c r="AA432" s="6">
        <f>[1]Emissions!Z849</f>
        <v>0</v>
      </c>
      <c r="AB432" s="6">
        <f>[1]Emissions!AA849</f>
        <v>0</v>
      </c>
      <c r="AC432" s="6">
        <f>[1]Emissions!AB849</f>
        <v>0</v>
      </c>
      <c r="AD432" s="6">
        <f>[1]Emissions!AC849</f>
        <v>0</v>
      </c>
      <c r="AE432" s="6">
        <f>[1]Emissions!AD849</f>
        <v>0</v>
      </c>
      <c r="AF432" s="6">
        <f>[1]Emissions!AE849</f>
        <v>0</v>
      </c>
      <c r="AG432" s="6">
        <f>[1]Emissions!AF849</f>
        <v>0</v>
      </c>
      <c r="AH432" s="6">
        <f>[1]Emissions!AG849</f>
        <v>0</v>
      </c>
      <c r="AI432" s="6">
        <f>[1]Emissions!AH849</f>
        <v>0</v>
      </c>
      <c r="AJ432" s="6">
        <f>[1]Emissions!AI849</f>
        <v>0</v>
      </c>
      <c r="AK432" s="6">
        <f>[1]Emissions!AJ849</f>
        <v>0</v>
      </c>
      <c r="AL432" s="6">
        <f>[1]Emissions!AK849</f>
        <v>0</v>
      </c>
    </row>
    <row r="433" spans="2:38" x14ac:dyDescent="0.3">
      <c r="B433" s="6" t="str">
        <f>[1]Emissions!A850</f>
        <v>ems_mat_co2_sche_2</v>
      </c>
      <c r="C433" s="6">
        <f>[1]Emissions!B850</f>
        <v>2.5948967509999998</v>
      </c>
      <c r="D433" s="6">
        <f>[1]Emissions!C850</f>
        <v>2.5942116820000001</v>
      </c>
      <c r="E433" s="6">
        <f>[1]Emissions!D850</f>
        <v>2.6043333030000002</v>
      </c>
      <c r="F433" s="6">
        <f>[1]Emissions!E850</f>
        <v>2.6259194130000001</v>
      </c>
      <c r="G433" s="6">
        <f>[1]Emissions!F850</f>
        <v>2.6559269080000001</v>
      </c>
      <c r="H433" s="6">
        <f>[1]Emissions!G850</f>
        <v>2.691380611</v>
      </c>
      <c r="I433" s="6">
        <f>[1]Emissions!H850</f>
        <v>2.7106734079999999</v>
      </c>
      <c r="J433" s="6">
        <f>[1]Emissions!I850</f>
        <v>2.7246786840000001</v>
      </c>
      <c r="K433" s="6">
        <f>[1]Emissions!J850</f>
        <v>2.7396815769999998</v>
      </c>
      <c r="L433" s="6">
        <f>[1]Emissions!K850</f>
        <v>2.7600994050000001</v>
      </c>
      <c r="M433" s="6">
        <f>[1]Emissions!L850</f>
        <v>2.7931500960000002</v>
      </c>
      <c r="N433" s="6">
        <f>[1]Emissions!M850</f>
        <v>2.8301964179999999</v>
      </c>
      <c r="O433" s="6">
        <f>[1]Emissions!N850</f>
        <v>2.872830075</v>
      </c>
      <c r="P433" s="6">
        <f>[1]Emissions!O850</f>
        <v>2.9191155700000002</v>
      </c>
      <c r="Q433" s="6">
        <f>[1]Emissions!P850</f>
        <v>2.9664386550000001</v>
      </c>
      <c r="R433" s="6">
        <f>[1]Emissions!Q850</f>
        <v>3.0129956180000002</v>
      </c>
      <c r="S433" s="6">
        <f>[1]Emissions!R850</f>
        <v>3.0581832069999999</v>
      </c>
      <c r="T433" s="6">
        <f>[1]Emissions!S850</f>
        <v>3.102395102</v>
      </c>
      <c r="U433" s="6">
        <f>[1]Emissions!T850</f>
        <v>3.1465258889999999</v>
      </c>
      <c r="V433" s="6">
        <f>[1]Emissions!U850</f>
        <v>3.1914616850000002</v>
      </c>
      <c r="W433" s="6">
        <f>[1]Emissions!V850</f>
        <v>3.234180367</v>
      </c>
      <c r="X433" s="6">
        <f>[1]Emissions!W850</f>
        <v>3.2814447520000001</v>
      </c>
      <c r="Y433" s="6">
        <f>[1]Emissions!X850</f>
        <v>3.330805233</v>
      </c>
      <c r="Z433" s="6">
        <f>[1]Emissions!Y850</f>
        <v>3.3812631230000001</v>
      </c>
      <c r="AA433" s="6">
        <f>[1]Emissions!Z850</f>
        <v>3.432421422</v>
      </c>
      <c r="AB433" s="6">
        <f>[1]Emissions!AA850</f>
        <v>3.4733975579999998</v>
      </c>
      <c r="AC433" s="6">
        <f>[1]Emissions!AB850</f>
        <v>3.5197923950000001</v>
      </c>
      <c r="AD433" s="6">
        <f>[1]Emissions!AC850</f>
        <v>3.5683417039999998</v>
      </c>
      <c r="AE433" s="6">
        <f>[1]Emissions!AD850</f>
        <v>3.618228824</v>
      </c>
      <c r="AF433" s="6">
        <f>[1]Emissions!AE850</f>
        <v>3.6694233590000001</v>
      </c>
      <c r="AG433" s="6">
        <f>[1]Emissions!AF850</f>
        <v>3.7218135179999998</v>
      </c>
      <c r="AH433" s="6">
        <f>[1]Emissions!AG850</f>
        <v>3.7751405930000002</v>
      </c>
      <c r="AI433" s="6">
        <f>[1]Emissions!AH850</f>
        <v>3.8291355029999998</v>
      </c>
      <c r="AJ433" s="6">
        <f>[1]Emissions!AI850</f>
        <v>3.883640701</v>
      </c>
      <c r="AK433" s="6">
        <f>[1]Emissions!AJ850</f>
        <v>3.9386527500000001</v>
      </c>
      <c r="AL433" s="6">
        <f>[1]Emissions!AK850</f>
        <v>3.9942877700000001</v>
      </c>
    </row>
    <row r="434" spans="2:38" x14ac:dyDescent="0.3">
      <c r="B434" s="6" t="str">
        <f>[1]Emissions!A851</f>
        <v>ems_ci_co2_spla_2</v>
      </c>
      <c r="C434" s="6">
        <f>[1]Emissions!B851</f>
        <v>1.29735004</v>
      </c>
      <c r="D434" s="6">
        <f>[1]Emissions!C851</f>
        <v>1.3029338989999999</v>
      </c>
      <c r="E434" s="6">
        <f>[1]Emissions!D851</f>
        <v>1.308897988</v>
      </c>
      <c r="F434" s="6">
        <f>[1]Emissions!E851</f>
        <v>1.3155670989999999</v>
      </c>
      <c r="G434" s="6">
        <f>[1]Emissions!F851</f>
        <v>1.3246463100000001</v>
      </c>
      <c r="H434" s="6">
        <f>[1]Emissions!G851</f>
        <v>1.3380620059999999</v>
      </c>
      <c r="I434" s="6">
        <f>[1]Emissions!H851</f>
        <v>1.3723366260000001</v>
      </c>
      <c r="J434" s="6">
        <f>[1]Emissions!I851</f>
        <v>1.394506341</v>
      </c>
      <c r="K434" s="6">
        <f>[1]Emissions!J851</f>
        <v>1.412206327</v>
      </c>
      <c r="L434" s="6">
        <f>[1]Emissions!K851</f>
        <v>1.4252638129999999</v>
      </c>
      <c r="M434" s="6">
        <f>[1]Emissions!L851</f>
        <v>1.438404697</v>
      </c>
      <c r="N434" s="6">
        <f>[1]Emissions!M851</f>
        <v>1.4474346410000001</v>
      </c>
      <c r="O434" s="6">
        <f>[1]Emissions!N851</f>
        <v>1.4585300969999999</v>
      </c>
      <c r="P434" s="6">
        <f>[1]Emissions!O851</f>
        <v>1.473812575</v>
      </c>
      <c r="Q434" s="6">
        <f>[1]Emissions!P851</f>
        <v>1.4934044790000001</v>
      </c>
      <c r="R434" s="6">
        <f>[1]Emissions!Q851</f>
        <v>1.516394764</v>
      </c>
      <c r="S434" s="6">
        <f>[1]Emissions!R851</f>
        <v>1.5414067039999999</v>
      </c>
      <c r="T434" s="6">
        <f>[1]Emissions!S851</f>
        <v>1.567130905</v>
      </c>
      <c r="U434" s="6">
        <f>[1]Emissions!T851</f>
        <v>1.5927173509999999</v>
      </c>
      <c r="V434" s="6">
        <f>[1]Emissions!U851</f>
        <v>1.6179045249999999</v>
      </c>
      <c r="W434" s="6">
        <f>[1]Emissions!V851</f>
        <v>1.640358086</v>
      </c>
      <c r="X434" s="6">
        <f>[1]Emissions!W851</f>
        <v>1.665587325</v>
      </c>
      <c r="Y434" s="6">
        <f>[1]Emissions!X851</f>
        <v>1.691606868</v>
      </c>
      <c r="Z434" s="6">
        <f>[1]Emissions!Y851</f>
        <v>1.718177928</v>
      </c>
      <c r="AA434" s="6">
        <f>[1]Emissions!Z851</f>
        <v>1.7454321189999999</v>
      </c>
      <c r="AB434" s="6">
        <f>[1]Emissions!AA851</f>
        <v>1.7656189410000001</v>
      </c>
      <c r="AC434" s="6">
        <f>[1]Emissions!AB851</f>
        <v>1.7910470270000001</v>
      </c>
      <c r="AD434" s="6">
        <f>[1]Emissions!AC851</f>
        <v>1.817291386</v>
      </c>
      <c r="AE434" s="6">
        <f>[1]Emissions!AD851</f>
        <v>1.843260066</v>
      </c>
      <c r="AF434" s="6">
        <f>[1]Emissions!AE851</f>
        <v>1.869197094</v>
      </c>
      <c r="AG434" s="6">
        <f>[1]Emissions!AF851</f>
        <v>1.895550337</v>
      </c>
      <c r="AH434" s="6">
        <f>[1]Emissions!AG851</f>
        <v>1.9226225800000001</v>
      </c>
      <c r="AI434" s="6">
        <f>[1]Emissions!AH851</f>
        <v>1.9504926199999999</v>
      </c>
      <c r="AJ434" s="6">
        <f>[1]Emissions!AI851</f>
        <v>1.9790561170000001</v>
      </c>
      <c r="AK434" s="6">
        <f>[1]Emissions!AJ851</f>
        <v>2.0081222969999999</v>
      </c>
      <c r="AL434" s="6">
        <f>[1]Emissions!AK851</f>
        <v>2.0375147060000001</v>
      </c>
    </row>
    <row r="435" spans="2:38" x14ac:dyDescent="0.3">
      <c r="B435" s="6" t="str">
        <f>[1]Emissions!A852</f>
        <v>ems_y_co2_spla_2</v>
      </c>
      <c r="C435" s="6">
        <f>[1]Emissions!B852</f>
        <v>0</v>
      </c>
      <c r="D435" s="6">
        <f>[1]Emissions!C852</f>
        <v>0</v>
      </c>
      <c r="E435" s="6">
        <f>[1]Emissions!D852</f>
        <v>0</v>
      </c>
      <c r="F435" s="6">
        <f>[1]Emissions!E852</f>
        <v>0</v>
      </c>
      <c r="G435" s="6">
        <f>[1]Emissions!F852</f>
        <v>0</v>
      </c>
      <c r="H435" s="6">
        <f>[1]Emissions!G852</f>
        <v>0</v>
      </c>
      <c r="I435" s="6">
        <f>[1]Emissions!H852</f>
        <v>0</v>
      </c>
      <c r="J435" s="6">
        <f>[1]Emissions!I852</f>
        <v>0</v>
      </c>
      <c r="K435" s="6">
        <f>[1]Emissions!J852</f>
        <v>0</v>
      </c>
      <c r="L435" s="6">
        <f>[1]Emissions!K852</f>
        <v>0</v>
      </c>
      <c r="M435" s="6">
        <f>[1]Emissions!L852</f>
        <v>0</v>
      </c>
      <c r="N435" s="6">
        <f>[1]Emissions!M852</f>
        <v>0</v>
      </c>
      <c r="O435" s="6">
        <f>[1]Emissions!N852</f>
        <v>0</v>
      </c>
      <c r="P435" s="6">
        <f>[1]Emissions!O852</f>
        <v>0</v>
      </c>
      <c r="Q435" s="6">
        <f>[1]Emissions!P852</f>
        <v>0</v>
      </c>
      <c r="R435" s="6">
        <f>[1]Emissions!Q852</f>
        <v>0</v>
      </c>
      <c r="S435" s="6">
        <f>[1]Emissions!R852</f>
        <v>0</v>
      </c>
      <c r="T435" s="6">
        <f>[1]Emissions!S852</f>
        <v>0</v>
      </c>
      <c r="U435" s="6">
        <f>[1]Emissions!T852</f>
        <v>0</v>
      </c>
      <c r="V435" s="6">
        <f>[1]Emissions!U852</f>
        <v>0</v>
      </c>
      <c r="W435" s="6">
        <f>[1]Emissions!V852</f>
        <v>0</v>
      </c>
      <c r="X435" s="6">
        <f>[1]Emissions!W852</f>
        <v>0</v>
      </c>
      <c r="Y435" s="6">
        <f>[1]Emissions!X852</f>
        <v>0</v>
      </c>
      <c r="Z435" s="6">
        <f>[1]Emissions!Y852</f>
        <v>0</v>
      </c>
      <c r="AA435" s="6">
        <f>[1]Emissions!Z852</f>
        <v>0</v>
      </c>
      <c r="AB435" s="6">
        <f>[1]Emissions!AA852</f>
        <v>0</v>
      </c>
      <c r="AC435" s="6">
        <f>[1]Emissions!AB852</f>
        <v>0</v>
      </c>
      <c r="AD435" s="6">
        <f>[1]Emissions!AC852</f>
        <v>0</v>
      </c>
      <c r="AE435" s="6">
        <f>[1]Emissions!AD852</f>
        <v>0</v>
      </c>
      <c r="AF435" s="6">
        <f>[1]Emissions!AE852</f>
        <v>0</v>
      </c>
      <c r="AG435" s="6">
        <f>[1]Emissions!AF852</f>
        <v>0</v>
      </c>
      <c r="AH435" s="6">
        <f>[1]Emissions!AG852</f>
        <v>0</v>
      </c>
      <c r="AI435" s="6">
        <f>[1]Emissions!AH852</f>
        <v>0</v>
      </c>
      <c r="AJ435" s="6">
        <f>[1]Emissions!AI852</f>
        <v>0</v>
      </c>
      <c r="AK435" s="6">
        <f>[1]Emissions!AJ852</f>
        <v>0</v>
      </c>
      <c r="AL435" s="6">
        <f>[1]Emissions!AK852</f>
        <v>0</v>
      </c>
    </row>
    <row r="436" spans="2:38" x14ac:dyDescent="0.3">
      <c r="B436" s="6" t="str">
        <f>[1]Emissions!A853</f>
        <v>ems_mat_co2_spla_2</v>
      </c>
      <c r="C436" s="6">
        <f>[1]Emissions!B853</f>
        <v>0</v>
      </c>
      <c r="D436" s="6">
        <f>[1]Emissions!C853</f>
        <v>0</v>
      </c>
      <c r="E436" s="6">
        <f>[1]Emissions!D853</f>
        <v>0</v>
      </c>
      <c r="F436" s="6">
        <f>[1]Emissions!E853</f>
        <v>0</v>
      </c>
      <c r="G436" s="6">
        <f>[1]Emissions!F853</f>
        <v>0</v>
      </c>
      <c r="H436" s="6">
        <f>[1]Emissions!G853</f>
        <v>0</v>
      </c>
      <c r="I436" s="6">
        <f>[1]Emissions!H853</f>
        <v>0</v>
      </c>
      <c r="J436" s="6">
        <f>[1]Emissions!I853</f>
        <v>0</v>
      </c>
      <c r="K436" s="6">
        <f>[1]Emissions!J853</f>
        <v>0</v>
      </c>
      <c r="L436" s="6">
        <f>[1]Emissions!K853</f>
        <v>0</v>
      </c>
      <c r="M436" s="6">
        <f>[1]Emissions!L853</f>
        <v>0</v>
      </c>
      <c r="N436" s="6">
        <f>[1]Emissions!M853</f>
        <v>0</v>
      </c>
      <c r="O436" s="6">
        <f>[1]Emissions!N853</f>
        <v>0</v>
      </c>
      <c r="P436" s="6">
        <f>[1]Emissions!O853</f>
        <v>0</v>
      </c>
      <c r="Q436" s="6">
        <f>[1]Emissions!P853</f>
        <v>0</v>
      </c>
      <c r="R436" s="6">
        <f>[1]Emissions!Q853</f>
        <v>0</v>
      </c>
      <c r="S436" s="6">
        <f>[1]Emissions!R853</f>
        <v>0</v>
      </c>
      <c r="T436" s="6">
        <f>[1]Emissions!S853</f>
        <v>0</v>
      </c>
      <c r="U436" s="6">
        <f>[1]Emissions!T853</f>
        <v>0</v>
      </c>
      <c r="V436" s="6">
        <f>[1]Emissions!U853</f>
        <v>0</v>
      </c>
      <c r="W436" s="6">
        <f>[1]Emissions!V853</f>
        <v>0</v>
      </c>
      <c r="X436" s="6">
        <f>[1]Emissions!W853</f>
        <v>0</v>
      </c>
      <c r="Y436" s="6">
        <f>[1]Emissions!X853</f>
        <v>0</v>
      </c>
      <c r="Z436" s="6">
        <f>[1]Emissions!Y853</f>
        <v>0</v>
      </c>
      <c r="AA436" s="6">
        <f>[1]Emissions!Z853</f>
        <v>0</v>
      </c>
      <c r="AB436" s="6">
        <f>[1]Emissions!AA853</f>
        <v>0</v>
      </c>
      <c r="AC436" s="6">
        <f>[1]Emissions!AB853</f>
        <v>0</v>
      </c>
      <c r="AD436" s="6">
        <f>[1]Emissions!AC853</f>
        <v>0</v>
      </c>
      <c r="AE436" s="6">
        <f>[1]Emissions!AD853</f>
        <v>0</v>
      </c>
      <c r="AF436" s="6">
        <f>[1]Emissions!AE853</f>
        <v>0</v>
      </c>
      <c r="AG436" s="6">
        <f>[1]Emissions!AF853</f>
        <v>0</v>
      </c>
      <c r="AH436" s="6">
        <f>[1]Emissions!AG853</f>
        <v>0</v>
      </c>
      <c r="AI436" s="6">
        <f>[1]Emissions!AH853</f>
        <v>0</v>
      </c>
      <c r="AJ436" s="6">
        <f>[1]Emissions!AI853</f>
        <v>0</v>
      </c>
      <c r="AK436" s="6">
        <f>[1]Emissions!AJ853</f>
        <v>0</v>
      </c>
      <c r="AL436" s="6">
        <f>[1]Emissions!AK853</f>
        <v>0</v>
      </c>
    </row>
    <row r="437" spans="2:38" x14ac:dyDescent="0.3">
      <c r="B437" s="6" t="str">
        <f>[1]Emissions!A854</f>
        <v>ems_ci_co2_smet_2</v>
      </c>
      <c r="C437" s="6">
        <f>[1]Emissions!B854</f>
        <v>7.5653420369999997</v>
      </c>
      <c r="D437" s="6">
        <f>[1]Emissions!C854</f>
        <v>7.670200565</v>
      </c>
      <c r="E437" s="6">
        <f>[1]Emissions!D854</f>
        <v>7.7905426029999996</v>
      </c>
      <c r="F437" s="6">
        <f>[1]Emissions!E854</f>
        <v>7.9128633859999997</v>
      </c>
      <c r="G437" s="6">
        <f>[1]Emissions!F854</f>
        <v>8.0375349549999999</v>
      </c>
      <c r="H437" s="6">
        <f>[1]Emissions!G854</f>
        <v>8.1671483919999996</v>
      </c>
      <c r="I437" s="6">
        <f>[1]Emissions!H854</f>
        <v>8.2786611449999992</v>
      </c>
      <c r="J437" s="6">
        <f>[1]Emissions!I854</f>
        <v>8.3720453549999991</v>
      </c>
      <c r="K437" s="6">
        <f>[1]Emissions!J854</f>
        <v>8.4628725340000006</v>
      </c>
      <c r="L437" s="6">
        <f>[1]Emissions!K854</f>
        <v>8.5563592629999992</v>
      </c>
      <c r="M437" s="6">
        <f>[1]Emissions!L854</f>
        <v>8.6813780250000008</v>
      </c>
      <c r="N437" s="6">
        <f>[1]Emissions!M854</f>
        <v>8.7914602899999998</v>
      </c>
      <c r="O437" s="6">
        <f>[1]Emissions!N854</f>
        <v>8.912090804</v>
      </c>
      <c r="P437" s="6">
        <f>[1]Emissions!O854</f>
        <v>9.0447457129999993</v>
      </c>
      <c r="Q437" s="6">
        <f>[1]Emissions!P854</f>
        <v>9.1850771580000004</v>
      </c>
      <c r="R437" s="6">
        <f>[1]Emissions!Q854</f>
        <v>9.3287288959999994</v>
      </c>
      <c r="S437" s="6">
        <f>[1]Emissions!R854</f>
        <v>9.4728945329999998</v>
      </c>
      <c r="T437" s="6">
        <f>[1]Emissions!S854</f>
        <v>9.6165983869999998</v>
      </c>
      <c r="U437" s="6">
        <f>[1]Emissions!T854</f>
        <v>9.7603170000000006</v>
      </c>
      <c r="V437" s="6">
        <f>[1]Emissions!U854</f>
        <v>9.9052679389999998</v>
      </c>
      <c r="W437" s="6">
        <f>[1]Emissions!V854</f>
        <v>10.035282499999999</v>
      </c>
      <c r="X437" s="6">
        <f>[1]Emissions!W854</f>
        <v>10.18722051</v>
      </c>
      <c r="Y437" s="6">
        <f>[1]Emissions!X854</f>
        <v>10.344437210000001</v>
      </c>
      <c r="Z437" s="6">
        <f>[1]Emissions!Y854</f>
        <v>10.5037661</v>
      </c>
      <c r="AA437" s="6">
        <f>[1]Emissions!Z854</f>
        <v>10.66509593</v>
      </c>
      <c r="AB437" s="6">
        <f>[1]Emissions!AA854</f>
        <v>10.777352990000001</v>
      </c>
      <c r="AC437" s="6">
        <f>[1]Emissions!AB854</f>
        <v>10.924610749999999</v>
      </c>
      <c r="AD437" s="6">
        <f>[1]Emissions!AC854</f>
        <v>11.08011539</v>
      </c>
      <c r="AE437" s="6">
        <f>[1]Emissions!AD854</f>
        <v>11.23783521</v>
      </c>
      <c r="AF437" s="6">
        <f>[1]Emissions!AE854</f>
        <v>11.39771829</v>
      </c>
      <c r="AG437" s="6">
        <f>[1]Emissions!AF854</f>
        <v>11.560322230000001</v>
      </c>
      <c r="AH437" s="6">
        <f>[1]Emissions!AG854</f>
        <v>11.725777130000001</v>
      </c>
      <c r="AI437" s="6">
        <f>[1]Emissions!AH854</f>
        <v>11.89385776</v>
      </c>
      <c r="AJ437" s="6">
        <f>[1]Emissions!AI854</f>
        <v>12.06425054</v>
      </c>
      <c r="AK437" s="6">
        <f>[1]Emissions!AJ854</f>
        <v>12.23676161</v>
      </c>
      <c r="AL437" s="6">
        <f>[1]Emissions!AK854</f>
        <v>12.411396119999999</v>
      </c>
    </row>
    <row r="438" spans="2:38" x14ac:dyDescent="0.3">
      <c r="B438" s="6" t="str">
        <f>[1]Emissions!A855</f>
        <v>ems_y_co2_smet_2</v>
      </c>
      <c r="C438" s="6">
        <f>[1]Emissions!B855</f>
        <v>0</v>
      </c>
      <c r="D438" s="6">
        <f>[1]Emissions!C855</f>
        <v>0</v>
      </c>
      <c r="E438" s="6">
        <f>[1]Emissions!D855</f>
        <v>0</v>
      </c>
      <c r="F438" s="6">
        <f>[1]Emissions!E855</f>
        <v>0</v>
      </c>
      <c r="G438" s="6">
        <f>[1]Emissions!F855</f>
        <v>0</v>
      </c>
      <c r="H438" s="6">
        <f>[1]Emissions!G855</f>
        <v>0</v>
      </c>
      <c r="I438" s="6">
        <f>[1]Emissions!H855</f>
        <v>0</v>
      </c>
      <c r="J438" s="6">
        <f>[1]Emissions!I855</f>
        <v>0</v>
      </c>
      <c r="K438" s="6">
        <f>[1]Emissions!J855</f>
        <v>0</v>
      </c>
      <c r="L438" s="6">
        <f>[1]Emissions!K855</f>
        <v>0</v>
      </c>
      <c r="M438" s="6">
        <f>[1]Emissions!L855</f>
        <v>0</v>
      </c>
      <c r="N438" s="6">
        <f>[1]Emissions!M855</f>
        <v>0</v>
      </c>
      <c r="O438" s="6">
        <f>[1]Emissions!N855</f>
        <v>0</v>
      </c>
      <c r="P438" s="6">
        <f>[1]Emissions!O855</f>
        <v>0</v>
      </c>
      <c r="Q438" s="6">
        <f>[1]Emissions!P855</f>
        <v>0</v>
      </c>
      <c r="R438" s="6">
        <f>[1]Emissions!Q855</f>
        <v>0</v>
      </c>
      <c r="S438" s="6">
        <f>[1]Emissions!R855</f>
        <v>0</v>
      </c>
      <c r="T438" s="6">
        <f>[1]Emissions!S855</f>
        <v>0</v>
      </c>
      <c r="U438" s="6">
        <f>[1]Emissions!T855</f>
        <v>0</v>
      </c>
      <c r="V438" s="6">
        <f>[1]Emissions!U855</f>
        <v>0</v>
      </c>
      <c r="W438" s="6">
        <f>[1]Emissions!V855</f>
        <v>0</v>
      </c>
      <c r="X438" s="6">
        <f>[1]Emissions!W855</f>
        <v>0</v>
      </c>
      <c r="Y438" s="6">
        <f>[1]Emissions!X855</f>
        <v>0</v>
      </c>
      <c r="Z438" s="6">
        <f>[1]Emissions!Y855</f>
        <v>0</v>
      </c>
      <c r="AA438" s="6">
        <f>[1]Emissions!Z855</f>
        <v>0</v>
      </c>
      <c r="AB438" s="6">
        <f>[1]Emissions!AA855</f>
        <v>0</v>
      </c>
      <c r="AC438" s="6">
        <f>[1]Emissions!AB855</f>
        <v>0</v>
      </c>
      <c r="AD438" s="6">
        <f>[1]Emissions!AC855</f>
        <v>0</v>
      </c>
      <c r="AE438" s="6">
        <f>[1]Emissions!AD855</f>
        <v>0</v>
      </c>
      <c r="AF438" s="6">
        <f>[1]Emissions!AE855</f>
        <v>0</v>
      </c>
      <c r="AG438" s="6">
        <f>[1]Emissions!AF855</f>
        <v>0</v>
      </c>
      <c r="AH438" s="6">
        <f>[1]Emissions!AG855</f>
        <v>0</v>
      </c>
      <c r="AI438" s="6">
        <f>[1]Emissions!AH855</f>
        <v>0</v>
      </c>
      <c r="AJ438" s="6">
        <f>[1]Emissions!AI855</f>
        <v>0</v>
      </c>
      <c r="AK438" s="6">
        <f>[1]Emissions!AJ855</f>
        <v>0</v>
      </c>
      <c r="AL438" s="6">
        <f>[1]Emissions!AK855</f>
        <v>0</v>
      </c>
    </row>
    <row r="439" spans="2:38" x14ac:dyDescent="0.3">
      <c r="B439" s="6" t="str">
        <f>[1]Emissions!A856</f>
        <v>ems_mat_co2_smet_2</v>
      </c>
      <c r="C439" s="6">
        <f>[1]Emissions!B856</f>
        <v>12.8223094</v>
      </c>
      <c r="D439" s="6">
        <f>[1]Emissions!C856</f>
        <v>13.00204447</v>
      </c>
      <c r="E439" s="6">
        <f>[1]Emissions!D856</f>
        <v>13.220380049999999</v>
      </c>
      <c r="F439" s="6">
        <f>[1]Emissions!E856</f>
        <v>13.454561229999999</v>
      </c>
      <c r="G439" s="6">
        <f>[1]Emissions!F856</f>
        <v>13.700105799999999</v>
      </c>
      <c r="H439" s="6">
        <f>[1]Emissions!G856</f>
        <v>13.954016299999999</v>
      </c>
      <c r="I439" s="6">
        <f>[1]Emissions!H856</f>
        <v>14.107057470000001</v>
      </c>
      <c r="J439" s="6">
        <f>[1]Emissions!I856</f>
        <v>14.225969279999999</v>
      </c>
      <c r="K439" s="6">
        <f>[1]Emissions!J856</f>
        <v>14.339348810000001</v>
      </c>
      <c r="L439" s="6">
        <f>[1]Emissions!K856</f>
        <v>14.467923109999999</v>
      </c>
      <c r="M439" s="6">
        <f>[1]Emissions!L856</f>
        <v>14.66881485</v>
      </c>
      <c r="N439" s="6">
        <f>[1]Emissions!M856</f>
        <v>14.860677819999999</v>
      </c>
      <c r="O439" s="6">
        <f>[1]Emissions!N856</f>
        <v>15.081224860000001</v>
      </c>
      <c r="P439" s="6">
        <f>[1]Emissions!O856</f>
        <v>15.325336419999999</v>
      </c>
      <c r="Q439" s="6">
        <f>[1]Emissions!P856</f>
        <v>15.57895641</v>
      </c>
      <c r="R439" s="6">
        <f>[1]Emissions!Q856</f>
        <v>15.830816629999999</v>
      </c>
      <c r="S439" s="6">
        <f>[1]Emissions!R856</f>
        <v>16.07558465</v>
      </c>
      <c r="T439" s="6">
        <f>[1]Emissions!S856</f>
        <v>16.313559059999999</v>
      </c>
      <c r="U439" s="6">
        <f>[1]Emissions!T856</f>
        <v>16.548549690000002</v>
      </c>
      <c r="V439" s="6">
        <f>[1]Emissions!U856</f>
        <v>16.78526793</v>
      </c>
      <c r="W439" s="6">
        <f>[1]Emissions!V856</f>
        <v>16.997011839999999</v>
      </c>
      <c r="X439" s="6">
        <f>[1]Emissions!W856</f>
        <v>17.247988710000001</v>
      </c>
      <c r="Y439" s="6">
        <f>[1]Emissions!X856</f>
        <v>17.50936265</v>
      </c>
      <c r="Z439" s="6">
        <f>[1]Emissions!Y856</f>
        <v>17.774732010000001</v>
      </c>
      <c r="AA439" s="6">
        <f>[1]Emissions!Z856</f>
        <v>18.042905680000001</v>
      </c>
      <c r="AB439" s="6">
        <f>[1]Emissions!AA856</f>
        <v>18.224875870000002</v>
      </c>
      <c r="AC439" s="6">
        <f>[1]Emissions!AB856</f>
        <v>18.466004049999999</v>
      </c>
      <c r="AD439" s="6">
        <f>[1]Emissions!AC856</f>
        <v>18.722228390000001</v>
      </c>
      <c r="AE439" s="6">
        <f>[1]Emissions!AD856</f>
        <v>18.984222580000001</v>
      </c>
      <c r="AF439" s="6">
        <f>[1]Emissions!AE856</f>
        <v>19.251912829999998</v>
      </c>
      <c r="AG439" s="6">
        <f>[1]Emissions!AF856</f>
        <v>19.525528860000001</v>
      </c>
      <c r="AH439" s="6">
        <f>[1]Emissions!AG856</f>
        <v>19.80428156</v>
      </c>
      <c r="AI439" s="6">
        <f>[1]Emissions!AH856</f>
        <v>20.086935260000001</v>
      </c>
      <c r="AJ439" s="6">
        <f>[1]Emissions!AI856</f>
        <v>20.372542110000001</v>
      </c>
      <c r="AK439" s="6">
        <f>[1]Emissions!AJ856</f>
        <v>20.660835580000001</v>
      </c>
      <c r="AL439" s="6">
        <f>[1]Emissions!AK856</f>
        <v>20.952207860000001</v>
      </c>
    </row>
    <row r="440" spans="2:38" x14ac:dyDescent="0.3">
      <c r="B440" s="6" t="str">
        <f>[1]Emissions!A857</f>
        <v>ems_ci_co2_sigo_2</v>
      </c>
      <c r="C440" s="6">
        <f>[1]Emissions!B857</f>
        <v>3.0087871819999998</v>
      </c>
      <c r="D440" s="6">
        <f>[1]Emissions!C857</f>
        <v>3.0159860329999999</v>
      </c>
      <c r="E440" s="6">
        <f>[1]Emissions!D857</f>
        <v>3.0253728889999998</v>
      </c>
      <c r="F440" s="6">
        <f>[1]Emissions!E857</f>
        <v>3.0397772879999998</v>
      </c>
      <c r="G440" s="6">
        <f>[1]Emissions!F857</f>
        <v>3.0618592009999999</v>
      </c>
      <c r="H440" s="6">
        <f>[1]Emissions!G857</f>
        <v>3.09398178</v>
      </c>
      <c r="I440" s="6">
        <f>[1]Emissions!H857</f>
        <v>3.1637517019999999</v>
      </c>
      <c r="J440" s="6">
        <f>[1]Emissions!I857</f>
        <v>3.206608863</v>
      </c>
      <c r="K440" s="6">
        <f>[1]Emissions!J857</f>
        <v>3.2393305849999998</v>
      </c>
      <c r="L440" s="6">
        <f>[1]Emissions!K857</f>
        <v>3.2643755749999999</v>
      </c>
      <c r="M440" s="6">
        <f>[1]Emissions!L857</f>
        <v>3.2913248369999999</v>
      </c>
      <c r="N440" s="6">
        <f>[1]Emissions!M857</f>
        <v>3.3152559579999998</v>
      </c>
      <c r="O440" s="6">
        <f>[1]Emissions!N857</f>
        <v>3.3453170719999998</v>
      </c>
      <c r="P440" s="6">
        <f>[1]Emissions!O857</f>
        <v>3.3844629550000001</v>
      </c>
      <c r="Q440" s="6">
        <f>[1]Emissions!P857</f>
        <v>3.4320447810000001</v>
      </c>
      <c r="R440" s="6">
        <f>[1]Emissions!Q857</f>
        <v>3.4856481490000002</v>
      </c>
      <c r="S440" s="6">
        <f>[1]Emissions!R857</f>
        <v>3.542326756</v>
      </c>
      <c r="T440" s="6">
        <f>[1]Emissions!S857</f>
        <v>3.5996395720000001</v>
      </c>
      <c r="U440" s="6">
        <f>[1]Emissions!T857</f>
        <v>3.656276697</v>
      </c>
      <c r="V440" s="6">
        <f>[1]Emissions!U857</f>
        <v>3.7121202210000002</v>
      </c>
      <c r="W440" s="6">
        <f>[1]Emissions!V857</f>
        <v>3.7635966839999999</v>
      </c>
      <c r="X440" s="6">
        <f>[1]Emissions!W857</f>
        <v>3.81961482</v>
      </c>
      <c r="Y440" s="6">
        <f>[1]Emissions!X857</f>
        <v>3.8777092299999998</v>
      </c>
      <c r="Z440" s="6">
        <f>[1]Emissions!Y857</f>
        <v>3.9374377580000002</v>
      </c>
      <c r="AA440" s="6">
        <f>[1]Emissions!Z857</f>
        <v>3.998836485</v>
      </c>
      <c r="AB440" s="6">
        <f>[1]Emissions!AA857</f>
        <v>4.0486369590000004</v>
      </c>
      <c r="AC440" s="6">
        <f>[1]Emissions!AB857</f>
        <v>4.1059073220000002</v>
      </c>
      <c r="AD440" s="6">
        <f>[1]Emissions!AC857</f>
        <v>4.1646865890000004</v>
      </c>
      <c r="AE440" s="6">
        <f>[1]Emissions!AD857</f>
        <v>4.2234267369999996</v>
      </c>
      <c r="AF440" s="6">
        <f>[1]Emissions!AE857</f>
        <v>4.282614981</v>
      </c>
      <c r="AG440" s="6">
        <f>[1]Emissions!AF857</f>
        <v>4.3429975980000002</v>
      </c>
      <c r="AH440" s="6">
        <f>[1]Emissions!AG857</f>
        <v>4.4050043419999998</v>
      </c>
      <c r="AI440" s="6">
        <f>[1]Emissions!AH857</f>
        <v>4.4686490819999998</v>
      </c>
      <c r="AJ440" s="6">
        <f>[1]Emissions!AI857</f>
        <v>4.5336462940000004</v>
      </c>
      <c r="AK440" s="6">
        <f>[1]Emissions!AJ857</f>
        <v>4.5996112499999997</v>
      </c>
      <c r="AL440" s="6">
        <f>[1]Emissions!AK857</f>
        <v>4.6662417700000001</v>
      </c>
    </row>
    <row r="441" spans="2:38" x14ac:dyDescent="0.3">
      <c r="B441" s="6" t="str">
        <f>[1]Emissions!A858</f>
        <v>ems_y_co2_sigo_2</v>
      </c>
      <c r="C441" s="6">
        <f>[1]Emissions!B858</f>
        <v>0</v>
      </c>
      <c r="D441" s="6">
        <f>[1]Emissions!C858</f>
        <v>0</v>
      </c>
      <c r="E441" s="6">
        <f>[1]Emissions!D858</f>
        <v>0</v>
      </c>
      <c r="F441" s="6">
        <f>[1]Emissions!E858</f>
        <v>0</v>
      </c>
      <c r="G441" s="6">
        <f>[1]Emissions!F858</f>
        <v>0</v>
      </c>
      <c r="H441" s="6">
        <f>[1]Emissions!G858</f>
        <v>0</v>
      </c>
      <c r="I441" s="6">
        <f>[1]Emissions!H858</f>
        <v>0</v>
      </c>
      <c r="J441" s="6">
        <f>[1]Emissions!I858</f>
        <v>0</v>
      </c>
      <c r="K441" s="6">
        <f>[1]Emissions!J858</f>
        <v>0</v>
      </c>
      <c r="L441" s="6">
        <f>[1]Emissions!K858</f>
        <v>0</v>
      </c>
      <c r="M441" s="6">
        <f>[1]Emissions!L858</f>
        <v>0</v>
      </c>
      <c r="N441" s="6">
        <f>[1]Emissions!M858</f>
        <v>0</v>
      </c>
      <c r="O441" s="6">
        <f>[1]Emissions!N858</f>
        <v>0</v>
      </c>
      <c r="P441" s="6">
        <f>[1]Emissions!O858</f>
        <v>0</v>
      </c>
      <c r="Q441" s="6">
        <f>[1]Emissions!P858</f>
        <v>0</v>
      </c>
      <c r="R441" s="6">
        <f>[1]Emissions!Q858</f>
        <v>0</v>
      </c>
      <c r="S441" s="6">
        <f>[1]Emissions!R858</f>
        <v>0</v>
      </c>
      <c r="T441" s="6">
        <f>[1]Emissions!S858</f>
        <v>0</v>
      </c>
      <c r="U441" s="6">
        <f>[1]Emissions!T858</f>
        <v>0</v>
      </c>
      <c r="V441" s="6">
        <f>[1]Emissions!U858</f>
        <v>0</v>
      </c>
      <c r="W441" s="6">
        <f>[1]Emissions!V858</f>
        <v>0</v>
      </c>
      <c r="X441" s="6">
        <f>[1]Emissions!W858</f>
        <v>0</v>
      </c>
      <c r="Y441" s="6">
        <f>[1]Emissions!X858</f>
        <v>0</v>
      </c>
      <c r="Z441" s="6">
        <f>[1]Emissions!Y858</f>
        <v>0</v>
      </c>
      <c r="AA441" s="6">
        <f>[1]Emissions!Z858</f>
        <v>0</v>
      </c>
      <c r="AB441" s="6">
        <f>[1]Emissions!AA858</f>
        <v>0</v>
      </c>
      <c r="AC441" s="6">
        <f>[1]Emissions!AB858</f>
        <v>0</v>
      </c>
      <c r="AD441" s="6">
        <f>[1]Emissions!AC858</f>
        <v>0</v>
      </c>
      <c r="AE441" s="6">
        <f>[1]Emissions!AD858</f>
        <v>0</v>
      </c>
      <c r="AF441" s="6">
        <f>[1]Emissions!AE858</f>
        <v>0</v>
      </c>
      <c r="AG441" s="6">
        <f>[1]Emissions!AF858</f>
        <v>0</v>
      </c>
      <c r="AH441" s="6">
        <f>[1]Emissions!AG858</f>
        <v>0</v>
      </c>
      <c r="AI441" s="6">
        <f>[1]Emissions!AH858</f>
        <v>0</v>
      </c>
      <c r="AJ441" s="6">
        <f>[1]Emissions!AI858</f>
        <v>0</v>
      </c>
      <c r="AK441" s="6">
        <f>[1]Emissions!AJ858</f>
        <v>0</v>
      </c>
      <c r="AL441" s="6">
        <f>[1]Emissions!AK858</f>
        <v>0</v>
      </c>
    </row>
    <row r="442" spans="2:38" x14ac:dyDescent="0.3">
      <c r="B442" s="6" t="str">
        <f>[1]Emissions!A859</f>
        <v>ems_mat_co2_sigo_2</v>
      </c>
      <c r="C442" s="6">
        <f>[1]Emissions!B859</f>
        <v>0.47325563850000002</v>
      </c>
      <c r="D442" s="6">
        <f>[1]Emissions!C859</f>
        <v>0.47430302019999998</v>
      </c>
      <c r="E442" s="6">
        <f>[1]Emissions!D859</f>
        <v>0.47728667489999999</v>
      </c>
      <c r="F442" s="6">
        <f>[1]Emissions!E859</f>
        <v>0.48209038230000001</v>
      </c>
      <c r="G442" s="6">
        <f>[1]Emissions!F859</f>
        <v>0.4881689159</v>
      </c>
      <c r="H442" s="6">
        <f>[1]Emissions!G859</f>
        <v>0.49505129009999999</v>
      </c>
      <c r="I442" s="6">
        <f>[1]Emissions!H859</f>
        <v>0.49859412739999998</v>
      </c>
      <c r="J442" s="6">
        <f>[1]Emissions!I859</f>
        <v>0.50098232139999999</v>
      </c>
      <c r="K442" s="6">
        <f>[1]Emissions!J859</f>
        <v>0.50357686369999999</v>
      </c>
      <c r="L442" s="6">
        <f>[1]Emissions!K859</f>
        <v>0.50724545519999997</v>
      </c>
      <c r="M442" s="6">
        <f>[1]Emissions!L859</f>
        <v>0.51348382420000005</v>
      </c>
      <c r="N442" s="6">
        <f>[1]Emissions!M859</f>
        <v>0.52029695320000002</v>
      </c>
      <c r="O442" s="6">
        <f>[1]Emissions!N859</f>
        <v>0.52816311220000001</v>
      </c>
      <c r="P442" s="6">
        <f>[1]Emissions!O859</f>
        <v>0.53672301170000003</v>
      </c>
      <c r="Q442" s="6">
        <f>[1]Emissions!P859</f>
        <v>0.54545695100000002</v>
      </c>
      <c r="R442" s="6">
        <f>[1]Emissions!Q859</f>
        <v>0.55401502189999996</v>
      </c>
      <c r="S442" s="6">
        <f>[1]Emissions!R859</f>
        <v>0.56228975449999996</v>
      </c>
      <c r="T442" s="6">
        <f>[1]Emissions!S859</f>
        <v>0.57036802050000002</v>
      </c>
      <c r="U442" s="6">
        <f>[1]Emissions!T859</f>
        <v>0.57842911210000003</v>
      </c>
      <c r="V442" s="6">
        <f>[1]Emissions!U859</f>
        <v>0.58664476919999997</v>
      </c>
      <c r="W442" s="6">
        <f>[1]Emissions!V859</f>
        <v>0.59434299260000001</v>
      </c>
      <c r="X442" s="6">
        <f>[1]Emissions!W859</f>
        <v>0.60303372450000003</v>
      </c>
      <c r="Y442" s="6">
        <f>[1]Emissions!X859</f>
        <v>0.61212109250000002</v>
      </c>
      <c r="Z442" s="6">
        <f>[1]Emissions!Y859</f>
        <v>0.62138430249999999</v>
      </c>
      <c r="AA442" s="6">
        <f>[1]Emissions!Z859</f>
        <v>0.6307541123</v>
      </c>
      <c r="AB442" s="6">
        <f>[1]Emissions!AA859</f>
        <v>0.63787943300000005</v>
      </c>
      <c r="AC442" s="6">
        <f>[1]Emissions!AB859</f>
        <v>0.64632854250000005</v>
      </c>
      <c r="AD442" s="6">
        <f>[1]Emissions!AC859</f>
        <v>0.65524765679999997</v>
      </c>
      <c r="AE442" s="6">
        <f>[1]Emissions!AD859</f>
        <v>0.66440649259999995</v>
      </c>
      <c r="AF442" s="6">
        <f>[1]Emissions!AE859</f>
        <v>0.67379177109999999</v>
      </c>
      <c r="AG442" s="6">
        <f>[1]Emissions!AF859</f>
        <v>0.68338509410000003</v>
      </c>
      <c r="AH442" s="6">
        <f>[1]Emissions!AG859</f>
        <v>0.69313967880000005</v>
      </c>
      <c r="AI442" s="6">
        <f>[1]Emissions!AH859</f>
        <v>0.7030063111</v>
      </c>
      <c r="AJ442" s="6">
        <f>[1]Emissions!AI859</f>
        <v>0.7129572756</v>
      </c>
      <c r="AK442" s="6">
        <f>[1]Emissions!AJ859</f>
        <v>0.72299435690000002</v>
      </c>
      <c r="AL442" s="6">
        <f>[1]Emissions!AK859</f>
        <v>0.73314164199999998</v>
      </c>
    </row>
    <row r="443" spans="2:38" x14ac:dyDescent="0.3">
      <c r="B443" s="6" t="str">
        <f>[1]Emissions!A860</f>
        <v>ems_ci_co2_scgo_2</v>
      </c>
      <c r="C443" s="6">
        <f>[1]Emissions!B860</f>
        <v>0.69721547260000005</v>
      </c>
      <c r="D443" s="6">
        <f>[1]Emissions!C860</f>
        <v>0.68240888840000002</v>
      </c>
      <c r="E443" s="6">
        <f>[1]Emissions!D860</f>
        <v>0.67055571680000003</v>
      </c>
      <c r="F443" s="6">
        <f>[1]Emissions!E860</f>
        <v>0.66505604259999995</v>
      </c>
      <c r="G443" s="6">
        <f>[1]Emissions!F860</f>
        <v>0.66437732640000002</v>
      </c>
      <c r="H443" s="6">
        <f>[1]Emissions!G860</f>
        <v>0.66724080500000005</v>
      </c>
      <c r="I443" s="6">
        <f>[1]Emissions!H860</f>
        <v>0.67494729769999995</v>
      </c>
      <c r="J443" s="6">
        <f>[1]Emissions!I860</f>
        <v>0.68142581079999998</v>
      </c>
      <c r="K443" s="6">
        <f>[1]Emissions!J860</f>
        <v>0.68795849689999999</v>
      </c>
      <c r="L443" s="6">
        <f>[1]Emissions!K860</f>
        <v>0.69498442829999996</v>
      </c>
      <c r="M443" s="6">
        <f>[1]Emissions!L860</f>
        <v>0.70077094689999997</v>
      </c>
      <c r="N443" s="6">
        <f>[1]Emissions!M860</f>
        <v>0.71105902679999999</v>
      </c>
      <c r="O443" s="6">
        <f>[1]Emissions!N860</f>
        <v>0.72192894949999997</v>
      </c>
      <c r="P443" s="6">
        <f>[1]Emissions!O860</f>
        <v>0.73328207140000001</v>
      </c>
      <c r="Q443" s="6">
        <f>[1]Emissions!P860</f>
        <v>0.74516221189999998</v>
      </c>
      <c r="R443" s="6">
        <f>[1]Emissions!Q860</f>
        <v>0.75748360410000004</v>
      </c>
      <c r="S443" s="6">
        <f>[1]Emissions!R860</f>
        <v>0.77011671650000002</v>
      </c>
      <c r="T443" s="6">
        <f>[1]Emissions!S860</f>
        <v>0.7829673613</v>
      </c>
      <c r="U443" s="6">
        <f>[1]Emissions!T860</f>
        <v>0.79601063849999998</v>
      </c>
      <c r="V443" s="6">
        <f>[1]Emissions!U860</f>
        <v>0.80928033310000003</v>
      </c>
      <c r="W443" s="6">
        <f>[1]Emissions!V860</f>
        <v>0.82406298730000005</v>
      </c>
      <c r="X443" s="6">
        <f>[1]Emissions!W860</f>
        <v>0.83689898760000003</v>
      </c>
      <c r="Y443" s="6">
        <f>[1]Emissions!X860</f>
        <v>0.85043784700000002</v>
      </c>
      <c r="Z443" s="6">
        <f>[1]Emissions!Y860</f>
        <v>0.86466929280000004</v>
      </c>
      <c r="AA443" s="6">
        <f>[1]Emissions!Z860</f>
        <v>0.87940674119999995</v>
      </c>
      <c r="AB443" s="6">
        <f>[1]Emissions!AA860</f>
        <v>0.89767838710000003</v>
      </c>
      <c r="AC443" s="6">
        <f>[1]Emissions!AB860</f>
        <v>0.91171761250000005</v>
      </c>
      <c r="AD443" s="6">
        <f>[1]Emissions!AC860</f>
        <v>0.92562448770000005</v>
      </c>
      <c r="AE443" s="6">
        <f>[1]Emissions!AD860</f>
        <v>0.93980958869999998</v>
      </c>
      <c r="AF443" s="6">
        <f>[1]Emissions!AE860</f>
        <v>0.95430153129999995</v>
      </c>
      <c r="AG443" s="6">
        <f>[1]Emissions!AF860</f>
        <v>0.96909787839999995</v>
      </c>
      <c r="AH443" s="6">
        <f>[1]Emissions!AG860</f>
        <v>0.98418713629999999</v>
      </c>
      <c r="AI443" s="6">
        <f>[1]Emissions!AH860</f>
        <v>0.99954785749999997</v>
      </c>
      <c r="AJ443" s="6">
        <f>[1]Emissions!AI860</f>
        <v>1.015153985</v>
      </c>
      <c r="AK443" s="6">
        <f>[1]Emissions!AJ860</f>
        <v>1.0309833340000001</v>
      </c>
      <c r="AL443" s="6">
        <f>[1]Emissions!AK860</f>
        <v>1.04702425</v>
      </c>
    </row>
    <row r="444" spans="2:38" x14ac:dyDescent="0.3">
      <c r="B444" s="6" t="str">
        <f>[1]Emissions!A861</f>
        <v>ems_y_co2_scgo_2</v>
      </c>
      <c r="C444" s="6">
        <f>[1]Emissions!B861</f>
        <v>0</v>
      </c>
      <c r="D444" s="6">
        <f>[1]Emissions!C861</f>
        <v>0</v>
      </c>
      <c r="E444" s="6">
        <f>[1]Emissions!D861</f>
        <v>0</v>
      </c>
      <c r="F444" s="6">
        <f>[1]Emissions!E861</f>
        <v>0</v>
      </c>
      <c r="G444" s="6">
        <f>[1]Emissions!F861</f>
        <v>0</v>
      </c>
      <c r="H444" s="6">
        <f>[1]Emissions!G861</f>
        <v>0</v>
      </c>
      <c r="I444" s="6">
        <f>[1]Emissions!H861</f>
        <v>0</v>
      </c>
      <c r="J444" s="6">
        <f>[1]Emissions!I861</f>
        <v>0</v>
      </c>
      <c r="K444" s="6">
        <f>[1]Emissions!J861</f>
        <v>0</v>
      </c>
      <c r="L444" s="6">
        <f>[1]Emissions!K861</f>
        <v>0</v>
      </c>
      <c r="M444" s="6">
        <f>[1]Emissions!L861</f>
        <v>0</v>
      </c>
      <c r="N444" s="6">
        <f>[1]Emissions!M861</f>
        <v>0</v>
      </c>
      <c r="O444" s="6">
        <f>[1]Emissions!N861</f>
        <v>0</v>
      </c>
      <c r="P444" s="6">
        <f>[1]Emissions!O861</f>
        <v>0</v>
      </c>
      <c r="Q444" s="6">
        <f>[1]Emissions!P861</f>
        <v>0</v>
      </c>
      <c r="R444" s="6">
        <f>[1]Emissions!Q861</f>
        <v>0</v>
      </c>
      <c r="S444" s="6">
        <f>[1]Emissions!R861</f>
        <v>0</v>
      </c>
      <c r="T444" s="6">
        <f>[1]Emissions!S861</f>
        <v>0</v>
      </c>
      <c r="U444" s="6">
        <f>[1]Emissions!T861</f>
        <v>0</v>
      </c>
      <c r="V444" s="6">
        <f>[1]Emissions!U861</f>
        <v>0</v>
      </c>
      <c r="W444" s="6">
        <f>[1]Emissions!V861</f>
        <v>0</v>
      </c>
      <c r="X444" s="6">
        <f>[1]Emissions!W861</f>
        <v>0</v>
      </c>
      <c r="Y444" s="6">
        <f>[1]Emissions!X861</f>
        <v>0</v>
      </c>
      <c r="Z444" s="6">
        <f>[1]Emissions!Y861</f>
        <v>0</v>
      </c>
      <c r="AA444" s="6">
        <f>[1]Emissions!Z861</f>
        <v>0</v>
      </c>
      <c r="AB444" s="6">
        <f>[1]Emissions!AA861</f>
        <v>0</v>
      </c>
      <c r="AC444" s="6">
        <f>[1]Emissions!AB861</f>
        <v>0</v>
      </c>
      <c r="AD444" s="6">
        <f>[1]Emissions!AC861</f>
        <v>0</v>
      </c>
      <c r="AE444" s="6">
        <f>[1]Emissions!AD861</f>
        <v>0</v>
      </c>
      <c r="AF444" s="6">
        <f>[1]Emissions!AE861</f>
        <v>0</v>
      </c>
      <c r="AG444" s="6">
        <f>[1]Emissions!AF861</f>
        <v>0</v>
      </c>
      <c r="AH444" s="6">
        <f>[1]Emissions!AG861</f>
        <v>0</v>
      </c>
      <c r="AI444" s="6">
        <f>[1]Emissions!AH861</f>
        <v>0</v>
      </c>
      <c r="AJ444" s="6">
        <f>[1]Emissions!AI861</f>
        <v>0</v>
      </c>
      <c r="AK444" s="6">
        <f>[1]Emissions!AJ861</f>
        <v>0</v>
      </c>
      <c r="AL444" s="6">
        <f>[1]Emissions!AK861</f>
        <v>0</v>
      </c>
    </row>
    <row r="445" spans="2:38" x14ac:dyDescent="0.3">
      <c r="B445" s="6" t="str">
        <f>[1]Emissions!A862</f>
        <v>ems_mat_co2_scgo_2</v>
      </c>
      <c r="C445" s="6">
        <f>[1]Emissions!B862</f>
        <v>0</v>
      </c>
      <c r="D445" s="6">
        <f>[1]Emissions!C862</f>
        <v>0</v>
      </c>
      <c r="E445" s="6">
        <f>[1]Emissions!D862</f>
        <v>0</v>
      </c>
      <c r="F445" s="6">
        <f>[1]Emissions!E862</f>
        <v>0</v>
      </c>
      <c r="G445" s="6">
        <f>[1]Emissions!F862</f>
        <v>0</v>
      </c>
      <c r="H445" s="6">
        <f>[1]Emissions!G862</f>
        <v>0</v>
      </c>
      <c r="I445" s="6">
        <f>[1]Emissions!H862</f>
        <v>0</v>
      </c>
      <c r="J445" s="6">
        <f>[1]Emissions!I862</f>
        <v>0</v>
      </c>
      <c r="K445" s="6">
        <f>[1]Emissions!J862</f>
        <v>0</v>
      </c>
      <c r="L445" s="6">
        <f>[1]Emissions!K862</f>
        <v>0</v>
      </c>
      <c r="M445" s="6">
        <f>[1]Emissions!L862</f>
        <v>0</v>
      </c>
      <c r="N445" s="6">
        <f>[1]Emissions!M862</f>
        <v>0</v>
      </c>
      <c r="O445" s="6">
        <f>[1]Emissions!N862</f>
        <v>0</v>
      </c>
      <c r="P445" s="6">
        <f>[1]Emissions!O862</f>
        <v>0</v>
      </c>
      <c r="Q445" s="6">
        <f>[1]Emissions!P862</f>
        <v>0</v>
      </c>
      <c r="R445" s="6">
        <f>[1]Emissions!Q862</f>
        <v>0</v>
      </c>
      <c r="S445" s="6">
        <f>[1]Emissions!R862</f>
        <v>0</v>
      </c>
      <c r="T445" s="6">
        <f>[1]Emissions!S862</f>
        <v>0</v>
      </c>
      <c r="U445" s="6">
        <f>[1]Emissions!T862</f>
        <v>0</v>
      </c>
      <c r="V445" s="6">
        <f>[1]Emissions!U862</f>
        <v>0</v>
      </c>
      <c r="W445" s="6">
        <f>[1]Emissions!V862</f>
        <v>0</v>
      </c>
      <c r="X445" s="6">
        <f>[1]Emissions!W862</f>
        <v>0</v>
      </c>
      <c r="Y445" s="6">
        <f>[1]Emissions!X862</f>
        <v>0</v>
      </c>
      <c r="Z445" s="6">
        <f>[1]Emissions!Y862</f>
        <v>0</v>
      </c>
      <c r="AA445" s="6">
        <f>[1]Emissions!Z862</f>
        <v>0</v>
      </c>
      <c r="AB445" s="6">
        <f>[1]Emissions!AA862</f>
        <v>0</v>
      </c>
      <c r="AC445" s="6">
        <f>[1]Emissions!AB862</f>
        <v>0</v>
      </c>
      <c r="AD445" s="6">
        <f>[1]Emissions!AC862</f>
        <v>0</v>
      </c>
      <c r="AE445" s="6">
        <f>[1]Emissions!AD862</f>
        <v>0</v>
      </c>
      <c r="AF445" s="6">
        <f>[1]Emissions!AE862</f>
        <v>0</v>
      </c>
      <c r="AG445" s="6">
        <f>[1]Emissions!AF862</f>
        <v>0</v>
      </c>
      <c r="AH445" s="6">
        <f>[1]Emissions!AG862</f>
        <v>0</v>
      </c>
      <c r="AI445" s="6">
        <f>[1]Emissions!AH862</f>
        <v>0</v>
      </c>
      <c r="AJ445" s="6">
        <f>[1]Emissions!AI862</f>
        <v>0</v>
      </c>
      <c r="AK445" s="6">
        <f>[1]Emissions!AJ862</f>
        <v>0</v>
      </c>
      <c r="AL445" s="6">
        <f>[1]Emissions!AK862</f>
        <v>0</v>
      </c>
    </row>
    <row r="446" spans="2:38" x14ac:dyDescent="0.3">
      <c r="B446" s="6" t="str">
        <f>[1]Emissions!A863</f>
        <v>ems_ci_co2_scon_2</v>
      </c>
      <c r="C446" s="6">
        <f>[1]Emissions!B863</f>
        <v>7.5419030080000002</v>
      </c>
      <c r="D446" s="6">
        <f>[1]Emissions!C863</f>
        <v>7.9906949310000002</v>
      </c>
      <c r="E446" s="6">
        <f>[1]Emissions!D863</f>
        <v>8.4730006959999997</v>
      </c>
      <c r="F446" s="6">
        <f>[1]Emissions!E863</f>
        <v>8.7842847200000005</v>
      </c>
      <c r="G446" s="6">
        <f>[1]Emissions!F863</f>
        <v>8.9706400550000005</v>
      </c>
      <c r="H446" s="6">
        <f>[1]Emissions!G863</f>
        <v>9.1009686960000007</v>
      </c>
      <c r="I446" s="6">
        <f>[1]Emissions!H863</f>
        <v>9.0211094070000009</v>
      </c>
      <c r="J446" s="6">
        <f>[1]Emissions!I863</f>
        <v>8.9908712059999996</v>
      </c>
      <c r="K446" s="6">
        <f>[1]Emissions!J863</f>
        <v>9.0135202890000006</v>
      </c>
      <c r="L446" s="6">
        <f>[1]Emissions!K863</f>
        <v>9.0784409979999996</v>
      </c>
      <c r="M446" s="6">
        <f>[1]Emissions!L863</f>
        <v>9.394589431</v>
      </c>
      <c r="N446" s="6">
        <f>[1]Emissions!M863</f>
        <v>9.4300612610000005</v>
      </c>
      <c r="O446" s="6">
        <f>[1]Emissions!N863</f>
        <v>9.5279081889999997</v>
      </c>
      <c r="P446" s="6">
        <f>[1]Emissions!O863</f>
        <v>9.6750490229999997</v>
      </c>
      <c r="Q446" s="6">
        <f>[1]Emissions!P863</f>
        <v>9.8417494869999995</v>
      </c>
      <c r="R446" s="6">
        <f>[1]Emissions!Q863</f>
        <v>10.01120289</v>
      </c>
      <c r="S446" s="6">
        <f>[1]Emissions!R863</f>
        <v>10.177277760000001</v>
      </c>
      <c r="T446" s="6">
        <f>[1]Emissions!S863</f>
        <v>10.34027586</v>
      </c>
      <c r="U446" s="6">
        <f>[1]Emissions!T863</f>
        <v>10.503346560000001</v>
      </c>
      <c r="V446" s="6">
        <f>[1]Emissions!U863</f>
        <v>10.66989521</v>
      </c>
      <c r="W446" s="6">
        <f>[1]Emissions!V863</f>
        <v>10.690559110000001</v>
      </c>
      <c r="X446" s="6">
        <f>[1]Emissions!W863</f>
        <v>10.933746040000001</v>
      </c>
      <c r="Y446" s="6">
        <f>[1]Emissions!X863</f>
        <v>11.1645459</v>
      </c>
      <c r="Z446" s="6">
        <f>[1]Emissions!Y863</f>
        <v>11.374771819999999</v>
      </c>
      <c r="AA446" s="6">
        <f>[1]Emissions!Z863</f>
        <v>11.574883890000001</v>
      </c>
      <c r="AB446" s="6">
        <f>[1]Emissions!AA863</f>
        <v>11.32617462</v>
      </c>
      <c r="AC446" s="6">
        <f>[1]Emissions!AB863</f>
        <v>11.53237161</v>
      </c>
      <c r="AD446" s="6">
        <f>[1]Emissions!AC863</f>
        <v>11.762577350000001</v>
      </c>
      <c r="AE446" s="6">
        <f>[1]Emissions!AD863</f>
        <v>11.978850120000001</v>
      </c>
      <c r="AF446" s="6">
        <f>[1]Emissions!AE863</f>
        <v>12.186316809999999</v>
      </c>
      <c r="AG446" s="6">
        <f>[1]Emissions!AF863</f>
        <v>12.390305100000001</v>
      </c>
      <c r="AH446" s="6">
        <f>[1]Emissions!AG863</f>
        <v>12.593157659999999</v>
      </c>
      <c r="AI446" s="6">
        <f>[1]Emissions!AH863</f>
        <v>12.79561805</v>
      </c>
      <c r="AJ446" s="6">
        <f>[1]Emissions!AI863</f>
        <v>12.99805611</v>
      </c>
      <c r="AK446" s="6">
        <f>[1]Emissions!AJ863</f>
        <v>13.201032420000001</v>
      </c>
      <c r="AL446" s="6">
        <f>[1]Emissions!AK863</f>
        <v>13.405346420000001</v>
      </c>
    </row>
    <row r="447" spans="2:38" x14ac:dyDescent="0.3">
      <c r="B447" s="6" t="str">
        <f>[1]Emissions!A864</f>
        <v>ems_y_co2_scon_2</v>
      </c>
      <c r="C447" s="6">
        <f>[1]Emissions!B864</f>
        <v>0</v>
      </c>
      <c r="D447" s="6">
        <f>[1]Emissions!C864</f>
        <v>0</v>
      </c>
      <c r="E447" s="6">
        <f>[1]Emissions!D864</f>
        <v>0</v>
      </c>
      <c r="F447" s="6">
        <f>[1]Emissions!E864</f>
        <v>0</v>
      </c>
      <c r="G447" s="6">
        <f>[1]Emissions!F864</f>
        <v>0</v>
      </c>
      <c r="H447" s="6">
        <f>[1]Emissions!G864</f>
        <v>0</v>
      </c>
      <c r="I447" s="6">
        <f>[1]Emissions!H864</f>
        <v>0</v>
      </c>
      <c r="J447" s="6">
        <f>[1]Emissions!I864</f>
        <v>0</v>
      </c>
      <c r="K447" s="6">
        <f>[1]Emissions!J864</f>
        <v>0</v>
      </c>
      <c r="L447" s="6">
        <f>[1]Emissions!K864</f>
        <v>0</v>
      </c>
      <c r="M447" s="6">
        <f>[1]Emissions!L864</f>
        <v>0</v>
      </c>
      <c r="N447" s="6">
        <f>[1]Emissions!M864</f>
        <v>0</v>
      </c>
      <c r="O447" s="6">
        <f>[1]Emissions!N864</f>
        <v>0</v>
      </c>
      <c r="P447" s="6">
        <f>[1]Emissions!O864</f>
        <v>0</v>
      </c>
      <c r="Q447" s="6">
        <f>[1]Emissions!P864</f>
        <v>0</v>
      </c>
      <c r="R447" s="6">
        <f>[1]Emissions!Q864</f>
        <v>0</v>
      </c>
      <c r="S447" s="6">
        <f>[1]Emissions!R864</f>
        <v>0</v>
      </c>
      <c r="T447" s="6">
        <f>[1]Emissions!S864</f>
        <v>0</v>
      </c>
      <c r="U447" s="6">
        <f>[1]Emissions!T864</f>
        <v>0</v>
      </c>
      <c r="V447" s="6">
        <f>[1]Emissions!U864</f>
        <v>0</v>
      </c>
      <c r="W447" s="6">
        <f>[1]Emissions!V864</f>
        <v>0</v>
      </c>
      <c r="X447" s="6">
        <f>[1]Emissions!W864</f>
        <v>0</v>
      </c>
      <c r="Y447" s="6">
        <f>[1]Emissions!X864</f>
        <v>0</v>
      </c>
      <c r="Z447" s="6">
        <f>[1]Emissions!Y864</f>
        <v>0</v>
      </c>
      <c r="AA447" s="6">
        <f>[1]Emissions!Z864</f>
        <v>0</v>
      </c>
      <c r="AB447" s="6">
        <f>[1]Emissions!AA864</f>
        <v>0</v>
      </c>
      <c r="AC447" s="6">
        <f>[1]Emissions!AB864</f>
        <v>0</v>
      </c>
      <c r="AD447" s="6">
        <f>[1]Emissions!AC864</f>
        <v>0</v>
      </c>
      <c r="AE447" s="6">
        <f>[1]Emissions!AD864</f>
        <v>0</v>
      </c>
      <c r="AF447" s="6">
        <f>[1]Emissions!AE864</f>
        <v>0</v>
      </c>
      <c r="AG447" s="6">
        <f>[1]Emissions!AF864</f>
        <v>0</v>
      </c>
      <c r="AH447" s="6">
        <f>[1]Emissions!AG864</f>
        <v>0</v>
      </c>
      <c r="AI447" s="6">
        <f>[1]Emissions!AH864</f>
        <v>0</v>
      </c>
      <c r="AJ447" s="6">
        <f>[1]Emissions!AI864</f>
        <v>0</v>
      </c>
      <c r="AK447" s="6">
        <f>[1]Emissions!AJ864</f>
        <v>0</v>
      </c>
      <c r="AL447" s="6">
        <f>[1]Emissions!AK864</f>
        <v>0</v>
      </c>
    </row>
    <row r="448" spans="2:38" x14ac:dyDescent="0.3">
      <c r="B448" s="6" t="str">
        <f>[1]Emissions!A865</f>
        <v>ems_mat_co2_scon_2</v>
      </c>
      <c r="C448" s="6">
        <f>[1]Emissions!B865</f>
        <v>0</v>
      </c>
      <c r="D448" s="6">
        <f>[1]Emissions!C865</f>
        <v>0</v>
      </c>
      <c r="E448" s="6">
        <f>[1]Emissions!D865</f>
        <v>0</v>
      </c>
      <c r="F448" s="6">
        <f>[1]Emissions!E865</f>
        <v>0</v>
      </c>
      <c r="G448" s="6">
        <f>[1]Emissions!F865</f>
        <v>0</v>
      </c>
      <c r="H448" s="6">
        <f>[1]Emissions!G865</f>
        <v>0</v>
      </c>
      <c r="I448" s="6">
        <f>[1]Emissions!H865</f>
        <v>0</v>
      </c>
      <c r="J448" s="6">
        <f>[1]Emissions!I865</f>
        <v>0</v>
      </c>
      <c r="K448" s="6">
        <f>[1]Emissions!J865</f>
        <v>0</v>
      </c>
      <c r="L448" s="6">
        <f>[1]Emissions!K865</f>
        <v>0</v>
      </c>
      <c r="M448" s="6">
        <f>[1]Emissions!L865</f>
        <v>0</v>
      </c>
      <c r="N448" s="6">
        <f>[1]Emissions!M865</f>
        <v>0</v>
      </c>
      <c r="O448" s="6">
        <f>[1]Emissions!N865</f>
        <v>0</v>
      </c>
      <c r="P448" s="6">
        <f>[1]Emissions!O865</f>
        <v>0</v>
      </c>
      <c r="Q448" s="6">
        <f>[1]Emissions!P865</f>
        <v>0</v>
      </c>
      <c r="R448" s="6">
        <f>[1]Emissions!Q865</f>
        <v>0</v>
      </c>
      <c r="S448" s="6">
        <f>[1]Emissions!R865</f>
        <v>0</v>
      </c>
      <c r="T448" s="6">
        <f>[1]Emissions!S865</f>
        <v>0</v>
      </c>
      <c r="U448" s="6">
        <f>[1]Emissions!T865</f>
        <v>0</v>
      </c>
      <c r="V448" s="6">
        <f>[1]Emissions!U865</f>
        <v>0</v>
      </c>
      <c r="W448" s="6">
        <f>[1]Emissions!V865</f>
        <v>0</v>
      </c>
      <c r="X448" s="6">
        <f>[1]Emissions!W865</f>
        <v>0</v>
      </c>
      <c r="Y448" s="6">
        <f>[1]Emissions!X865</f>
        <v>0</v>
      </c>
      <c r="Z448" s="6">
        <f>[1]Emissions!Y865</f>
        <v>0</v>
      </c>
      <c r="AA448" s="6">
        <f>[1]Emissions!Z865</f>
        <v>0</v>
      </c>
      <c r="AB448" s="6">
        <f>[1]Emissions!AA865</f>
        <v>0</v>
      </c>
      <c r="AC448" s="6">
        <f>[1]Emissions!AB865</f>
        <v>0</v>
      </c>
      <c r="AD448" s="6">
        <f>[1]Emissions!AC865</f>
        <v>0</v>
      </c>
      <c r="AE448" s="6">
        <f>[1]Emissions!AD865</f>
        <v>0</v>
      </c>
      <c r="AF448" s="6">
        <f>[1]Emissions!AE865</f>
        <v>0</v>
      </c>
      <c r="AG448" s="6">
        <f>[1]Emissions!AF865</f>
        <v>0</v>
      </c>
      <c r="AH448" s="6">
        <f>[1]Emissions!AG865</f>
        <v>0</v>
      </c>
      <c r="AI448" s="6">
        <f>[1]Emissions!AH865</f>
        <v>0</v>
      </c>
      <c r="AJ448" s="6">
        <f>[1]Emissions!AI865</f>
        <v>0</v>
      </c>
      <c r="AK448" s="6">
        <f>[1]Emissions!AJ865</f>
        <v>0</v>
      </c>
      <c r="AL448" s="6">
        <f>[1]Emissions!AK865</f>
        <v>0</v>
      </c>
    </row>
    <row r="449" spans="2:38" x14ac:dyDescent="0.3">
      <c r="B449" s="6" t="str">
        <f>[1]Emissions!A866</f>
        <v>ems_ci_co2_srai_2</v>
      </c>
      <c r="C449" s="6">
        <f>[1]Emissions!B866</f>
        <v>5.5899890560000003</v>
      </c>
      <c r="D449" s="6">
        <f>[1]Emissions!C866</f>
        <v>5.5787174689999999</v>
      </c>
      <c r="E449" s="6">
        <f>[1]Emissions!D866</f>
        <v>5.5794012459999998</v>
      </c>
      <c r="F449" s="6">
        <f>[1]Emissions!E866</f>
        <v>5.602385065</v>
      </c>
      <c r="G449" s="6">
        <f>[1]Emissions!F866</f>
        <v>5.6425312730000003</v>
      </c>
      <c r="H449" s="6">
        <f>[1]Emissions!G866</f>
        <v>5.6945774570000003</v>
      </c>
      <c r="I449" s="6">
        <f>[1]Emissions!H866</f>
        <v>5.7362209550000003</v>
      </c>
      <c r="J449" s="6">
        <f>[1]Emissions!I866</f>
        <v>5.7749248409999998</v>
      </c>
      <c r="K449" s="6">
        <f>[1]Emissions!J866</f>
        <v>5.8166564840000001</v>
      </c>
      <c r="L449" s="6">
        <f>[1]Emissions!K866</f>
        <v>5.8658206829999999</v>
      </c>
      <c r="M449" s="6">
        <f>[1]Emissions!L866</f>
        <v>5.9257777129999996</v>
      </c>
      <c r="N449" s="6">
        <f>[1]Emissions!M866</f>
        <v>5.9975242309999999</v>
      </c>
      <c r="O449" s="6">
        <f>[1]Emissions!N866</f>
        <v>6.0753458230000001</v>
      </c>
      <c r="P449" s="6">
        <f>[1]Emissions!O866</f>
        <v>6.1565374139999998</v>
      </c>
      <c r="Q449" s="6">
        <f>[1]Emissions!P866</f>
        <v>6.2391228429999996</v>
      </c>
      <c r="R449" s="6">
        <f>[1]Emissions!Q866</f>
        <v>6.3219278250000004</v>
      </c>
      <c r="S449" s="6">
        <f>[1]Emissions!R866</f>
        <v>6.4047110619999996</v>
      </c>
      <c r="T449" s="6">
        <f>[1]Emissions!S866</f>
        <v>6.487951915</v>
      </c>
      <c r="U449" s="6">
        <f>[1]Emissions!T866</f>
        <v>6.5724213090000001</v>
      </c>
      <c r="V449" s="6">
        <f>[1]Emissions!U866</f>
        <v>6.658768126</v>
      </c>
      <c r="W449" s="6">
        <f>[1]Emissions!V866</f>
        <v>6.7457955690000002</v>
      </c>
      <c r="X449" s="6">
        <f>[1]Emissions!W866</f>
        <v>6.8335654269999999</v>
      </c>
      <c r="Y449" s="6">
        <f>[1]Emissions!X866</f>
        <v>6.924304019</v>
      </c>
      <c r="Z449" s="6">
        <f>[1]Emissions!Y866</f>
        <v>7.0174827479999999</v>
      </c>
      <c r="AA449" s="6">
        <f>[1]Emissions!Z866</f>
        <v>7.1124191559999996</v>
      </c>
      <c r="AB449" s="6">
        <f>[1]Emissions!AA866</f>
        <v>7.2031823209999999</v>
      </c>
      <c r="AC449" s="6">
        <f>[1]Emissions!AB866</f>
        <v>7.290949651</v>
      </c>
      <c r="AD449" s="6">
        <f>[1]Emissions!AC866</f>
        <v>7.3797411259999999</v>
      </c>
      <c r="AE449" s="6">
        <f>[1]Emissions!AD866</f>
        <v>7.4703409450000002</v>
      </c>
      <c r="AF449" s="6">
        <f>[1]Emissions!AE866</f>
        <v>7.5628563560000002</v>
      </c>
      <c r="AG449" s="6">
        <f>[1]Emissions!AF866</f>
        <v>7.6571259749999996</v>
      </c>
      <c r="AH449" s="6">
        <f>[1]Emissions!AG866</f>
        <v>7.7528765450000003</v>
      </c>
      <c r="AI449" s="6">
        <f>[1]Emissions!AH866</f>
        <v>7.8498674800000003</v>
      </c>
      <c r="AJ449" s="6">
        <f>[1]Emissions!AI866</f>
        <v>7.9479842310000004</v>
      </c>
      <c r="AK449" s="6">
        <f>[1]Emissions!AJ866</f>
        <v>8.047254358</v>
      </c>
      <c r="AL449" s="6">
        <f>[1]Emissions!AK866</f>
        <v>8.1477997000000002</v>
      </c>
    </row>
    <row r="450" spans="2:38" x14ac:dyDescent="0.3">
      <c r="B450" s="6" t="str">
        <f>[1]Emissions!A867</f>
        <v>ems_y_co2_srai_2</v>
      </c>
      <c r="C450" s="6">
        <f>[1]Emissions!B867</f>
        <v>0</v>
      </c>
      <c r="D450" s="6">
        <f>[1]Emissions!C867</f>
        <v>0</v>
      </c>
      <c r="E450" s="6">
        <f>[1]Emissions!D867</f>
        <v>0</v>
      </c>
      <c r="F450" s="6">
        <f>[1]Emissions!E867</f>
        <v>0</v>
      </c>
      <c r="G450" s="6">
        <f>[1]Emissions!F867</f>
        <v>0</v>
      </c>
      <c r="H450" s="6">
        <f>[1]Emissions!G867</f>
        <v>0</v>
      </c>
      <c r="I450" s="6">
        <f>[1]Emissions!H867</f>
        <v>0</v>
      </c>
      <c r="J450" s="6">
        <f>[1]Emissions!I867</f>
        <v>0</v>
      </c>
      <c r="K450" s="6">
        <f>[1]Emissions!J867</f>
        <v>0</v>
      </c>
      <c r="L450" s="6">
        <f>[1]Emissions!K867</f>
        <v>0</v>
      </c>
      <c r="M450" s="6">
        <f>[1]Emissions!L867</f>
        <v>0</v>
      </c>
      <c r="N450" s="6">
        <f>[1]Emissions!M867</f>
        <v>0</v>
      </c>
      <c r="O450" s="6">
        <f>[1]Emissions!N867</f>
        <v>0</v>
      </c>
      <c r="P450" s="6">
        <f>[1]Emissions!O867</f>
        <v>0</v>
      </c>
      <c r="Q450" s="6">
        <f>[1]Emissions!P867</f>
        <v>0</v>
      </c>
      <c r="R450" s="6">
        <f>[1]Emissions!Q867</f>
        <v>0</v>
      </c>
      <c r="S450" s="6">
        <f>[1]Emissions!R867</f>
        <v>0</v>
      </c>
      <c r="T450" s="6">
        <f>[1]Emissions!S867</f>
        <v>0</v>
      </c>
      <c r="U450" s="6">
        <f>[1]Emissions!T867</f>
        <v>0</v>
      </c>
      <c r="V450" s="6">
        <f>[1]Emissions!U867</f>
        <v>0</v>
      </c>
      <c r="W450" s="6">
        <f>[1]Emissions!V867</f>
        <v>0</v>
      </c>
      <c r="X450" s="6">
        <f>[1]Emissions!W867</f>
        <v>0</v>
      </c>
      <c r="Y450" s="6">
        <f>[1]Emissions!X867</f>
        <v>0</v>
      </c>
      <c r="Z450" s="6">
        <f>[1]Emissions!Y867</f>
        <v>0</v>
      </c>
      <c r="AA450" s="6">
        <f>[1]Emissions!Z867</f>
        <v>0</v>
      </c>
      <c r="AB450" s="6">
        <f>[1]Emissions!AA867</f>
        <v>0</v>
      </c>
      <c r="AC450" s="6">
        <f>[1]Emissions!AB867</f>
        <v>0</v>
      </c>
      <c r="AD450" s="6">
        <f>[1]Emissions!AC867</f>
        <v>0</v>
      </c>
      <c r="AE450" s="6">
        <f>[1]Emissions!AD867</f>
        <v>0</v>
      </c>
      <c r="AF450" s="6">
        <f>[1]Emissions!AE867</f>
        <v>0</v>
      </c>
      <c r="AG450" s="6">
        <f>[1]Emissions!AF867</f>
        <v>0</v>
      </c>
      <c r="AH450" s="6">
        <f>[1]Emissions!AG867</f>
        <v>0</v>
      </c>
      <c r="AI450" s="6">
        <f>[1]Emissions!AH867</f>
        <v>0</v>
      </c>
      <c r="AJ450" s="6">
        <f>[1]Emissions!AI867</f>
        <v>0</v>
      </c>
      <c r="AK450" s="6">
        <f>[1]Emissions!AJ867</f>
        <v>0</v>
      </c>
      <c r="AL450" s="6">
        <f>[1]Emissions!AK867</f>
        <v>0</v>
      </c>
    </row>
    <row r="451" spans="2:38" x14ac:dyDescent="0.3">
      <c r="B451" s="6" t="str">
        <f>[1]Emissions!A868</f>
        <v>ems_mat_co2_srai_2</v>
      </c>
      <c r="C451" s="6">
        <f>[1]Emissions!B868</f>
        <v>0</v>
      </c>
      <c r="D451" s="6">
        <f>[1]Emissions!C868</f>
        <v>0</v>
      </c>
      <c r="E451" s="6">
        <f>[1]Emissions!D868</f>
        <v>0</v>
      </c>
      <c r="F451" s="6">
        <f>[1]Emissions!E868</f>
        <v>0</v>
      </c>
      <c r="G451" s="6">
        <f>[1]Emissions!F868</f>
        <v>0</v>
      </c>
      <c r="H451" s="6">
        <f>[1]Emissions!G868</f>
        <v>0</v>
      </c>
      <c r="I451" s="6">
        <f>[1]Emissions!H868</f>
        <v>0</v>
      </c>
      <c r="J451" s="6">
        <f>[1]Emissions!I868</f>
        <v>0</v>
      </c>
      <c r="K451" s="6">
        <f>[1]Emissions!J868</f>
        <v>0</v>
      </c>
      <c r="L451" s="6">
        <f>[1]Emissions!K868</f>
        <v>0</v>
      </c>
      <c r="M451" s="6">
        <f>[1]Emissions!L868</f>
        <v>0</v>
      </c>
      <c r="N451" s="6">
        <f>[1]Emissions!M868</f>
        <v>0</v>
      </c>
      <c r="O451" s="6">
        <f>[1]Emissions!N868</f>
        <v>0</v>
      </c>
      <c r="P451" s="6">
        <f>[1]Emissions!O868</f>
        <v>0</v>
      </c>
      <c r="Q451" s="6">
        <f>[1]Emissions!P868</f>
        <v>0</v>
      </c>
      <c r="R451" s="6">
        <f>[1]Emissions!Q868</f>
        <v>0</v>
      </c>
      <c r="S451" s="6">
        <f>[1]Emissions!R868</f>
        <v>0</v>
      </c>
      <c r="T451" s="6">
        <f>[1]Emissions!S868</f>
        <v>0</v>
      </c>
      <c r="U451" s="6">
        <f>[1]Emissions!T868</f>
        <v>0</v>
      </c>
      <c r="V451" s="6">
        <f>[1]Emissions!U868</f>
        <v>0</v>
      </c>
      <c r="W451" s="6">
        <f>[1]Emissions!V868</f>
        <v>0</v>
      </c>
      <c r="X451" s="6">
        <f>[1]Emissions!W868</f>
        <v>0</v>
      </c>
      <c r="Y451" s="6">
        <f>[1]Emissions!X868</f>
        <v>0</v>
      </c>
      <c r="Z451" s="6">
        <f>[1]Emissions!Y868</f>
        <v>0</v>
      </c>
      <c r="AA451" s="6">
        <f>[1]Emissions!Z868</f>
        <v>0</v>
      </c>
      <c r="AB451" s="6">
        <f>[1]Emissions!AA868</f>
        <v>0</v>
      </c>
      <c r="AC451" s="6">
        <f>[1]Emissions!AB868</f>
        <v>0</v>
      </c>
      <c r="AD451" s="6">
        <f>[1]Emissions!AC868</f>
        <v>0</v>
      </c>
      <c r="AE451" s="6">
        <f>[1]Emissions!AD868</f>
        <v>0</v>
      </c>
      <c r="AF451" s="6">
        <f>[1]Emissions!AE868</f>
        <v>0</v>
      </c>
      <c r="AG451" s="6">
        <f>[1]Emissions!AF868</f>
        <v>0</v>
      </c>
      <c r="AH451" s="6">
        <f>[1]Emissions!AG868</f>
        <v>0</v>
      </c>
      <c r="AI451" s="6">
        <f>[1]Emissions!AH868</f>
        <v>0</v>
      </c>
      <c r="AJ451" s="6">
        <f>[1]Emissions!AI868</f>
        <v>0</v>
      </c>
      <c r="AK451" s="6">
        <f>[1]Emissions!AJ868</f>
        <v>0</v>
      </c>
      <c r="AL451" s="6">
        <f>[1]Emissions!AK868</f>
        <v>0</v>
      </c>
    </row>
    <row r="452" spans="2:38" x14ac:dyDescent="0.3">
      <c r="B452" s="6" t="str">
        <f>[1]Emissions!A869</f>
        <v>ems_ci_co2_sroa_2</v>
      </c>
      <c r="C452" s="6">
        <f>[1]Emissions!B869</f>
        <v>16.043584360000001</v>
      </c>
      <c r="D452" s="6">
        <f>[1]Emissions!C869</f>
        <v>15.99709125</v>
      </c>
      <c r="E452" s="6">
        <f>[1]Emissions!D869</f>
        <v>15.973187149999999</v>
      </c>
      <c r="F452" s="6">
        <f>[1]Emissions!E869</f>
        <v>16.01090232</v>
      </c>
      <c r="G452" s="6">
        <f>[1]Emissions!F869</f>
        <v>16.101426109999998</v>
      </c>
      <c r="H452" s="6">
        <f>[1]Emissions!G869</f>
        <v>16.232448120000001</v>
      </c>
      <c r="I452" s="6">
        <f>[1]Emissions!H869</f>
        <v>16.38148511</v>
      </c>
      <c r="J452" s="6">
        <f>[1]Emissions!I869</f>
        <v>16.501880499999999</v>
      </c>
      <c r="K452" s="6">
        <f>[1]Emissions!J869</f>
        <v>16.622725519999999</v>
      </c>
      <c r="L452" s="6">
        <f>[1]Emissions!K869</f>
        <v>16.756006960000001</v>
      </c>
      <c r="M452" s="6">
        <f>[1]Emissions!L869</f>
        <v>16.911243160000001</v>
      </c>
      <c r="N452" s="6">
        <f>[1]Emissions!M869</f>
        <v>17.097842969999999</v>
      </c>
      <c r="O452" s="6">
        <f>[1]Emissions!N869</f>
        <v>17.30250092</v>
      </c>
      <c r="P452" s="6">
        <f>[1]Emissions!O869</f>
        <v>17.519872939999999</v>
      </c>
      <c r="Q452" s="6">
        <f>[1]Emissions!P869</f>
        <v>17.745040639999999</v>
      </c>
      <c r="R452" s="6">
        <f>[1]Emissions!Q869</f>
        <v>17.973839510000001</v>
      </c>
      <c r="S452" s="6">
        <f>[1]Emissions!R869</f>
        <v>18.203928810000001</v>
      </c>
      <c r="T452" s="6">
        <f>[1]Emissions!S869</f>
        <v>18.43503746</v>
      </c>
      <c r="U452" s="6">
        <f>[1]Emissions!T869</f>
        <v>18.668370490000001</v>
      </c>
      <c r="V452" s="6">
        <f>[1]Emissions!U869</f>
        <v>18.905625100000002</v>
      </c>
      <c r="W452" s="6">
        <f>[1]Emissions!V869</f>
        <v>19.144808040000001</v>
      </c>
      <c r="X452" s="6">
        <f>[1]Emissions!W869</f>
        <v>19.385065780000001</v>
      </c>
      <c r="Y452" s="6">
        <f>[1]Emissions!X869</f>
        <v>19.633801779999999</v>
      </c>
      <c r="Z452" s="6">
        <f>[1]Emissions!Y869</f>
        <v>19.8900632</v>
      </c>
      <c r="AA452" s="6">
        <f>[1]Emissions!Z869</f>
        <v>20.15204516</v>
      </c>
      <c r="AB452" s="6">
        <f>[1]Emissions!AA869</f>
        <v>20.40524177</v>
      </c>
      <c r="AC452" s="6">
        <f>[1]Emissions!AB869</f>
        <v>20.648899650000001</v>
      </c>
      <c r="AD452" s="6">
        <f>[1]Emissions!AC869</f>
        <v>20.894338399999999</v>
      </c>
      <c r="AE452" s="6">
        <f>[1]Emissions!AD869</f>
        <v>21.143962169999998</v>
      </c>
      <c r="AF452" s="6">
        <f>[1]Emissions!AE869</f>
        <v>21.398561489999999</v>
      </c>
      <c r="AG452" s="6">
        <f>[1]Emissions!AF869</f>
        <v>21.658206239999998</v>
      </c>
      <c r="AH452" s="6">
        <f>[1]Emissions!AG869</f>
        <v>21.922457900000001</v>
      </c>
      <c r="AI452" s="6">
        <f>[1]Emissions!AH869</f>
        <v>22.190687560000001</v>
      </c>
      <c r="AJ452" s="6">
        <f>[1]Emissions!AI869</f>
        <v>22.462387830000001</v>
      </c>
      <c r="AK452" s="6">
        <f>[1]Emissions!AJ869</f>
        <v>22.73734924</v>
      </c>
      <c r="AL452" s="6">
        <f>[1]Emissions!AK869</f>
        <v>23.015665569999999</v>
      </c>
    </row>
    <row r="453" spans="2:38" x14ac:dyDescent="0.3">
      <c r="B453" s="6" t="str">
        <f>[1]Emissions!A870</f>
        <v>ems_y_co2_sroa_2</v>
      </c>
      <c r="C453" s="6">
        <f>[1]Emissions!B870</f>
        <v>0</v>
      </c>
      <c r="D453" s="6">
        <f>[1]Emissions!C870</f>
        <v>0</v>
      </c>
      <c r="E453" s="6">
        <f>[1]Emissions!D870</f>
        <v>0</v>
      </c>
      <c r="F453" s="6">
        <f>[1]Emissions!E870</f>
        <v>0</v>
      </c>
      <c r="G453" s="6">
        <f>[1]Emissions!F870</f>
        <v>0</v>
      </c>
      <c r="H453" s="6">
        <f>[1]Emissions!G870</f>
        <v>0</v>
      </c>
      <c r="I453" s="6">
        <f>[1]Emissions!H870</f>
        <v>0</v>
      </c>
      <c r="J453" s="6">
        <f>[1]Emissions!I870</f>
        <v>0</v>
      </c>
      <c r="K453" s="6">
        <f>[1]Emissions!J870</f>
        <v>0</v>
      </c>
      <c r="L453" s="6">
        <f>[1]Emissions!K870</f>
        <v>0</v>
      </c>
      <c r="M453" s="6">
        <f>[1]Emissions!L870</f>
        <v>0</v>
      </c>
      <c r="N453" s="6">
        <f>[1]Emissions!M870</f>
        <v>0</v>
      </c>
      <c r="O453" s="6">
        <f>[1]Emissions!N870</f>
        <v>0</v>
      </c>
      <c r="P453" s="6">
        <f>[1]Emissions!O870</f>
        <v>0</v>
      </c>
      <c r="Q453" s="6">
        <f>[1]Emissions!P870</f>
        <v>0</v>
      </c>
      <c r="R453" s="6">
        <f>[1]Emissions!Q870</f>
        <v>0</v>
      </c>
      <c r="S453" s="6">
        <f>[1]Emissions!R870</f>
        <v>0</v>
      </c>
      <c r="T453" s="6">
        <f>[1]Emissions!S870</f>
        <v>0</v>
      </c>
      <c r="U453" s="6">
        <f>[1]Emissions!T870</f>
        <v>0</v>
      </c>
      <c r="V453" s="6">
        <f>[1]Emissions!U870</f>
        <v>0</v>
      </c>
      <c r="W453" s="6">
        <f>[1]Emissions!V870</f>
        <v>0</v>
      </c>
      <c r="X453" s="6">
        <f>[1]Emissions!W870</f>
        <v>0</v>
      </c>
      <c r="Y453" s="6">
        <f>[1]Emissions!X870</f>
        <v>0</v>
      </c>
      <c r="Z453" s="6">
        <f>[1]Emissions!Y870</f>
        <v>0</v>
      </c>
      <c r="AA453" s="6">
        <f>[1]Emissions!Z870</f>
        <v>0</v>
      </c>
      <c r="AB453" s="6">
        <f>[1]Emissions!AA870</f>
        <v>0</v>
      </c>
      <c r="AC453" s="6">
        <f>[1]Emissions!AB870</f>
        <v>0</v>
      </c>
      <c r="AD453" s="6">
        <f>[1]Emissions!AC870</f>
        <v>0</v>
      </c>
      <c r="AE453" s="6">
        <f>[1]Emissions!AD870</f>
        <v>0</v>
      </c>
      <c r="AF453" s="6">
        <f>[1]Emissions!AE870</f>
        <v>0</v>
      </c>
      <c r="AG453" s="6">
        <f>[1]Emissions!AF870</f>
        <v>0</v>
      </c>
      <c r="AH453" s="6">
        <f>[1]Emissions!AG870</f>
        <v>0</v>
      </c>
      <c r="AI453" s="6">
        <f>[1]Emissions!AH870</f>
        <v>0</v>
      </c>
      <c r="AJ453" s="6">
        <f>[1]Emissions!AI870</f>
        <v>0</v>
      </c>
      <c r="AK453" s="6">
        <f>[1]Emissions!AJ870</f>
        <v>0</v>
      </c>
      <c r="AL453" s="6">
        <f>[1]Emissions!AK870</f>
        <v>0</v>
      </c>
    </row>
    <row r="454" spans="2:38" x14ac:dyDescent="0.3">
      <c r="B454" s="6" t="str">
        <f>[1]Emissions!A871</f>
        <v>ems_mat_co2_sroa_2</v>
      </c>
      <c r="C454" s="6">
        <f>[1]Emissions!B871</f>
        <v>0</v>
      </c>
      <c r="D454" s="6">
        <f>[1]Emissions!C871</f>
        <v>0</v>
      </c>
      <c r="E454" s="6">
        <f>[1]Emissions!D871</f>
        <v>0</v>
      </c>
      <c r="F454" s="6">
        <f>[1]Emissions!E871</f>
        <v>0</v>
      </c>
      <c r="G454" s="6">
        <f>[1]Emissions!F871</f>
        <v>0</v>
      </c>
      <c r="H454" s="6">
        <f>[1]Emissions!G871</f>
        <v>0</v>
      </c>
      <c r="I454" s="6">
        <f>[1]Emissions!H871</f>
        <v>0</v>
      </c>
      <c r="J454" s="6">
        <f>[1]Emissions!I871</f>
        <v>0</v>
      </c>
      <c r="K454" s="6">
        <f>[1]Emissions!J871</f>
        <v>0</v>
      </c>
      <c r="L454" s="6">
        <f>[1]Emissions!K871</f>
        <v>0</v>
      </c>
      <c r="M454" s="6">
        <f>[1]Emissions!L871</f>
        <v>0</v>
      </c>
      <c r="N454" s="6">
        <f>[1]Emissions!M871</f>
        <v>0</v>
      </c>
      <c r="O454" s="6">
        <f>[1]Emissions!N871</f>
        <v>0</v>
      </c>
      <c r="P454" s="6">
        <f>[1]Emissions!O871</f>
        <v>0</v>
      </c>
      <c r="Q454" s="6">
        <f>[1]Emissions!P871</f>
        <v>0</v>
      </c>
      <c r="R454" s="6">
        <f>[1]Emissions!Q871</f>
        <v>0</v>
      </c>
      <c r="S454" s="6">
        <f>[1]Emissions!R871</f>
        <v>0</v>
      </c>
      <c r="T454" s="6">
        <f>[1]Emissions!S871</f>
        <v>0</v>
      </c>
      <c r="U454" s="6">
        <f>[1]Emissions!T871</f>
        <v>0</v>
      </c>
      <c r="V454" s="6">
        <f>[1]Emissions!U871</f>
        <v>0</v>
      </c>
      <c r="W454" s="6">
        <f>[1]Emissions!V871</f>
        <v>0</v>
      </c>
      <c r="X454" s="6">
        <f>[1]Emissions!W871</f>
        <v>0</v>
      </c>
      <c r="Y454" s="6">
        <f>[1]Emissions!X871</f>
        <v>0</v>
      </c>
      <c r="Z454" s="6">
        <f>[1]Emissions!Y871</f>
        <v>0</v>
      </c>
      <c r="AA454" s="6">
        <f>[1]Emissions!Z871</f>
        <v>0</v>
      </c>
      <c r="AB454" s="6">
        <f>[1]Emissions!AA871</f>
        <v>0</v>
      </c>
      <c r="AC454" s="6">
        <f>[1]Emissions!AB871</f>
        <v>0</v>
      </c>
      <c r="AD454" s="6">
        <f>[1]Emissions!AC871</f>
        <v>0</v>
      </c>
      <c r="AE454" s="6">
        <f>[1]Emissions!AD871</f>
        <v>0</v>
      </c>
      <c r="AF454" s="6">
        <f>[1]Emissions!AE871</f>
        <v>0</v>
      </c>
      <c r="AG454" s="6">
        <f>[1]Emissions!AF871</f>
        <v>0</v>
      </c>
      <c r="AH454" s="6">
        <f>[1]Emissions!AG871</f>
        <v>0</v>
      </c>
      <c r="AI454" s="6">
        <f>[1]Emissions!AH871</f>
        <v>0</v>
      </c>
      <c r="AJ454" s="6">
        <f>[1]Emissions!AI871</f>
        <v>0</v>
      </c>
      <c r="AK454" s="6">
        <f>[1]Emissions!AJ871</f>
        <v>0</v>
      </c>
      <c r="AL454" s="6">
        <f>[1]Emissions!AK871</f>
        <v>0</v>
      </c>
    </row>
    <row r="455" spans="2:38" x14ac:dyDescent="0.3">
      <c r="B455" s="6" t="str">
        <f>[1]Emissions!A872</f>
        <v>ems_ci_co2_swat_2</v>
      </c>
      <c r="C455" s="6">
        <f>[1]Emissions!B872</f>
        <v>3.7871648360000001</v>
      </c>
      <c r="D455" s="6">
        <f>[1]Emissions!C872</f>
        <v>3.8471703490000002</v>
      </c>
      <c r="E455" s="6">
        <f>[1]Emissions!D872</f>
        <v>3.9120774780000001</v>
      </c>
      <c r="F455" s="6">
        <f>[1]Emissions!E872</f>
        <v>3.9815562880000002</v>
      </c>
      <c r="G455" s="6">
        <f>[1]Emissions!F872</f>
        <v>4.056939957</v>
      </c>
      <c r="H455" s="6">
        <f>[1]Emissions!G872</f>
        <v>4.1376657100000003</v>
      </c>
      <c r="I455" s="6">
        <f>[1]Emissions!H872</f>
        <v>4.2183704649999996</v>
      </c>
      <c r="J455" s="6">
        <f>[1]Emissions!I872</f>
        <v>4.2781468819999997</v>
      </c>
      <c r="K455" s="6">
        <f>[1]Emissions!J872</f>
        <v>4.3269763550000002</v>
      </c>
      <c r="L455" s="6">
        <f>[1]Emissions!K872</f>
        <v>4.3710845369999998</v>
      </c>
      <c r="M455" s="6">
        <f>[1]Emissions!L872</f>
        <v>4.4228213480000003</v>
      </c>
      <c r="N455" s="6">
        <f>[1]Emissions!M872</f>
        <v>4.4766362219999998</v>
      </c>
      <c r="O455" s="6">
        <f>[1]Emissions!N872</f>
        <v>4.5386906610000004</v>
      </c>
      <c r="P455" s="6">
        <f>[1]Emissions!O872</f>
        <v>4.6087209380000003</v>
      </c>
      <c r="Q455" s="6">
        <f>[1]Emissions!P872</f>
        <v>4.6841203480000004</v>
      </c>
      <c r="R455" s="6">
        <f>[1]Emissions!Q872</f>
        <v>4.7616188380000004</v>
      </c>
      <c r="S455" s="6">
        <f>[1]Emissions!R872</f>
        <v>4.8385472140000001</v>
      </c>
      <c r="T455" s="6">
        <f>[1]Emissions!S872</f>
        <v>4.9135679339999996</v>
      </c>
      <c r="U455" s="6">
        <f>[1]Emissions!T872</f>
        <v>4.9867464110000004</v>
      </c>
      <c r="V455" s="6">
        <f>[1]Emissions!U872</f>
        <v>5.0590983429999996</v>
      </c>
      <c r="W455" s="6">
        <f>[1]Emissions!V872</f>
        <v>5.1274821370000003</v>
      </c>
      <c r="X455" s="6">
        <f>[1]Emissions!W872</f>
        <v>5.2009470740000001</v>
      </c>
      <c r="Y455" s="6">
        <f>[1]Emissions!X872</f>
        <v>5.2770324090000003</v>
      </c>
      <c r="Z455" s="6">
        <f>[1]Emissions!Y872</f>
        <v>5.355467859</v>
      </c>
      <c r="AA455" s="6">
        <f>[1]Emissions!Z872</f>
        <v>5.4358718289999999</v>
      </c>
      <c r="AB455" s="6">
        <f>[1]Emissions!AA872</f>
        <v>5.5048526310000003</v>
      </c>
      <c r="AC455" s="6">
        <f>[1]Emissions!AB872</f>
        <v>5.579156234</v>
      </c>
      <c r="AD455" s="6">
        <f>[1]Emissions!AC872</f>
        <v>5.6547762840000004</v>
      </c>
      <c r="AE455" s="6">
        <f>[1]Emissions!AD872</f>
        <v>5.731809105</v>
      </c>
      <c r="AF455" s="6">
        <f>[1]Emissions!AE872</f>
        <v>5.810769219</v>
      </c>
      <c r="AG455" s="6">
        <f>[1]Emissions!AF872</f>
        <v>5.8919283849999999</v>
      </c>
      <c r="AH455" s="6">
        <f>[1]Emissions!AG872</f>
        <v>5.9751948549999998</v>
      </c>
      <c r="AI455" s="6">
        <f>[1]Emissions!AH872</f>
        <v>6.0602121599999998</v>
      </c>
      <c r="AJ455" s="6">
        <f>[1]Emissions!AI872</f>
        <v>6.1465517690000002</v>
      </c>
      <c r="AK455" s="6">
        <f>[1]Emissions!AJ872</f>
        <v>6.2338932360000001</v>
      </c>
      <c r="AL455" s="6">
        <f>[1]Emissions!AK872</f>
        <v>6.3221203260000003</v>
      </c>
    </row>
    <row r="456" spans="2:38" x14ac:dyDescent="0.3">
      <c r="B456" s="6" t="str">
        <f>[1]Emissions!A873</f>
        <v>ems_y_co2_swat_2</v>
      </c>
      <c r="C456" s="6">
        <f>[1]Emissions!B873</f>
        <v>0</v>
      </c>
      <c r="D456" s="6">
        <f>[1]Emissions!C873</f>
        <v>0</v>
      </c>
      <c r="E456" s="6">
        <f>[1]Emissions!D873</f>
        <v>0</v>
      </c>
      <c r="F456" s="6">
        <f>[1]Emissions!E873</f>
        <v>0</v>
      </c>
      <c r="G456" s="6">
        <f>[1]Emissions!F873</f>
        <v>0</v>
      </c>
      <c r="H456" s="6">
        <f>[1]Emissions!G873</f>
        <v>0</v>
      </c>
      <c r="I456" s="6">
        <f>[1]Emissions!H873</f>
        <v>0</v>
      </c>
      <c r="J456" s="6">
        <f>[1]Emissions!I873</f>
        <v>0</v>
      </c>
      <c r="K456" s="6">
        <f>[1]Emissions!J873</f>
        <v>0</v>
      </c>
      <c r="L456" s="6">
        <f>[1]Emissions!K873</f>
        <v>0</v>
      </c>
      <c r="M456" s="6">
        <f>[1]Emissions!L873</f>
        <v>0</v>
      </c>
      <c r="N456" s="6">
        <f>[1]Emissions!M873</f>
        <v>0</v>
      </c>
      <c r="O456" s="6">
        <f>[1]Emissions!N873</f>
        <v>0</v>
      </c>
      <c r="P456" s="6">
        <f>[1]Emissions!O873</f>
        <v>0</v>
      </c>
      <c r="Q456" s="6">
        <f>[1]Emissions!P873</f>
        <v>0</v>
      </c>
      <c r="R456" s="6">
        <f>[1]Emissions!Q873</f>
        <v>0</v>
      </c>
      <c r="S456" s="6">
        <f>[1]Emissions!R873</f>
        <v>0</v>
      </c>
      <c r="T456" s="6">
        <f>[1]Emissions!S873</f>
        <v>0</v>
      </c>
      <c r="U456" s="6">
        <f>[1]Emissions!T873</f>
        <v>0</v>
      </c>
      <c r="V456" s="6">
        <f>[1]Emissions!U873</f>
        <v>0</v>
      </c>
      <c r="W456" s="6">
        <f>[1]Emissions!V873</f>
        <v>0</v>
      </c>
      <c r="X456" s="6">
        <f>[1]Emissions!W873</f>
        <v>0</v>
      </c>
      <c r="Y456" s="6">
        <f>[1]Emissions!X873</f>
        <v>0</v>
      </c>
      <c r="Z456" s="6">
        <f>[1]Emissions!Y873</f>
        <v>0</v>
      </c>
      <c r="AA456" s="6">
        <f>[1]Emissions!Z873</f>
        <v>0</v>
      </c>
      <c r="AB456" s="6">
        <f>[1]Emissions!AA873</f>
        <v>0</v>
      </c>
      <c r="AC456" s="6">
        <f>[1]Emissions!AB873</f>
        <v>0</v>
      </c>
      <c r="AD456" s="6">
        <f>[1]Emissions!AC873</f>
        <v>0</v>
      </c>
      <c r="AE456" s="6">
        <f>[1]Emissions!AD873</f>
        <v>0</v>
      </c>
      <c r="AF456" s="6">
        <f>[1]Emissions!AE873</f>
        <v>0</v>
      </c>
      <c r="AG456" s="6">
        <f>[1]Emissions!AF873</f>
        <v>0</v>
      </c>
      <c r="AH456" s="6">
        <f>[1]Emissions!AG873</f>
        <v>0</v>
      </c>
      <c r="AI456" s="6">
        <f>[1]Emissions!AH873</f>
        <v>0</v>
      </c>
      <c r="AJ456" s="6">
        <f>[1]Emissions!AI873</f>
        <v>0</v>
      </c>
      <c r="AK456" s="6">
        <f>[1]Emissions!AJ873</f>
        <v>0</v>
      </c>
      <c r="AL456" s="6">
        <f>[1]Emissions!AK873</f>
        <v>0</v>
      </c>
    </row>
    <row r="457" spans="2:38" x14ac:dyDescent="0.3">
      <c r="B457" s="6" t="str">
        <f>[1]Emissions!A874</f>
        <v>ems_mat_co2_swat_2</v>
      </c>
      <c r="C457" s="6">
        <f>[1]Emissions!B874</f>
        <v>0</v>
      </c>
      <c r="D457" s="6">
        <f>[1]Emissions!C874</f>
        <v>0</v>
      </c>
      <c r="E457" s="6">
        <f>[1]Emissions!D874</f>
        <v>0</v>
      </c>
      <c r="F457" s="6">
        <f>[1]Emissions!E874</f>
        <v>0</v>
      </c>
      <c r="G457" s="6">
        <f>[1]Emissions!F874</f>
        <v>0</v>
      </c>
      <c r="H457" s="6">
        <f>[1]Emissions!G874</f>
        <v>0</v>
      </c>
      <c r="I457" s="6">
        <f>[1]Emissions!H874</f>
        <v>0</v>
      </c>
      <c r="J457" s="6">
        <f>[1]Emissions!I874</f>
        <v>0</v>
      </c>
      <c r="K457" s="6">
        <f>[1]Emissions!J874</f>
        <v>0</v>
      </c>
      <c r="L457" s="6">
        <f>[1]Emissions!K874</f>
        <v>0</v>
      </c>
      <c r="M457" s="6">
        <f>[1]Emissions!L874</f>
        <v>0</v>
      </c>
      <c r="N457" s="6">
        <f>[1]Emissions!M874</f>
        <v>0</v>
      </c>
      <c r="O457" s="6">
        <f>[1]Emissions!N874</f>
        <v>0</v>
      </c>
      <c r="P457" s="6">
        <f>[1]Emissions!O874</f>
        <v>0</v>
      </c>
      <c r="Q457" s="6">
        <f>[1]Emissions!P874</f>
        <v>0</v>
      </c>
      <c r="R457" s="6">
        <f>[1]Emissions!Q874</f>
        <v>0</v>
      </c>
      <c r="S457" s="6">
        <f>[1]Emissions!R874</f>
        <v>0</v>
      </c>
      <c r="T457" s="6">
        <f>[1]Emissions!S874</f>
        <v>0</v>
      </c>
      <c r="U457" s="6">
        <f>[1]Emissions!T874</f>
        <v>0</v>
      </c>
      <c r="V457" s="6">
        <f>[1]Emissions!U874</f>
        <v>0</v>
      </c>
      <c r="W457" s="6">
        <f>[1]Emissions!V874</f>
        <v>0</v>
      </c>
      <c r="X457" s="6">
        <f>[1]Emissions!W874</f>
        <v>0</v>
      </c>
      <c r="Y457" s="6">
        <f>[1]Emissions!X874</f>
        <v>0</v>
      </c>
      <c r="Z457" s="6">
        <f>[1]Emissions!Y874</f>
        <v>0</v>
      </c>
      <c r="AA457" s="6">
        <f>[1]Emissions!Z874</f>
        <v>0</v>
      </c>
      <c r="AB457" s="6">
        <f>[1]Emissions!AA874</f>
        <v>0</v>
      </c>
      <c r="AC457" s="6">
        <f>[1]Emissions!AB874</f>
        <v>0</v>
      </c>
      <c r="AD457" s="6">
        <f>[1]Emissions!AC874</f>
        <v>0</v>
      </c>
      <c r="AE457" s="6">
        <f>[1]Emissions!AD874</f>
        <v>0</v>
      </c>
      <c r="AF457" s="6">
        <f>[1]Emissions!AE874</f>
        <v>0</v>
      </c>
      <c r="AG457" s="6">
        <f>[1]Emissions!AF874</f>
        <v>0</v>
      </c>
      <c r="AH457" s="6">
        <f>[1]Emissions!AG874</f>
        <v>0</v>
      </c>
      <c r="AI457" s="6">
        <f>[1]Emissions!AH874</f>
        <v>0</v>
      </c>
      <c r="AJ457" s="6">
        <f>[1]Emissions!AI874</f>
        <v>0</v>
      </c>
      <c r="AK457" s="6">
        <f>[1]Emissions!AJ874</f>
        <v>0</v>
      </c>
      <c r="AL457" s="6">
        <f>[1]Emissions!AK874</f>
        <v>0</v>
      </c>
    </row>
    <row r="458" spans="2:38" x14ac:dyDescent="0.3">
      <c r="B458" s="6" t="str">
        <f>[1]Emissions!A875</f>
        <v>ems_ci_co2_sair_2</v>
      </c>
      <c r="C458" s="6">
        <f>[1]Emissions!B875</f>
        <v>19.865303740000002</v>
      </c>
      <c r="D458" s="6">
        <f>[1]Emissions!C875</f>
        <v>20.11204111</v>
      </c>
      <c r="E458" s="6">
        <f>[1]Emissions!D875</f>
        <v>20.407258670000001</v>
      </c>
      <c r="F458" s="6">
        <f>[1]Emissions!E875</f>
        <v>20.7519773</v>
      </c>
      <c r="G458" s="6">
        <f>[1]Emissions!F875</f>
        <v>21.133488</v>
      </c>
      <c r="H458" s="6">
        <f>[1]Emissions!G875</f>
        <v>21.536563260000001</v>
      </c>
      <c r="I458" s="6">
        <f>[1]Emissions!H875</f>
        <v>21.84037871</v>
      </c>
      <c r="J458" s="6">
        <f>[1]Emissions!I875</f>
        <v>22.117640600000001</v>
      </c>
      <c r="K458" s="6">
        <f>[1]Emissions!J875</f>
        <v>22.408373310000002</v>
      </c>
      <c r="L458" s="6">
        <f>[1]Emissions!K875</f>
        <v>22.733404279999998</v>
      </c>
      <c r="M458" s="6">
        <f>[1]Emissions!L875</f>
        <v>23.12540868</v>
      </c>
      <c r="N458" s="6">
        <f>[1]Emissions!M875</f>
        <v>23.547378800000001</v>
      </c>
      <c r="O458" s="6">
        <f>[1]Emissions!N875</f>
        <v>23.993319150000001</v>
      </c>
      <c r="P458" s="6">
        <f>[1]Emissions!O875</f>
        <v>24.44909496</v>
      </c>
      <c r="Q458" s="6">
        <f>[1]Emissions!P875</f>
        <v>24.902705699999999</v>
      </c>
      <c r="R458" s="6">
        <f>[1]Emissions!Q875</f>
        <v>25.348126279999999</v>
      </c>
      <c r="S458" s="6">
        <f>[1]Emissions!R875</f>
        <v>25.78610647</v>
      </c>
      <c r="T458" s="6">
        <f>[1]Emissions!S875</f>
        <v>26.222317199999999</v>
      </c>
      <c r="U458" s="6">
        <f>[1]Emissions!T875</f>
        <v>26.664111569999999</v>
      </c>
      <c r="V458" s="6">
        <f>[1]Emissions!U875</f>
        <v>27.117524629999998</v>
      </c>
      <c r="W458" s="6">
        <f>[1]Emissions!V875</f>
        <v>27.56724818</v>
      </c>
      <c r="X458" s="6">
        <f>[1]Emissions!W875</f>
        <v>28.040810610000001</v>
      </c>
      <c r="Y458" s="6">
        <f>[1]Emissions!X875</f>
        <v>28.53188978</v>
      </c>
      <c r="Z458" s="6">
        <f>[1]Emissions!Y875</f>
        <v>29.036535789999999</v>
      </c>
      <c r="AA458" s="6">
        <f>[1]Emissions!Z875</f>
        <v>29.551448780000001</v>
      </c>
      <c r="AB458" s="6">
        <f>[1]Emissions!AA875</f>
        <v>30.01812352</v>
      </c>
      <c r="AC458" s="6">
        <f>[1]Emissions!AB875</f>
        <v>30.497234859999999</v>
      </c>
      <c r="AD458" s="6">
        <f>[1]Emissions!AC875</f>
        <v>30.98679916</v>
      </c>
      <c r="AE458" s="6">
        <f>[1]Emissions!AD875</f>
        <v>31.48832616</v>
      </c>
      <c r="AF458" s="6">
        <f>[1]Emissions!AE875</f>
        <v>32.001830820000002</v>
      </c>
      <c r="AG458" s="6">
        <f>[1]Emissions!AF875</f>
        <v>32.525997750000002</v>
      </c>
      <c r="AH458" s="6">
        <f>[1]Emissions!AG875</f>
        <v>33.059045910000002</v>
      </c>
      <c r="AI458" s="6">
        <f>[1]Emissions!AH875</f>
        <v>33.599636740000001</v>
      </c>
      <c r="AJ458" s="6">
        <f>[1]Emissions!AI875</f>
        <v>34.147412619999997</v>
      </c>
      <c r="AK458" s="6">
        <f>[1]Emissions!AJ875</f>
        <v>34.703010280000001</v>
      </c>
      <c r="AL458" s="6">
        <f>[1]Emissions!AK875</f>
        <v>35.267655329999997</v>
      </c>
    </row>
    <row r="459" spans="2:38" x14ac:dyDescent="0.3">
      <c r="B459" s="6" t="str">
        <f>[1]Emissions!A876</f>
        <v>ems_y_co2_sair_2</v>
      </c>
      <c r="C459" s="6">
        <f>[1]Emissions!B876</f>
        <v>0</v>
      </c>
      <c r="D459" s="6">
        <f>[1]Emissions!C876</f>
        <v>0</v>
      </c>
      <c r="E459" s="6">
        <f>[1]Emissions!D876</f>
        <v>0</v>
      </c>
      <c r="F459" s="6">
        <f>[1]Emissions!E876</f>
        <v>0</v>
      </c>
      <c r="G459" s="6">
        <f>[1]Emissions!F876</f>
        <v>0</v>
      </c>
      <c r="H459" s="6">
        <f>[1]Emissions!G876</f>
        <v>0</v>
      </c>
      <c r="I459" s="6">
        <f>[1]Emissions!H876</f>
        <v>0</v>
      </c>
      <c r="J459" s="6">
        <f>[1]Emissions!I876</f>
        <v>0</v>
      </c>
      <c r="K459" s="6">
        <f>[1]Emissions!J876</f>
        <v>0</v>
      </c>
      <c r="L459" s="6">
        <f>[1]Emissions!K876</f>
        <v>0</v>
      </c>
      <c r="M459" s="6">
        <f>[1]Emissions!L876</f>
        <v>0</v>
      </c>
      <c r="N459" s="6">
        <f>[1]Emissions!M876</f>
        <v>0</v>
      </c>
      <c r="O459" s="6">
        <f>[1]Emissions!N876</f>
        <v>0</v>
      </c>
      <c r="P459" s="6">
        <f>[1]Emissions!O876</f>
        <v>0</v>
      </c>
      <c r="Q459" s="6">
        <f>[1]Emissions!P876</f>
        <v>0</v>
      </c>
      <c r="R459" s="6">
        <f>[1]Emissions!Q876</f>
        <v>0</v>
      </c>
      <c r="S459" s="6">
        <f>[1]Emissions!R876</f>
        <v>0</v>
      </c>
      <c r="T459" s="6">
        <f>[1]Emissions!S876</f>
        <v>0</v>
      </c>
      <c r="U459" s="6">
        <f>[1]Emissions!T876</f>
        <v>0</v>
      </c>
      <c r="V459" s="6">
        <f>[1]Emissions!U876</f>
        <v>0</v>
      </c>
      <c r="W459" s="6">
        <f>[1]Emissions!V876</f>
        <v>0</v>
      </c>
      <c r="X459" s="6">
        <f>[1]Emissions!W876</f>
        <v>0</v>
      </c>
      <c r="Y459" s="6">
        <f>[1]Emissions!X876</f>
        <v>0</v>
      </c>
      <c r="Z459" s="6">
        <f>[1]Emissions!Y876</f>
        <v>0</v>
      </c>
      <c r="AA459" s="6">
        <f>[1]Emissions!Z876</f>
        <v>0</v>
      </c>
      <c r="AB459" s="6">
        <f>[1]Emissions!AA876</f>
        <v>0</v>
      </c>
      <c r="AC459" s="6">
        <f>[1]Emissions!AB876</f>
        <v>0</v>
      </c>
      <c r="AD459" s="6">
        <f>[1]Emissions!AC876</f>
        <v>0</v>
      </c>
      <c r="AE459" s="6">
        <f>[1]Emissions!AD876</f>
        <v>0</v>
      </c>
      <c r="AF459" s="6">
        <f>[1]Emissions!AE876</f>
        <v>0</v>
      </c>
      <c r="AG459" s="6">
        <f>[1]Emissions!AF876</f>
        <v>0</v>
      </c>
      <c r="AH459" s="6">
        <f>[1]Emissions!AG876</f>
        <v>0</v>
      </c>
      <c r="AI459" s="6">
        <f>[1]Emissions!AH876</f>
        <v>0</v>
      </c>
      <c r="AJ459" s="6">
        <f>[1]Emissions!AI876</f>
        <v>0</v>
      </c>
      <c r="AK459" s="6">
        <f>[1]Emissions!AJ876</f>
        <v>0</v>
      </c>
      <c r="AL459" s="6">
        <f>[1]Emissions!AK876</f>
        <v>0</v>
      </c>
    </row>
    <row r="460" spans="2:38" x14ac:dyDescent="0.3">
      <c r="B460" s="6" t="str">
        <f>[1]Emissions!A877</f>
        <v>ems_mat_co2_sair_2</v>
      </c>
      <c r="C460" s="6">
        <f>[1]Emissions!B877</f>
        <v>0</v>
      </c>
      <c r="D460" s="6">
        <f>[1]Emissions!C877</f>
        <v>0</v>
      </c>
      <c r="E460" s="6">
        <f>[1]Emissions!D877</f>
        <v>0</v>
      </c>
      <c r="F460" s="6">
        <f>[1]Emissions!E877</f>
        <v>0</v>
      </c>
      <c r="G460" s="6">
        <f>[1]Emissions!F877</f>
        <v>0</v>
      </c>
      <c r="H460" s="6">
        <f>[1]Emissions!G877</f>
        <v>0</v>
      </c>
      <c r="I460" s="6">
        <f>[1]Emissions!H877</f>
        <v>0</v>
      </c>
      <c r="J460" s="6">
        <f>[1]Emissions!I877</f>
        <v>0</v>
      </c>
      <c r="K460" s="6">
        <f>[1]Emissions!J877</f>
        <v>0</v>
      </c>
      <c r="L460" s="6">
        <f>[1]Emissions!K877</f>
        <v>0</v>
      </c>
      <c r="M460" s="6">
        <f>[1]Emissions!L877</f>
        <v>0</v>
      </c>
      <c r="N460" s="6">
        <f>[1]Emissions!M877</f>
        <v>0</v>
      </c>
      <c r="O460" s="6">
        <f>[1]Emissions!N877</f>
        <v>0</v>
      </c>
      <c r="P460" s="6">
        <f>[1]Emissions!O877</f>
        <v>0</v>
      </c>
      <c r="Q460" s="6">
        <f>[1]Emissions!P877</f>
        <v>0</v>
      </c>
      <c r="R460" s="6">
        <f>[1]Emissions!Q877</f>
        <v>0</v>
      </c>
      <c r="S460" s="6">
        <f>[1]Emissions!R877</f>
        <v>0</v>
      </c>
      <c r="T460" s="6">
        <f>[1]Emissions!S877</f>
        <v>0</v>
      </c>
      <c r="U460" s="6">
        <f>[1]Emissions!T877</f>
        <v>0</v>
      </c>
      <c r="V460" s="6">
        <f>[1]Emissions!U877</f>
        <v>0</v>
      </c>
      <c r="W460" s="6">
        <f>[1]Emissions!V877</f>
        <v>0</v>
      </c>
      <c r="X460" s="6">
        <f>[1]Emissions!W877</f>
        <v>0</v>
      </c>
      <c r="Y460" s="6">
        <f>[1]Emissions!X877</f>
        <v>0</v>
      </c>
      <c r="Z460" s="6">
        <f>[1]Emissions!Y877</f>
        <v>0</v>
      </c>
      <c r="AA460" s="6">
        <f>[1]Emissions!Z877</f>
        <v>0</v>
      </c>
      <c r="AB460" s="6">
        <f>[1]Emissions!AA877</f>
        <v>0</v>
      </c>
      <c r="AC460" s="6">
        <f>[1]Emissions!AB877</f>
        <v>0</v>
      </c>
      <c r="AD460" s="6">
        <f>[1]Emissions!AC877</f>
        <v>0</v>
      </c>
      <c r="AE460" s="6">
        <f>[1]Emissions!AD877</f>
        <v>0</v>
      </c>
      <c r="AF460" s="6">
        <f>[1]Emissions!AE877</f>
        <v>0</v>
      </c>
      <c r="AG460" s="6">
        <f>[1]Emissions!AF877</f>
        <v>0</v>
      </c>
      <c r="AH460" s="6">
        <f>[1]Emissions!AG877</f>
        <v>0</v>
      </c>
      <c r="AI460" s="6">
        <f>[1]Emissions!AH877</f>
        <v>0</v>
      </c>
      <c r="AJ460" s="6">
        <f>[1]Emissions!AI877</f>
        <v>0</v>
      </c>
      <c r="AK460" s="6">
        <f>[1]Emissions!AJ877</f>
        <v>0</v>
      </c>
      <c r="AL460" s="6">
        <f>[1]Emissions!AK877</f>
        <v>0</v>
      </c>
    </row>
    <row r="461" spans="2:38" x14ac:dyDescent="0.3">
      <c r="B461" s="6" t="str">
        <f>[1]Emissions!A878</f>
        <v>ems_ci_co2_spri_2</v>
      </c>
      <c r="C461" s="6">
        <f>[1]Emissions!B878</f>
        <v>30.97960806</v>
      </c>
      <c r="D461" s="6">
        <f>[1]Emissions!C878</f>
        <v>31.13940354</v>
      </c>
      <c r="E461" s="6">
        <f>[1]Emissions!D878</f>
        <v>31.06235242</v>
      </c>
      <c r="F461" s="6">
        <f>[1]Emissions!E878</f>
        <v>30.924520130000001</v>
      </c>
      <c r="G461" s="6">
        <f>[1]Emissions!F878</f>
        <v>30.86930946</v>
      </c>
      <c r="H461" s="6">
        <f>[1]Emissions!G878</f>
        <v>31.03693144</v>
      </c>
      <c r="I461" s="6">
        <f>[1]Emissions!H878</f>
        <v>33.051674060000003</v>
      </c>
      <c r="J461" s="6">
        <f>[1]Emissions!I878</f>
        <v>34.483661650000002</v>
      </c>
      <c r="K461" s="6">
        <f>[1]Emissions!J878</f>
        <v>35.56929075</v>
      </c>
      <c r="L461" s="6">
        <f>[1]Emissions!K878</f>
        <v>36.169175350000003</v>
      </c>
      <c r="M461" s="6">
        <f>[1]Emissions!L878</f>
        <v>36.192237179999999</v>
      </c>
      <c r="N461" s="6">
        <f>[1]Emissions!M878</f>
        <v>36.098528809999998</v>
      </c>
      <c r="O461" s="6">
        <f>[1]Emissions!N878</f>
        <v>35.963362310000001</v>
      </c>
      <c r="P461" s="6">
        <f>[1]Emissions!O878</f>
        <v>35.973513910000001</v>
      </c>
      <c r="Q461" s="6">
        <f>[1]Emissions!P878</f>
        <v>36.231416039999999</v>
      </c>
      <c r="R461" s="6">
        <f>[1]Emissions!Q878</f>
        <v>36.739496170000002</v>
      </c>
      <c r="S461" s="6">
        <f>[1]Emissions!R878</f>
        <v>37.429472150000002</v>
      </c>
      <c r="T461" s="6">
        <f>[1]Emissions!S878</f>
        <v>38.205671000000002</v>
      </c>
      <c r="U461" s="6">
        <f>[1]Emissions!T878</f>
        <v>38.985611140000003</v>
      </c>
      <c r="V461" s="6">
        <f>[1]Emissions!U878</f>
        <v>39.724481969999999</v>
      </c>
      <c r="W461" s="6">
        <f>[1]Emissions!V878</f>
        <v>40.47532975</v>
      </c>
      <c r="X461" s="6">
        <f>[1]Emissions!W878</f>
        <v>41.101662050000002</v>
      </c>
      <c r="Y461" s="6">
        <f>[1]Emissions!X878</f>
        <v>41.734849850000003</v>
      </c>
      <c r="Z461" s="6">
        <f>[1]Emissions!Y878</f>
        <v>42.40644039</v>
      </c>
      <c r="AA461" s="6">
        <f>[1]Emissions!Z878</f>
        <v>43.127626800000002</v>
      </c>
      <c r="AB461" s="6">
        <f>[1]Emissions!AA878</f>
        <v>44.036889549999998</v>
      </c>
      <c r="AC461" s="6">
        <f>[1]Emissions!AB878</f>
        <v>44.778581959999997</v>
      </c>
      <c r="AD461" s="6">
        <f>[1]Emissions!AC878</f>
        <v>45.469843920000002</v>
      </c>
      <c r="AE461" s="6">
        <f>[1]Emissions!AD878</f>
        <v>46.120441759999999</v>
      </c>
      <c r="AF461" s="6">
        <f>[1]Emissions!AE878</f>
        <v>46.750174340000001</v>
      </c>
      <c r="AG461" s="6">
        <f>[1]Emissions!AF878</f>
        <v>47.388517569999998</v>
      </c>
      <c r="AH461" s="6">
        <f>[1]Emissions!AG878</f>
        <v>48.060901600000001</v>
      </c>
      <c r="AI461" s="6">
        <f>[1]Emissions!AH878</f>
        <v>48.77939902</v>
      </c>
      <c r="AJ461" s="6">
        <f>[1]Emissions!AI878</f>
        <v>49.541107969999999</v>
      </c>
      <c r="AK461" s="6">
        <f>[1]Emissions!AJ878</f>
        <v>50.332882599999998</v>
      </c>
      <c r="AL461" s="6">
        <f>[1]Emissions!AK878</f>
        <v>51.138929589999996</v>
      </c>
    </row>
    <row r="462" spans="2:38" x14ac:dyDescent="0.3">
      <c r="B462" s="6" t="str">
        <f>[1]Emissions!A879</f>
        <v>ems_y_co2_spri_2</v>
      </c>
      <c r="C462" s="6">
        <f>[1]Emissions!B879</f>
        <v>0.40384413009999998</v>
      </c>
      <c r="D462" s="6">
        <f>[1]Emissions!C879</f>
        <v>0.40504472159999999</v>
      </c>
      <c r="E462" s="6">
        <f>[1]Emissions!D879</f>
        <v>0.4085483466</v>
      </c>
      <c r="F462" s="6">
        <f>[1]Emissions!E879</f>
        <v>0.41462774460000001</v>
      </c>
      <c r="G462" s="6">
        <f>[1]Emissions!F879</f>
        <v>0.421970338</v>
      </c>
      <c r="H462" s="6">
        <f>[1]Emissions!G879</f>
        <v>0.4296396992</v>
      </c>
      <c r="I462" s="6">
        <f>[1]Emissions!H879</f>
        <v>0.4323918242</v>
      </c>
      <c r="J462" s="6">
        <f>[1]Emissions!I879</f>
        <v>0.43527748360000001</v>
      </c>
      <c r="K462" s="6">
        <f>[1]Emissions!J879</f>
        <v>0.43891510030000003</v>
      </c>
      <c r="L462" s="6">
        <f>[1]Emissions!K879</f>
        <v>0.44423491469999998</v>
      </c>
      <c r="M462" s="6">
        <f>[1]Emissions!L879</f>
        <v>0.45068209139999998</v>
      </c>
      <c r="N462" s="6">
        <f>[1]Emissions!M879</f>
        <v>0.46032509040000003</v>
      </c>
      <c r="O462" s="6">
        <f>[1]Emissions!N879</f>
        <v>0.47031462810000002</v>
      </c>
      <c r="P462" s="6">
        <f>[1]Emissions!O879</f>
        <v>0.48010738320000002</v>
      </c>
      <c r="Q462" s="6">
        <f>[1]Emissions!P879</f>
        <v>0.48929700479999999</v>
      </c>
      <c r="R462" s="6">
        <f>[1]Emissions!Q879</f>
        <v>0.49776454780000001</v>
      </c>
      <c r="S462" s="6">
        <f>[1]Emissions!R879</f>
        <v>0.50567121900000001</v>
      </c>
      <c r="T462" s="6">
        <f>[1]Emissions!S879</f>
        <v>0.51333514719999995</v>
      </c>
      <c r="U462" s="6">
        <f>[1]Emissions!T879</f>
        <v>0.52107828180000004</v>
      </c>
      <c r="V462" s="6">
        <f>[1]Emissions!U879</f>
        <v>0.5291160815</v>
      </c>
      <c r="W462" s="6">
        <f>[1]Emissions!V879</f>
        <v>0.53797915460000001</v>
      </c>
      <c r="X462" s="6">
        <f>[1]Emissions!W879</f>
        <v>0.54608638269999998</v>
      </c>
      <c r="Y462" s="6">
        <f>[1]Emissions!X879</f>
        <v>0.55478316400000005</v>
      </c>
      <c r="Z462" s="6">
        <f>[1]Emissions!Y879</f>
        <v>0.5637991363</v>
      </c>
      <c r="AA462" s="6">
        <f>[1]Emissions!Z879</f>
        <v>0.57296925759999995</v>
      </c>
      <c r="AB462" s="6">
        <f>[1]Emissions!AA879</f>
        <v>0.58331272609999996</v>
      </c>
      <c r="AC462" s="6">
        <f>[1]Emissions!AB879</f>
        <v>0.59157461010000001</v>
      </c>
      <c r="AD462" s="6">
        <f>[1]Emissions!AC879</f>
        <v>0.60016797030000002</v>
      </c>
      <c r="AE462" s="6">
        <f>[1]Emissions!AD879</f>
        <v>0.60909700249999998</v>
      </c>
      <c r="AF462" s="6">
        <f>[1]Emissions!AE879</f>
        <v>0.61831004060000005</v>
      </c>
      <c r="AG462" s="6">
        <f>[1]Emissions!AF879</f>
        <v>0.62771380720000003</v>
      </c>
      <c r="AH462" s="6">
        <f>[1]Emissions!AG879</f>
        <v>0.63721397840000005</v>
      </c>
      <c r="AI462" s="6">
        <f>[1]Emissions!AH879</f>
        <v>0.64675157149999996</v>
      </c>
      <c r="AJ462" s="6">
        <f>[1]Emissions!AI879</f>
        <v>0.6563178489</v>
      </c>
      <c r="AK462" s="6">
        <f>[1]Emissions!AJ879</f>
        <v>0.66594578680000005</v>
      </c>
      <c r="AL462" s="6">
        <f>[1]Emissions!AK879</f>
        <v>0.67568708659999999</v>
      </c>
    </row>
    <row r="463" spans="2:38" x14ac:dyDescent="0.3">
      <c r="B463" s="6" t="str">
        <f>[1]Emissions!A880</f>
        <v>ems_mat_co2_spri_2</v>
      </c>
      <c r="C463" s="6">
        <f>[1]Emissions!B880</f>
        <v>0.59216026710000003</v>
      </c>
      <c r="D463" s="6">
        <f>[1]Emissions!C880</f>
        <v>0.59441334440000004</v>
      </c>
      <c r="E463" s="6">
        <f>[1]Emissions!D880</f>
        <v>0.59921034230000003</v>
      </c>
      <c r="F463" s="6">
        <f>[1]Emissions!E880</f>
        <v>0.607778402</v>
      </c>
      <c r="G463" s="6">
        <f>[1]Emissions!F880</f>
        <v>0.61844975999999996</v>
      </c>
      <c r="H463" s="6">
        <f>[1]Emissions!G880</f>
        <v>0.62976052530000004</v>
      </c>
      <c r="I463" s="6">
        <f>[1]Emissions!H880</f>
        <v>0.63447254119999996</v>
      </c>
      <c r="J463" s="6">
        <f>[1]Emissions!I880</f>
        <v>0.63864655940000004</v>
      </c>
      <c r="K463" s="6">
        <f>[1]Emissions!J880</f>
        <v>0.64380709739999997</v>
      </c>
      <c r="L463" s="6">
        <f>[1]Emissions!K880</f>
        <v>0.65136335779999999</v>
      </c>
      <c r="M463" s="6">
        <f>[1]Emissions!L880</f>
        <v>0.66070034060000005</v>
      </c>
      <c r="N463" s="6">
        <f>[1]Emissions!M880</f>
        <v>0.6745237623</v>
      </c>
      <c r="O463" s="6">
        <f>[1]Emissions!N880</f>
        <v>0.68926856179999996</v>
      </c>
      <c r="P463" s="6">
        <f>[1]Emissions!O880</f>
        <v>0.70380013910000006</v>
      </c>
      <c r="Q463" s="6">
        <f>[1]Emissions!P880</f>
        <v>0.71745615750000002</v>
      </c>
      <c r="R463" s="6">
        <f>[1]Emissions!Q880</f>
        <v>0.73001847679999998</v>
      </c>
      <c r="S463" s="6">
        <f>[1]Emissions!R880</f>
        <v>0.74169553210000005</v>
      </c>
      <c r="T463" s="6">
        <f>[1]Emissions!S880</f>
        <v>0.75295030959999998</v>
      </c>
      <c r="U463" s="6">
        <f>[1]Emissions!T880</f>
        <v>0.76427282429999999</v>
      </c>
      <c r="V463" s="6">
        <f>[1]Emissions!U880</f>
        <v>0.77600681469999999</v>
      </c>
      <c r="W463" s="6">
        <f>[1]Emissions!V880</f>
        <v>0.78890183749999998</v>
      </c>
      <c r="X463" s="6">
        <f>[1]Emissions!W880</f>
        <v>0.80089932760000004</v>
      </c>
      <c r="Y463" s="6">
        <f>[1]Emissions!X880</f>
        <v>0.81358979190000003</v>
      </c>
      <c r="Z463" s="6">
        <f>[1]Emissions!Y880</f>
        <v>0.82678427799999998</v>
      </c>
      <c r="AA463" s="6">
        <f>[1]Emissions!Z880</f>
        <v>0.84023520019999998</v>
      </c>
      <c r="AB463" s="6">
        <f>[1]Emissions!AA880</f>
        <v>0.85528917660000003</v>
      </c>
      <c r="AC463" s="6">
        <f>[1]Emissions!AB880</f>
        <v>0.86769667189999999</v>
      </c>
      <c r="AD463" s="6">
        <f>[1]Emissions!AC880</f>
        <v>0.88025693199999999</v>
      </c>
      <c r="AE463" s="6">
        <f>[1]Emissions!AD880</f>
        <v>0.89329336680000004</v>
      </c>
      <c r="AF463" s="6">
        <f>[1]Emissions!AE880</f>
        <v>0.90676706330000001</v>
      </c>
      <c r="AG463" s="6">
        <f>[1]Emissions!AF880</f>
        <v>0.92054355310000002</v>
      </c>
      <c r="AH463" s="6">
        <f>[1]Emissions!AG880</f>
        <v>0.93447848089999996</v>
      </c>
      <c r="AI463" s="6">
        <f>[1]Emissions!AH880</f>
        <v>0.94847592510000001</v>
      </c>
      <c r="AJ463" s="6">
        <f>[1]Emissions!AI880</f>
        <v>0.9625142015</v>
      </c>
      <c r="AK463" s="6">
        <f>[1]Emissions!AJ880</f>
        <v>0.97663633790000004</v>
      </c>
      <c r="AL463" s="6">
        <f>[1]Emissions!AK880</f>
        <v>0.99091734600000003</v>
      </c>
    </row>
    <row r="464" spans="2:38" x14ac:dyDescent="0.3">
      <c r="B464" s="6" t="str">
        <f>[1]Emissions!A881</f>
        <v>ems_ci_co2_spub_2</v>
      </c>
      <c r="C464" s="6">
        <f>[1]Emissions!B881</f>
        <v>15.11717672</v>
      </c>
      <c r="D464" s="6">
        <f>[1]Emissions!C881</f>
        <v>15.27732808</v>
      </c>
      <c r="E464" s="6">
        <f>[1]Emissions!D881</f>
        <v>15.367111960000001</v>
      </c>
      <c r="F464" s="6">
        <f>[1]Emissions!E881</f>
        <v>15.4237044</v>
      </c>
      <c r="G464" s="6">
        <f>[1]Emissions!F881</f>
        <v>15.49506774</v>
      </c>
      <c r="H464" s="6">
        <f>[1]Emissions!G881</f>
        <v>15.63182419</v>
      </c>
      <c r="I464" s="6">
        <f>[1]Emissions!H881</f>
        <v>16.36715139</v>
      </c>
      <c r="J464" s="6">
        <f>[1]Emissions!I881</f>
        <v>16.945017790000001</v>
      </c>
      <c r="K464" s="6">
        <f>[1]Emissions!J881</f>
        <v>17.423748830000001</v>
      </c>
      <c r="L464" s="6">
        <f>[1]Emissions!K881</f>
        <v>17.750072500000002</v>
      </c>
      <c r="M464" s="6">
        <f>[1]Emissions!L881</f>
        <v>17.903484209999998</v>
      </c>
      <c r="N464" s="6">
        <f>[1]Emissions!M881</f>
        <v>17.989247580000001</v>
      </c>
      <c r="O464" s="6">
        <f>[1]Emissions!N881</f>
        <v>18.049891930000001</v>
      </c>
      <c r="P464" s="6">
        <f>[1]Emissions!O881</f>
        <v>18.151185640000001</v>
      </c>
      <c r="Q464" s="6">
        <f>[1]Emissions!P881</f>
        <v>18.331849460000001</v>
      </c>
      <c r="R464" s="6">
        <f>[1]Emissions!Q881</f>
        <v>18.597239609999999</v>
      </c>
      <c r="S464" s="6">
        <f>[1]Emissions!R881</f>
        <v>18.927365770000002</v>
      </c>
      <c r="T464" s="6">
        <f>[1]Emissions!S881</f>
        <v>19.291036569999999</v>
      </c>
      <c r="U464" s="6">
        <f>[1]Emissions!T881</f>
        <v>19.659989230000001</v>
      </c>
      <c r="V464" s="6">
        <f>[1]Emissions!U881</f>
        <v>20.0178507</v>
      </c>
      <c r="W464" s="6">
        <f>[1]Emissions!V881</f>
        <v>20.369398239999999</v>
      </c>
      <c r="X464" s="6">
        <f>[1]Emissions!W881</f>
        <v>20.693308999999999</v>
      </c>
      <c r="Y464" s="6">
        <f>[1]Emissions!X881</f>
        <v>21.019568369999998</v>
      </c>
      <c r="Z464" s="6">
        <f>[1]Emissions!Y881</f>
        <v>21.357972570000001</v>
      </c>
      <c r="AA464" s="6">
        <f>[1]Emissions!Z881</f>
        <v>21.713203669999999</v>
      </c>
      <c r="AB464" s="6">
        <f>[1]Emissions!AA881</f>
        <v>22.100715900000001</v>
      </c>
      <c r="AC464" s="6">
        <f>[1]Emissions!AB881</f>
        <v>22.455004679999998</v>
      </c>
      <c r="AD464" s="6">
        <f>[1]Emissions!AC881</f>
        <v>22.796675860000001</v>
      </c>
      <c r="AE464" s="6">
        <f>[1]Emissions!AD881</f>
        <v>23.12611051</v>
      </c>
      <c r="AF464" s="6">
        <f>[1]Emissions!AE881</f>
        <v>23.448970469999999</v>
      </c>
      <c r="AG464" s="6">
        <f>[1]Emissions!AF881</f>
        <v>23.774785850000001</v>
      </c>
      <c r="AH464" s="6">
        <f>[1]Emissions!AG881</f>
        <v>24.11226048</v>
      </c>
      <c r="AI464" s="6">
        <f>[1]Emissions!AH881</f>
        <v>24.465954629999999</v>
      </c>
      <c r="AJ464" s="6">
        <f>[1]Emissions!AI881</f>
        <v>24.835468670000001</v>
      </c>
      <c r="AK464" s="6">
        <f>[1]Emissions!AJ881</f>
        <v>25.216811329999999</v>
      </c>
      <c r="AL464" s="6">
        <f>[1]Emissions!AK881</f>
        <v>25.604854339999999</v>
      </c>
    </row>
    <row r="465" spans="2:38" x14ac:dyDescent="0.3">
      <c r="B465" s="6" t="str">
        <f>[1]Emissions!A882</f>
        <v>ems_y_co2_spub_2</v>
      </c>
      <c r="C465" s="6">
        <f>[1]Emissions!B882</f>
        <v>0</v>
      </c>
      <c r="D465" s="6">
        <f>[1]Emissions!C882</f>
        <v>0</v>
      </c>
      <c r="E465" s="6">
        <f>[1]Emissions!D882</f>
        <v>0</v>
      </c>
      <c r="F465" s="6">
        <f>[1]Emissions!E882</f>
        <v>0</v>
      </c>
      <c r="G465" s="6">
        <f>[1]Emissions!F882</f>
        <v>0</v>
      </c>
      <c r="H465" s="6">
        <f>[1]Emissions!G882</f>
        <v>0</v>
      </c>
      <c r="I465" s="6">
        <f>[1]Emissions!H882</f>
        <v>0</v>
      </c>
      <c r="J465" s="6">
        <f>[1]Emissions!I882</f>
        <v>0</v>
      </c>
      <c r="K465" s="6">
        <f>[1]Emissions!J882</f>
        <v>0</v>
      </c>
      <c r="L465" s="6">
        <f>[1]Emissions!K882</f>
        <v>0</v>
      </c>
      <c r="M465" s="6">
        <f>[1]Emissions!L882</f>
        <v>0</v>
      </c>
      <c r="N465" s="6">
        <f>[1]Emissions!M882</f>
        <v>0</v>
      </c>
      <c r="O465" s="6">
        <f>[1]Emissions!N882</f>
        <v>0</v>
      </c>
      <c r="P465" s="6">
        <f>[1]Emissions!O882</f>
        <v>0</v>
      </c>
      <c r="Q465" s="6">
        <f>[1]Emissions!P882</f>
        <v>0</v>
      </c>
      <c r="R465" s="6">
        <f>[1]Emissions!Q882</f>
        <v>0</v>
      </c>
      <c r="S465" s="6">
        <f>[1]Emissions!R882</f>
        <v>0</v>
      </c>
      <c r="T465" s="6">
        <f>[1]Emissions!S882</f>
        <v>0</v>
      </c>
      <c r="U465" s="6">
        <f>[1]Emissions!T882</f>
        <v>0</v>
      </c>
      <c r="V465" s="6">
        <f>[1]Emissions!U882</f>
        <v>0</v>
      </c>
      <c r="W465" s="6">
        <f>[1]Emissions!V882</f>
        <v>0</v>
      </c>
      <c r="X465" s="6">
        <f>[1]Emissions!W882</f>
        <v>0</v>
      </c>
      <c r="Y465" s="6">
        <f>[1]Emissions!X882</f>
        <v>0</v>
      </c>
      <c r="Z465" s="6">
        <f>[1]Emissions!Y882</f>
        <v>0</v>
      </c>
      <c r="AA465" s="6">
        <f>[1]Emissions!Z882</f>
        <v>0</v>
      </c>
      <c r="AB465" s="6">
        <f>[1]Emissions!AA882</f>
        <v>0</v>
      </c>
      <c r="AC465" s="6">
        <f>[1]Emissions!AB882</f>
        <v>0</v>
      </c>
      <c r="AD465" s="6">
        <f>[1]Emissions!AC882</f>
        <v>0</v>
      </c>
      <c r="AE465" s="6">
        <f>[1]Emissions!AD882</f>
        <v>0</v>
      </c>
      <c r="AF465" s="6">
        <f>[1]Emissions!AE882</f>
        <v>0</v>
      </c>
      <c r="AG465" s="6">
        <f>[1]Emissions!AF882</f>
        <v>0</v>
      </c>
      <c r="AH465" s="6">
        <f>[1]Emissions!AG882</f>
        <v>0</v>
      </c>
      <c r="AI465" s="6">
        <f>[1]Emissions!AH882</f>
        <v>0</v>
      </c>
      <c r="AJ465" s="6">
        <f>[1]Emissions!AI882</f>
        <v>0</v>
      </c>
      <c r="AK465" s="6">
        <f>[1]Emissions!AJ882</f>
        <v>0</v>
      </c>
      <c r="AL465" s="6">
        <f>[1]Emissions!AK882</f>
        <v>0</v>
      </c>
    </row>
    <row r="466" spans="2:38" x14ac:dyDescent="0.3">
      <c r="B466" s="6" t="str">
        <f>[1]Emissions!A883</f>
        <v>ems_mat_co2_spub_2</v>
      </c>
      <c r="C466" s="6">
        <f>[1]Emissions!B883</f>
        <v>9.7331678910000008</v>
      </c>
      <c r="D466" s="6">
        <f>[1]Emissions!C883</f>
        <v>9.8300874199999999</v>
      </c>
      <c r="E466" s="6">
        <f>[1]Emissions!D883</f>
        <v>9.9526635030000001</v>
      </c>
      <c r="F466" s="6">
        <f>[1]Emissions!E883</f>
        <v>10.104516759999999</v>
      </c>
      <c r="G466" s="6">
        <f>[1]Emissions!F883</f>
        <v>10.272628409999999</v>
      </c>
      <c r="H466" s="6">
        <f>[1]Emissions!G883</f>
        <v>10.447433889999999</v>
      </c>
      <c r="I466" s="6">
        <f>[1]Emissions!H883</f>
        <v>10.587598399999999</v>
      </c>
      <c r="J466" s="6">
        <f>[1]Emissions!I883</f>
        <v>10.731754799999999</v>
      </c>
      <c r="K466" s="6">
        <f>[1]Emissions!J883</f>
        <v>10.88443453</v>
      </c>
      <c r="L466" s="6">
        <f>[1]Emissions!K883</f>
        <v>11.05195616</v>
      </c>
      <c r="M466" s="6">
        <f>[1]Emissions!L883</f>
        <v>11.23330196</v>
      </c>
      <c r="N466" s="6">
        <f>[1]Emissions!M883</f>
        <v>11.43926759</v>
      </c>
      <c r="O466" s="6">
        <f>[1]Emissions!N883</f>
        <v>11.647416120000001</v>
      </c>
      <c r="P466" s="6">
        <f>[1]Emissions!O883</f>
        <v>11.853179089999999</v>
      </c>
      <c r="Q466" s="6">
        <f>[1]Emissions!P883</f>
        <v>12.05467823</v>
      </c>
      <c r="R466" s="6">
        <f>[1]Emissions!Q883</f>
        <v>12.25204944</v>
      </c>
      <c r="S466" s="6">
        <f>[1]Emissions!R883</f>
        <v>12.447218960000001</v>
      </c>
      <c r="T466" s="6">
        <f>[1]Emissions!S883</f>
        <v>12.64297569</v>
      </c>
      <c r="U466" s="6">
        <f>[1]Emissions!T883</f>
        <v>12.841875959999999</v>
      </c>
      <c r="V466" s="6">
        <f>[1]Emissions!U883</f>
        <v>13.04550126</v>
      </c>
      <c r="W466" s="6">
        <f>[1]Emissions!V883</f>
        <v>13.254216509999999</v>
      </c>
      <c r="X466" s="6">
        <f>[1]Emissions!W883</f>
        <v>13.4602954</v>
      </c>
      <c r="Y466" s="6">
        <f>[1]Emissions!X883</f>
        <v>13.673640499999999</v>
      </c>
      <c r="Z466" s="6">
        <f>[1]Emissions!Y883</f>
        <v>13.892609820000001</v>
      </c>
      <c r="AA466" s="6">
        <f>[1]Emissions!Z883</f>
        <v>14.11555871</v>
      </c>
      <c r="AB466" s="6">
        <f>[1]Emissions!AA883</f>
        <v>14.33902645</v>
      </c>
      <c r="AC466" s="6">
        <f>[1]Emissions!AB883</f>
        <v>14.547094319999999</v>
      </c>
      <c r="AD466" s="6">
        <f>[1]Emissions!AC883</f>
        <v>14.75834439</v>
      </c>
      <c r="AE466" s="6">
        <f>[1]Emissions!AD883</f>
        <v>14.974433210000001</v>
      </c>
      <c r="AF466" s="6">
        <f>[1]Emissions!AE883</f>
        <v>15.19489952</v>
      </c>
      <c r="AG466" s="6">
        <f>[1]Emissions!AF883</f>
        <v>15.418934370000001</v>
      </c>
      <c r="AH466" s="6">
        <f>[1]Emissions!AG883</f>
        <v>15.645824149999999</v>
      </c>
      <c r="AI466" s="6">
        <f>[1]Emissions!AH883</f>
        <v>15.87519116</v>
      </c>
      <c r="AJ466" s="6">
        <f>[1]Emissions!AI883</f>
        <v>16.107059270000001</v>
      </c>
      <c r="AK466" s="6">
        <f>[1]Emissions!AJ883</f>
        <v>16.34175372</v>
      </c>
      <c r="AL466" s="6">
        <f>[1]Emissions!AK883</f>
        <v>16.579710949999999</v>
      </c>
    </row>
    <row r="467" spans="2:38" x14ac:dyDescent="0.3">
      <c r="B467" s="6" t="str">
        <f>[1]Emissions!A884</f>
        <v>ems_ci_co2_smin_2</v>
      </c>
      <c r="C467" s="6">
        <f>[1]Emissions!B884</f>
        <v>1.7686087939999999</v>
      </c>
      <c r="D467" s="6">
        <f>[1]Emissions!C884</f>
        <v>1.963015811</v>
      </c>
      <c r="E467" s="6">
        <f>[1]Emissions!D884</f>
        <v>2.1500834580000001</v>
      </c>
      <c r="F467" s="6">
        <f>[1]Emissions!E884</f>
        <v>2.3054855409999999</v>
      </c>
      <c r="G467" s="6">
        <f>[1]Emissions!F884</f>
        <v>2.4343909400000001</v>
      </c>
      <c r="H467" s="6">
        <f>[1]Emissions!G884</f>
        <v>2.5451716160000002</v>
      </c>
      <c r="I467" s="6">
        <f>[1]Emissions!H884</f>
        <v>2.6360925709999998</v>
      </c>
      <c r="J467" s="6">
        <f>[1]Emissions!I884</f>
        <v>2.7028918220000002</v>
      </c>
      <c r="K467" s="6">
        <f>[1]Emissions!J884</f>
        <v>2.7596173390000001</v>
      </c>
      <c r="L467" s="6">
        <f>[1]Emissions!K884</f>
        <v>2.811091818</v>
      </c>
      <c r="M467" s="6">
        <f>[1]Emissions!L884</f>
        <v>2.8739007089999999</v>
      </c>
      <c r="N467" s="6">
        <f>[1]Emissions!M884</f>
        <v>2.9221045769999998</v>
      </c>
      <c r="O467" s="6">
        <f>[1]Emissions!N884</f>
        <v>2.9724045700000001</v>
      </c>
      <c r="P467" s="6">
        <f>[1]Emissions!O884</f>
        <v>3.0265952509999998</v>
      </c>
      <c r="Q467" s="6">
        <f>[1]Emissions!P884</f>
        <v>3.0827076349999998</v>
      </c>
      <c r="R467" s="6">
        <f>[1]Emissions!Q884</f>
        <v>3.1386678969999999</v>
      </c>
      <c r="S467" s="6">
        <f>[1]Emissions!R884</f>
        <v>3.1931670969999999</v>
      </c>
      <c r="T467" s="6">
        <f>[1]Emissions!S884</f>
        <v>3.245836035</v>
      </c>
      <c r="U467" s="6">
        <f>[1]Emissions!T884</f>
        <v>3.2970638440000002</v>
      </c>
      <c r="V467" s="6">
        <f>[1]Emissions!U884</f>
        <v>3.3476397210000002</v>
      </c>
      <c r="W467" s="6">
        <f>[1]Emissions!V884</f>
        <v>3.3889368850000001</v>
      </c>
      <c r="X467" s="6">
        <f>[1]Emissions!W884</f>
        <v>3.4420172469999999</v>
      </c>
      <c r="Y467" s="6">
        <f>[1]Emissions!X884</f>
        <v>3.496857104</v>
      </c>
      <c r="Z467" s="6">
        <f>[1]Emissions!Y884</f>
        <v>3.551639078</v>
      </c>
      <c r="AA467" s="6">
        <f>[1]Emissions!Z884</f>
        <v>3.6065345199999999</v>
      </c>
      <c r="AB467" s="6">
        <f>[1]Emissions!AA884</f>
        <v>3.6338206949999998</v>
      </c>
      <c r="AC467" s="6">
        <f>[1]Emissions!AB884</f>
        <v>3.6827191780000001</v>
      </c>
      <c r="AD467" s="6">
        <f>[1]Emissions!AC884</f>
        <v>3.7359630720000001</v>
      </c>
      <c r="AE467" s="6">
        <f>[1]Emissions!AD884</f>
        <v>3.7894276759999999</v>
      </c>
      <c r="AF467" s="6">
        <f>[1]Emissions!AE884</f>
        <v>3.8431031770000001</v>
      </c>
      <c r="AG467" s="6">
        <f>[1]Emissions!AF884</f>
        <v>3.8974353700000002</v>
      </c>
      <c r="AH467" s="6">
        <f>[1]Emissions!AG884</f>
        <v>3.9526065629999998</v>
      </c>
      <c r="AI467" s="6">
        <f>[1]Emissions!AH884</f>
        <v>4.008557132</v>
      </c>
      <c r="AJ467" s="6">
        <f>[1]Emissions!AI884</f>
        <v>4.0651377640000002</v>
      </c>
      <c r="AK467" s="6">
        <f>[1]Emissions!AJ884</f>
        <v>4.1222385529999999</v>
      </c>
      <c r="AL467" s="6">
        <f>[1]Emissions!AK884</f>
        <v>4.1798473779999998</v>
      </c>
    </row>
    <row r="468" spans="2:38" x14ac:dyDescent="0.3">
      <c r="B468" s="6" t="str">
        <f>[1]Emissions!A885</f>
        <v>ems_y_co2_smin_2</v>
      </c>
      <c r="C468" s="6">
        <f>[1]Emissions!B885</f>
        <v>0</v>
      </c>
      <c r="D468" s="6">
        <f>[1]Emissions!C885</f>
        <v>0</v>
      </c>
      <c r="E468" s="6">
        <f>[1]Emissions!D885</f>
        <v>0</v>
      </c>
      <c r="F468" s="6">
        <f>[1]Emissions!E885</f>
        <v>0</v>
      </c>
      <c r="G468" s="6">
        <f>[1]Emissions!F885</f>
        <v>0</v>
      </c>
      <c r="H468" s="6">
        <f>[1]Emissions!G885</f>
        <v>0</v>
      </c>
      <c r="I468" s="6">
        <f>[1]Emissions!H885</f>
        <v>0</v>
      </c>
      <c r="J468" s="6">
        <f>[1]Emissions!I885</f>
        <v>0</v>
      </c>
      <c r="K468" s="6">
        <f>[1]Emissions!J885</f>
        <v>0</v>
      </c>
      <c r="L468" s="6">
        <f>[1]Emissions!K885</f>
        <v>0</v>
      </c>
      <c r="M468" s="6">
        <f>[1]Emissions!L885</f>
        <v>0</v>
      </c>
      <c r="N468" s="6">
        <f>[1]Emissions!M885</f>
        <v>0</v>
      </c>
      <c r="O468" s="6">
        <f>[1]Emissions!N885</f>
        <v>0</v>
      </c>
      <c r="P468" s="6">
        <f>[1]Emissions!O885</f>
        <v>0</v>
      </c>
      <c r="Q468" s="6">
        <f>[1]Emissions!P885</f>
        <v>0</v>
      </c>
      <c r="R468" s="6">
        <f>[1]Emissions!Q885</f>
        <v>0</v>
      </c>
      <c r="S468" s="6">
        <f>[1]Emissions!R885</f>
        <v>0</v>
      </c>
      <c r="T468" s="6">
        <f>[1]Emissions!S885</f>
        <v>0</v>
      </c>
      <c r="U468" s="6">
        <f>[1]Emissions!T885</f>
        <v>0</v>
      </c>
      <c r="V468" s="6">
        <f>[1]Emissions!U885</f>
        <v>0</v>
      </c>
      <c r="W468" s="6">
        <f>[1]Emissions!V885</f>
        <v>0</v>
      </c>
      <c r="X468" s="6">
        <f>[1]Emissions!W885</f>
        <v>0</v>
      </c>
      <c r="Y468" s="6">
        <f>[1]Emissions!X885</f>
        <v>0</v>
      </c>
      <c r="Z468" s="6">
        <f>[1]Emissions!Y885</f>
        <v>0</v>
      </c>
      <c r="AA468" s="6">
        <f>[1]Emissions!Z885</f>
        <v>0</v>
      </c>
      <c r="AB468" s="6">
        <f>[1]Emissions!AA885</f>
        <v>0</v>
      </c>
      <c r="AC468" s="6">
        <f>[1]Emissions!AB885</f>
        <v>0</v>
      </c>
      <c r="AD468" s="6">
        <f>[1]Emissions!AC885</f>
        <v>0</v>
      </c>
      <c r="AE468" s="6">
        <f>[1]Emissions!AD885</f>
        <v>0</v>
      </c>
      <c r="AF468" s="6">
        <f>[1]Emissions!AE885</f>
        <v>0</v>
      </c>
      <c r="AG468" s="6">
        <f>[1]Emissions!AF885</f>
        <v>0</v>
      </c>
      <c r="AH468" s="6">
        <f>[1]Emissions!AG885</f>
        <v>0</v>
      </c>
      <c r="AI468" s="6">
        <f>[1]Emissions!AH885</f>
        <v>0</v>
      </c>
      <c r="AJ468" s="6">
        <f>[1]Emissions!AI885</f>
        <v>0</v>
      </c>
      <c r="AK468" s="6">
        <f>[1]Emissions!AJ885</f>
        <v>0</v>
      </c>
      <c r="AL468" s="6">
        <f>[1]Emissions!AK885</f>
        <v>0</v>
      </c>
    </row>
    <row r="469" spans="2:38" x14ac:dyDescent="0.3">
      <c r="B469" s="6" t="str">
        <f>[1]Emissions!A886</f>
        <v>ems_mat_co2_smin_2</v>
      </c>
      <c r="C469" s="6">
        <f>[1]Emissions!B886</f>
        <v>9.7397463099999998E-2</v>
      </c>
      <c r="D469" s="6">
        <f>[1]Emissions!C886</f>
        <v>0.1080876554</v>
      </c>
      <c r="E469" s="6">
        <f>[1]Emissions!D886</f>
        <v>0.1184919532</v>
      </c>
      <c r="F469" s="6">
        <f>[1]Emissions!E886</f>
        <v>0.1272592813</v>
      </c>
      <c r="G469" s="6">
        <f>[1]Emissions!F886</f>
        <v>0.1345957964</v>
      </c>
      <c r="H469" s="6">
        <f>[1]Emissions!G886</f>
        <v>0.14086860339999999</v>
      </c>
      <c r="I469" s="6">
        <f>[1]Emissions!H886</f>
        <v>0.14519725980000001</v>
      </c>
      <c r="J469" s="6">
        <f>[1]Emissions!I886</f>
        <v>0.14837253859999999</v>
      </c>
      <c r="K469" s="6">
        <f>[1]Emissions!J886</f>
        <v>0.15111901999999999</v>
      </c>
      <c r="L469" s="6">
        <f>[1]Emissions!K886</f>
        <v>0.15380329039999999</v>
      </c>
      <c r="M469" s="6">
        <f>[1]Emissions!L886</f>
        <v>0.1573775566</v>
      </c>
      <c r="N469" s="6">
        <f>[1]Emissions!M886</f>
        <v>0.1603159224</v>
      </c>
      <c r="O469" s="6">
        <f>[1]Emissions!N886</f>
        <v>0.16342687759999999</v>
      </c>
      <c r="P469" s="6">
        <f>[1]Emissions!O886</f>
        <v>0.16670179930000001</v>
      </c>
      <c r="Q469" s="6">
        <f>[1]Emissions!P886</f>
        <v>0.16996465860000001</v>
      </c>
      <c r="R469" s="6">
        <f>[1]Emissions!Q886</f>
        <v>0.1730862745</v>
      </c>
      <c r="S469" s="6">
        <f>[1]Emissions!R886</f>
        <v>0.1760239019</v>
      </c>
      <c r="T469" s="6">
        <f>[1]Emissions!S886</f>
        <v>0.1788085838</v>
      </c>
      <c r="U469" s="6">
        <f>[1]Emissions!T886</f>
        <v>0.18151060129999999</v>
      </c>
      <c r="V469" s="6">
        <f>[1]Emissions!U886</f>
        <v>0.18420340060000001</v>
      </c>
      <c r="W469" s="6">
        <f>[1]Emissions!V886</f>
        <v>0.186408555</v>
      </c>
      <c r="X469" s="6">
        <f>[1]Emissions!W886</f>
        <v>0.1892996877</v>
      </c>
      <c r="Y469" s="6">
        <f>[1]Emissions!X886</f>
        <v>0.19230446949999999</v>
      </c>
      <c r="Z469" s="6">
        <f>[1]Emissions!Y886</f>
        <v>0.195304796</v>
      </c>
      <c r="AA469" s="6">
        <f>[1]Emissions!Z886</f>
        <v>0.19829887199999999</v>
      </c>
      <c r="AB469" s="6">
        <f>[1]Emissions!AA886</f>
        <v>0.1997320501</v>
      </c>
      <c r="AC469" s="6">
        <f>[1]Emissions!AB886</f>
        <v>0.20236913279999999</v>
      </c>
      <c r="AD469" s="6">
        <f>[1]Emissions!AC886</f>
        <v>0.20527270850000001</v>
      </c>
      <c r="AE469" s="6">
        <f>[1]Emissions!AD886</f>
        <v>0.20821997759999999</v>
      </c>
      <c r="AF469" s="6">
        <f>[1]Emissions!AE886</f>
        <v>0.2112015971</v>
      </c>
      <c r="AG469" s="6">
        <f>[1]Emissions!AF886</f>
        <v>0.21422628260000001</v>
      </c>
      <c r="AH469" s="6">
        <f>[1]Emissions!AG886</f>
        <v>0.21728919739999999</v>
      </c>
      <c r="AI469" s="6">
        <f>[1]Emissions!AH886</f>
        <v>0.2203787918</v>
      </c>
      <c r="AJ469" s="6">
        <f>[1]Emissions!AI886</f>
        <v>0.22348680900000001</v>
      </c>
      <c r="AK469" s="6">
        <f>[1]Emissions!AJ886</f>
        <v>0.22661334550000001</v>
      </c>
      <c r="AL469" s="6">
        <f>[1]Emissions!AK886</f>
        <v>0.22976608949999999</v>
      </c>
    </row>
    <row r="470" spans="2:38" x14ac:dyDescent="0.3">
      <c r="B470" s="6" t="str">
        <f>[1]Emissions!A887</f>
        <v>ems_ci_co2_soil_2</v>
      </c>
      <c r="C470" s="6">
        <f>[1]Emissions!B887</f>
        <v>16.64052448</v>
      </c>
      <c r="D470" s="6">
        <f>[1]Emissions!C887</f>
        <v>16.880246199999998</v>
      </c>
      <c r="E470" s="6">
        <f>[1]Emissions!D887</f>
        <v>17.087361949999998</v>
      </c>
      <c r="F470" s="6">
        <f>[1]Emissions!E887</f>
        <v>17.280278769999999</v>
      </c>
      <c r="G470" s="6">
        <f>[1]Emissions!F887</f>
        <v>17.476143879999999</v>
      </c>
      <c r="H470" s="6">
        <f>[1]Emissions!G887</f>
        <v>17.684277550000001</v>
      </c>
      <c r="I470" s="6">
        <f>[1]Emissions!H887</f>
        <v>17.971141970000001</v>
      </c>
      <c r="J470" s="6">
        <f>[1]Emissions!I887</f>
        <v>18.22246088</v>
      </c>
      <c r="K470" s="6">
        <f>[1]Emissions!J887</f>
        <v>18.457111749999999</v>
      </c>
      <c r="L470" s="6">
        <f>[1]Emissions!K887</f>
        <v>18.677687450000001</v>
      </c>
      <c r="M470" s="6">
        <f>[1]Emissions!L887</f>
        <v>18.90388969</v>
      </c>
      <c r="N470" s="6">
        <f>[1]Emissions!M887</f>
        <v>19.11093881</v>
      </c>
      <c r="O470" s="6">
        <f>[1]Emissions!N887</f>
        <v>19.318572970000002</v>
      </c>
      <c r="P470" s="6">
        <f>[1]Emissions!O887</f>
        <v>19.53412767</v>
      </c>
      <c r="Q470" s="6">
        <f>[1]Emissions!P887</f>
        <v>19.759956129999999</v>
      </c>
      <c r="R470" s="6">
        <f>[1]Emissions!Q887</f>
        <v>19.995286910000001</v>
      </c>
      <c r="S470" s="6">
        <f>[1]Emissions!R887</f>
        <v>20.2374364</v>
      </c>
      <c r="T470" s="6">
        <f>[1]Emissions!S887</f>
        <v>20.48339528</v>
      </c>
      <c r="U470" s="6">
        <f>[1]Emissions!T887</f>
        <v>20.73093398</v>
      </c>
      <c r="V470" s="6">
        <f>[1]Emissions!U887</f>
        <v>20.979156459999999</v>
      </c>
      <c r="W470" s="6">
        <f>[1]Emissions!V887</f>
        <v>21.214972710000001</v>
      </c>
      <c r="X470" s="6">
        <f>[1]Emissions!W887</f>
        <v>21.463407629999999</v>
      </c>
      <c r="Y470" s="6">
        <f>[1]Emissions!X887</f>
        <v>21.71655934</v>
      </c>
      <c r="Z470" s="6">
        <f>[1]Emissions!Y887</f>
        <v>21.97388831</v>
      </c>
      <c r="AA470" s="6">
        <f>[1]Emissions!Z887</f>
        <v>22.235808250000002</v>
      </c>
      <c r="AB470" s="6">
        <f>[1]Emissions!AA887</f>
        <v>22.462255429999999</v>
      </c>
      <c r="AC470" s="6">
        <f>[1]Emissions!AB887</f>
        <v>22.70673781</v>
      </c>
      <c r="AD470" s="6">
        <f>[1]Emissions!AC887</f>
        <v>22.954994249999999</v>
      </c>
      <c r="AE470" s="6">
        <f>[1]Emissions!AD887</f>
        <v>23.204430989999999</v>
      </c>
      <c r="AF470" s="6">
        <f>[1]Emissions!AE887</f>
        <v>23.455555690000001</v>
      </c>
      <c r="AG470" s="6">
        <f>[1]Emissions!AF887</f>
        <v>23.70952338</v>
      </c>
      <c r="AH470" s="6">
        <f>[1]Emissions!AG887</f>
        <v>23.967289999999998</v>
      </c>
      <c r="AI470" s="6">
        <f>[1]Emissions!AH887</f>
        <v>24.22929349</v>
      </c>
      <c r="AJ470" s="6">
        <f>[1]Emissions!AI887</f>
        <v>24.4954693</v>
      </c>
      <c r="AK470" s="6">
        <f>[1]Emissions!AJ887</f>
        <v>24.765454200000001</v>
      </c>
      <c r="AL470" s="6">
        <f>[1]Emissions!AK887</f>
        <v>25.038835160000001</v>
      </c>
    </row>
    <row r="471" spans="2:38" x14ac:dyDescent="0.3">
      <c r="B471" s="6" t="str">
        <f>[1]Emissions!A888</f>
        <v>ems_y_co2_soil_2</v>
      </c>
      <c r="C471" s="6">
        <f>[1]Emissions!B888</f>
        <v>0</v>
      </c>
      <c r="D471" s="6">
        <f>[1]Emissions!C888</f>
        <v>0</v>
      </c>
      <c r="E471" s="6">
        <f>[1]Emissions!D888</f>
        <v>0</v>
      </c>
      <c r="F471" s="6">
        <f>[1]Emissions!E888</f>
        <v>0</v>
      </c>
      <c r="G471" s="6">
        <f>[1]Emissions!F888</f>
        <v>0</v>
      </c>
      <c r="H471" s="6">
        <f>[1]Emissions!G888</f>
        <v>0</v>
      </c>
      <c r="I471" s="6">
        <f>[1]Emissions!H888</f>
        <v>0</v>
      </c>
      <c r="J471" s="6">
        <f>[1]Emissions!I888</f>
        <v>0</v>
      </c>
      <c r="K471" s="6">
        <f>[1]Emissions!J888</f>
        <v>0</v>
      </c>
      <c r="L471" s="6">
        <f>[1]Emissions!K888</f>
        <v>0</v>
      </c>
      <c r="M471" s="6">
        <f>[1]Emissions!L888</f>
        <v>0</v>
      </c>
      <c r="N471" s="6">
        <f>[1]Emissions!M888</f>
        <v>0</v>
      </c>
      <c r="O471" s="6">
        <f>[1]Emissions!N888</f>
        <v>0</v>
      </c>
      <c r="P471" s="6">
        <f>[1]Emissions!O888</f>
        <v>0</v>
      </c>
      <c r="Q471" s="6">
        <f>[1]Emissions!P888</f>
        <v>0</v>
      </c>
      <c r="R471" s="6">
        <f>[1]Emissions!Q888</f>
        <v>0</v>
      </c>
      <c r="S471" s="6">
        <f>[1]Emissions!R888</f>
        <v>0</v>
      </c>
      <c r="T471" s="6">
        <f>[1]Emissions!S888</f>
        <v>0</v>
      </c>
      <c r="U471" s="6">
        <f>[1]Emissions!T888</f>
        <v>0</v>
      </c>
      <c r="V471" s="6">
        <f>[1]Emissions!U888</f>
        <v>0</v>
      </c>
      <c r="W471" s="6">
        <f>[1]Emissions!V888</f>
        <v>0</v>
      </c>
      <c r="X471" s="6">
        <f>[1]Emissions!W888</f>
        <v>0</v>
      </c>
      <c r="Y471" s="6">
        <f>[1]Emissions!X888</f>
        <v>0</v>
      </c>
      <c r="Z471" s="6">
        <f>[1]Emissions!Y888</f>
        <v>0</v>
      </c>
      <c r="AA471" s="6">
        <f>[1]Emissions!Z888</f>
        <v>0</v>
      </c>
      <c r="AB471" s="6">
        <f>[1]Emissions!AA888</f>
        <v>0</v>
      </c>
      <c r="AC471" s="6">
        <f>[1]Emissions!AB888</f>
        <v>0</v>
      </c>
      <c r="AD471" s="6">
        <f>[1]Emissions!AC888</f>
        <v>0</v>
      </c>
      <c r="AE471" s="6">
        <f>[1]Emissions!AD888</f>
        <v>0</v>
      </c>
      <c r="AF471" s="6">
        <f>[1]Emissions!AE888</f>
        <v>0</v>
      </c>
      <c r="AG471" s="6">
        <f>[1]Emissions!AF888</f>
        <v>0</v>
      </c>
      <c r="AH471" s="6">
        <f>[1]Emissions!AG888</f>
        <v>0</v>
      </c>
      <c r="AI471" s="6">
        <f>[1]Emissions!AH888</f>
        <v>0</v>
      </c>
      <c r="AJ471" s="6">
        <f>[1]Emissions!AI888</f>
        <v>0</v>
      </c>
      <c r="AK471" s="6">
        <f>[1]Emissions!AJ888</f>
        <v>0</v>
      </c>
      <c r="AL471" s="6">
        <f>[1]Emissions!AK888</f>
        <v>0</v>
      </c>
    </row>
    <row r="472" spans="2:38" x14ac:dyDescent="0.3">
      <c r="B472" s="6" t="str">
        <f>[1]Emissions!A889</f>
        <v>ems_mat_co2_soil_2</v>
      </c>
      <c r="C472" s="6">
        <f>[1]Emissions!B889</f>
        <v>4.789896691</v>
      </c>
      <c r="D472" s="6">
        <f>[1]Emissions!C889</f>
        <v>4.8588881910000001</v>
      </c>
      <c r="E472" s="6">
        <f>[1]Emissions!D889</f>
        <v>4.9184610449999999</v>
      </c>
      <c r="F472" s="6">
        <f>[1]Emissions!E889</f>
        <v>4.9738965610000001</v>
      </c>
      <c r="G472" s="6">
        <f>[1]Emissions!F889</f>
        <v>5.0301347449999998</v>
      </c>
      <c r="H472" s="6">
        <f>[1]Emissions!G889</f>
        <v>5.0898804310000001</v>
      </c>
      <c r="I472" s="6">
        <f>[1]Emissions!H889</f>
        <v>5.1724746809999997</v>
      </c>
      <c r="J472" s="6">
        <f>[1]Emissions!I889</f>
        <v>5.2449532479999998</v>
      </c>
      <c r="K472" s="6">
        <f>[1]Emissions!J889</f>
        <v>5.3127020580000002</v>
      </c>
      <c r="L472" s="6">
        <f>[1]Emissions!K889</f>
        <v>5.3764068719999996</v>
      </c>
      <c r="M472" s="6">
        <f>[1]Emissions!L889</f>
        <v>5.4416839489999997</v>
      </c>
      <c r="N472" s="6">
        <f>[1]Emissions!M889</f>
        <v>5.5013768540000001</v>
      </c>
      <c r="O472" s="6">
        <f>[1]Emissions!N889</f>
        <v>5.5611689699999998</v>
      </c>
      <c r="P472" s="6">
        <f>[1]Emissions!O889</f>
        <v>5.6231933759999997</v>
      </c>
      <c r="Q472" s="6">
        <f>[1]Emissions!P889</f>
        <v>5.6881571380000002</v>
      </c>
      <c r="R472" s="6">
        <f>[1]Emissions!Q889</f>
        <v>5.7558646409999996</v>
      </c>
      <c r="S472" s="6">
        <f>[1]Emissions!R889</f>
        <v>5.8255591139999998</v>
      </c>
      <c r="T472" s="6">
        <f>[1]Emissions!S889</f>
        <v>5.8963774659999997</v>
      </c>
      <c r="U472" s="6">
        <f>[1]Emissions!T889</f>
        <v>5.967671545</v>
      </c>
      <c r="V472" s="6">
        <f>[1]Emissions!U889</f>
        <v>6.0391729859999996</v>
      </c>
      <c r="W472" s="6">
        <f>[1]Emissions!V889</f>
        <v>6.1071060089999998</v>
      </c>
      <c r="X472" s="6">
        <f>[1]Emissions!W889</f>
        <v>6.1786664409999998</v>
      </c>
      <c r="Y472" s="6">
        <f>[1]Emissions!X889</f>
        <v>6.251577138</v>
      </c>
      <c r="Z472" s="6">
        <f>[1]Emissions!Y889</f>
        <v>6.3256844110000001</v>
      </c>
      <c r="AA472" s="6">
        <f>[1]Emissions!Z889</f>
        <v>6.4011111100000004</v>
      </c>
      <c r="AB472" s="6">
        <f>[1]Emissions!AA889</f>
        <v>6.4663319899999996</v>
      </c>
      <c r="AC472" s="6">
        <f>[1]Emissions!AB889</f>
        <v>6.5367481879999998</v>
      </c>
      <c r="AD472" s="6">
        <f>[1]Emissions!AC889</f>
        <v>6.6082497770000002</v>
      </c>
      <c r="AE472" s="6">
        <f>[1]Emissions!AD889</f>
        <v>6.680085074</v>
      </c>
      <c r="AF472" s="6">
        <f>[1]Emissions!AE889</f>
        <v>6.7523973469999996</v>
      </c>
      <c r="AG472" s="6">
        <f>[1]Emissions!AF889</f>
        <v>6.8255193399999996</v>
      </c>
      <c r="AH472" s="6">
        <f>[1]Emissions!AG889</f>
        <v>6.8997289769999997</v>
      </c>
      <c r="AI472" s="6">
        <f>[1]Emissions!AH889</f>
        <v>6.9751560389999998</v>
      </c>
      <c r="AJ472" s="6">
        <f>[1]Emissions!AI889</f>
        <v>7.0517850429999998</v>
      </c>
      <c r="AK472" s="6">
        <f>[1]Emissions!AJ889</f>
        <v>7.1295129719999997</v>
      </c>
      <c r="AL472" s="6">
        <f>[1]Emissions!AK889</f>
        <v>7.2082208019999996</v>
      </c>
    </row>
    <row r="473" spans="2:38" x14ac:dyDescent="0.3">
      <c r="B473" s="6" t="str">
        <f>[1]Emissions!A890</f>
        <v>ems_ci_co2_sbfu_2</v>
      </c>
      <c r="C473" s="6">
        <f>[1]Emissions!B890</f>
        <v>3.9556864699999998</v>
      </c>
      <c r="D473" s="6">
        <f>[1]Emissions!C890</f>
        <v>4.0494378559999999</v>
      </c>
      <c r="E473" s="6">
        <f>[1]Emissions!D890</f>
        <v>4.1327122239999996</v>
      </c>
      <c r="F473" s="6">
        <f>[1]Emissions!E890</f>
        <v>4.2073790249999998</v>
      </c>
      <c r="G473" s="6">
        <f>[1]Emissions!F890</f>
        <v>4.2781223580000001</v>
      </c>
      <c r="H473" s="6">
        <f>[1]Emissions!G890</f>
        <v>4.3476347740000003</v>
      </c>
      <c r="I473" s="6">
        <f>[1]Emissions!H890</f>
        <v>4.4286654560000001</v>
      </c>
      <c r="J473" s="6">
        <f>[1]Emissions!I890</f>
        <v>4.4996109860000004</v>
      </c>
      <c r="K473" s="6">
        <f>[1]Emissions!J890</f>
        <v>4.5660319679999999</v>
      </c>
      <c r="L473" s="6">
        <f>[1]Emissions!K890</f>
        <v>4.6292366100000004</v>
      </c>
      <c r="M473" s="6">
        <f>[1]Emissions!L890</f>
        <v>4.6943786620000001</v>
      </c>
      <c r="N473" s="6">
        <f>[1]Emissions!M890</f>
        <v>4.7545828569999999</v>
      </c>
      <c r="O473" s="6">
        <f>[1]Emissions!N890</f>
        <v>4.8142844069999997</v>
      </c>
      <c r="P473" s="6">
        <f>[1]Emissions!O890</f>
        <v>4.8747602859999999</v>
      </c>
      <c r="Q473" s="6">
        <f>[1]Emissions!P890</f>
        <v>4.9363422430000004</v>
      </c>
      <c r="R473" s="6">
        <f>[1]Emissions!Q890</f>
        <v>4.9989299340000004</v>
      </c>
      <c r="S473" s="6">
        <f>[1]Emissions!R890</f>
        <v>5.0622166819999999</v>
      </c>
      <c r="T473" s="6">
        <f>[1]Emissions!S890</f>
        <v>5.1258822769999997</v>
      </c>
      <c r="U473" s="6">
        <f>[1]Emissions!T890</f>
        <v>5.1897341380000004</v>
      </c>
      <c r="V473" s="6">
        <f>[1]Emissions!U890</f>
        <v>5.2537669410000003</v>
      </c>
      <c r="W473" s="6">
        <f>[1]Emissions!V890</f>
        <v>5.3147368300000002</v>
      </c>
      <c r="X473" s="6">
        <f>[1]Emissions!W890</f>
        <v>5.3789926699999997</v>
      </c>
      <c r="Y473" s="6">
        <f>[1]Emissions!X890</f>
        <v>5.4443814100000001</v>
      </c>
      <c r="Z473" s="6">
        <f>[1]Emissions!Y890</f>
        <v>5.5106905890000002</v>
      </c>
      <c r="AA473" s="6">
        <f>[1]Emissions!Z890</f>
        <v>5.5779870239999996</v>
      </c>
      <c r="AB473" s="6">
        <f>[1]Emissions!AA890</f>
        <v>5.6362045910000003</v>
      </c>
      <c r="AC473" s="6">
        <f>[1]Emissions!AB890</f>
        <v>5.6990084679999997</v>
      </c>
      <c r="AD473" s="6">
        <f>[1]Emissions!AC890</f>
        <v>5.762819103</v>
      </c>
      <c r="AE473" s="6">
        <f>[1]Emissions!AD890</f>
        <v>5.8270140399999999</v>
      </c>
      <c r="AF473" s="6">
        <f>[1]Emissions!AE890</f>
        <v>5.8916775540000001</v>
      </c>
      <c r="AG473" s="6">
        <f>[1]Emissions!AF890</f>
        <v>5.9570139439999998</v>
      </c>
      <c r="AH473" s="6">
        <f>[1]Emissions!AG890</f>
        <v>6.0231841880000001</v>
      </c>
      <c r="AI473" s="6">
        <f>[1]Emissions!AH890</f>
        <v>6.0902643159999998</v>
      </c>
      <c r="AJ473" s="6">
        <f>[1]Emissions!AI890</f>
        <v>6.1582537329999996</v>
      </c>
      <c r="AK473" s="6">
        <f>[1]Emissions!AJ890</f>
        <v>6.2271088270000003</v>
      </c>
      <c r="AL473" s="6">
        <f>[1]Emissions!AK890</f>
        <v>6.2967813210000001</v>
      </c>
    </row>
    <row r="474" spans="2:38" x14ac:dyDescent="0.3">
      <c r="B474" s="6" t="str">
        <f>[1]Emissions!A891</f>
        <v>ems_y_co2_sbfu_2</v>
      </c>
      <c r="C474" s="6">
        <f>[1]Emissions!B891</f>
        <v>0</v>
      </c>
      <c r="D474" s="6">
        <f>[1]Emissions!C891</f>
        <v>0</v>
      </c>
      <c r="E474" s="6">
        <f>[1]Emissions!D891</f>
        <v>0</v>
      </c>
      <c r="F474" s="6">
        <f>[1]Emissions!E891</f>
        <v>0</v>
      </c>
      <c r="G474" s="6">
        <f>[1]Emissions!F891</f>
        <v>0</v>
      </c>
      <c r="H474" s="6">
        <f>[1]Emissions!G891</f>
        <v>0</v>
      </c>
      <c r="I474" s="6">
        <f>[1]Emissions!H891</f>
        <v>0</v>
      </c>
      <c r="J474" s="6">
        <f>[1]Emissions!I891</f>
        <v>0</v>
      </c>
      <c r="K474" s="6">
        <f>[1]Emissions!J891</f>
        <v>0</v>
      </c>
      <c r="L474" s="6">
        <f>[1]Emissions!K891</f>
        <v>0</v>
      </c>
      <c r="M474" s="6">
        <f>[1]Emissions!L891</f>
        <v>0</v>
      </c>
      <c r="N474" s="6">
        <f>[1]Emissions!M891</f>
        <v>0</v>
      </c>
      <c r="O474" s="6">
        <f>[1]Emissions!N891</f>
        <v>0</v>
      </c>
      <c r="P474" s="6">
        <f>[1]Emissions!O891</f>
        <v>0</v>
      </c>
      <c r="Q474" s="6">
        <f>[1]Emissions!P891</f>
        <v>0</v>
      </c>
      <c r="R474" s="6">
        <f>[1]Emissions!Q891</f>
        <v>0</v>
      </c>
      <c r="S474" s="6">
        <f>[1]Emissions!R891</f>
        <v>0</v>
      </c>
      <c r="T474" s="6">
        <f>[1]Emissions!S891</f>
        <v>0</v>
      </c>
      <c r="U474" s="6">
        <f>[1]Emissions!T891</f>
        <v>0</v>
      </c>
      <c r="V474" s="6">
        <f>[1]Emissions!U891</f>
        <v>0</v>
      </c>
      <c r="W474" s="6">
        <f>[1]Emissions!V891</f>
        <v>0</v>
      </c>
      <c r="X474" s="6">
        <f>[1]Emissions!W891</f>
        <v>0</v>
      </c>
      <c r="Y474" s="6">
        <f>[1]Emissions!X891</f>
        <v>0</v>
      </c>
      <c r="Z474" s="6">
        <f>[1]Emissions!Y891</f>
        <v>0</v>
      </c>
      <c r="AA474" s="6">
        <f>[1]Emissions!Z891</f>
        <v>0</v>
      </c>
      <c r="AB474" s="6">
        <f>[1]Emissions!AA891</f>
        <v>0</v>
      </c>
      <c r="AC474" s="6">
        <f>[1]Emissions!AB891</f>
        <v>0</v>
      </c>
      <c r="AD474" s="6">
        <f>[1]Emissions!AC891</f>
        <v>0</v>
      </c>
      <c r="AE474" s="6">
        <f>[1]Emissions!AD891</f>
        <v>0</v>
      </c>
      <c r="AF474" s="6">
        <f>[1]Emissions!AE891</f>
        <v>0</v>
      </c>
      <c r="AG474" s="6">
        <f>[1]Emissions!AF891</f>
        <v>0</v>
      </c>
      <c r="AH474" s="6">
        <f>[1]Emissions!AG891</f>
        <v>0</v>
      </c>
      <c r="AI474" s="6">
        <f>[1]Emissions!AH891</f>
        <v>0</v>
      </c>
      <c r="AJ474" s="6">
        <f>[1]Emissions!AI891</f>
        <v>0</v>
      </c>
      <c r="AK474" s="6">
        <f>[1]Emissions!AJ891</f>
        <v>0</v>
      </c>
      <c r="AL474" s="6">
        <f>[1]Emissions!AK891</f>
        <v>0</v>
      </c>
    </row>
    <row r="475" spans="2:38" x14ac:dyDescent="0.3">
      <c r="B475" s="6" t="str">
        <f>[1]Emissions!A892</f>
        <v>ems_mat_co2_sbfu_2</v>
      </c>
      <c r="C475" s="6">
        <f>[1]Emissions!B892</f>
        <v>3.2993264390000001</v>
      </c>
      <c r="D475" s="6">
        <f>[1]Emissions!C892</f>
        <v>3.3775218229999999</v>
      </c>
      <c r="E475" s="6">
        <f>[1]Emissions!D892</f>
        <v>3.4469786199999999</v>
      </c>
      <c r="F475" s="6">
        <f>[1]Emissions!E892</f>
        <v>3.5092560879999999</v>
      </c>
      <c r="G475" s="6">
        <f>[1]Emissions!F892</f>
        <v>3.5682611020000001</v>
      </c>
      <c r="H475" s="6">
        <f>[1]Emissions!G892</f>
        <v>3.6262394410000001</v>
      </c>
      <c r="I475" s="6">
        <f>[1]Emissions!H892</f>
        <v>3.6938248549999999</v>
      </c>
      <c r="J475" s="6">
        <f>[1]Emissions!I892</f>
        <v>3.752998533</v>
      </c>
      <c r="K475" s="6">
        <f>[1]Emissions!J892</f>
        <v>3.8083984119999998</v>
      </c>
      <c r="L475" s="6">
        <f>[1]Emissions!K892</f>
        <v>3.86111563</v>
      </c>
      <c r="M475" s="6">
        <f>[1]Emissions!L892</f>
        <v>3.9154487850000002</v>
      </c>
      <c r="N475" s="6">
        <f>[1]Emissions!M892</f>
        <v>3.965663411</v>
      </c>
      <c r="O475" s="6">
        <f>[1]Emissions!N892</f>
        <v>4.0154587949999998</v>
      </c>
      <c r="P475" s="6">
        <f>[1]Emissions!O892</f>
        <v>4.0659000240000003</v>
      </c>
      <c r="Q475" s="6">
        <f>[1]Emissions!P892</f>
        <v>4.1172637989999998</v>
      </c>
      <c r="R475" s="6">
        <f>[1]Emissions!Q892</f>
        <v>4.1694664279999998</v>
      </c>
      <c r="S475" s="6">
        <f>[1]Emissions!R892</f>
        <v>4.2222521200000003</v>
      </c>
      <c r="T475" s="6">
        <f>[1]Emissions!S892</f>
        <v>4.2753537970000002</v>
      </c>
      <c r="U475" s="6">
        <f>[1]Emissions!T892</f>
        <v>4.3286108329999999</v>
      </c>
      <c r="V475" s="6">
        <f>[1]Emissions!U892</f>
        <v>4.3820187869999998</v>
      </c>
      <c r="W475" s="6">
        <f>[1]Emissions!V892</f>
        <v>4.4328720519999996</v>
      </c>
      <c r="X475" s="6">
        <f>[1]Emissions!W892</f>
        <v>4.4864660350000003</v>
      </c>
      <c r="Y475" s="6">
        <f>[1]Emissions!X892</f>
        <v>4.5410049389999996</v>
      </c>
      <c r="Z475" s="6">
        <f>[1]Emissions!Y892</f>
        <v>4.5963115559999999</v>
      </c>
      <c r="AA475" s="6">
        <f>[1]Emissions!Z892</f>
        <v>4.6524416149999999</v>
      </c>
      <c r="AB475" s="6">
        <f>[1]Emissions!AA892</f>
        <v>4.7009992460000003</v>
      </c>
      <c r="AC475" s="6">
        <f>[1]Emissions!AB892</f>
        <v>4.7533821889999999</v>
      </c>
      <c r="AD475" s="6">
        <f>[1]Emissions!AC892</f>
        <v>4.8066048400000003</v>
      </c>
      <c r="AE475" s="6">
        <f>[1]Emissions!AD892</f>
        <v>4.8601480270000001</v>
      </c>
      <c r="AF475" s="6">
        <f>[1]Emissions!AE892</f>
        <v>4.9140820420000004</v>
      </c>
      <c r="AG475" s="6">
        <f>[1]Emissions!AF892</f>
        <v>4.9685772830000001</v>
      </c>
      <c r="AH475" s="6">
        <f>[1]Emissions!AG892</f>
        <v>5.0237680170000001</v>
      </c>
      <c r="AI475" s="6">
        <f>[1]Emissions!AH892</f>
        <v>5.0797176610000001</v>
      </c>
      <c r="AJ475" s="6">
        <f>[1]Emissions!AI892</f>
        <v>5.1364257159999998</v>
      </c>
      <c r="AK475" s="6">
        <f>[1]Emissions!AJ892</f>
        <v>5.1938558080000004</v>
      </c>
      <c r="AL475" s="6">
        <f>[1]Emissions!AK892</f>
        <v>5.2519676710000001</v>
      </c>
    </row>
    <row r="476" spans="2:38" x14ac:dyDescent="0.3">
      <c r="B476" s="6" t="str">
        <f>[1]Emissions!A893</f>
        <v>ems_ci_co2_seoi_2</v>
      </c>
      <c r="C476" s="6">
        <f>[1]Emissions!B893</f>
        <v>1.79697964</v>
      </c>
      <c r="D476" s="6">
        <f>[1]Emissions!C893</f>
        <v>1.8117830239999999</v>
      </c>
      <c r="E476" s="6">
        <f>[1]Emissions!D893</f>
        <v>1.8210399500000001</v>
      </c>
      <c r="F476" s="6">
        <f>[1]Emissions!E893</f>
        <v>1.828781547</v>
      </c>
      <c r="G476" s="6">
        <f>[1]Emissions!F893</f>
        <v>1.8381675230000001</v>
      </c>
      <c r="H476" s="6">
        <f>[1]Emissions!G893</f>
        <v>1.851242429</v>
      </c>
      <c r="I476" s="6">
        <f>[1]Emissions!H893</f>
        <v>1.884167218</v>
      </c>
      <c r="J476" s="6">
        <f>[1]Emissions!I893</f>
        <v>1.906231368</v>
      </c>
      <c r="K476" s="6">
        <f>[1]Emissions!J893</f>
        <v>1.9208912300000001</v>
      </c>
      <c r="L476" s="6">
        <f>[1]Emissions!K893</f>
        <v>1.9292887400000001</v>
      </c>
      <c r="M476" s="6">
        <f>[1]Emissions!L893</f>
        <v>1.9340099770000001</v>
      </c>
      <c r="N476" s="6">
        <f>[1]Emissions!M893</f>
        <v>1.937490567</v>
      </c>
      <c r="O476" s="6">
        <f>[1]Emissions!N893</f>
        <v>1.942702401</v>
      </c>
      <c r="P476" s="6">
        <f>[1]Emissions!O893</f>
        <v>1.9516382779999999</v>
      </c>
      <c r="Q476" s="6">
        <f>[1]Emissions!P893</f>
        <v>1.964741777</v>
      </c>
      <c r="R476" s="6">
        <f>[1]Emissions!Q893</f>
        <v>1.981212706</v>
      </c>
      <c r="S476" s="6">
        <f>[1]Emissions!R893</f>
        <v>1.9994908739999999</v>
      </c>
      <c r="T476" s="6">
        <f>[1]Emissions!S893</f>
        <v>2.0181431280000002</v>
      </c>
      <c r="U476" s="6">
        <f>[1]Emissions!T893</f>
        <v>2.0362764160000002</v>
      </c>
      <c r="V476" s="6">
        <f>[1]Emissions!U893</f>
        <v>2.0536533879999999</v>
      </c>
      <c r="W476" s="6">
        <f>[1]Emissions!V893</f>
        <v>2.0697949320000002</v>
      </c>
      <c r="X476" s="6">
        <f>[1]Emissions!W893</f>
        <v>2.0860861160000002</v>
      </c>
      <c r="Y476" s="6">
        <f>[1]Emissions!X893</f>
        <v>2.1030010049999999</v>
      </c>
      <c r="Z476" s="6">
        <f>[1]Emissions!Y893</f>
        <v>2.1207495839999999</v>
      </c>
      <c r="AA476" s="6">
        <f>[1]Emissions!Z893</f>
        <v>2.1393848520000001</v>
      </c>
      <c r="AB476" s="6">
        <f>[1]Emissions!AA893</f>
        <v>2.1563256389999998</v>
      </c>
      <c r="AC476" s="6">
        <f>[1]Emissions!AB893</f>
        <v>2.173493772</v>
      </c>
      <c r="AD476" s="6">
        <f>[1]Emissions!AC893</f>
        <v>2.1905635430000001</v>
      </c>
      <c r="AE476" s="6">
        <f>[1]Emissions!AD893</f>
        <v>2.2074772519999999</v>
      </c>
      <c r="AF476" s="6">
        <f>[1]Emissions!AE893</f>
        <v>2.2245228479999999</v>
      </c>
      <c r="AG476" s="6">
        <f>[1]Emissions!AF893</f>
        <v>2.2420882440000001</v>
      </c>
      <c r="AH476" s="6">
        <f>[1]Emissions!AG893</f>
        <v>2.2604442869999999</v>
      </c>
      <c r="AI476" s="6">
        <f>[1]Emissions!AH893</f>
        <v>2.2796538819999999</v>
      </c>
      <c r="AJ476" s="6">
        <f>[1]Emissions!AI893</f>
        <v>2.2995826670000001</v>
      </c>
      <c r="AK476" s="6">
        <f>[1]Emissions!AJ893</f>
        <v>2.3200126820000002</v>
      </c>
      <c r="AL476" s="6">
        <f>[1]Emissions!AK893</f>
        <v>2.34074698</v>
      </c>
    </row>
    <row r="477" spans="2:38" x14ac:dyDescent="0.3">
      <c r="B477" s="6" t="str">
        <f>[1]Emissions!A894</f>
        <v>ems_y_co2_seoi_2</v>
      </c>
      <c r="C477" s="6">
        <f>[1]Emissions!B894</f>
        <v>0</v>
      </c>
      <c r="D477" s="6">
        <f>[1]Emissions!C894</f>
        <v>0</v>
      </c>
      <c r="E477" s="6">
        <f>[1]Emissions!D894</f>
        <v>0</v>
      </c>
      <c r="F477" s="6">
        <f>[1]Emissions!E894</f>
        <v>0</v>
      </c>
      <c r="G477" s="6">
        <f>[1]Emissions!F894</f>
        <v>0</v>
      </c>
      <c r="H477" s="6">
        <f>[1]Emissions!G894</f>
        <v>0</v>
      </c>
      <c r="I477" s="6">
        <f>[1]Emissions!H894</f>
        <v>0</v>
      </c>
      <c r="J477" s="6">
        <f>[1]Emissions!I894</f>
        <v>0</v>
      </c>
      <c r="K477" s="6">
        <f>[1]Emissions!J894</f>
        <v>0</v>
      </c>
      <c r="L477" s="6">
        <f>[1]Emissions!K894</f>
        <v>0</v>
      </c>
      <c r="M477" s="6">
        <f>[1]Emissions!L894</f>
        <v>0</v>
      </c>
      <c r="N477" s="6">
        <f>[1]Emissions!M894</f>
        <v>0</v>
      </c>
      <c r="O477" s="6">
        <f>[1]Emissions!N894</f>
        <v>0</v>
      </c>
      <c r="P477" s="6">
        <f>[1]Emissions!O894</f>
        <v>0</v>
      </c>
      <c r="Q477" s="6">
        <f>[1]Emissions!P894</f>
        <v>0</v>
      </c>
      <c r="R477" s="6">
        <f>[1]Emissions!Q894</f>
        <v>0</v>
      </c>
      <c r="S477" s="6">
        <f>[1]Emissions!R894</f>
        <v>0</v>
      </c>
      <c r="T477" s="6">
        <f>[1]Emissions!S894</f>
        <v>0</v>
      </c>
      <c r="U477" s="6">
        <f>[1]Emissions!T894</f>
        <v>0</v>
      </c>
      <c r="V477" s="6">
        <f>[1]Emissions!U894</f>
        <v>0</v>
      </c>
      <c r="W477" s="6">
        <f>[1]Emissions!V894</f>
        <v>0</v>
      </c>
      <c r="X477" s="6">
        <f>[1]Emissions!W894</f>
        <v>0</v>
      </c>
      <c r="Y477" s="6">
        <f>[1]Emissions!X894</f>
        <v>0</v>
      </c>
      <c r="Z477" s="6">
        <f>[1]Emissions!Y894</f>
        <v>0</v>
      </c>
      <c r="AA477" s="6">
        <f>[1]Emissions!Z894</f>
        <v>0</v>
      </c>
      <c r="AB477" s="6">
        <f>[1]Emissions!AA894</f>
        <v>0</v>
      </c>
      <c r="AC477" s="6">
        <f>[1]Emissions!AB894</f>
        <v>0</v>
      </c>
      <c r="AD477" s="6">
        <f>[1]Emissions!AC894</f>
        <v>0</v>
      </c>
      <c r="AE477" s="6">
        <f>[1]Emissions!AD894</f>
        <v>0</v>
      </c>
      <c r="AF477" s="6">
        <f>[1]Emissions!AE894</f>
        <v>0</v>
      </c>
      <c r="AG477" s="6">
        <f>[1]Emissions!AF894</f>
        <v>0</v>
      </c>
      <c r="AH477" s="6">
        <f>[1]Emissions!AG894</f>
        <v>0</v>
      </c>
      <c r="AI477" s="6">
        <f>[1]Emissions!AH894</f>
        <v>0</v>
      </c>
      <c r="AJ477" s="6">
        <f>[1]Emissions!AI894</f>
        <v>0</v>
      </c>
      <c r="AK477" s="6">
        <f>[1]Emissions!AJ894</f>
        <v>0</v>
      </c>
      <c r="AL477" s="6">
        <f>[1]Emissions!AK894</f>
        <v>0</v>
      </c>
    </row>
    <row r="478" spans="2:38" x14ac:dyDescent="0.3">
      <c r="B478" s="6" t="str">
        <f>[1]Emissions!A895</f>
        <v>ems_mat_co2_seoi_2</v>
      </c>
      <c r="C478" s="6">
        <f>[1]Emissions!B895</f>
        <v>0.1231599526</v>
      </c>
      <c r="D478" s="6">
        <f>[1]Emissions!C895</f>
        <v>0.1241745351</v>
      </c>
      <c r="E478" s="6">
        <f>[1]Emissions!D895</f>
        <v>0.12480897890000001</v>
      </c>
      <c r="F478" s="6">
        <f>[1]Emissions!E895</f>
        <v>0.1253395662</v>
      </c>
      <c r="G478" s="6">
        <f>[1]Emissions!F895</f>
        <v>0.12598285479999999</v>
      </c>
      <c r="H478" s="6">
        <f>[1]Emissions!G895</f>
        <v>0.1268789722</v>
      </c>
      <c r="I478" s="6">
        <f>[1]Emissions!H895</f>
        <v>0.12913554499999999</v>
      </c>
      <c r="J478" s="6">
        <f>[1]Emissions!I895</f>
        <v>0.13064776010000001</v>
      </c>
      <c r="K478" s="6">
        <f>[1]Emissions!J895</f>
        <v>0.131652506</v>
      </c>
      <c r="L478" s="6">
        <f>[1]Emissions!K895</f>
        <v>0.13222804790000001</v>
      </c>
      <c r="M478" s="6">
        <f>[1]Emissions!L895</f>
        <v>0.13255162819999999</v>
      </c>
      <c r="N478" s="6">
        <f>[1]Emissions!M895</f>
        <v>0.13279017809999999</v>
      </c>
      <c r="O478" s="6">
        <f>[1]Emissions!N895</f>
        <v>0.1331473826</v>
      </c>
      <c r="P478" s="6">
        <f>[1]Emissions!O895</f>
        <v>0.13375982259999999</v>
      </c>
      <c r="Q478" s="6">
        <f>[1]Emissions!P895</f>
        <v>0.1346578997</v>
      </c>
      <c r="R478" s="6">
        <f>[1]Emissions!Q895</f>
        <v>0.13578677110000001</v>
      </c>
      <c r="S478" s="6">
        <f>[1]Emissions!R895</f>
        <v>0.13703950549999999</v>
      </c>
      <c r="T478" s="6">
        <f>[1]Emissions!S895</f>
        <v>0.13831787879999999</v>
      </c>
      <c r="U478" s="6">
        <f>[1]Emissions!T895</f>
        <v>0.13956068360000001</v>
      </c>
      <c r="V478" s="6">
        <f>[1]Emissions!U895</f>
        <v>0.1407516526</v>
      </c>
      <c r="W478" s="6">
        <f>[1]Emissions!V895</f>
        <v>0.14185794879999999</v>
      </c>
      <c r="X478" s="6">
        <f>[1]Emissions!W895</f>
        <v>0.1429745009</v>
      </c>
      <c r="Y478" s="6">
        <f>[1]Emissions!X895</f>
        <v>0.14413380009999999</v>
      </c>
      <c r="Z478" s="6">
        <f>[1]Emissions!Y895</f>
        <v>0.14535023799999999</v>
      </c>
      <c r="AA478" s="6">
        <f>[1]Emissions!Z895</f>
        <v>0.14662744699999999</v>
      </c>
      <c r="AB478" s="6">
        <f>[1]Emissions!AA895</f>
        <v>0.14778852119999999</v>
      </c>
      <c r="AC478" s="6">
        <f>[1]Emissions!AB895</f>
        <v>0.1489651769</v>
      </c>
      <c r="AD478" s="6">
        <f>[1]Emissions!AC895</f>
        <v>0.15013509119999999</v>
      </c>
      <c r="AE478" s="6">
        <f>[1]Emissions!AD895</f>
        <v>0.1512943095</v>
      </c>
      <c r="AF478" s="6">
        <f>[1]Emissions!AE895</f>
        <v>0.15246256690000001</v>
      </c>
      <c r="AG478" s="6">
        <f>[1]Emissions!AF895</f>
        <v>0.1536664499</v>
      </c>
      <c r="AH478" s="6">
        <f>[1]Emissions!AG895</f>
        <v>0.15492452179999999</v>
      </c>
      <c r="AI478" s="6">
        <f>[1]Emissions!AH895</f>
        <v>0.15624109350000001</v>
      </c>
      <c r="AJ478" s="6">
        <f>[1]Emissions!AI895</f>
        <v>0.15760695669999999</v>
      </c>
      <c r="AK478" s="6">
        <f>[1]Emissions!AJ895</f>
        <v>0.1590071727</v>
      </c>
      <c r="AL478" s="6">
        <f>[1]Emissions!AK895</f>
        <v>0.1604282434</v>
      </c>
    </row>
    <row r="479" spans="2:38" x14ac:dyDescent="0.3">
      <c r="B479" s="6" t="str">
        <f>[1]Emissions!A896</f>
        <v>ems_ci_co2_sega_2</v>
      </c>
      <c r="C479" s="6">
        <f>[1]Emissions!B896</f>
        <v>4.5529256260000004</v>
      </c>
      <c r="D479" s="6">
        <f>[1]Emissions!C896</f>
        <v>4.5904322860000004</v>
      </c>
      <c r="E479" s="6">
        <f>[1]Emissions!D896</f>
        <v>4.6138861369999997</v>
      </c>
      <c r="F479" s="6">
        <f>[1]Emissions!E896</f>
        <v>4.6335006700000001</v>
      </c>
      <c r="G479" s="6">
        <f>[1]Emissions!F896</f>
        <v>4.6572814920000001</v>
      </c>
      <c r="H479" s="6">
        <f>[1]Emissions!G896</f>
        <v>4.6904087880000001</v>
      </c>
      <c r="I479" s="6">
        <f>[1]Emissions!H896</f>
        <v>4.773828827</v>
      </c>
      <c r="J479" s="6">
        <f>[1]Emissions!I896</f>
        <v>4.8297317580000003</v>
      </c>
      <c r="K479" s="6">
        <f>[1]Emissions!J896</f>
        <v>4.8668747769999996</v>
      </c>
      <c r="L479" s="6">
        <f>[1]Emissions!K896</f>
        <v>4.8881511639999999</v>
      </c>
      <c r="M479" s="6">
        <f>[1]Emissions!L896</f>
        <v>4.9001131429999996</v>
      </c>
      <c r="N479" s="6">
        <f>[1]Emissions!M896</f>
        <v>4.9089317570000004</v>
      </c>
      <c r="O479" s="6">
        <f>[1]Emissions!N896</f>
        <v>4.9221367459999996</v>
      </c>
      <c r="P479" s="6">
        <f>[1]Emissions!O896</f>
        <v>4.9447771740000004</v>
      </c>
      <c r="Q479" s="6">
        <f>[1]Emissions!P896</f>
        <v>4.9779769160000003</v>
      </c>
      <c r="R479" s="6">
        <f>[1]Emissions!Q896</f>
        <v>5.0197085619999999</v>
      </c>
      <c r="S479" s="6">
        <f>[1]Emissions!R896</f>
        <v>5.0660191259999996</v>
      </c>
      <c r="T479" s="6">
        <f>[1]Emissions!S896</f>
        <v>5.1132774950000002</v>
      </c>
      <c r="U479" s="6">
        <f>[1]Emissions!T896</f>
        <v>5.1592209819999999</v>
      </c>
      <c r="V479" s="6">
        <f>[1]Emissions!U896</f>
        <v>5.2032482260000004</v>
      </c>
      <c r="W479" s="6">
        <f>[1]Emissions!V896</f>
        <v>5.2441453219999996</v>
      </c>
      <c r="X479" s="6">
        <f>[1]Emissions!W896</f>
        <v>5.2854215550000001</v>
      </c>
      <c r="Y479" s="6">
        <f>[1]Emissions!X896</f>
        <v>5.3282780409999999</v>
      </c>
      <c r="Z479" s="6">
        <f>[1]Emissions!Y896</f>
        <v>5.3732468080000002</v>
      </c>
      <c r="AA479" s="6">
        <f>[1]Emissions!Z896</f>
        <v>5.4204621380000004</v>
      </c>
      <c r="AB479" s="6">
        <f>[1]Emissions!AA896</f>
        <v>5.4633842420000001</v>
      </c>
      <c r="AC479" s="6">
        <f>[1]Emissions!AB896</f>
        <v>5.5068823589999996</v>
      </c>
      <c r="AD479" s="6">
        <f>[1]Emissions!AC896</f>
        <v>5.5501312619999998</v>
      </c>
      <c r="AE479" s="6">
        <f>[1]Emissions!AD896</f>
        <v>5.5929847580000001</v>
      </c>
      <c r="AF479" s="6">
        <f>[1]Emissions!AE896</f>
        <v>5.6361724090000003</v>
      </c>
      <c r="AG479" s="6">
        <f>[1]Emissions!AF896</f>
        <v>5.6806770550000003</v>
      </c>
      <c r="AH479" s="6">
        <f>[1]Emissions!AG896</f>
        <v>5.7271849289999999</v>
      </c>
      <c r="AI479" s="6">
        <f>[1]Emissions!AH896</f>
        <v>5.7758554049999997</v>
      </c>
      <c r="AJ479" s="6">
        <f>[1]Emissions!AI896</f>
        <v>5.8263480620000001</v>
      </c>
      <c r="AK479" s="6">
        <f>[1]Emissions!AJ896</f>
        <v>5.8781106630000002</v>
      </c>
      <c r="AL479" s="6">
        <f>[1]Emissions!AK896</f>
        <v>5.9306442109999997</v>
      </c>
    </row>
    <row r="480" spans="2:38" x14ac:dyDescent="0.3">
      <c r="B480" s="6" t="str">
        <f>[1]Emissions!A897</f>
        <v>ems_y_co2_sega_2</v>
      </c>
      <c r="C480" s="6">
        <f>[1]Emissions!B897</f>
        <v>0</v>
      </c>
      <c r="D480" s="6">
        <f>[1]Emissions!C897</f>
        <v>0</v>
      </c>
      <c r="E480" s="6">
        <f>[1]Emissions!D897</f>
        <v>0</v>
      </c>
      <c r="F480" s="6">
        <f>[1]Emissions!E897</f>
        <v>0</v>
      </c>
      <c r="G480" s="6">
        <f>[1]Emissions!F897</f>
        <v>0</v>
      </c>
      <c r="H480" s="6">
        <f>[1]Emissions!G897</f>
        <v>0</v>
      </c>
      <c r="I480" s="6">
        <f>[1]Emissions!H897</f>
        <v>0</v>
      </c>
      <c r="J480" s="6">
        <f>[1]Emissions!I897</f>
        <v>0</v>
      </c>
      <c r="K480" s="6">
        <f>[1]Emissions!J897</f>
        <v>0</v>
      </c>
      <c r="L480" s="6">
        <f>[1]Emissions!K897</f>
        <v>0</v>
      </c>
      <c r="M480" s="6">
        <f>[1]Emissions!L897</f>
        <v>0</v>
      </c>
      <c r="N480" s="6">
        <f>[1]Emissions!M897</f>
        <v>0</v>
      </c>
      <c r="O480" s="6">
        <f>[1]Emissions!N897</f>
        <v>0</v>
      </c>
      <c r="P480" s="6">
        <f>[1]Emissions!O897</f>
        <v>0</v>
      </c>
      <c r="Q480" s="6">
        <f>[1]Emissions!P897</f>
        <v>0</v>
      </c>
      <c r="R480" s="6">
        <f>[1]Emissions!Q897</f>
        <v>0</v>
      </c>
      <c r="S480" s="6">
        <f>[1]Emissions!R897</f>
        <v>0</v>
      </c>
      <c r="T480" s="6">
        <f>[1]Emissions!S897</f>
        <v>0</v>
      </c>
      <c r="U480" s="6">
        <f>[1]Emissions!T897</f>
        <v>0</v>
      </c>
      <c r="V480" s="6">
        <f>[1]Emissions!U897</f>
        <v>0</v>
      </c>
      <c r="W480" s="6">
        <f>[1]Emissions!V897</f>
        <v>0</v>
      </c>
      <c r="X480" s="6">
        <f>[1]Emissions!W897</f>
        <v>0</v>
      </c>
      <c r="Y480" s="6">
        <f>[1]Emissions!X897</f>
        <v>0</v>
      </c>
      <c r="Z480" s="6">
        <f>[1]Emissions!Y897</f>
        <v>0</v>
      </c>
      <c r="AA480" s="6">
        <f>[1]Emissions!Z897</f>
        <v>0</v>
      </c>
      <c r="AB480" s="6">
        <f>[1]Emissions!AA897</f>
        <v>0</v>
      </c>
      <c r="AC480" s="6">
        <f>[1]Emissions!AB897</f>
        <v>0</v>
      </c>
      <c r="AD480" s="6">
        <f>[1]Emissions!AC897</f>
        <v>0</v>
      </c>
      <c r="AE480" s="6">
        <f>[1]Emissions!AD897</f>
        <v>0</v>
      </c>
      <c r="AF480" s="6">
        <f>[1]Emissions!AE897</f>
        <v>0</v>
      </c>
      <c r="AG480" s="6">
        <f>[1]Emissions!AF897</f>
        <v>0</v>
      </c>
      <c r="AH480" s="6">
        <f>[1]Emissions!AG897</f>
        <v>0</v>
      </c>
      <c r="AI480" s="6">
        <f>[1]Emissions!AH897</f>
        <v>0</v>
      </c>
      <c r="AJ480" s="6">
        <f>[1]Emissions!AI897</f>
        <v>0</v>
      </c>
      <c r="AK480" s="6">
        <f>[1]Emissions!AJ897</f>
        <v>0</v>
      </c>
      <c r="AL480" s="6">
        <f>[1]Emissions!AK897</f>
        <v>0</v>
      </c>
    </row>
    <row r="481" spans="2:38" x14ac:dyDescent="0.3">
      <c r="B481" s="6" t="str">
        <f>[1]Emissions!A898</f>
        <v>ems_mat_co2_sega_2</v>
      </c>
      <c r="C481" s="6">
        <f>[1]Emissions!B898</f>
        <v>0.31204477320000001</v>
      </c>
      <c r="D481" s="6">
        <f>[1]Emissions!C898</f>
        <v>0.31461537480000001</v>
      </c>
      <c r="E481" s="6">
        <f>[1]Emissions!D898</f>
        <v>0.31622283610000002</v>
      </c>
      <c r="F481" s="6">
        <f>[1]Emissions!E898</f>
        <v>0.3175671612</v>
      </c>
      <c r="G481" s="6">
        <f>[1]Emissions!F898</f>
        <v>0.3191970321</v>
      </c>
      <c r="H481" s="6">
        <f>[1]Emissions!G898</f>
        <v>0.32146748400000003</v>
      </c>
      <c r="I481" s="6">
        <f>[1]Emissions!H898</f>
        <v>0.32718486009999997</v>
      </c>
      <c r="J481" s="6">
        <f>[1]Emissions!I898</f>
        <v>0.3310162908</v>
      </c>
      <c r="K481" s="6">
        <f>[1]Emissions!J898</f>
        <v>0.33356196960000001</v>
      </c>
      <c r="L481" s="6">
        <f>[1]Emissions!K898</f>
        <v>0.33502019389999999</v>
      </c>
      <c r="M481" s="6">
        <f>[1]Emissions!L898</f>
        <v>0.3358400346</v>
      </c>
      <c r="N481" s="6">
        <f>[1]Emissions!M898</f>
        <v>0.33644443769999999</v>
      </c>
      <c r="O481" s="6">
        <f>[1]Emissions!N898</f>
        <v>0.33734947050000003</v>
      </c>
      <c r="P481" s="6">
        <f>[1]Emissions!O898</f>
        <v>0.33890118200000002</v>
      </c>
      <c r="Q481" s="6">
        <f>[1]Emissions!P898</f>
        <v>0.34117659909999998</v>
      </c>
      <c r="R481" s="6">
        <f>[1]Emissions!Q898</f>
        <v>0.34403676909999997</v>
      </c>
      <c r="S481" s="6">
        <f>[1]Emissions!R898</f>
        <v>0.34721076550000002</v>
      </c>
      <c r="T481" s="6">
        <f>[1]Emissions!S898</f>
        <v>0.35044972169999999</v>
      </c>
      <c r="U481" s="6">
        <f>[1]Emissions!T898</f>
        <v>0.35359855969999998</v>
      </c>
      <c r="V481" s="6">
        <f>[1]Emissions!U898</f>
        <v>0.35661606369999999</v>
      </c>
      <c r="W481" s="6">
        <f>[1]Emissions!V898</f>
        <v>0.35941903609999998</v>
      </c>
      <c r="X481" s="6">
        <f>[1]Emissions!W898</f>
        <v>0.36224799349999998</v>
      </c>
      <c r="Y481" s="6">
        <f>[1]Emissions!X898</f>
        <v>0.36518525709999999</v>
      </c>
      <c r="Z481" s="6">
        <f>[1]Emissions!Y898</f>
        <v>0.3682672904</v>
      </c>
      <c r="AA481" s="6">
        <f>[1]Emissions!Z898</f>
        <v>0.3715032969</v>
      </c>
      <c r="AB481" s="6">
        <f>[1]Emissions!AA898</f>
        <v>0.37444505779999998</v>
      </c>
      <c r="AC481" s="6">
        <f>[1]Emissions!AB898</f>
        <v>0.37742629690000001</v>
      </c>
      <c r="AD481" s="6">
        <f>[1]Emissions!AC898</f>
        <v>0.38039045560000001</v>
      </c>
      <c r="AE481" s="6">
        <f>[1]Emissions!AD898</f>
        <v>0.3833275142</v>
      </c>
      <c r="AF481" s="6">
        <f>[1]Emissions!AE898</f>
        <v>0.38628747479999997</v>
      </c>
      <c r="AG481" s="6">
        <f>[1]Emissions!AF898</f>
        <v>0.3893376986</v>
      </c>
      <c r="AH481" s="6">
        <f>[1]Emissions!AG898</f>
        <v>0.39252521800000001</v>
      </c>
      <c r="AI481" s="6">
        <f>[1]Emissions!AH898</f>
        <v>0.39586095609999999</v>
      </c>
      <c r="AJ481" s="6">
        <f>[1]Emissions!AI898</f>
        <v>0.39932158140000001</v>
      </c>
      <c r="AK481" s="6">
        <f>[1]Emissions!AJ898</f>
        <v>0.4028692451</v>
      </c>
      <c r="AL481" s="6">
        <f>[1]Emissions!AK898</f>
        <v>0.40646974740000003</v>
      </c>
    </row>
    <row r="482" spans="2:38" x14ac:dyDescent="0.3">
      <c r="B482" s="6" t="str">
        <f>[1]Emissions!A899</f>
        <v>ems_ci_co2_seco_2</v>
      </c>
      <c r="C482" s="6">
        <f>[1]Emissions!B899</f>
        <v>4.5415965390000004</v>
      </c>
      <c r="D482" s="6">
        <f>[1]Emissions!C899</f>
        <v>4.5790098720000003</v>
      </c>
      <c r="E482" s="6">
        <f>[1]Emissions!D899</f>
        <v>4.6024053609999998</v>
      </c>
      <c r="F482" s="6">
        <f>[1]Emissions!E899</f>
        <v>4.621971083</v>
      </c>
      <c r="G482" s="6">
        <f>[1]Emissions!F899</f>
        <v>4.6456927260000001</v>
      </c>
      <c r="H482" s="6">
        <f>[1]Emissions!G899</f>
        <v>4.6787375840000003</v>
      </c>
      <c r="I482" s="6">
        <f>[1]Emissions!H899</f>
        <v>4.7619500520000004</v>
      </c>
      <c r="J482" s="6">
        <f>[1]Emissions!I899</f>
        <v>4.8177138890000002</v>
      </c>
      <c r="K482" s="6">
        <f>[1]Emissions!J899</f>
        <v>4.8547644959999996</v>
      </c>
      <c r="L482" s="6">
        <f>[1]Emissions!K899</f>
        <v>4.8759879509999999</v>
      </c>
      <c r="M482" s="6">
        <f>[1]Emissions!L899</f>
        <v>4.8879201710000002</v>
      </c>
      <c r="N482" s="6">
        <f>[1]Emissions!M899</f>
        <v>4.8967168430000001</v>
      </c>
      <c r="O482" s="6">
        <f>[1]Emissions!N899</f>
        <v>4.9098889720000001</v>
      </c>
      <c r="P482" s="6">
        <f>[1]Emissions!O899</f>
        <v>4.9324730609999996</v>
      </c>
      <c r="Q482" s="6">
        <f>[1]Emissions!P899</f>
        <v>4.9655901870000001</v>
      </c>
      <c r="R482" s="6">
        <f>[1]Emissions!Q899</f>
        <v>5.0072179889999999</v>
      </c>
      <c r="S482" s="6">
        <f>[1]Emissions!R899</f>
        <v>5.0534133170000004</v>
      </c>
      <c r="T482" s="6">
        <f>[1]Emissions!S899</f>
        <v>5.1005540930000004</v>
      </c>
      <c r="U482" s="6">
        <f>[1]Emissions!T899</f>
        <v>5.1463832600000003</v>
      </c>
      <c r="V482" s="6">
        <f>[1]Emissions!U899</f>
        <v>5.1903009520000003</v>
      </c>
      <c r="W482" s="6">
        <f>[1]Emissions!V899</f>
        <v>5.2310962859999997</v>
      </c>
      <c r="X482" s="6">
        <f>[1]Emissions!W899</f>
        <v>5.2722698120000002</v>
      </c>
      <c r="Y482" s="6">
        <f>[1]Emissions!X899</f>
        <v>5.3150196579999998</v>
      </c>
      <c r="Z482" s="6">
        <f>[1]Emissions!Y899</f>
        <v>5.3598765300000002</v>
      </c>
      <c r="AA482" s="6">
        <f>[1]Emissions!Z899</f>
        <v>5.4069743739999998</v>
      </c>
      <c r="AB482" s="6">
        <f>[1]Emissions!AA899</f>
        <v>5.449789676</v>
      </c>
      <c r="AC482" s="6">
        <f>[1]Emissions!AB899</f>
        <v>5.4931795570000004</v>
      </c>
      <c r="AD482" s="6">
        <f>[1]Emissions!AC899</f>
        <v>5.5363208449999997</v>
      </c>
      <c r="AE482" s="6">
        <f>[1]Emissions!AD899</f>
        <v>5.5790677080000002</v>
      </c>
      <c r="AF482" s="6">
        <f>[1]Emissions!AE899</f>
        <v>5.6221478960000004</v>
      </c>
      <c r="AG482" s="6">
        <f>[1]Emissions!AF899</f>
        <v>5.6665418010000002</v>
      </c>
      <c r="AH482" s="6">
        <f>[1]Emissions!AG899</f>
        <v>5.712933949</v>
      </c>
      <c r="AI482" s="6">
        <f>[1]Emissions!AH899</f>
        <v>5.7614833169999997</v>
      </c>
      <c r="AJ482" s="6">
        <f>[1]Emissions!AI899</f>
        <v>5.8118503319999997</v>
      </c>
      <c r="AK482" s="6">
        <f>[1]Emissions!AJ899</f>
        <v>5.863484132</v>
      </c>
      <c r="AL482" s="6">
        <f>[1]Emissions!AK899</f>
        <v>5.915886961</v>
      </c>
    </row>
    <row r="483" spans="2:38" x14ac:dyDescent="0.3">
      <c r="B483" s="6" t="str">
        <f>[1]Emissions!A900</f>
        <v>ems_y_co2_seco_2</v>
      </c>
      <c r="C483" s="6">
        <f>[1]Emissions!B900</f>
        <v>0</v>
      </c>
      <c r="D483" s="6">
        <f>[1]Emissions!C900</f>
        <v>0</v>
      </c>
      <c r="E483" s="6">
        <f>[1]Emissions!D900</f>
        <v>0</v>
      </c>
      <c r="F483" s="6">
        <f>[1]Emissions!E900</f>
        <v>0</v>
      </c>
      <c r="G483" s="6">
        <f>[1]Emissions!F900</f>
        <v>0</v>
      </c>
      <c r="H483" s="6">
        <f>[1]Emissions!G900</f>
        <v>0</v>
      </c>
      <c r="I483" s="6">
        <f>[1]Emissions!H900</f>
        <v>0</v>
      </c>
      <c r="J483" s="6">
        <f>[1]Emissions!I900</f>
        <v>0</v>
      </c>
      <c r="K483" s="6">
        <f>[1]Emissions!J900</f>
        <v>0</v>
      </c>
      <c r="L483" s="6">
        <f>[1]Emissions!K900</f>
        <v>0</v>
      </c>
      <c r="M483" s="6">
        <f>[1]Emissions!L900</f>
        <v>0</v>
      </c>
      <c r="N483" s="6">
        <f>[1]Emissions!M900</f>
        <v>0</v>
      </c>
      <c r="O483" s="6">
        <f>[1]Emissions!N900</f>
        <v>0</v>
      </c>
      <c r="P483" s="6">
        <f>[1]Emissions!O900</f>
        <v>0</v>
      </c>
      <c r="Q483" s="6">
        <f>[1]Emissions!P900</f>
        <v>0</v>
      </c>
      <c r="R483" s="6">
        <f>[1]Emissions!Q900</f>
        <v>0</v>
      </c>
      <c r="S483" s="6">
        <f>[1]Emissions!R900</f>
        <v>0</v>
      </c>
      <c r="T483" s="6">
        <f>[1]Emissions!S900</f>
        <v>0</v>
      </c>
      <c r="U483" s="6">
        <f>[1]Emissions!T900</f>
        <v>0</v>
      </c>
      <c r="V483" s="6">
        <f>[1]Emissions!U900</f>
        <v>0</v>
      </c>
      <c r="W483" s="6">
        <f>[1]Emissions!V900</f>
        <v>0</v>
      </c>
      <c r="X483" s="6">
        <f>[1]Emissions!W900</f>
        <v>0</v>
      </c>
      <c r="Y483" s="6">
        <f>[1]Emissions!X900</f>
        <v>0</v>
      </c>
      <c r="Z483" s="6">
        <f>[1]Emissions!Y900</f>
        <v>0</v>
      </c>
      <c r="AA483" s="6">
        <f>[1]Emissions!Z900</f>
        <v>0</v>
      </c>
      <c r="AB483" s="6">
        <f>[1]Emissions!AA900</f>
        <v>0</v>
      </c>
      <c r="AC483" s="6">
        <f>[1]Emissions!AB900</f>
        <v>0</v>
      </c>
      <c r="AD483" s="6">
        <f>[1]Emissions!AC900</f>
        <v>0</v>
      </c>
      <c r="AE483" s="6">
        <f>[1]Emissions!AD900</f>
        <v>0</v>
      </c>
      <c r="AF483" s="6">
        <f>[1]Emissions!AE900</f>
        <v>0</v>
      </c>
      <c r="AG483" s="6">
        <f>[1]Emissions!AF900</f>
        <v>0</v>
      </c>
      <c r="AH483" s="6">
        <f>[1]Emissions!AG900</f>
        <v>0</v>
      </c>
      <c r="AI483" s="6">
        <f>[1]Emissions!AH900</f>
        <v>0</v>
      </c>
      <c r="AJ483" s="6">
        <f>[1]Emissions!AI900</f>
        <v>0</v>
      </c>
      <c r="AK483" s="6">
        <f>[1]Emissions!AJ900</f>
        <v>0</v>
      </c>
      <c r="AL483" s="6">
        <f>[1]Emissions!AK900</f>
        <v>0</v>
      </c>
    </row>
    <row r="484" spans="2:38" x14ac:dyDescent="0.3">
      <c r="B484" s="6" t="str">
        <f>[1]Emissions!A901</f>
        <v>ems_mat_co2_seco_2</v>
      </c>
      <c r="C484" s="6">
        <f>[1]Emissions!B901</f>
        <v>0.3112683094</v>
      </c>
      <c r="D484" s="6">
        <f>[1]Emissions!C901</f>
        <v>0.31383251449999999</v>
      </c>
      <c r="E484" s="6">
        <f>[1]Emissions!D901</f>
        <v>0.3154359759</v>
      </c>
      <c r="F484" s="6">
        <f>[1]Emissions!E901</f>
        <v>0.316776956</v>
      </c>
      <c r="G484" s="6">
        <f>[1]Emissions!F901</f>
        <v>0.31840277119999999</v>
      </c>
      <c r="H484" s="6">
        <f>[1]Emissions!G901</f>
        <v>0.32066757359999998</v>
      </c>
      <c r="I484" s="6">
        <f>[1]Emissions!H901</f>
        <v>0.32637072299999997</v>
      </c>
      <c r="J484" s="6">
        <f>[1]Emissions!I901</f>
        <v>0.33019261989999998</v>
      </c>
      <c r="K484" s="6">
        <f>[1]Emissions!J901</f>
        <v>0.33273196440000002</v>
      </c>
      <c r="L484" s="6">
        <f>[1]Emissions!K901</f>
        <v>0.33418656009999997</v>
      </c>
      <c r="M484" s="6">
        <f>[1]Emissions!L901</f>
        <v>0.33500436090000002</v>
      </c>
      <c r="N484" s="6">
        <f>[1]Emissions!M901</f>
        <v>0.33560726000000002</v>
      </c>
      <c r="O484" s="6">
        <f>[1]Emissions!N901</f>
        <v>0.33651004080000002</v>
      </c>
      <c r="P484" s="6">
        <f>[1]Emissions!O901</f>
        <v>0.33805789110000001</v>
      </c>
      <c r="Q484" s="6">
        <f>[1]Emissions!P901</f>
        <v>0.34032764630000001</v>
      </c>
      <c r="R484" s="6">
        <f>[1]Emissions!Q901</f>
        <v>0.3431806993</v>
      </c>
      <c r="S484" s="6">
        <f>[1]Emissions!R901</f>
        <v>0.34634679779999999</v>
      </c>
      <c r="T484" s="6">
        <f>[1]Emissions!S901</f>
        <v>0.34957769449999998</v>
      </c>
      <c r="U484" s="6">
        <f>[1]Emissions!T901</f>
        <v>0.35271869719999999</v>
      </c>
      <c r="V484" s="6">
        <f>[1]Emissions!U901</f>
        <v>0.35572869270000002</v>
      </c>
      <c r="W484" s="6">
        <f>[1]Emissions!V901</f>
        <v>0.35852469050000002</v>
      </c>
      <c r="X484" s="6">
        <f>[1]Emissions!W901</f>
        <v>0.36134660860000001</v>
      </c>
      <c r="Y484" s="6">
        <f>[1]Emissions!X901</f>
        <v>0.36427656330000002</v>
      </c>
      <c r="Z484" s="6">
        <f>[1]Emissions!Y901</f>
        <v>0.36735092759999999</v>
      </c>
      <c r="AA484" s="6">
        <f>[1]Emissions!Z901</f>
        <v>0.37057888189999999</v>
      </c>
      <c r="AB484" s="6">
        <f>[1]Emissions!AA901</f>
        <v>0.37351332269999998</v>
      </c>
      <c r="AC484" s="6">
        <f>[1]Emissions!AB901</f>
        <v>0.37648714360000002</v>
      </c>
      <c r="AD484" s="6">
        <f>[1]Emissions!AC901</f>
        <v>0.37944392659999998</v>
      </c>
      <c r="AE484" s="6">
        <f>[1]Emissions!AD901</f>
        <v>0.38237367680000001</v>
      </c>
      <c r="AF484" s="6">
        <f>[1]Emissions!AE901</f>
        <v>0.38532627219999999</v>
      </c>
      <c r="AG484" s="6">
        <f>[1]Emissions!AF901</f>
        <v>0.38836890610000002</v>
      </c>
      <c r="AH484" s="6">
        <f>[1]Emissions!AG901</f>
        <v>0.39154849400000002</v>
      </c>
      <c r="AI484" s="6">
        <f>[1]Emissions!AH901</f>
        <v>0.39487593170000002</v>
      </c>
      <c r="AJ484" s="6">
        <f>[1]Emissions!AI901</f>
        <v>0.39832794589999998</v>
      </c>
      <c r="AK484" s="6">
        <f>[1]Emissions!AJ901</f>
        <v>0.40186678190000003</v>
      </c>
      <c r="AL484" s="6">
        <f>[1]Emissions!AK901</f>
        <v>0.40545832510000002</v>
      </c>
    </row>
    <row r="485" spans="2:38" x14ac:dyDescent="0.3">
      <c r="B485" s="6" t="str">
        <f>[1]Emissions!A902</f>
        <v>ems_ci_co2_sech_2</v>
      </c>
      <c r="C485" s="6">
        <f>[1]Emissions!B902</f>
        <v>2.6053370220000001</v>
      </c>
      <c r="D485" s="6">
        <f>[1]Emissions!C902</f>
        <v>2.6330751829999999</v>
      </c>
      <c r="E485" s="6">
        <f>[1]Emissions!D902</f>
        <v>2.6553026380000002</v>
      </c>
      <c r="F485" s="6">
        <f>[1]Emissions!E902</f>
        <v>2.6753419979999999</v>
      </c>
      <c r="G485" s="6">
        <f>[1]Emissions!F902</f>
        <v>2.696717177</v>
      </c>
      <c r="H485" s="6">
        <f>[1]Emissions!G902</f>
        <v>2.7220123850000002</v>
      </c>
      <c r="I485" s="6">
        <f>[1]Emissions!H902</f>
        <v>2.7704061740000001</v>
      </c>
      <c r="J485" s="6">
        <f>[1]Emissions!I902</f>
        <v>2.8050134020000002</v>
      </c>
      <c r="K485" s="6">
        <f>[1]Emissions!J902</f>
        <v>2.8305624919999999</v>
      </c>
      <c r="L485" s="6">
        <f>[1]Emissions!K902</f>
        <v>2.8484372069999999</v>
      </c>
      <c r="M485" s="6">
        <f>[1]Emissions!L902</f>
        <v>2.8627054599999999</v>
      </c>
      <c r="N485" s="6">
        <f>[1]Emissions!M902</f>
        <v>2.8749657110000002</v>
      </c>
      <c r="O485" s="6">
        <f>[1]Emissions!N902</f>
        <v>2.8886951710000002</v>
      </c>
      <c r="P485" s="6">
        <f>[1]Emissions!O902</f>
        <v>2.9066007960000002</v>
      </c>
      <c r="Q485" s="6">
        <f>[1]Emissions!P902</f>
        <v>2.9294639010000001</v>
      </c>
      <c r="R485" s="6">
        <f>[1]Emissions!Q902</f>
        <v>2.9564992860000001</v>
      </c>
      <c r="S485" s="6">
        <f>[1]Emissions!R902</f>
        <v>2.9859856520000001</v>
      </c>
      <c r="T485" s="6">
        <f>[1]Emissions!S902</f>
        <v>3.0161329619999999</v>
      </c>
      <c r="U485" s="6">
        <f>[1]Emissions!T902</f>
        <v>3.0457771779999998</v>
      </c>
      <c r="V485" s="6">
        <f>[1]Emissions!U902</f>
        <v>3.0745691970000002</v>
      </c>
      <c r="W485" s="6">
        <f>[1]Emissions!V902</f>
        <v>3.1012704740000001</v>
      </c>
      <c r="X485" s="6">
        <f>[1]Emissions!W902</f>
        <v>3.1283385369999999</v>
      </c>
      <c r="Y485" s="6">
        <f>[1]Emissions!X902</f>
        <v>3.1564240899999998</v>
      </c>
      <c r="Z485" s="6">
        <f>[1]Emissions!Y902</f>
        <v>3.1856399479999999</v>
      </c>
      <c r="AA485" s="6">
        <f>[1]Emissions!Z902</f>
        <v>3.2159858159999999</v>
      </c>
      <c r="AB485" s="6">
        <f>[1]Emissions!AA902</f>
        <v>3.2425426640000001</v>
      </c>
      <c r="AC485" s="6">
        <f>[1]Emissions!AB902</f>
        <v>3.2691531089999999</v>
      </c>
      <c r="AD485" s="6">
        <f>[1]Emissions!AC902</f>
        <v>3.2957994909999999</v>
      </c>
      <c r="AE485" s="6">
        <f>[1]Emissions!AD902</f>
        <v>3.32232372</v>
      </c>
      <c r="AF485" s="6">
        <f>[1]Emissions!AE902</f>
        <v>3.3490145290000002</v>
      </c>
      <c r="AG485" s="6">
        <f>[1]Emissions!AF902</f>
        <v>3.376325134</v>
      </c>
      <c r="AH485" s="6">
        <f>[1]Emissions!AG902</f>
        <v>3.4045931870000001</v>
      </c>
      <c r="AI485" s="6">
        <f>[1]Emissions!AH902</f>
        <v>3.4339145860000002</v>
      </c>
      <c r="AJ485" s="6">
        <f>[1]Emissions!AI902</f>
        <v>3.4641502470000001</v>
      </c>
      <c r="AK485" s="6">
        <f>[1]Emissions!AJ902</f>
        <v>3.4950451220000001</v>
      </c>
      <c r="AL485" s="6">
        <f>[1]Emissions!AK902</f>
        <v>3.5263510930000002</v>
      </c>
    </row>
    <row r="486" spans="2:38" x14ac:dyDescent="0.3">
      <c r="B486" s="6" t="str">
        <f>[1]Emissions!A903</f>
        <v>ems_y_co2_sech_2</v>
      </c>
      <c r="C486" s="6">
        <f>[1]Emissions!B903</f>
        <v>0</v>
      </c>
      <c r="D486" s="6">
        <f>[1]Emissions!C903</f>
        <v>0</v>
      </c>
      <c r="E486" s="6">
        <f>[1]Emissions!D903</f>
        <v>0</v>
      </c>
      <c r="F486" s="6">
        <f>[1]Emissions!E903</f>
        <v>0</v>
      </c>
      <c r="G486" s="6">
        <f>[1]Emissions!F903</f>
        <v>0</v>
      </c>
      <c r="H486" s="6">
        <f>[1]Emissions!G903</f>
        <v>0</v>
      </c>
      <c r="I486" s="6">
        <f>[1]Emissions!H903</f>
        <v>0</v>
      </c>
      <c r="J486" s="6">
        <f>[1]Emissions!I903</f>
        <v>0</v>
      </c>
      <c r="K486" s="6">
        <f>[1]Emissions!J903</f>
        <v>0</v>
      </c>
      <c r="L486" s="6">
        <f>[1]Emissions!K903</f>
        <v>0</v>
      </c>
      <c r="M486" s="6">
        <f>[1]Emissions!L903</f>
        <v>0</v>
      </c>
      <c r="N486" s="6">
        <f>[1]Emissions!M903</f>
        <v>0</v>
      </c>
      <c r="O486" s="6">
        <f>[1]Emissions!N903</f>
        <v>0</v>
      </c>
      <c r="P486" s="6">
        <f>[1]Emissions!O903</f>
        <v>0</v>
      </c>
      <c r="Q486" s="6">
        <f>[1]Emissions!P903</f>
        <v>0</v>
      </c>
      <c r="R486" s="6">
        <f>[1]Emissions!Q903</f>
        <v>0</v>
      </c>
      <c r="S486" s="6">
        <f>[1]Emissions!R903</f>
        <v>0</v>
      </c>
      <c r="T486" s="6">
        <f>[1]Emissions!S903</f>
        <v>0</v>
      </c>
      <c r="U486" s="6">
        <f>[1]Emissions!T903</f>
        <v>0</v>
      </c>
      <c r="V486" s="6">
        <f>[1]Emissions!U903</f>
        <v>0</v>
      </c>
      <c r="W486" s="6">
        <f>[1]Emissions!V903</f>
        <v>0</v>
      </c>
      <c r="X486" s="6">
        <f>[1]Emissions!W903</f>
        <v>0</v>
      </c>
      <c r="Y486" s="6">
        <f>[1]Emissions!X903</f>
        <v>0</v>
      </c>
      <c r="Z486" s="6">
        <f>[1]Emissions!Y903</f>
        <v>0</v>
      </c>
      <c r="AA486" s="6">
        <f>[1]Emissions!Z903</f>
        <v>0</v>
      </c>
      <c r="AB486" s="6">
        <f>[1]Emissions!AA903</f>
        <v>0</v>
      </c>
      <c r="AC486" s="6">
        <f>[1]Emissions!AB903</f>
        <v>0</v>
      </c>
      <c r="AD486" s="6">
        <f>[1]Emissions!AC903</f>
        <v>0</v>
      </c>
      <c r="AE486" s="6">
        <f>[1]Emissions!AD903</f>
        <v>0</v>
      </c>
      <c r="AF486" s="6">
        <f>[1]Emissions!AE903</f>
        <v>0</v>
      </c>
      <c r="AG486" s="6">
        <f>[1]Emissions!AF903</f>
        <v>0</v>
      </c>
      <c r="AH486" s="6">
        <f>[1]Emissions!AG903</f>
        <v>0</v>
      </c>
      <c r="AI486" s="6">
        <f>[1]Emissions!AH903</f>
        <v>0</v>
      </c>
      <c r="AJ486" s="6">
        <f>[1]Emissions!AI903</f>
        <v>0</v>
      </c>
      <c r="AK486" s="6">
        <f>[1]Emissions!AJ903</f>
        <v>0</v>
      </c>
      <c r="AL486" s="6">
        <f>[1]Emissions!AK903</f>
        <v>0</v>
      </c>
    </row>
    <row r="487" spans="2:38" x14ac:dyDescent="0.3">
      <c r="B487" s="6" t="str">
        <f>[1]Emissions!A904</f>
        <v>ems_mat_co2_sech_2</v>
      </c>
      <c r="C487" s="6">
        <f>[1]Emissions!B904</f>
        <v>0.17856109919999999</v>
      </c>
      <c r="D487" s="6">
        <f>[1]Emissions!C904</f>
        <v>0.18044749199999999</v>
      </c>
      <c r="E487" s="6">
        <f>[1]Emissions!D904</f>
        <v>0.1819392118</v>
      </c>
      <c r="F487" s="6">
        <f>[1]Emissions!E904</f>
        <v>0.1832688676</v>
      </c>
      <c r="G487" s="6">
        <f>[1]Emissions!F904</f>
        <v>0.18468443740000001</v>
      </c>
      <c r="H487" s="6">
        <f>[1]Emissions!G904</f>
        <v>0.18636816449999999</v>
      </c>
      <c r="I487" s="6">
        <f>[1]Emissions!H904</f>
        <v>0.18972087709999999</v>
      </c>
      <c r="J487" s="6">
        <f>[1]Emissions!I904</f>
        <v>0.1921602727</v>
      </c>
      <c r="K487" s="6">
        <f>[1]Emissions!J904</f>
        <v>0.1939831273</v>
      </c>
      <c r="L487" s="6">
        <f>[1]Emissions!K904</f>
        <v>0.1952712925</v>
      </c>
      <c r="M487" s="6">
        <f>[1]Emissions!L904</f>
        <v>0.1962995575</v>
      </c>
      <c r="N487" s="6">
        <f>[1]Emissions!M904</f>
        <v>0.19717808249999999</v>
      </c>
      <c r="O487" s="6">
        <f>[1]Emissions!N904</f>
        <v>0.19814722209999999</v>
      </c>
      <c r="P487" s="6">
        <f>[1]Emissions!O904</f>
        <v>0.19939506039999999</v>
      </c>
      <c r="Q487" s="6">
        <f>[1]Emissions!P904</f>
        <v>0.2009775312</v>
      </c>
      <c r="R487" s="6">
        <f>[1]Emissions!Q904</f>
        <v>0.20284277780000001</v>
      </c>
      <c r="S487" s="6">
        <f>[1]Emissions!R904</f>
        <v>0.20487433520000001</v>
      </c>
      <c r="T487" s="6">
        <f>[1]Emissions!S904</f>
        <v>0.20695066879999999</v>
      </c>
      <c r="U487" s="6">
        <f>[1]Emissions!T904</f>
        <v>0.20899288760000001</v>
      </c>
      <c r="V487" s="6">
        <f>[1]Emissions!U904</f>
        <v>0.2109777243</v>
      </c>
      <c r="W487" s="6">
        <f>[1]Emissions!V904</f>
        <v>0.2128205316</v>
      </c>
      <c r="X487" s="6">
        <f>[1]Emissions!W904</f>
        <v>0.21468998080000001</v>
      </c>
      <c r="Y487" s="6">
        <f>[1]Emissions!X904</f>
        <v>0.21663070670000001</v>
      </c>
      <c r="Z487" s="6">
        <f>[1]Emissions!Y904</f>
        <v>0.2186501719</v>
      </c>
      <c r="AA487" s="6">
        <f>[1]Emissions!Z904</f>
        <v>0.2207479503</v>
      </c>
      <c r="AB487" s="6">
        <f>[1]Emissions!AA904</f>
        <v>0.22258576769999999</v>
      </c>
      <c r="AC487" s="6">
        <f>[1]Emissions!AB904</f>
        <v>0.22442690160000001</v>
      </c>
      <c r="AD487" s="6">
        <f>[1]Emissions!AC904</f>
        <v>0.22627015240000001</v>
      </c>
      <c r="AE487" s="6">
        <f>[1]Emissions!AD904</f>
        <v>0.22810460969999999</v>
      </c>
      <c r="AF487" s="6">
        <f>[1]Emissions!AE904</f>
        <v>0.22994996810000001</v>
      </c>
      <c r="AG487" s="6">
        <f>[1]Emissions!AF904</f>
        <v>0.23183720229999999</v>
      </c>
      <c r="AH487" s="6">
        <f>[1]Emissions!AG904</f>
        <v>0.23378938460000001</v>
      </c>
      <c r="AI487" s="6">
        <f>[1]Emissions!AH904</f>
        <v>0.23581304289999999</v>
      </c>
      <c r="AJ487" s="6">
        <f>[1]Emissions!AI904</f>
        <v>0.237898631</v>
      </c>
      <c r="AK487" s="6">
        <f>[1]Emissions!AJ904</f>
        <v>0.24002869369999999</v>
      </c>
      <c r="AL487" s="6">
        <f>[1]Emissions!AK904</f>
        <v>0.24218628980000001</v>
      </c>
    </row>
    <row r="488" spans="2:38" x14ac:dyDescent="0.3">
      <c r="B488" s="6" t="str">
        <f>[1]Emissions!A905</f>
        <v>ems_ci_co2_seot_2</v>
      </c>
      <c r="C488" s="6">
        <f>[1]Emissions!B905</f>
        <v>1.79097061</v>
      </c>
      <c r="D488" s="6">
        <f>[1]Emissions!C905</f>
        <v>1.805997879</v>
      </c>
      <c r="E488" s="6">
        <f>[1]Emissions!D905</f>
        <v>1.8156797520000001</v>
      </c>
      <c r="F488" s="6">
        <f>[1]Emissions!E905</f>
        <v>1.8238525320000001</v>
      </c>
      <c r="G488" s="6">
        <f>[1]Emissions!F905</f>
        <v>1.833572848</v>
      </c>
      <c r="H488" s="6">
        <f>[1]Emissions!G905</f>
        <v>1.846895417</v>
      </c>
      <c r="I488" s="6">
        <f>[1]Emissions!H905</f>
        <v>1.87983268</v>
      </c>
      <c r="J488" s="6">
        <f>[1]Emissions!I905</f>
        <v>1.9018922279999999</v>
      </c>
      <c r="K488" s="6">
        <f>[1]Emissions!J905</f>
        <v>1.9165885279999999</v>
      </c>
      <c r="L488" s="6">
        <f>[1]Emissions!K905</f>
        <v>1.9249478870000001</v>
      </c>
      <c r="M488" s="6">
        <f>[1]Emissions!L905</f>
        <v>1.929409463</v>
      </c>
      <c r="N488" s="6">
        <f>[1]Emissions!M905</f>
        <v>1.9323853049999999</v>
      </c>
      <c r="O488" s="6">
        <f>[1]Emissions!N905</f>
        <v>1.9369104530000001</v>
      </c>
      <c r="P488" s="6">
        <f>[1]Emissions!O905</f>
        <v>1.9450966000000001</v>
      </c>
      <c r="Q488" s="6">
        <f>[1]Emissions!P905</f>
        <v>1.95750951</v>
      </c>
      <c r="R488" s="6">
        <f>[1]Emissions!Q905</f>
        <v>1.9734326799999999</v>
      </c>
      <c r="S488" s="6">
        <f>[1]Emissions!R905</f>
        <v>1.9913321020000001</v>
      </c>
      <c r="T488" s="6">
        <f>[1]Emissions!S905</f>
        <v>2.009746705</v>
      </c>
      <c r="U488" s="6">
        <f>[1]Emissions!T905</f>
        <v>2.0277233959999998</v>
      </c>
      <c r="V488" s="6">
        <f>[1]Emissions!U905</f>
        <v>2.044960514</v>
      </c>
      <c r="W488" s="6">
        <f>[1]Emissions!V905</f>
        <v>2.0609433199999998</v>
      </c>
      <c r="X488" s="6">
        <f>[1]Emissions!W905</f>
        <v>2.077021019</v>
      </c>
      <c r="Y488" s="6">
        <f>[1]Emissions!X905</f>
        <v>2.0936659679999998</v>
      </c>
      <c r="Z488" s="6">
        <f>[1]Emissions!Y905</f>
        <v>2.1111061759999998</v>
      </c>
      <c r="AA488" s="6">
        <f>[1]Emissions!Z905</f>
        <v>2.129419435</v>
      </c>
      <c r="AB488" s="6">
        <f>[1]Emissions!AA905</f>
        <v>2.1460773789999998</v>
      </c>
      <c r="AC488" s="6">
        <f>[1]Emissions!AB905</f>
        <v>2.1629794840000001</v>
      </c>
      <c r="AD488" s="6">
        <f>[1]Emissions!AC905</f>
        <v>2.1797815210000002</v>
      </c>
      <c r="AE488" s="6">
        <f>[1]Emissions!AD905</f>
        <v>2.1964094599999999</v>
      </c>
      <c r="AF488" s="6">
        <f>[1]Emissions!AE905</f>
        <v>2.2131457719999998</v>
      </c>
      <c r="AG488" s="6">
        <f>[1]Emissions!AF905</f>
        <v>2.230385627</v>
      </c>
      <c r="AH488" s="6">
        <f>[1]Emissions!AG905</f>
        <v>2.248415354</v>
      </c>
      <c r="AI488" s="6">
        <f>[1]Emissions!AH905</f>
        <v>2.2673142629999998</v>
      </c>
      <c r="AJ488" s="6">
        <f>[1]Emissions!AI905</f>
        <v>2.2869591210000002</v>
      </c>
      <c r="AK488" s="6">
        <f>[1]Emissions!AJ905</f>
        <v>2.3071347979999999</v>
      </c>
      <c r="AL488" s="6">
        <f>[1]Emissions!AK905</f>
        <v>2.3276397370000002</v>
      </c>
    </row>
    <row r="489" spans="2:38" x14ac:dyDescent="0.3">
      <c r="B489" s="6" t="str">
        <f>[1]Emissions!A906</f>
        <v>ems_y_co2_seot_2</v>
      </c>
      <c r="C489" s="6">
        <f>[1]Emissions!B906</f>
        <v>0</v>
      </c>
      <c r="D489" s="6">
        <f>[1]Emissions!C906</f>
        <v>0</v>
      </c>
      <c r="E489" s="6">
        <f>[1]Emissions!D906</f>
        <v>0</v>
      </c>
      <c r="F489" s="6">
        <f>[1]Emissions!E906</f>
        <v>0</v>
      </c>
      <c r="G489" s="6">
        <f>[1]Emissions!F906</f>
        <v>0</v>
      </c>
      <c r="H489" s="6">
        <f>[1]Emissions!G906</f>
        <v>0</v>
      </c>
      <c r="I489" s="6">
        <f>[1]Emissions!H906</f>
        <v>0</v>
      </c>
      <c r="J489" s="6">
        <f>[1]Emissions!I906</f>
        <v>0</v>
      </c>
      <c r="K489" s="6">
        <f>[1]Emissions!J906</f>
        <v>0</v>
      </c>
      <c r="L489" s="6">
        <f>[1]Emissions!K906</f>
        <v>0</v>
      </c>
      <c r="M489" s="6">
        <f>[1]Emissions!L906</f>
        <v>0</v>
      </c>
      <c r="N489" s="6">
        <f>[1]Emissions!M906</f>
        <v>0</v>
      </c>
      <c r="O489" s="6">
        <f>[1]Emissions!N906</f>
        <v>0</v>
      </c>
      <c r="P489" s="6">
        <f>[1]Emissions!O906</f>
        <v>0</v>
      </c>
      <c r="Q489" s="6">
        <f>[1]Emissions!P906</f>
        <v>0</v>
      </c>
      <c r="R489" s="6">
        <f>[1]Emissions!Q906</f>
        <v>0</v>
      </c>
      <c r="S489" s="6">
        <f>[1]Emissions!R906</f>
        <v>0</v>
      </c>
      <c r="T489" s="6">
        <f>[1]Emissions!S906</f>
        <v>0</v>
      </c>
      <c r="U489" s="6">
        <f>[1]Emissions!T906</f>
        <v>0</v>
      </c>
      <c r="V489" s="6">
        <f>[1]Emissions!U906</f>
        <v>0</v>
      </c>
      <c r="W489" s="6">
        <f>[1]Emissions!V906</f>
        <v>0</v>
      </c>
      <c r="X489" s="6">
        <f>[1]Emissions!W906</f>
        <v>0</v>
      </c>
      <c r="Y489" s="6">
        <f>[1]Emissions!X906</f>
        <v>0</v>
      </c>
      <c r="Z489" s="6">
        <f>[1]Emissions!Y906</f>
        <v>0</v>
      </c>
      <c r="AA489" s="6">
        <f>[1]Emissions!Z906</f>
        <v>0</v>
      </c>
      <c r="AB489" s="6">
        <f>[1]Emissions!AA906</f>
        <v>0</v>
      </c>
      <c r="AC489" s="6">
        <f>[1]Emissions!AB906</f>
        <v>0</v>
      </c>
      <c r="AD489" s="6">
        <f>[1]Emissions!AC906</f>
        <v>0</v>
      </c>
      <c r="AE489" s="6">
        <f>[1]Emissions!AD906</f>
        <v>0</v>
      </c>
      <c r="AF489" s="6">
        <f>[1]Emissions!AE906</f>
        <v>0</v>
      </c>
      <c r="AG489" s="6">
        <f>[1]Emissions!AF906</f>
        <v>0</v>
      </c>
      <c r="AH489" s="6">
        <f>[1]Emissions!AG906</f>
        <v>0</v>
      </c>
      <c r="AI489" s="6">
        <f>[1]Emissions!AH906</f>
        <v>0</v>
      </c>
      <c r="AJ489" s="6">
        <f>[1]Emissions!AI906</f>
        <v>0</v>
      </c>
      <c r="AK489" s="6">
        <f>[1]Emissions!AJ906</f>
        <v>0</v>
      </c>
      <c r="AL489" s="6">
        <f>[1]Emissions!AK906</f>
        <v>0</v>
      </c>
    </row>
    <row r="490" spans="2:38" x14ac:dyDescent="0.3">
      <c r="B490" s="6" t="str">
        <f>[1]Emissions!A907</f>
        <v>ems_mat_co2_seot_2</v>
      </c>
      <c r="C490" s="6">
        <f>[1]Emissions!B907</f>
        <v>0.1227500185</v>
      </c>
      <c r="D490" s="6">
        <f>[1]Emissions!C907</f>
        <v>0.123761224</v>
      </c>
      <c r="E490" s="6">
        <f>[1]Emissions!D907</f>
        <v>0.124393556</v>
      </c>
      <c r="F490" s="6">
        <f>[1]Emissions!E907</f>
        <v>0.12492237740000001</v>
      </c>
      <c r="G490" s="6">
        <f>[1]Emissions!F907</f>
        <v>0.12556352470000001</v>
      </c>
      <c r="H490" s="6">
        <f>[1]Emissions!G907</f>
        <v>0.12645665950000001</v>
      </c>
      <c r="I490" s="6">
        <f>[1]Emissions!H907</f>
        <v>0.1287057214</v>
      </c>
      <c r="J490" s="6">
        <f>[1]Emissions!I907</f>
        <v>0.1302129031</v>
      </c>
      <c r="K490" s="6">
        <f>[1]Emissions!J907</f>
        <v>0.13121430470000001</v>
      </c>
      <c r="L490" s="6">
        <f>[1]Emissions!K907</f>
        <v>0.13178793089999999</v>
      </c>
      <c r="M490" s="6">
        <f>[1]Emissions!L907</f>
        <v>0.13211043419999999</v>
      </c>
      <c r="N490" s="6">
        <f>[1]Emissions!M907</f>
        <v>0.13234819010000001</v>
      </c>
      <c r="O490" s="6">
        <f>[1]Emissions!N907</f>
        <v>0.13270420569999999</v>
      </c>
      <c r="P490" s="6">
        <f>[1]Emissions!O907</f>
        <v>0.13331460719999999</v>
      </c>
      <c r="Q490" s="6">
        <f>[1]Emissions!P907</f>
        <v>0.1342096951</v>
      </c>
      <c r="R490" s="6">
        <f>[1]Emissions!Q907</f>
        <v>0.135334809</v>
      </c>
      <c r="S490" s="6">
        <f>[1]Emissions!R907</f>
        <v>0.13658337379999999</v>
      </c>
      <c r="T490" s="6">
        <f>[1]Emissions!S907</f>
        <v>0.137857492</v>
      </c>
      <c r="U490" s="6">
        <f>[1]Emissions!T907</f>
        <v>0.1390961601</v>
      </c>
      <c r="V490" s="6">
        <f>[1]Emissions!U907</f>
        <v>0.1402831651</v>
      </c>
      <c r="W490" s="6">
        <f>[1]Emissions!V907</f>
        <v>0.14138577899999999</v>
      </c>
      <c r="X490" s="6">
        <f>[1]Emissions!W907</f>
        <v>0.1424986147</v>
      </c>
      <c r="Y490" s="6">
        <f>[1]Emissions!X907</f>
        <v>0.14365405519999999</v>
      </c>
      <c r="Z490" s="6">
        <f>[1]Emissions!Y907</f>
        <v>0.1448664442</v>
      </c>
      <c r="AA490" s="6">
        <f>[1]Emissions!Z907</f>
        <v>0.14613940210000001</v>
      </c>
      <c r="AB490" s="6">
        <f>[1]Emissions!AA907</f>
        <v>0.14729661159999999</v>
      </c>
      <c r="AC490" s="6">
        <f>[1]Emissions!AB907</f>
        <v>0.14846935089999999</v>
      </c>
      <c r="AD490" s="6">
        <f>[1]Emissions!AC907</f>
        <v>0.14963537120000001</v>
      </c>
      <c r="AE490" s="6">
        <f>[1]Emissions!AD907</f>
        <v>0.15079073100000001</v>
      </c>
      <c r="AF490" s="6">
        <f>[1]Emissions!AE907</f>
        <v>0.1519550999</v>
      </c>
      <c r="AG490" s="6">
        <f>[1]Emissions!AF907</f>
        <v>0.15315497589999999</v>
      </c>
      <c r="AH490" s="6">
        <f>[1]Emissions!AG907</f>
        <v>0.15440886030000001</v>
      </c>
      <c r="AI490" s="6">
        <f>[1]Emissions!AH907</f>
        <v>0.15572104989999999</v>
      </c>
      <c r="AJ490" s="6">
        <f>[1]Emissions!AI907</f>
        <v>0.15708236680000001</v>
      </c>
      <c r="AK490" s="6">
        <f>[1]Emissions!AJ907</f>
        <v>0.15847792220000001</v>
      </c>
      <c r="AL490" s="6">
        <f>[1]Emissions!AK907</f>
        <v>0.15989426300000001</v>
      </c>
    </row>
    <row r="491" spans="2:38" x14ac:dyDescent="0.3"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</row>
    <row r="492" spans="2:38" hidden="1" x14ac:dyDescent="0.3">
      <c r="B492" s="16" t="str">
        <f>[1]Emissions!A908</f>
        <v>ems_ci_co2_sagr_0</v>
      </c>
      <c r="C492" s="6">
        <f>[1]Emissions!B908</f>
        <v>11.901709650000001</v>
      </c>
      <c r="D492" s="6">
        <f>[1]Emissions!C908</f>
        <v>11.865325289999999</v>
      </c>
      <c r="E492" s="6">
        <f>[1]Emissions!D908</f>
        <v>11.775022570000001</v>
      </c>
      <c r="F492" s="6">
        <f>[1]Emissions!E908</f>
        <v>11.674868979999999</v>
      </c>
      <c r="G492" s="6">
        <f>[1]Emissions!F908</f>
        <v>11.61176485</v>
      </c>
      <c r="H492" s="6">
        <f>[1]Emissions!G908</f>
        <v>11.61844994</v>
      </c>
      <c r="I492" s="6">
        <f>[1]Emissions!H908</f>
        <v>11.70138088</v>
      </c>
      <c r="J492" s="6">
        <f>[1]Emissions!I908</f>
        <v>11.84960877</v>
      </c>
      <c r="K492" s="6">
        <f>[1]Emissions!J908</f>
        <v>12.033412670000001</v>
      </c>
      <c r="L492" s="6">
        <f>[1]Emissions!K908</f>
        <v>12.217083280000001</v>
      </c>
      <c r="M492" s="6">
        <f>[1]Emissions!L908</f>
        <v>12.375482549999999</v>
      </c>
      <c r="N492" s="6">
        <f>[1]Emissions!M908</f>
        <v>12.496077359999999</v>
      </c>
      <c r="O492" s="6">
        <f>[1]Emissions!N908</f>
        <v>12.57951196</v>
      </c>
      <c r="P492" s="6">
        <f>[1]Emissions!O908</f>
        <v>12.633327039999999</v>
      </c>
      <c r="Q492" s="6">
        <f>[1]Emissions!P908</f>
        <v>12.667233189999999</v>
      </c>
      <c r="R492" s="6">
        <f>[1]Emissions!Q908</f>
        <v>12.689534310000001</v>
      </c>
      <c r="S492" s="6">
        <f>[1]Emissions!R908</f>
        <v>12.705884960000001</v>
      </c>
      <c r="T492" s="6">
        <f>[1]Emissions!S908</f>
        <v>12.719539360000001</v>
      </c>
      <c r="U492" s="6">
        <f>[1]Emissions!T908</f>
        <v>12.73233024</v>
      </c>
      <c r="V492" s="6">
        <f>[1]Emissions!U908</f>
        <v>12.745619339999999</v>
      </c>
      <c r="W492" s="6">
        <f>[1]Emissions!V908</f>
        <v>12.756664109999999</v>
      </c>
      <c r="X492" s="6">
        <f>[1]Emissions!W908</f>
        <v>12.76964845</v>
      </c>
      <c r="Y492" s="6">
        <f>[1]Emissions!X908</f>
        <v>12.785827940000001</v>
      </c>
      <c r="Z492" s="6">
        <f>[1]Emissions!Y908</f>
        <v>12.807509209999999</v>
      </c>
      <c r="AA492" s="6">
        <f>[1]Emissions!Z908</f>
        <v>12.83598012</v>
      </c>
      <c r="AB492" s="6">
        <f>[1]Emissions!AA908</f>
        <v>12.85761508</v>
      </c>
      <c r="AC492" s="6">
        <f>[1]Emissions!AB908</f>
        <v>12.876516369999999</v>
      </c>
      <c r="AD492" s="6">
        <f>[1]Emissions!AC908</f>
        <v>12.888646290000001</v>
      </c>
      <c r="AE492" s="6">
        <f>[1]Emissions!AD908</f>
        <v>12.894795889999999</v>
      </c>
      <c r="AF492" s="6">
        <f>[1]Emissions!AE908</f>
        <v>12.898167000000001</v>
      </c>
      <c r="AG492" s="6">
        <f>[1]Emissions!AF908</f>
        <v>12.90274606</v>
      </c>
      <c r="AH492" s="6">
        <f>[1]Emissions!AG908</f>
        <v>12.911539360000001</v>
      </c>
      <c r="AI492" s="6">
        <f>[1]Emissions!AH908</f>
        <v>12.92561656</v>
      </c>
      <c r="AJ492" s="6">
        <f>[1]Emissions!AI908</f>
        <v>12.94416172</v>
      </c>
      <c r="AK492" s="6">
        <f>[1]Emissions!AJ908</f>
        <v>12.9652531</v>
      </c>
      <c r="AL492" s="6">
        <f>[1]Emissions!AK908</f>
        <v>12.98687528</v>
      </c>
    </row>
    <row r="493" spans="2:38" hidden="1" x14ac:dyDescent="0.3">
      <c r="B493" s="16" t="str">
        <f>[1]Emissions!A909</f>
        <v>ems_y_co2_sagr_0</v>
      </c>
      <c r="C493" s="6">
        <f>[1]Emissions!B909</f>
        <v>2.3491547580000001</v>
      </c>
      <c r="D493" s="6">
        <f>[1]Emissions!C909</f>
        <v>2.336805848</v>
      </c>
      <c r="E493" s="6">
        <f>[1]Emissions!D909</f>
        <v>2.3326691560000001</v>
      </c>
      <c r="F493" s="6">
        <f>[1]Emissions!E909</f>
        <v>2.3367146239999999</v>
      </c>
      <c r="G493" s="6">
        <f>[1]Emissions!F909</f>
        <v>2.3492396850000001</v>
      </c>
      <c r="H493" s="6">
        <f>[1]Emissions!G909</f>
        <v>2.3684399300000001</v>
      </c>
      <c r="I493" s="6">
        <f>[1]Emissions!H909</f>
        <v>2.390003117</v>
      </c>
      <c r="J493" s="6">
        <f>[1]Emissions!I909</f>
        <v>2.4118478250000002</v>
      </c>
      <c r="K493" s="6">
        <f>[1]Emissions!J909</f>
        <v>2.4320397649999999</v>
      </c>
      <c r="L493" s="6">
        <f>[1]Emissions!K909</f>
        <v>2.4495229799999998</v>
      </c>
      <c r="M493" s="6">
        <f>[1]Emissions!L909</f>
        <v>2.466533525</v>
      </c>
      <c r="N493" s="6">
        <f>[1]Emissions!M909</f>
        <v>2.4792889489999999</v>
      </c>
      <c r="O493" s="6">
        <f>[1]Emissions!N909</f>
        <v>2.4889003399999998</v>
      </c>
      <c r="P493" s="6">
        <f>[1]Emissions!O909</f>
        <v>2.4957620540000001</v>
      </c>
      <c r="Q493" s="6">
        <f>[1]Emissions!P909</f>
        <v>2.5005774129999998</v>
      </c>
      <c r="R493" s="6">
        <f>[1]Emissions!Q909</f>
        <v>2.5041698000000001</v>
      </c>
      <c r="S493" s="6">
        <f>[1]Emissions!R909</f>
        <v>2.5073653500000002</v>
      </c>
      <c r="T493" s="6">
        <f>[1]Emissions!S909</f>
        <v>2.5108859130000001</v>
      </c>
      <c r="U493" s="6">
        <f>[1]Emissions!T909</f>
        <v>2.5152712840000002</v>
      </c>
      <c r="V493" s="6">
        <f>[1]Emissions!U909</f>
        <v>2.520839718</v>
      </c>
      <c r="W493" s="6">
        <f>[1]Emissions!V909</f>
        <v>2.5258730100000002</v>
      </c>
      <c r="X493" s="6">
        <f>[1]Emissions!W909</f>
        <v>2.5330974799999999</v>
      </c>
      <c r="Y493" s="6">
        <f>[1]Emissions!X909</f>
        <v>2.541641002</v>
      </c>
      <c r="Z493" s="6">
        <f>[1]Emissions!Y909</f>
        <v>2.5512397349999998</v>
      </c>
      <c r="AA493" s="6">
        <f>[1]Emissions!Z909</f>
        <v>2.5614856270000002</v>
      </c>
      <c r="AB493" s="6">
        <f>[1]Emissions!AA909</f>
        <v>2.566866643</v>
      </c>
      <c r="AC493" s="6">
        <f>[1]Emissions!AB909</f>
        <v>2.5727681869999999</v>
      </c>
      <c r="AD493" s="6">
        <f>[1]Emissions!AC909</f>
        <v>2.5783567770000002</v>
      </c>
      <c r="AE493" s="6">
        <f>[1]Emissions!AD909</f>
        <v>2.5839722580000002</v>
      </c>
      <c r="AF493" s="6">
        <f>[1]Emissions!AE909</f>
        <v>2.5897137059999999</v>
      </c>
      <c r="AG493" s="6">
        <f>[1]Emissions!AF909</f>
        <v>2.5955542970000001</v>
      </c>
      <c r="AH493" s="6">
        <f>[1]Emissions!AG909</f>
        <v>2.6014076369999999</v>
      </c>
      <c r="AI493" s="6">
        <f>[1]Emissions!AH909</f>
        <v>2.6071882949999998</v>
      </c>
      <c r="AJ493" s="6">
        <f>[1]Emissions!AI909</f>
        <v>2.6128483240000002</v>
      </c>
      <c r="AK493" s="6">
        <f>[1]Emissions!AJ909</f>
        <v>2.618385403</v>
      </c>
      <c r="AL493" s="6">
        <f>[1]Emissions!AK909</f>
        <v>2.6238301399999999</v>
      </c>
    </row>
    <row r="494" spans="2:38" hidden="1" x14ac:dyDescent="0.3">
      <c r="B494" s="16" t="str">
        <f>[1]Emissions!A910</f>
        <v>ems_mat_co2_sagr_0</v>
      </c>
      <c r="C494" s="6">
        <f>[1]Emissions!B910</f>
        <v>0</v>
      </c>
      <c r="D494" s="6">
        <f>[1]Emissions!C910</f>
        <v>0</v>
      </c>
      <c r="E494" s="6">
        <f>[1]Emissions!D910</f>
        <v>0</v>
      </c>
      <c r="F494" s="6">
        <f>[1]Emissions!E910</f>
        <v>0</v>
      </c>
      <c r="G494" s="6">
        <f>[1]Emissions!F910</f>
        <v>0</v>
      </c>
      <c r="H494" s="6">
        <f>[1]Emissions!G910</f>
        <v>0</v>
      </c>
      <c r="I494" s="6">
        <f>[1]Emissions!H910</f>
        <v>0</v>
      </c>
      <c r="J494" s="6">
        <f>[1]Emissions!I910</f>
        <v>0</v>
      </c>
      <c r="K494" s="6">
        <f>[1]Emissions!J910</f>
        <v>0</v>
      </c>
      <c r="L494" s="6">
        <f>[1]Emissions!K910</f>
        <v>0</v>
      </c>
      <c r="M494" s="6">
        <f>[1]Emissions!L910</f>
        <v>0</v>
      </c>
      <c r="N494" s="6">
        <f>[1]Emissions!M910</f>
        <v>0</v>
      </c>
      <c r="O494" s="6">
        <f>[1]Emissions!N910</f>
        <v>0</v>
      </c>
      <c r="P494" s="6">
        <f>[1]Emissions!O910</f>
        <v>0</v>
      </c>
      <c r="Q494" s="6">
        <f>[1]Emissions!P910</f>
        <v>0</v>
      </c>
      <c r="R494" s="6">
        <f>[1]Emissions!Q910</f>
        <v>0</v>
      </c>
      <c r="S494" s="6">
        <f>[1]Emissions!R910</f>
        <v>0</v>
      </c>
      <c r="T494" s="6">
        <f>[1]Emissions!S910</f>
        <v>0</v>
      </c>
      <c r="U494" s="6">
        <f>[1]Emissions!T910</f>
        <v>0</v>
      </c>
      <c r="V494" s="6">
        <f>[1]Emissions!U910</f>
        <v>0</v>
      </c>
      <c r="W494" s="6">
        <f>[1]Emissions!V910</f>
        <v>0</v>
      </c>
      <c r="X494" s="6">
        <f>[1]Emissions!W910</f>
        <v>0</v>
      </c>
      <c r="Y494" s="6">
        <f>[1]Emissions!X910</f>
        <v>0</v>
      </c>
      <c r="Z494" s="6">
        <f>[1]Emissions!Y910</f>
        <v>0</v>
      </c>
      <c r="AA494" s="6">
        <f>[1]Emissions!Z910</f>
        <v>0</v>
      </c>
      <c r="AB494" s="6">
        <f>[1]Emissions!AA910</f>
        <v>0</v>
      </c>
      <c r="AC494" s="6">
        <f>[1]Emissions!AB910</f>
        <v>0</v>
      </c>
      <c r="AD494" s="6">
        <f>[1]Emissions!AC910</f>
        <v>0</v>
      </c>
      <c r="AE494" s="6">
        <f>[1]Emissions!AD910</f>
        <v>0</v>
      </c>
      <c r="AF494" s="6">
        <f>[1]Emissions!AE910</f>
        <v>0</v>
      </c>
      <c r="AG494" s="6">
        <f>[1]Emissions!AF910</f>
        <v>0</v>
      </c>
      <c r="AH494" s="6">
        <f>[1]Emissions!AG910</f>
        <v>0</v>
      </c>
      <c r="AI494" s="6">
        <f>[1]Emissions!AH910</f>
        <v>0</v>
      </c>
      <c r="AJ494" s="6">
        <f>[1]Emissions!AI910</f>
        <v>0</v>
      </c>
      <c r="AK494" s="6">
        <f>[1]Emissions!AJ910</f>
        <v>0</v>
      </c>
      <c r="AL494" s="6">
        <f>[1]Emissions!AK910</f>
        <v>0</v>
      </c>
    </row>
    <row r="495" spans="2:38" hidden="1" x14ac:dyDescent="0.3">
      <c r="B495" s="16" t="str">
        <f>[1]Emissions!A911</f>
        <v>ems_ci_co2_sfor_0</v>
      </c>
      <c r="C495" s="6">
        <f>[1]Emissions!B911</f>
        <v>0.5205475946</v>
      </c>
      <c r="D495" s="6">
        <f>[1]Emissions!C911</f>
        <v>0.5105853186</v>
      </c>
      <c r="E495" s="6">
        <f>[1]Emissions!D911</f>
        <v>0.49800627060000002</v>
      </c>
      <c r="F495" s="6">
        <f>[1]Emissions!E911</f>
        <v>0.48586200089999998</v>
      </c>
      <c r="G495" s="6">
        <f>[1]Emissions!F911</f>
        <v>0.47599754500000002</v>
      </c>
      <c r="H495" s="6">
        <f>[1]Emissions!G911</f>
        <v>0.46976320570000002</v>
      </c>
      <c r="I495" s="6">
        <f>[1]Emissions!H911</f>
        <v>0.46714454649999998</v>
      </c>
      <c r="J495" s="6">
        <f>[1]Emissions!I911</f>
        <v>0.46824257060000002</v>
      </c>
      <c r="K495" s="6">
        <f>[1]Emissions!J911</f>
        <v>0.47190152790000001</v>
      </c>
      <c r="L495" s="6">
        <f>[1]Emissions!K911</f>
        <v>0.47665099929999999</v>
      </c>
      <c r="M495" s="6">
        <f>[1]Emissions!L911</f>
        <v>0.481923816</v>
      </c>
      <c r="N495" s="6">
        <f>[1]Emissions!M911</f>
        <v>0.4860565986</v>
      </c>
      <c r="O495" s="6">
        <f>[1]Emissions!N911</f>
        <v>0.48969838380000003</v>
      </c>
      <c r="P495" s="6">
        <f>[1]Emissions!O911</f>
        <v>0.49320160239999999</v>
      </c>
      <c r="Q495" s="6">
        <f>[1]Emissions!P911</f>
        <v>0.49673144400000002</v>
      </c>
      <c r="R495" s="6">
        <f>[1]Emissions!Q911</f>
        <v>0.50035067860000004</v>
      </c>
      <c r="S495" s="6">
        <f>[1]Emissions!R911</f>
        <v>0.50404707069999999</v>
      </c>
      <c r="T495" s="6">
        <f>[1]Emissions!S911</f>
        <v>0.50776670940000002</v>
      </c>
      <c r="U495" s="6">
        <f>[1]Emissions!T911</f>
        <v>0.51145748049999995</v>
      </c>
      <c r="V495" s="6">
        <f>[1]Emissions!U911</f>
        <v>0.5151037329</v>
      </c>
      <c r="W495" s="6">
        <f>[1]Emissions!V911</f>
        <v>0.51824425929999995</v>
      </c>
      <c r="X495" s="6">
        <f>[1]Emissions!W911</f>
        <v>0.52187696589999999</v>
      </c>
      <c r="Y495" s="6">
        <f>[1]Emissions!X911</f>
        <v>0.52564987200000002</v>
      </c>
      <c r="Z495" s="6">
        <f>[1]Emissions!Y911</f>
        <v>0.52955858030000003</v>
      </c>
      <c r="AA495" s="6">
        <f>[1]Emissions!Z911</f>
        <v>0.5337229617</v>
      </c>
      <c r="AB495" s="6">
        <f>[1]Emissions!AA911</f>
        <v>0.53667118930000002</v>
      </c>
      <c r="AC495" s="6">
        <f>[1]Emissions!AB911</f>
        <v>0.54070908230000003</v>
      </c>
      <c r="AD495" s="6">
        <f>[1]Emissions!AC911</f>
        <v>0.54495206289999998</v>
      </c>
      <c r="AE495" s="6">
        <f>[1]Emissions!AD911</f>
        <v>0.54908484489999998</v>
      </c>
      <c r="AF495" s="6">
        <f>[1]Emissions!AE911</f>
        <v>0.55318048330000003</v>
      </c>
      <c r="AG495" s="6">
        <f>[1]Emissions!AF911</f>
        <v>0.55741945989999997</v>
      </c>
      <c r="AH495" s="6">
        <f>[1]Emissions!AG911</f>
        <v>0.56194768989999999</v>
      </c>
      <c r="AI495" s="6">
        <f>[1]Emissions!AH911</f>
        <v>0.56682082170000003</v>
      </c>
      <c r="AJ495" s="6">
        <f>[1]Emissions!AI911</f>
        <v>0.57200568129999996</v>
      </c>
      <c r="AK495" s="6">
        <f>[1]Emissions!AJ911</f>
        <v>0.57741657670000002</v>
      </c>
      <c r="AL495" s="6">
        <f>[1]Emissions!AK911</f>
        <v>0.58296221589999997</v>
      </c>
    </row>
    <row r="496" spans="2:38" hidden="1" x14ac:dyDescent="0.3">
      <c r="B496" s="16" t="str">
        <f>[1]Emissions!A912</f>
        <v>ems_y_co2_sfor_0</v>
      </c>
      <c r="C496" s="6">
        <f>[1]Emissions!B912</f>
        <v>0</v>
      </c>
      <c r="D496" s="6">
        <f>[1]Emissions!C912</f>
        <v>0</v>
      </c>
      <c r="E496" s="6">
        <f>[1]Emissions!D912</f>
        <v>0</v>
      </c>
      <c r="F496" s="6">
        <f>[1]Emissions!E912</f>
        <v>0</v>
      </c>
      <c r="G496" s="6">
        <f>[1]Emissions!F912</f>
        <v>0</v>
      </c>
      <c r="H496" s="6">
        <f>[1]Emissions!G912</f>
        <v>0</v>
      </c>
      <c r="I496" s="6">
        <f>[1]Emissions!H912</f>
        <v>0</v>
      </c>
      <c r="J496" s="6">
        <f>[1]Emissions!I912</f>
        <v>0</v>
      </c>
      <c r="K496" s="6">
        <f>[1]Emissions!J912</f>
        <v>0</v>
      </c>
      <c r="L496" s="6">
        <f>[1]Emissions!K912</f>
        <v>0</v>
      </c>
      <c r="M496" s="6">
        <f>[1]Emissions!L912</f>
        <v>0</v>
      </c>
      <c r="N496" s="6">
        <f>[1]Emissions!M912</f>
        <v>0</v>
      </c>
      <c r="O496" s="6">
        <f>[1]Emissions!N912</f>
        <v>0</v>
      </c>
      <c r="P496" s="6">
        <f>[1]Emissions!O912</f>
        <v>0</v>
      </c>
      <c r="Q496" s="6">
        <f>[1]Emissions!P912</f>
        <v>0</v>
      </c>
      <c r="R496" s="6">
        <f>[1]Emissions!Q912</f>
        <v>0</v>
      </c>
      <c r="S496" s="6">
        <f>[1]Emissions!R912</f>
        <v>0</v>
      </c>
      <c r="T496" s="6">
        <f>[1]Emissions!S912</f>
        <v>0</v>
      </c>
      <c r="U496" s="6">
        <f>[1]Emissions!T912</f>
        <v>0</v>
      </c>
      <c r="V496" s="6">
        <f>[1]Emissions!U912</f>
        <v>0</v>
      </c>
      <c r="W496" s="6">
        <f>[1]Emissions!V912</f>
        <v>0</v>
      </c>
      <c r="X496" s="6">
        <f>[1]Emissions!W912</f>
        <v>0</v>
      </c>
      <c r="Y496" s="6">
        <f>[1]Emissions!X912</f>
        <v>0</v>
      </c>
      <c r="Z496" s="6">
        <f>[1]Emissions!Y912</f>
        <v>0</v>
      </c>
      <c r="AA496" s="6">
        <f>[1]Emissions!Z912</f>
        <v>0</v>
      </c>
      <c r="AB496" s="6">
        <f>[1]Emissions!AA912</f>
        <v>0</v>
      </c>
      <c r="AC496" s="6">
        <f>[1]Emissions!AB912</f>
        <v>0</v>
      </c>
      <c r="AD496" s="6">
        <f>[1]Emissions!AC912</f>
        <v>0</v>
      </c>
      <c r="AE496" s="6">
        <f>[1]Emissions!AD912</f>
        <v>0</v>
      </c>
      <c r="AF496" s="6">
        <f>[1]Emissions!AE912</f>
        <v>0</v>
      </c>
      <c r="AG496" s="6">
        <f>[1]Emissions!AF912</f>
        <v>0</v>
      </c>
      <c r="AH496" s="6">
        <f>[1]Emissions!AG912</f>
        <v>0</v>
      </c>
      <c r="AI496" s="6">
        <f>[1]Emissions!AH912</f>
        <v>0</v>
      </c>
      <c r="AJ496" s="6">
        <f>[1]Emissions!AI912</f>
        <v>0</v>
      </c>
      <c r="AK496" s="6">
        <f>[1]Emissions!AJ912</f>
        <v>0</v>
      </c>
      <c r="AL496" s="6">
        <f>[1]Emissions!AK912</f>
        <v>0</v>
      </c>
    </row>
    <row r="497" spans="2:38" hidden="1" x14ac:dyDescent="0.3">
      <c r="B497" s="16" t="str">
        <f>[1]Emissions!A913</f>
        <v>ems_mat_co2_sfor_0</v>
      </c>
      <c r="C497" s="6">
        <f>[1]Emissions!B913</f>
        <v>0</v>
      </c>
      <c r="D497" s="6">
        <f>[1]Emissions!C913</f>
        <v>0</v>
      </c>
      <c r="E497" s="6">
        <f>[1]Emissions!D913</f>
        <v>0</v>
      </c>
      <c r="F497" s="6">
        <f>[1]Emissions!E913</f>
        <v>0</v>
      </c>
      <c r="G497" s="6">
        <f>[1]Emissions!F913</f>
        <v>0</v>
      </c>
      <c r="H497" s="6">
        <f>[1]Emissions!G913</f>
        <v>0</v>
      </c>
      <c r="I497" s="6">
        <f>[1]Emissions!H913</f>
        <v>0</v>
      </c>
      <c r="J497" s="6">
        <f>[1]Emissions!I913</f>
        <v>0</v>
      </c>
      <c r="K497" s="6">
        <f>[1]Emissions!J913</f>
        <v>0</v>
      </c>
      <c r="L497" s="6">
        <f>[1]Emissions!K913</f>
        <v>0</v>
      </c>
      <c r="M497" s="6">
        <f>[1]Emissions!L913</f>
        <v>0</v>
      </c>
      <c r="N497" s="6">
        <f>[1]Emissions!M913</f>
        <v>0</v>
      </c>
      <c r="O497" s="6">
        <f>[1]Emissions!N913</f>
        <v>0</v>
      </c>
      <c r="P497" s="6">
        <f>[1]Emissions!O913</f>
        <v>0</v>
      </c>
      <c r="Q497" s="6">
        <f>[1]Emissions!P913</f>
        <v>0</v>
      </c>
      <c r="R497" s="6">
        <f>[1]Emissions!Q913</f>
        <v>0</v>
      </c>
      <c r="S497" s="6">
        <f>[1]Emissions!R913</f>
        <v>0</v>
      </c>
      <c r="T497" s="6">
        <f>[1]Emissions!S913</f>
        <v>0</v>
      </c>
      <c r="U497" s="6">
        <f>[1]Emissions!T913</f>
        <v>0</v>
      </c>
      <c r="V497" s="6">
        <f>[1]Emissions!U913</f>
        <v>0</v>
      </c>
      <c r="W497" s="6">
        <f>[1]Emissions!V913</f>
        <v>0</v>
      </c>
      <c r="X497" s="6">
        <f>[1]Emissions!W913</f>
        <v>0</v>
      </c>
      <c r="Y497" s="6">
        <f>[1]Emissions!X913</f>
        <v>0</v>
      </c>
      <c r="Z497" s="6">
        <f>[1]Emissions!Y913</f>
        <v>0</v>
      </c>
      <c r="AA497" s="6">
        <f>[1]Emissions!Z913</f>
        <v>0</v>
      </c>
      <c r="AB497" s="6">
        <f>[1]Emissions!AA913</f>
        <v>0</v>
      </c>
      <c r="AC497" s="6">
        <f>[1]Emissions!AB913</f>
        <v>0</v>
      </c>
      <c r="AD497" s="6">
        <f>[1]Emissions!AC913</f>
        <v>0</v>
      </c>
      <c r="AE497" s="6">
        <f>[1]Emissions!AD913</f>
        <v>0</v>
      </c>
      <c r="AF497" s="6">
        <f>[1]Emissions!AE913</f>
        <v>0</v>
      </c>
      <c r="AG497" s="6">
        <f>[1]Emissions!AF913</f>
        <v>0</v>
      </c>
      <c r="AH497" s="6">
        <f>[1]Emissions!AG913</f>
        <v>0</v>
      </c>
      <c r="AI497" s="6">
        <f>[1]Emissions!AH913</f>
        <v>0</v>
      </c>
      <c r="AJ497" s="6">
        <f>[1]Emissions!AI913</f>
        <v>0</v>
      </c>
      <c r="AK497" s="6">
        <f>[1]Emissions!AJ913</f>
        <v>0</v>
      </c>
      <c r="AL497" s="6">
        <f>[1]Emissions!AK913</f>
        <v>0</v>
      </c>
    </row>
    <row r="498" spans="2:38" hidden="1" x14ac:dyDescent="0.3">
      <c r="B498" s="16" t="str">
        <f>[1]Emissions!A914</f>
        <v>ems_ci_co2_sfoo_0</v>
      </c>
      <c r="C498" s="6">
        <f>[1]Emissions!B914</f>
        <v>9.8888167879999997</v>
      </c>
      <c r="D498" s="6">
        <f>[1]Emissions!C914</f>
        <v>9.9154227150000001</v>
      </c>
      <c r="E498" s="6">
        <f>[1]Emissions!D914</f>
        <v>9.9045798129999998</v>
      </c>
      <c r="F498" s="6">
        <f>[1]Emissions!E914</f>
        <v>9.8873288109999997</v>
      </c>
      <c r="G498" s="6">
        <f>[1]Emissions!F914</f>
        <v>9.8853138040000008</v>
      </c>
      <c r="H498" s="6">
        <f>[1]Emissions!G914</f>
        <v>9.9099053609999999</v>
      </c>
      <c r="I498" s="6">
        <f>[1]Emissions!H914</f>
        <v>9.9581084880000006</v>
      </c>
      <c r="J498" s="6">
        <f>[1]Emissions!I914</f>
        <v>10.02588139</v>
      </c>
      <c r="K498" s="6">
        <f>[1]Emissions!J914</f>
        <v>10.102638990000001</v>
      </c>
      <c r="L498" s="6">
        <f>[1]Emissions!K914</f>
        <v>10.17705533</v>
      </c>
      <c r="M498" s="6">
        <f>[1]Emissions!L914</f>
        <v>10.247827640000001</v>
      </c>
      <c r="N498" s="6">
        <f>[1]Emissions!M914</f>
        <v>10.305578799999999</v>
      </c>
      <c r="O498" s="6">
        <f>[1]Emissions!N914</f>
        <v>10.35274862</v>
      </c>
      <c r="P498" s="6">
        <f>[1]Emissions!O914</f>
        <v>10.392101719999999</v>
      </c>
      <c r="Q498" s="6">
        <f>[1]Emissions!P914</f>
        <v>10.42677919</v>
      </c>
      <c r="R498" s="6">
        <f>[1]Emissions!Q914</f>
        <v>10.459155859999999</v>
      </c>
      <c r="S498" s="6">
        <f>[1]Emissions!R914</f>
        <v>10.490585189999999</v>
      </c>
      <c r="T498" s="6">
        <f>[1]Emissions!S914</f>
        <v>10.52162495</v>
      </c>
      <c r="U498" s="6">
        <f>[1]Emissions!T914</f>
        <v>10.552465160000001</v>
      </c>
      <c r="V498" s="6">
        <f>[1]Emissions!U914</f>
        <v>10.58328214</v>
      </c>
      <c r="W498" s="6">
        <f>[1]Emissions!V914</f>
        <v>10.609187820000001</v>
      </c>
      <c r="X498" s="6">
        <f>[1]Emissions!W914</f>
        <v>10.63674803</v>
      </c>
      <c r="Y498" s="6">
        <f>[1]Emissions!X914</f>
        <v>10.66585793</v>
      </c>
      <c r="Z498" s="6">
        <f>[1]Emissions!Y914</f>
        <v>10.697450140000001</v>
      </c>
      <c r="AA498" s="6">
        <f>[1]Emissions!Z914</f>
        <v>10.731826099999999</v>
      </c>
      <c r="AB498" s="6">
        <f>[1]Emissions!AA914</f>
        <v>10.753384580000001</v>
      </c>
      <c r="AC498" s="6">
        <f>[1]Emissions!AB914</f>
        <v>10.773540669999999</v>
      </c>
      <c r="AD498" s="6">
        <f>[1]Emissions!AC914</f>
        <v>10.79101313</v>
      </c>
      <c r="AE498" s="6">
        <f>[1]Emissions!AD914</f>
        <v>10.807214650000001</v>
      </c>
      <c r="AF498" s="6">
        <f>[1]Emissions!AE914</f>
        <v>10.82374776</v>
      </c>
      <c r="AG498" s="6">
        <f>[1]Emissions!AF914</f>
        <v>10.84203597</v>
      </c>
      <c r="AH498" s="6">
        <f>[1]Emissions!AG914</f>
        <v>10.86287939</v>
      </c>
      <c r="AI498" s="6">
        <f>[1]Emissions!AH914</f>
        <v>10.886275700000001</v>
      </c>
      <c r="AJ498" s="6">
        <f>[1]Emissions!AI914</f>
        <v>10.91156339</v>
      </c>
      <c r="AK498" s="6">
        <f>[1]Emissions!AJ914</f>
        <v>10.937772799999999</v>
      </c>
      <c r="AL498" s="6">
        <f>[1]Emissions!AK914</f>
        <v>10.964007069999999</v>
      </c>
    </row>
    <row r="499" spans="2:38" hidden="1" x14ac:dyDescent="0.3">
      <c r="B499" s="16" t="str">
        <f>[1]Emissions!A915</f>
        <v>ems_y_co2_sfoo_0</v>
      </c>
      <c r="C499" s="6">
        <f>[1]Emissions!B915</f>
        <v>0</v>
      </c>
      <c r="D499" s="6">
        <f>[1]Emissions!C915</f>
        <v>0</v>
      </c>
      <c r="E499" s="6">
        <f>[1]Emissions!D915</f>
        <v>0</v>
      </c>
      <c r="F499" s="6">
        <f>[1]Emissions!E915</f>
        <v>0</v>
      </c>
      <c r="G499" s="6">
        <f>[1]Emissions!F915</f>
        <v>0</v>
      </c>
      <c r="H499" s="6">
        <f>[1]Emissions!G915</f>
        <v>0</v>
      </c>
      <c r="I499" s="6">
        <f>[1]Emissions!H915</f>
        <v>0</v>
      </c>
      <c r="J499" s="6">
        <f>[1]Emissions!I915</f>
        <v>0</v>
      </c>
      <c r="K499" s="6">
        <f>[1]Emissions!J915</f>
        <v>0</v>
      </c>
      <c r="L499" s="6">
        <f>[1]Emissions!K915</f>
        <v>0</v>
      </c>
      <c r="M499" s="6">
        <f>[1]Emissions!L915</f>
        <v>0</v>
      </c>
      <c r="N499" s="6">
        <f>[1]Emissions!M915</f>
        <v>0</v>
      </c>
      <c r="O499" s="6">
        <f>[1]Emissions!N915</f>
        <v>0</v>
      </c>
      <c r="P499" s="6">
        <f>[1]Emissions!O915</f>
        <v>0</v>
      </c>
      <c r="Q499" s="6">
        <f>[1]Emissions!P915</f>
        <v>0</v>
      </c>
      <c r="R499" s="6">
        <f>[1]Emissions!Q915</f>
        <v>0</v>
      </c>
      <c r="S499" s="6">
        <f>[1]Emissions!R915</f>
        <v>0</v>
      </c>
      <c r="T499" s="6">
        <f>[1]Emissions!S915</f>
        <v>0</v>
      </c>
      <c r="U499" s="6">
        <f>[1]Emissions!T915</f>
        <v>0</v>
      </c>
      <c r="V499" s="6">
        <f>[1]Emissions!U915</f>
        <v>0</v>
      </c>
      <c r="W499" s="6">
        <f>[1]Emissions!V915</f>
        <v>0</v>
      </c>
      <c r="X499" s="6">
        <f>[1]Emissions!W915</f>
        <v>0</v>
      </c>
      <c r="Y499" s="6">
        <f>[1]Emissions!X915</f>
        <v>0</v>
      </c>
      <c r="Z499" s="6">
        <f>[1]Emissions!Y915</f>
        <v>0</v>
      </c>
      <c r="AA499" s="6">
        <f>[1]Emissions!Z915</f>
        <v>0</v>
      </c>
      <c r="AB499" s="6">
        <f>[1]Emissions!AA915</f>
        <v>0</v>
      </c>
      <c r="AC499" s="6">
        <f>[1]Emissions!AB915</f>
        <v>0</v>
      </c>
      <c r="AD499" s="6">
        <f>[1]Emissions!AC915</f>
        <v>0</v>
      </c>
      <c r="AE499" s="6">
        <f>[1]Emissions!AD915</f>
        <v>0</v>
      </c>
      <c r="AF499" s="6">
        <f>[1]Emissions!AE915</f>
        <v>0</v>
      </c>
      <c r="AG499" s="6">
        <f>[1]Emissions!AF915</f>
        <v>0</v>
      </c>
      <c r="AH499" s="6">
        <f>[1]Emissions!AG915</f>
        <v>0</v>
      </c>
      <c r="AI499" s="6">
        <f>[1]Emissions!AH915</f>
        <v>0</v>
      </c>
      <c r="AJ499" s="6">
        <f>[1]Emissions!AI915</f>
        <v>0</v>
      </c>
      <c r="AK499" s="6">
        <f>[1]Emissions!AJ915</f>
        <v>0</v>
      </c>
      <c r="AL499" s="6">
        <f>[1]Emissions!AK915</f>
        <v>0</v>
      </c>
    </row>
    <row r="500" spans="2:38" hidden="1" x14ac:dyDescent="0.3">
      <c r="B500" s="16" t="str">
        <f>[1]Emissions!A916</f>
        <v>ems_mat_co2_sfoo_0</v>
      </c>
      <c r="C500" s="6">
        <f>[1]Emissions!B916</f>
        <v>0</v>
      </c>
      <c r="D500" s="6">
        <f>[1]Emissions!C916</f>
        <v>0</v>
      </c>
      <c r="E500" s="6">
        <f>[1]Emissions!D916</f>
        <v>0</v>
      </c>
      <c r="F500" s="6">
        <f>[1]Emissions!E916</f>
        <v>0</v>
      </c>
      <c r="G500" s="6">
        <f>[1]Emissions!F916</f>
        <v>0</v>
      </c>
      <c r="H500" s="6">
        <f>[1]Emissions!G916</f>
        <v>0</v>
      </c>
      <c r="I500" s="6">
        <f>[1]Emissions!H916</f>
        <v>0</v>
      </c>
      <c r="J500" s="6">
        <f>[1]Emissions!I916</f>
        <v>0</v>
      </c>
      <c r="K500" s="6">
        <f>[1]Emissions!J916</f>
        <v>0</v>
      </c>
      <c r="L500" s="6">
        <f>[1]Emissions!K916</f>
        <v>0</v>
      </c>
      <c r="M500" s="6">
        <f>[1]Emissions!L916</f>
        <v>0</v>
      </c>
      <c r="N500" s="6">
        <f>[1]Emissions!M916</f>
        <v>0</v>
      </c>
      <c r="O500" s="6">
        <f>[1]Emissions!N916</f>
        <v>0</v>
      </c>
      <c r="P500" s="6">
        <f>[1]Emissions!O916</f>
        <v>0</v>
      </c>
      <c r="Q500" s="6">
        <f>[1]Emissions!P916</f>
        <v>0</v>
      </c>
      <c r="R500" s="6">
        <f>[1]Emissions!Q916</f>
        <v>0</v>
      </c>
      <c r="S500" s="6">
        <f>[1]Emissions!R916</f>
        <v>0</v>
      </c>
      <c r="T500" s="6">
        <f>[1]Emissions!S916</f>
        <v>0</v>
      </c>
      <c r="U500" s="6">
        <f>[1]Emissions!T916</f>
        <v>0</v>
      </c>
      <c r="V500" s="6">
        <f>[1]Emissions!U916</f>
        <v>0</v>
      </c>
      <c r="W500" s="6">
        <f>[1]Emissions!V916</f>
        <v>0</v>
      </c>
      <c r="X500" s="6">
        <f>[1]Emissions!W916</f>
        <v>0</v>
      </c>
      <c r="Y500" s="6">
        <f>[1]Emissions!X916</f>
        <v>0</v>
      </c>
      <c r="Z500" s="6">
        <f>[1]Emissions!Y916</f>
        <v>0</v>
      </c>
      <c r="AA500" s="6">
        <f>[1]Emissions!Z916</f>
        <v>0</v>
      </c>
      <c r="AB500" s="6">
        <f>[1]Emissions!AA916</f>
        <v>0</v>
      </c>
      <c r="AC500" s="6">
        <f>[1]Emissions!AB916</f>
        <v>0</v>
      </c>
      <c r="AD500" s="6">
        <f>[1]Emissions!AC916</f>
        <v>0</v>
      </c>
      <c r="AE500" s="6">
        <f>[1]Emissions!AD916</f>
        <v>0</v>
      </c>
      <c r="AF500" s="6">
        <f>[1]Emissions!AE916</f>
        <v>0</v>
      </c>
      <c r="AG500" s="6">
        <f>[1]Emissions!AF916</f>
        <v>0</v>
      </c>
      <c r="AH500" s="6">
        <f>[1]Emissions!AG916</f>
        <v>0</v>
      </c>
      <c r="AI500" s="6">
        <f>[1]Emissions!AH916</f>
        <v>0</v>
      </c>
      <c r="AJ500" s="6">
        <f>[1]Emissions!AI916</f>
        <v>0</v>
      </c>
      <c r="AK500" s="6">
        <f>[1]Emissions!AJ916</f>
        <v>0</v>
      </c>
      <c r="AL500" s="6">
        <f>[1]Emissions!AK916</f>
        <v>0</v>
      </c>
    </row>
    <row r="501" spans="2:38" hidden="1" x14ac:dyDescent="0.3">
      <c r="B501" s="16" t="str">
        <f>[1]Emissions!A917</f>
        <v>ems_ci_co2_sveh_0</v>
      </c>
      <c r="C501" s="6">
        <f>[1]Emissions!B917</f>
        <v>1.2356966540000001</v>
      </c>
      <c r="D501" s="6">
        <f>[1]Emissions!C917</f>
        <v>1.2454449160000001</v>
      </c>
      <c r="E501" s="6">
        <f>[1]Emissions!D917</f>
        <v>1.2482506799999999</v>
      </c>
      <c r="F501" s="6">
        <f>[1]Emissions!E917</f>
        <v>1.2469868879999999</v>
      </c>
      <c r="G501" s="6">
        <f>[1]Emissions!F917</f>
        <v>1.247486088</v>
      </c>
      <c r="H501" s="6">
        <f>[1]Emissions!G917</f>
        <v>1.2550343340000001</v>
      </c>
      <c r="I501" s="6">
        <f>[1]Emissions!H917</f>
        <v>1.2715465399999999</v>
      </c>
      <c r="J501" s="6">
        <f>[1]Emissions!I917</f>
        <v>1.2967719790000001</v>
      </c>
      <c r="K501" s="6">
        <f>[1]Emissions!J917</f>
        <v>1.327296171</v>
      </c>
      <c r="L501" s="6">
        <f>[1]Emissions!K917</f>
        <v>1.3587408560000001</v>
      </c>
      <c r="M501" s="6">
        <f>[1]Emissions!L917</f>
        <v>1.388219597</v>
      </c>
      <c r="N501" s="6">
        <f>[1]Emissions!M917</f>
        <v>1.4141183180000001</v>
      </c>
      <c r="O501" s="6">
        <f>[1]Emissions!N917</f>
        <v>1.4374423279999999</v>
      </c>
      <c r="P501" s="6">
        <f>[1]Emissions!O917</f>
        <v>1.4593859549999999</v>
      </c>
      <c r="Q501" s="6">
        <f>[1]Emissions!P917</f>
        <v>1.4808983490000001</v>
      </c>
      <c r="R501" s="6">
        <f>[1]Emissions!Q917</f>
        <v>1.5024712419999999</v>
      </c>
      <c r="S501" s="6">
        <f>[1]Emissions!R917</f>
        <v>1.524160076</v>
      </c>
      <c r="T501" s="6">
        <f>[1]Emissions!S917</f>
        <v>1.545770702</v>
      </c>
      <c r="U501" s="6">
        <f>[1]Emissions!T917</f>
        <v>1.5670973100000001</v>
      </c>
      <c r="V501" s="6">
        <f>[1]Emissions!U917</f>
        <v>1.5880951800000001</v>
      </c>
      <c r="W501" s="6">
        <f>[1]Emissions!V917</f>
        <v>1.608341552</v>
      </c>
      <c r="X501" s="6">
        <f>[1]Emissions!W917</f>
        <v>1.628820505</v>
      </c>
      <c r="Y501" s="6">
        <f>[1]Emissions!X917</f>
        <v>1.6495585960000001</v>
      </c>
      <c r="Z501" s="6">
        <f>[1]Emissions!Y917</f>
        <v>1.671048074</v>
      </c>
      <c r="AA501" s="6">
        <f>[1]Emissions!Z917</f>
        <v>1.6937412199999999</v>
      </c>
      <c r="AB501" s="6">
        <f>[1]Emissions!AA917</f>
        <v>1.7157919660000001</v>
      </c>
      <c r="AC501" s="6">
        <f>[1]Emissions!AB917</f>
        <v>1.738734459</v>
      </c>
      <c r="AD501" s="6">
        <f>[1]Emissions!AC917</f>
        <v>1.761292458</v>
      </c>
      <c r="AE501" s="6">
        <f>[1]Emissions!AD917</f>
        <v>1.7832966539999999</v>
      </c>
      <c r="AF501" s="6">
        <f>[1]Emissions!AE917</f>
        <v>1.805265887</v>
      </c>
      <c r="AG501" s="6">
        <f>[1]Emissions!AF917</f>
        <v>1.8279271050000001</v>
      </c>
      <c r="AH501" s="6">
        <f>[1]Emissions!AG917</f>
        <v>1.8518137750000001</v>
      </c>
      <c r="AI501" s="6">
        <f>[1]Emissions!AH917</f>
        <v>1.877066047</v>
      </c>
      <c r="AJ501" s="6">
        <f>[1]Emissions!AI917</f>
        <v>1.903450922</v>
      </c>
      <c r="AK501" s="6">
        <f>[1]Emissions!AJ917</f>
        <v>1.930533289</v>
      </c>
      <c r="AL501" s="6">
        <f>[1]Emissions!AK917</f>
        <v>1.9578886200000001</v>
      </c>
    </row>
    <row r="502" spans="2:38" hidden="1" x14ac:dyDescent="0.3">
      <c r="B502" s="16" t="str">
        <f>[1]Emissions!A918</f>
        <v>ems_y_co2_sveh_0</v>
      </c>
      <c r="C502" s="6">
        <f>[1]Emissions!B918</f>
        <v>0</v>
      </c>
      <c r="D502" s="6">
        <f>[1]Emissions!C918</f>
        <v>0</v>
      </c>
      <c r="E502" s="6">
        <f>[1]Emissions!D918</f>
        <v>0</v>
      </c>
      <c r="F502" s="6">
        <f>[1]Emissions!E918</f>
        <v>0</v>
      </c>
      <c r="G502" s="6">
        <f>[1]Emissions!F918</f>
        <v>0</v>
      </c>
      <c r="H502" s="6">
        <f>[1]Emissions!G918</f>
        <v>0</v>
      </c>
      <c r="I502" s="6">
        <f>[1]Emissions!H918</f>
        <v>0</v>
      </c>
      <c r="J502" s="6">
        <f>[1]Emissions!I918</f>
        <v>0</v>
      </c>
      <c r="K502" s="6">
        <f>[1]Emissions!J918</f>
        <v>0</v>
      </c>
      <c r="L502" s="6">
        <f>[1]Emissions!K918</f>
        <v>0</v>
      </c>
      <c r="M502" s="6">
        <f>[1]Emissions!L918</f>
        <v>0</v>
      </c>
      <c r="N502" s="6">
        <f>[1]Emissions!M918</f>
        <v>0</v>
      </c>
      <c r="O502" s="6">
        <f>[1]Emissions!N918</f>
        <v>0</v>
      </c>
      <c r="P502" s="6">
        <f>[1]Emissions!O918</f>
        <v>0</v>
      </c>
      <c r="Q502" s="6">
        <f>[1]Emissions!P918</f>
        <v>0</v>
      </c>
      <c r="R502" s="6">
        <f>[1]Emissions!Q918</f>
        <v>0</v>
      </c>
      <c r="S502" s="6">
        <f>[1]Emissions!R918</f>
        <v>0</v>
      </c>
      <c r="T502" s="6">
        <f>[1]Emissions!S918</f>
        <v>0</v>
      </c>
      <c r="U502" s="6">
        <f>[1]Emissions!T918</f>
        <v>0</v>
      </c>
      <c r="V502" s="6">
        <f>[1]Emissions!U918</f>
        <v>0</v>
      </c>
      <c r="W502" s="6">
        <f>[1]Emissions!V918</f>
        <v>0</v>
      </c>
      <c r="X502" s="6">
        <f>[1]Emissions!W918</f>
        <v>0</v>
      </c>
      <c r="Y502" s="6">
        <f>[1]Emissions!X918</f>
        <v>0</v>
      </c>
      <c r="Z502" s="6">
        <f>[1]Emissions!Y918</f>
        <v>0</v>
      </c>
      <c r="AA502" s="6">
        <f>[1]Emissions!Z918</f>
        <v>0</v>
      </c>
      <c r="AB502" s="6">
        <f>[1]Emissions!AA918</f>
        <v>0</v>
      </c>
      <c r="AC502" s="6">
        <f>[1]Emissions!AB918</f>
        <v>0</v>
      </c>
      <c r="AD502" s="6">
        <f>[1]Emissions!AC918</f>
        <v>0</v>
      </c>
      <c r="AE502" s="6">
        <f>[1]Emissions!AD918</f>
        <v>0</v>
      </c>
      <c r="AF502" s="6">
        <f>[1]Emissions!AE918</f>
        <v>0</v>
      </c>
      <c r="AG502" s="6">
        <f>[1]Emissions!AF918</f>
        <v>0</v>
      </c>
      <c r="AH502" s="6">
        <f>[1]Emissions!AG918</f>
        <v>0</v>
      </c>
      <c r="AI502" s="6">
        <f>[1]Emissions!AH918</f>
        <v>0</v>
      </c>
      <c r="AJ502" s="6">
        <f>[1]Emissions!AI918</f>
        <v>0</v>
      </c>
      <c r="AK502" s="6">
        <f>[1]Emissions!AJ918</f>
        <v>0</v>
      </c>
      <c r="AL502" s="6">
        <f>[1]Emissions!AK918</f>
        <v>0</v>
      </c>
    </row>
    <row r="503" spans="2:38" hidden="1" x14ac:dyDescent="0.3">
      <c r="B503" s="16" t="str">
        <f>[1]Emissions!A919</f>
        <v>ems_mat_co2_sveh_0</v>
      </c>
      <c r="C503" s="6">
        <f>[1]Emissions!B919</f>
        <v>0</v>
      </c>
      <c r="D503" s="6">
        <f>[1]Emissions!C919</f>
        <v>0</v>
      </c>
      <c r="E503" s="6">
        <f>[1]Emissions!D919</f>
        <v>0</v>
      </c>
      <c r="F503" s="6">
        <f>[1]Emissions!E919</f>
        <v>0</v>
      </c>
      <c r="G503" s="6">
        <f>[1]Emissions!F919</f>
        <v>0</v>
      </c>
      <c r="H503" s="6">
        <f>[1]Emissions!G919</f>
        <v>0</v>
      </c>
      <c r="I503" s="6">
        <f>[1]Emissions!H919</f>
        <v>0</v>
      </c>
      <c r="J503" s="6">
        <f>[1]Emissions!I919</f>
        <v>0</v>
      </c>
      <c r="K503" s="6">
        <f>[1]Emissions!J919</f>
        <v>0</v>
      </c>
      <c r="L503" s="6">
        <f>[1]Emissions!K919</f>
        <v>0</v>
      </c>
      <c r="M503" s="6">
        <f>[1]Emissions!L919</f>
        <v>0</v>
      </c>
      <c r="N503" s="6">
        <f>[1]Emissions!M919</f>
        <v>0</v>
      </c>
      <c r="O503" s="6">
        <f>[1]Emissions!N919</f>
        <v>0</v>
      </c>
      <c r="P503" s="6">
        <f>[1]Emissions!O919</f>
        <v>0</v>
      </c>
      <c r="Q503" s="6">
        <f>[1]Emissions!P919</f>
        <v>0</v>
      </c>
      <c r="R503" s="6">
        <f>[1]Emissions!Q919</f>
        <v>0</v>
      </c>
      <c r="S503" s="6">
        <f>[1]Emissions!R919</f>
        <v>0</v>
      </c>
      <c r="T503" s="6">
        <f>[1]Emissions!S919</f>
        <v>0</v>
      </c>
      <c r="U503" s="6">
        <f>[1]Emissions!T919</f>
        <v>0</v>
      </c>
      <c r="V503" s="6">
        <f>[1]Emissions!U919</f>
        <v>0</v>
      </c>
      <c r="W503" s="6">
        <f>[1]Emissions!V919</f>
        <v>0</v>
      </c>
      <c r="X503" s="6">
        <f>[1]Emissions!W919</f>
        <v>0</v>
      </c>
      <c r="Y503" s="6">
        <f>[1]Emissions!X919</f>
        <v>0</v>
      </c>
      <c r="Z503" s="6">
        <f>[1]Emissions!Y919</f>
        <v>0</v>
      </c>
      <c r="AA503" s="6">
        <f>[1]Emissions!Z919</f>
        <v>0</v>
      </c>
      <c r="AB503" s="6">
        <f>[1]Emissions!AA919</f>
        <v>0</v>
      </c>
      <c r="AC503" s="6">
        <f>[1]Emissions!AB919</f>
        <v>0</v>
      </c>
      <c r="AD503" s="6">
        <f>[1]Emissions!AC919</f>
        <v>0</v>
      </c>
      <c r="AE503" s="6">
        <f>[1]Emissions!AD919</f>
        <v>0</v>
      </c>
      <c r="AF503" s="6">
        <f>[1]Emissions!AE919</f>
        <v>0</v>
      </c>
      <c r="AG503" s="6">
        <f>[1]Emissions!AF919</f>
        <v>0</v>
      </c>
      <c r="AH503" s="6">
        <f>[1]Emissions!AG919</f>
        <v>0</v>
      </c>
      <c r="AI503" s="6">
        <f>[1]Emissions!AH919</f>
        <v>0</v>
      </c>
      <c r="AJ503" s="6">
        <f>[1]Emissions!AI919</f>
        <v>0</v>
      </c>
      <c r="AK503" s="6">
        <f>[1]Emissions!AJ919</f>
        <v>0</v>
      </c>
      <c r="AL503" s="6">
        <f>[1]Emissions!AK919</f>
        <v>0</v>
      </c>
    </row>
    <row r="504" spans="2:38" hidden="1" x14ac:dyDescent="0.3">
      <c r="B504" s="16" t="str">
        <f>[1]Emissions!A920</f>
        <v>ems_ci_co2_sgla_0</v>
      </c>
      <c r="C504" s="6">
        <f>[1]Emissions!B920</f>
        <v>5.7362378749999996</v>
      </c>
      <c r="D504" s="6">
        <f>[1]Emissions!C920</f>
        <v>5.9142073079999999</v>
      </c>
      <c r="E504" s="6">
        <f>[1]Emissions!D920</f>
        <v>6.1227892500000003</v>
      </c>
      <c r="F504" s="6">
        <f>[1]Emissions!E920</f>
        <v>6.2858231580000004</v>
      </c>
      <c r="G504" s="6">
        <f>[1]Emissions!F920</f>
        <v>6.4081311630000002</v>
      </c>
      <c r="H504" s="6">
        <f>[1]Emissions!G920</f>
        <v>6.5125996129999999</v>
      </c>
      <c r="I504" s="6">
        <f>[1]Emissions!H920</f>
        <v>6.5631843400000003</v>
      </c>
      <c r="J504" s="6">
        <f>[1]Emissions!I920</f>
        <v>6.6308630280000003</v>
      </c>
      <c r="K504" s="6">
        <f>[1]Emissions!J920</f>
        <v>6.7145754860000002</v>
      </c>
      <c r="L504" s="6">
        <f>[1]Emissions!K920</f>
        <v>6.8061102489999996</v>
      </c>
      <c r="M504" s="6">
        <f>[1]Emissions!L920</f>
        <v>6.9739444739999996</v>
      </c>
      <c r="N504" s="6">
        <f>[1]Emissions!M920</f>
        <v>7.0514886609999996</v>
      </c>
      <c r="O504" s="6">
        <f>[1]Emissions!N920</f>
        <v>7.133755904</v>
      </c>
      <c r="P504" s="6">
        <f>[1]Emissions!O920</f>
        <v>7.232710054</v>
      </c>
      <c r="Q504" s="6">
        <f>[1]Emissions!P920</f>
        <v>7.3428238849999996</v>
      </c>
      <c r="R504" s="6">
        <f>[1]Emissions!Q920</f>
        <v>7.4584807389999996</v>
      </c>
      <c r="S504" s="6">
        <f>[1]Emissions!R920</f>
        <v>7.5764938949999996</v>
      </c>
      <c r="T504" s="6">
        <f>[1]Emissions!S920</f>
        <v>7.6959881770000003</v>
      </c>
      <c r="U504" s="6">
        <f>[1]Emissions!T920</f>
        <v>7.8171446150000001</v>
      </c>
      <c r="V504" s="6">
        <f>[1]Emissions!U920</f>
        <v>7.9403959329999996</v>
      </c>
      <c r="W504" s="6">
        <f>[1]Emissions!V920</f>
        <v>8.0141100250000008</v>
      </c>
      <c r="X504" s="6">
        <f>[1]Emissions!W920</f>
        <v>8.1565533139999999</v>
      </c>
      <c r="Y504" s="6">
        <f>[1]Emissions!X920</f>
        <v>8.3045478599999996</v>
      </c>
      <c r="Z504" s="6">
        <f>[1]Emissions!Y920</f>
        <v>8.4472243749999993</v>
      </c>
      <c r="AA504" s="6">
        <f>[1]Emissions!Z920</f>
        <v>8.5870070950000006</v>
      </c>
      <c r="AB504" s="6">
        <f>[1]Emissions!AA920</f>
        <v>8.5728379889999999</v>
      </c>
      <c r="AC504" s="6">
        <f>[1]Emissions!AB920</f>
        <v>8.6931164830000007</v>
      </c>
      <c r="AD504" s="6">
        <f>[1]Emissions!AC920</f>
        <v>8.8389392210000004</v>
      </c>
      <c r="AE504" s="6">
        <f>[1]Emissions!AD920</f>
        <v>8.9833612980000002</v>
      </c>
      <c r="AF504" s="6">
        <f>[1]Emissions!AE920</f>
        <v>9.1251771579999996</v>
      </c>
      <c r="AG504" s="6">
        <f>[1]Emissions!AF920</f>
        <v>9.2664124080000008</v>
      </c>
      <c r="AH504" s="6">
        <f>[1]Emissions!AG920</f>
        <v>9.4082540629999993</v>
      </c>
      <c r="AI504" s="6">
        <f>[1]Emissions!AH920</f>
        <v>9.5510726100000003</v>
      </c>
      <c r="AJ504" s="6">
        <f>[1]Emissions!AI920</f>
        <v>9.6949403430000007</v>
      </c>
      <c r="AK504" s="6">
        <f>[1]Emissions!AJ920</f>
        <v>9.8399652020000001</v>
      </c>
      <c r="AL504" s="6">
        <f>[1]Emissions!AK920</f>
        <v>9.9863851189999995</v>
      </c>
    </row>
    <row r="505" spans="2:38" hidden="1" x14ac:dyDescent="0.3">
      <c r="B505" s="16" t="str">
        <f>[1]Emissions!A921</f>
        <v>ems_y_co2_sgla_0</v>
      </c>
      <c r="C505" s="6">
        <f>[1]Emissions!B921</f>
        <v>0</v>
      </c>
      <c r="D505" s="6">
        <f>[1]Emissions!C921</f>
        <v>0</v>
      </c>
      <c r="E505" s="6">
        <f>[1]Emissions!D921</f>
        <v>0</v>
      </c>
      <c r="F505" s="6">
        <f>[1]Emissions!E921</f>
        <v>0</v>
      </c>
      <c r="G505" s="6">
        <f>[1]Emissions!F921</f>
        <v>0</v>
      </c>
      <c r="H505" s="6">
        <f>[1]Emissions!G921</f>
        <v>0</v>
      </c>
      <c r="I505" s="6">
        <f>[1]Emissions!H921</f>
        <v>0</v>
      </c>
      <c r="J505" s="6">
        <f>[1]Emissions!I921</f>
        <v>0</v>
      </c>
      <c r="K505" s="6">
        <f>[1]Emissions!J921</f>
        <v>0</v>
      </c>
      <c r="L505" s="6">
        <f>[1]Emissions!K921</f>
        <v>0</v>
      </c>
      <c r="M505" s="6">
        <f>[1]Emissions!L921</f>
        <v>0</v>
      </c>
      <c r="N505" s="6">
        <f>[1]Emissions!M921</f>
        <v>0</v>
      </c>
      <c r="O505" s="6">
        <f>[1]Emissions!N921</f>
        <v>0</v>
      </c>
      <c r="P505" s="6">
        <f>[1]Emissions!O921</f>
        <v>0</v>
      </c>
      <c r="Q505" s="6">
        <f>[1]Emissions!P921</f>
        <v>0</v>
      </c>
      <c r="R505" s="6">
        <f>[1]Emissions!Q921</f>
        <v>0</v>
      </c>
      <c r="S505" s="6">
        <f>[1]Emissions!R921</f>
        <v>0</v>
      </c>
      <c r="T505" s="6">
        <f>[1]Emissions!S921</f>
        <v>0</v>
      </c>
      <c r="U505" s="6">
        <f>[1]Emissions!T921</f>
        <v>0</v>
      </c>
      <c r="V505" s="6">
        <f>[1]Emissions!U921</f>
        <v>0</v>
      </c>
      <c r="W505" s="6">
        <f>[1]Emissions!V921</f>
        <v>0</v>
      </c>
      <c r="X505" s="6">
        <f>[1]Emissions!W921</f>
        <v>0</v>
      </c>
      <c r="Y505" s="6">
        <f>[1]Emissions!X921</f>
        <v>0</v>
      </c>
      <c r="Z505" s="6">
        <f>[1]Emissions!Y921</f>
        <v>0</v>
      </c>
      <c r="AA505" s="6">
        <f>[1]Emissions!Z921</f>
        <v>0</v>
      </c>
      <c r="AB505" s="6">
        <f>[1]Emissions!AA921</f>
        <v>0</v>
      </c>
      <c r="AC505" s="6">
        <f>[1]Emissions!AB921</f>
        <v>0</v>
      </c>
      <c r="AD505" s="6">
        <f>[1]Emissions!AC921</f>
        <v>0</v>
      </c>
      <c r="AE505" s="6">
        <f>[1]Emissions!AD921</f>
        <v>0</v>
      </c>
      <c r="AF505" s="6">
        <f>[1]Emissions!AE921</f>
        <v>0</v>
      </c>
      <c r="AG505" s="6">
        <f>[1]Emissions!AF921</f>
        <v>0</v>
      </c>
      <c r="AH505" s="6">
        <f>[1]Emissions!AG921</f>
        <v>0</v>
      </c>
      <c r="AI505" s="6">
        <f>[1]Emissions!AH921</f>
        <v>0</v>
      </c>
      <c r="AJ505" s="6">
        <f>[1]Emissions!AI921</f>
        <v>0</v>
      </c>
      <c r="AK505" s="6">
        <f>[1]Emissions!AJ921</f>
        <v>0</v>
      </c>
      <c r="AL505" s="6">
        <f>[1]Emissions!AK921</f>
        <v>0</v>
      </c>
    </row>
    <row r="506" spans="2:38" hidden="1" x14ac:dyDescent="0.3">
      <c r="B506" s="16" t="str">
        <f>[1]Emissions!A922</f>
        <v>ems_mat_co2_sgla_0</v>
      </c>
      <c r="C506" s="6">
        <f>[1]Emissions!B922</f>
        <v>13.794878300000001</v>
      </c>
      <c r="D506" s="6">
        <f>[1]Emissions!C922</f>
        <v>14.22168933</v>
      </c>
      <c r="E506" s="6">
        <f>[1]Emissions!D922</f>
        <v>14.7433982</v>
      </c>
      <c r="F506" s="6">
        <f>[1]Emissions!E922</f>
        <v>15.17198741</v>
      </c>
      <c r="G506" s="6">
        <f>[1]Emissions!F922</f>
        <v>15.506028909999999</v>
      </c>
      <c r="H506" s="6">
        <f>[1]Emissions!G922</f>
        <v>15.78745518</v>
      </c>
      <c r="I506" s="6">
        <f>[1]Emissions!H922</f>
        <v>15.919568249999999</v>
      </c>
      <c r="J506" s="6">
        <f>[1]Emissions!I922</f>
        <v>16.073849750000001</v>
      </c>
      <c r="K506" s="6">
        <f>[1]Emissions!J922</f>
        <v>16.253601199999999</v>
      </c>
      <c r="L506" s="6">
        <f>[1]Emissions!K922</f>
        <v>16.44761664</v>
      </c>
      <c r="M506" s="6">
        <f>[1]Emissions!L922</f>
        <v>16.831181130000001</v>
      </c>
      <c r="N506" s="6">
        <f>[1]Emissions!M922</f>
        <v>17.000556679999999</v>
      </c>
      <c r="O506" s="6">
        <f>[1]Emissions!N922</f>
        <v>17.186100410000002</v>
      </c>
      <c r="P506" s="6">
        <f>[1]Emissions!O922</f>
        <v>17.415107670000001</v>
      </c>
      <c r="Q506" s="6">
        <f>[1]Emissions!P922</f>
        <v>17.672541580000001</v>
      </c>
      <c r="R506" s="6">
        <f>[1]Emissions!Q922</f>
        <v>17.94381637</v>
      </c>
      <c r="S506" s="6">
        <f>[1]Emissions!R922</f>
        <v>18.221022619999999</v>
      </c>
      <c r="T506" s="6">
        <f>[1]Emissions!S922</f>
        <v>18.502400430000002</v>
      </c>
      <c r="U506" s="6">
        <f>[1]Emissions!T922</f>
        <v>18.788892019999999</v>
      </c>
      <c r="V506" s="6">
        <f>[1]Emissions!U922</f>
        <v>19.081829490000001</v>
      </c>
      <c r="W506" s="6">
        <f>[1]Emissions!V922</f>
        <v>19.255589310000001</v>
      </c>
      <c r="X506" s="6">
        <f>[1]Emissions!W922</f>
        <v>19.59712897</v>
      </c>
      <c r="Y506" s="6">
        <f>[1]Emissions!X922</f>
        <v>19.953353830000001</v>
      </c>
      <c r="Z506" s="6">
        <f>[1]Emissions!Y922</f>
        <v>20.296889889999999</v>
      </c>
      <c r="AA506" s="6">
        <f>[1]Emissions!Z922</f>
        <v>20.632413410000002</v>
      </c>
      <c r="AB506" s="6">
        <f>[1]Emissions!AA922</f>
        <v>20.592714470000001</v>
      </c>
      <c r="AC506" s="6">
        <f>[1]Emissions!AB922</f>
        <v>20.877342630000001</v>
      </c>
      <c r="AD506" s="6">
        <f>[1]Emissions!AC922</f>
        <v>21.225545879999999</v>
      </c>
      <c r="AE506" s="6">
        <f>[1]Emissions!AD922</f>
        <v>21.572890439999998</v>
      </c>
      <c r="AF506" s="6">
        <f>[1]Emissions!AE922</f>
        <v>21.915593900000001</v>
      </c>
      <c r="AG506" s="6">
        <f>[1]Emissions!AF922</f>
        <v>22.2570345</v>
      </c>
      <c r="AH506" s="6">
        <f>[1]Emissions!AG922</f>
        <v>22.598741390000001</v>
      </c>
      <c r="AI506" s="6">
        <f>[1]Emissions!AH922</f>
        <v>22.940958290000001</v>
      </c>
      <c r="AJ506" s="6">
        <f>[1]Emissions!AI922</f>
        <v>23.283996160000001</v>
      </c>
      <c r="AK506" s="6">
        <f>[1]Emissions!AJ922</f>
        <v>23.628795660000002</v>
      </c>
      <c r="AL506" s="6">
        <f>[1]Emissions!AK922</f>
        <v>23.976751830000001</v>
      </c>
    </row>
    <row r="507" spans="2:38" hidden="1" x14ac:dyDescent="0.3">
      <c r="B507" s="16" t="str">
        <f>[1]Emissions!A923</f>
        <v>ems_ci_co2_spap_0</v>
      </c>
      <c r="C507" s="6">
        <f>[1]Emissions!B923</f>
        <v>3.019823943</v>
      </c>
      <c r="D507" s="6">
        <f>[1]Emissions!C923</f>
        <v>3.0370934169999999</v>
      </c>
      <c r="E507" s="6">
        <f>[1]Emissions!D923</f>
        <v>3.0625783090000001</v>
      </c>
      <c r="F507" s="6">
        <f>[1]Emissions!E923</f>
        <v>3.1031887889999998</v>
      </c>
      <c r="G507" s="6">
        <f>[1]Emissions!F923</f>
        <v>3.1541549459999998</v>
      </c>
      <c r="H507" s="6">
        <f>[1]Emissions!G923</f>
        <v>3.210510829</v>
      </c>
      <c r="I507" s="6">
        <f>[1]Emissions!H923</f>
        <v>3.2698844170000001</v>
      </c>
      <c r="J507" s="6">
        <f>[1]Emissions!I923</f>
        <v>3.326341845</v>
      </c>
      <c r="K507" s="6">
        <f>[1]Emissions!J923</f>
        <v>3.3799938150000002</v>
      </c>
      <c r="L507" s="6">
        <f>[1]Emissions!K923</f>
        <v>3.4323938900000002</v>
      </c>
      <c r="M507" s="6">
        <f>[1]Emissions!L923</f>
        <v>3.4828149050000001</v>
      </c>
      <c r="N507" s="6">
        <f>[1]Emissions!M923</f>
        <v>3.541672766</v>
      </c>
      <c r="O507" s="6">
        <f>[1]Emissions!N923</f>
        <v>3.6015988729999999</v>
      </c>
      <c r="P507" s="6">
        <f>[1]Emissions!O923</f>
        <v>3.6620772069999998</v>
      </c>
      <c r="Q507" s="6">
        <f>[1]Emissions!P923</f>
        <v>3.7231798949999999</v>
      </c>
      <c r="R507" s="6">
        <f>[1]Emissions!Q923</f>
        <v>3.7849059889999999</v>
      </c>
      <c r="S507" s="6">
        <f>[1]Emissions!R923</f>
        <v>3.8472248269999998</v>
      </c>
      <c r="T507" s="6">
        <f>[1]Emissions!S923</f>
        <v>3.910140889</v>
      </c>
      <c r="U507" s="6">
        <f>[1]Emissions!T923</f>
        <v>3.973750833</v>
      </c>
      <c r="V507" s="6">
        <f>[1]Emissions!U923</f>
        <v>4.0382069359999999</v>
      </c>
      <c r="W507" s="6">
        <f>[1]Emissions!V923</f>
        <v>4.104841145</v>
      </c>
      <c r="X507" s="6">
        <f>[1]Emissions!W923</f>
        <v>4.1684255800000001</v>
      </c>
      <c r="Y507" s="6">
        <f>[1]Emissions!X923</f>
        <v>4.2341775420000003</v>
      </c>
      <c r="Z507" s="6">
        <f>[1]Emissions!Y923</f>
        <v>4.3021167829999998</v>
      </c>
      <c r="AA507" s="6">
        <f>[1]Emissions!Z923</f>
        <v>4.3716632769999997</v>
      </c>
      <c r="AB507" s="6">
        <f>[1]Emissions!AA923</f>
        <v>4.4446692189999997</v>
      </c>
      <c r="AC507" s="6">
        <f>[1]Emissions!AB923</f>
        <v>4.5098143740000003</v>
      </c>
      <c r="AD507" s="6">
        <f>[1]Emissions!AC923</f>
        <v>4.5752393790000001</v>
      </c>
      <c r="AE507" s="6">
        <f>[1]Emissions!AD923</f>
        <v>4.6423339879999999</v>
      </c>
      <c r="AF507" s="6">
        <f>[1]Emissions!AE923</f>
        <v>4.7111929989999997</v>
      </c>
      <c r="AG507" s="6">
        <f>[1]Emissions!AF923</f>
        <v>4.7815761810000001</v>
      </c>
      <c r="AH507" s="6">
        <f>[1]Emissions!AG923</f>
        <v>4.8531461839999999</v>
      </c>
      <c r="AI507" s="6">
        <f>[1]Emissions!AH923</f>
        <v>4.9256185779999999</v>
      </c>
      <c r="AJ507" s="6">
        <f>[1]Emissions!AI923</f>
        <v>4.9988531099999998</v>
      </c>
      <c r="AK507" s="6">
        <f>[1]Emissions!AJ923</f>
        <v>5.072867177</v>
      </c>
      <c r="AL507" s="6">
        <f>[1]Emissions!AK923</f>
        <v>5.1477836999999997</v>
      </c>
    </row>
    <row r="508" spans="2:38" hidden="1" x14ac:dyDescent="0.3">
      <c r="B508" s="16" t="str">
        <f>[1]Emissions!A924</f>
        <v>ems_y_co2_spap_0</v>
      </c>
      <c r="C508" s="6">
        <f>[1]Emissions!B924</f>
        <v>0</v>
      </c>
      <c r="D508" s="6">
        <f>[1]Emissions!C924</f>
        <v>0</v>
      </c>
      <c r="E508" s="6">
        <f>[1]Emissions!D924</f>
        <v>0</v>
      </c>
      <c r="F508" s="6">
        <f>[1]Emissions!E924</f>
        <v>0</v>
      </c>
      <c r="G508" s="6">
        <f>[1]Emissions!F924</f>
        <v>0</v>
      </c>
      <c r="H508" s="6">
        <f>[1]Emissions!G924</f>
        <v>0</v>
      </c>
      <c r="I508" s="6">
        <f>[1]Emissions!H924</f>
        <v>0</v>
      </c>
      <c r="J508" s="6">
        <f>[1]Emissions!I924</f>
        <v>0</v>
      </c>
      <c r="K508" s="6">
        <f>[1]Emissions!J924</f>
        <v>0</v>
      </c>
      <c r="L508" s="6">
        <f>[1]Emissions!K924</f>
        <v>0</v>
      </c>
      <c r="M508" s="6">
        <f>[1]Emissions!L924</f>
        <v>0</v>
      </c>
      <c r="N508" s="6">
        <f>[1]Emissions!M924</f>
        <v>0</v>
      </c>
      <c r="O508" s="6">
        <f>[1]Emissions!N924</f>
        <v>0</v>
      </c>
      <c r="P508" s="6">
        <f>[1]Emissions!O924</f>
        <v>0</v>
      </c>
      <c r="Q508" s="6">
        <f>[1]Emissions!P924</f>
        <v>0</v>
      </c>
      <c r="R508" s="6">
        <f>[1]Emissions!Q924</f>
        <v>0</v>
      </c>
      <c r="S508" s="6">
        <f>[1]Emissions!R924</f>
        <v>0</v>
      </c>
      <c r="T508" s="6">
        <f>[1]Emissions!S924</f>
        <v>0</v>
      </c>
      <c r="U508" s="6">
        <f>[1]Emissions!T924</f>
        <v>0</v>
      </c>
      <c r="V508" s="6">
        <f>[1]Emissions!U924</f>
        <v>0</v>
      </c>
      <c r="W508" s="6">
        <f>[1]Emissions!V924</f>
        <v>0</v>
      </c>
      <c r="X508" s="6">
        <f>[1]Emissions!W924</f>
        <v>0</v>
      </c>
      <c r="Y508" s="6">
        <f>[1]Emissions!X924</f>
        <v>0</v>
      </c>
      <c r="Z508" s="6">
        <f>[1]Emissions!Y924</f>
        <v>0</v>
      </c>
      <c r="AA508" s="6">
        <f>[1]Emissions!Z924</f>
        <v>0</v>
      </c>
      <c r="AB508" s="6">
        <f>[1]Emissions!AA924</f>
        <v>0</v>
      </c>
      <c r="AC508" s="6">
        <f>[1]Emissions!AB924</f>
        <v>0</v>
      </c>
      <c r="AD508" s="6">
        <f>[1]Emissions!AC924</f>
        <v>0</v>
      </c>
      <c r="AE508" s="6">
        <f>[1]Emissions!AD924</f>
        <v>0</v>
      </c>
      <c r="AF508" s="6">
        <f>[1]Emissions!AE924</f>
        <v>0</v>
      </c>
      <c r="AG508" s="6">
        <f>[1]Emissions!AF924</f>
        <v>0</v>
      </c>
      <c r="AH508" s="6">
        <f>[1]Emissions!AG924</f>
        <v>0</v>
      </c>
      <c r="AI508" s="6">
        <f>[1]Emissions!AH924</f>
        <v>0</v>
      </c>
      <c r="AJ508" s="6">
        <f>[1]Emissions!AI924</f>
        <v>0</v>
      </c>
      <c r="AK508" s="6">
        <f>[1]Emissions!AJ924</f>
        <v>0</v>
      </c>
      <c r="AL508" s="6">
        <f>[1]Emissions!AK924</f>
        <v>0</v>
      </c>
    </row>
    <row r="509" spans="2:38" hidden="1" x14ac:dyDescent="0.3">
      <c r="B509" s="16" t="str">
        <f>[1]Emissions!A925</f>
        <v>ems_mat_co2_spap_0</v>
      </c>
      <c r="C509" s="6">
        <f>[1]Emissions!B925</f>
        <v>0</v>
      </c>
      <c r="D509" s="6">
        <f>[1]Emissions!C925</f>
        <v>0</v>
      </c>
      <c r="E509" s="6">
        <f>[1]Emissions!D925</f>
        <v>0</v>
      </c>
      <c r="F509" s="6">
        <f>[1]Emissions!E925</f>
        <v>0</v>
      </c>
      <c r="G509" s="6">
        <f>[1]Emissions!F925</f>
        <v>0</v>
      </c>
      <c r="H509" s="6">
        <f>[1]Emissions!G925</f>
        <v>0</v>
      </c>
      <c r="I509" s="6">
        <f>[1]Emissions!H925</f>
        <v>0</v>
      </c>
      <c r="J509" s="6">
        <f>[1]Emissions!I925</f>
        <v>0</v>
      </c>
      <c r="K509" s="6">
        <f>[1]Emissions!J925</f>
        <v>0</v>
      </c>
      <c r="L509" s="6">
        <f>[1]Emissions!K925</f>
        <v>0</v>
      </c>
      <c r="M509" s="6">
        <f>[1]Emissions!L925</f>
        <v>0</v>
      </c>
      <c r="N509" s="6">
        <f>[1]Emissions!M925</f>
        <v>0</v>
      </c>
      <c r="O509" s="6">
        <f>[1]Emissions!N925</f>
        <v>0</v>
      </c>
      <c r="P509" s="6">
        <f>[1]Emissions!O925</f>
        <v>0</v>
      </c>
      <c r="Q509" s="6">
        <f>[1]Emissions!P925</f>
        <v>0</v>
      </c>
      <c r="R509" s="6">
        <f>[1]Emissions!Q925</f>
        <v>0</v>
      </c>
      <c r="S509" s="6">
        <f>[1]Emissions!R925</f>
        <v>0</v>
      </c>
      <c r="T509" s="6">
        <f>[1]Emissions!S925</f>
        <v>0</v>
      </c>
      <c r="U509" s="6">
        <f>[1]Emissions!T925</f>
        <v>0</v>
      </c>
      <c r="V509" s="6">
        <f>[1]Emissions!U925</f>
        <v>0</v>
      </c>
      <c r="W509" s="6">
        <f>[1]Emissions!V925</f>
        <v>0</v>
      </c>
      <c r="X509" s="6">
        <f>[1]Emissions!W925</f>
        <v>0</v>
      </c>
      <c r="Y509" s="6">
        <f>[1]Emissions!X925</f>
        <v>0</v>
      </c>
      <c r="Z509" s="6">
        <f>[1]Emissions!Y925</f>
        <v>0</v>
      </c>
      <c r="AA509" s="6">
        <f>[1]Emissions!Z925</f>
        <v>0</v>
      </c>
      <c r="AB509" s="6">
        <f>[1]Emissions!AA925</f>
        <v>0</v>
      </c>
      <c r="AC509" s="6">
        <f>[1]Emissions!AB925</f>
        <v>0</v>
      </c>
      <c r="AD509" s="6">
        <f>[1]Emissions!AC925</f>
        <v>0</v>
      </c>
      <c r="AE509" s="6">
        <f>[1]Emissions!AD925</f>
        <v>0</v>
      </c>
      <c r="AF509" s="6">
        <f>[1]Emissions!AE925</f>
        <v>0</v>
      </c>
      <c r="AG509" s="6">
        <f>[1]Emissions!AF925</f>
        <v>0</v>
      </c>
      <c r="AH509" s="6">
        <f>[1]Emissions!AG925</f>
        <v>0</v>
      </c>
      <c r="AI509" s="6">
        <f>[1]Emissions!AH925</f>
        <v>0</v>
      </c>
      <c r="AJ509" s="6">
        <f>[1]Emissions!AI925</f>
        <v>0</v>
      </c>
      <c r="AK509" s="6">
        <f>[1]Emissions!AJ925</f>
        <v>0</v>
      </c>
      <c r="AL509" s="6">
        <f>[1]Emissions!AK925</f>
        <v>0</v>
      </c>
    </row>
    <row r="510" spans="2:38" hidden="1" x14ac:dyDescent="0.3">
      <c r="B510" s="16" t="str">
        <f>[1]Emissions!A926</f>
        <v>ems_ci_co2_sche_0</v>
      </c>
      <c r="C510" s="6">
        <f>[1]Emissions!B926</f>
        <v>3.8354572290000002</v>
      </c>
      <c r="D510" s="6">
        <f>[1]Emissions!C926</f>
        <v>3.8344472760000001</v>
      </c>
      <c r="E510" s="6">
        <f>[1]Emissions!D926</f>
        <v>3.8453262760000002</v>
      </c>
      <c r="F510" s="6">
        <f>[1]Emissions!E926</f>
        <v>3.8701029330000001</v>
      </c>
      <c r="G510" s="6">
        <f>[1]Emissions!F926</f>
        <v>3.906545049</v>
      </c>
      <c r="H510" s="6">
        <f>[1]Emissions!G926</f>
        <v>3.9525100740000001</v>
      </c>
      <c r="I510" s="6">
        <f>[1]Emissions!H926</f>
        <v>4.0009303210000002</v>
      </c>
      <c r="J510" s="6">
        <f>[1]Emissions!I926</f>
        <v>4.0530100039999999</v>
      </c>
      <c r="K510" s="6">
        <f>[1]Emissions!J926</f>
        <v>4.1070965109999999</v>
      </c>
      <c r="L510" s="6">
        <f>[1]Emissions!K926</f>
        <v>4.1620150059999999</v>
      </c>
      <c r="M510" s="6">
        <f>[1]Emissions!L926</f>
        <v>4.2243300340000003</v>
      </c>
      <c r="N510" s="6">
        <f>[1]Emissions!M926</f>
        <v>4.2822315680000003</v>
      </c>
      <c r="O510" s="6">
        <f>[1]Emissions!N926</f>
        <v>4.3408668559999999</v>
      </c>
      <c r="P510" s="6">
        <f>[1]Emissions!O926</f>
        <v>4.4014132699999999</v>
      </c>
      <c r="Q510" s="6">
        <f>[1]Emissions!P926</f>
        <v>4.4636914369999996</v>
      </c>
      <c r="R510" s="6">
        <f>[1]Emissions!Q926</f>
        <v>4.5273305600000002</v>
      </c>
      <c r="S510" s="6">
        <f>[1]Emissions!R926</f>
        <v>4.5920614960000004</v>
      </c>
      <c r="T510" s="6">
        <f>[1]Emissions!S926</f>
        <v>4.6577969660000003</v>
      </c>
      <c r="U510" s="6">
        <f>[1]Emissions!T926</f>
        <v>4.7246057730000004</v>
      </c>
      <c r="V510" s="6">
        <f>[1]Emissions!U926</f>
        <v>4.7926448840000004</v>
      </c>
      <c r="W510" s="6">
        <f>[1]Emissions!V926</f>
        <v>4.8570016750000002</v>
      </c>
      <c r="X510" s="6">
        <f>[1]Emissions!W926</f>
        <v>4.9271748579999999</v>
      </c>
      <c r="Y510" s="6">
        <f>[1]Emissions!X926</f>
        <v>4.9999403190000002</v>
      </c>
      <c r="Z510" s="6">
        <f>[1]Emissions!Y926</f>
        <v>5.0743803769999998</v>
      </c>
      <c r="AA510" s="6">
        <f>[1]Emissions!Z926</f>
        <v>5.1503663719999997</v>
      </c>
      <c r="AB510" s="6">
        <f>[1]Emissions!AA926</f>
        <v>5.2125039500000003</v>
      </c>
      <c r="AC510" s="6">
        <f>[1]Emissions!AB926</f>
        <v>5.2827940499999997</v>
      </c>
      <c r="AD510" s="6">
        <f>[1]Emissions!AC926</f>
        <v>5.3559870690000002</v>
      </c>
      <c r="AE510" s="6">
        <f>[1]Emissions!AD926</f>
        <v>5.4306399369999996</v>
      </c>
      <c r="AF510" s="6">
        <f>[1]Emissions!AE926</f>
        <v>5.5067760320000003</v>
      </c>
      <c r="AG510" s="6">
        <f>[1]Emissions!AF926</f>
        <v>5.5845020950000004</v>
      </c>
      <c r="AH510" s="6">
        <f>[1]Emissions!AG926</f>
        <v>5.6637478720000001</v>
      </c>
      <c r="AI510" s="6">
        <f>[1]Emissions!AH926</f>
        <v>5.7443300930000003</v>
      </c>
      <c r="AJ510" s="6">
        <f>[1]Emissions!AI926</f>
        <v>5.8260682719999997</v>
      </c>
      <c r="AK510" s="6">
        <f>[1]Emissions!AJ926</f>
        <v>5.9088636699999997</v>
      </c>
      <c r="AL510" s="6">
        <f>[1]Emissions!AK926</f>
        <v>5.9927180350000002</v>
      </c>
    </row>
    <row r="511" spans="2:38" hidden="1" x14ac:dyDescent="0.3">
      <c r="B511" s="16" t="str">
        <f>[1]Emissions!A927</f>
        <v>ems_y_co2_sche_0</v>
      </c>
      <c r="C511" s="6">
        <f>[1]Emissions!B927</f>
        <v>0</v>
      </c>
      <c r="D511" s="6">
        <f>[1]Emissions!C927</f>
        <v>0</v>
      </c>
      <c r="E511" s="6">
        <f>[1]Emissions!D927</f>
        <v>0</v>
      </c>
      <c r="F511" s="6">
        <f>[1]Emissions!E927</f>
        <v>0</v>
      </c>
      <c r="G511" s="6">
        <f>[1]Emissions!F927</f>
        <v>0</v>
      </c>
      <c r="H511" s="6">
        <f>[1]Emissions!G927</f>
        <v>0</v>
      </c>
      <c r="I511" s="6">
        <f>[1]Emissions!H927</f>
        <v>0</v>
      </c>
      <c r="J511" s="6">
        <f>[1]Emissions!I927</f>
        <v>0</v>
      </c>
      <c r="K511" s="6">
        <f>[1]Emissions!J927</f>
        <v>0</v>
      </c>
      <c r="L511" s="6">
        <f>[1]Emissions!K927</f>
        <v>0</v>
      </c>
      <c r="M511" s="6">
        <f>[1]Emissions!L927</f>
        <v>0</v>
      </c>
      <c r="N511" s="6">
        <f>[1]Emissions!M927</f>
        <v>0</v>
      </c>
      <c r="O511" s="6">
        <f>[1]Emissions!N927</f>
        <v>0</v>
      </c>
      <c r="P511" s="6">
        <f>[1]Emissions!O927</f>
        <v>0</v>
      </c>
      <c r="Q511" s="6">
        <f>[1]Emissions!P927</f>
        <v>0</v>
      </c>
      <c r="R511" s="6">
        <f>[1]Emissions!Q927</f>
        <v>0</v>
      </c>
      <c r="S511" s="6">
        <f>[1]Emissions!R927</f>
        <v>0</v>
      </c>
      <c r="T511" s="6">
        <f>[1]Emissions!S927</f>
        <v>0</v>
      </c>
      <c r="U511" s="6">
        <f>[1]Emissions!T927</f>
        <v>0</v>
      </c>
      <c r="V511" s="6">
        <f>[1]Emissions!U927</f>
        <v>0</v>
      </c>
      <c r="W511" s="6">
        <f>[1]Emissions!V927</f>
        <v>0</v>
      </c>
      <c r="X511" s="6">
        <f>[1]Emissions!W927</f>
        <v>0</v>
      </c>
      <c r="Y511" s="6">
        <f>[1]Emissions!X927</f>
        <v>0</v>
      </c>
      <c r="Z511" s="6">
        <f>[1]Emissions!Y927</f>
        <v>0</v>
      </c>
      <c r="AA511" s="6">
        <f>[1]Emissions!Z927</f>
        <v>0</v>
      </c>
      <c r="AB511" s="6">
        <f>[1]Emissions!AA927</f>
        <v>0</v>
      </c>
      <c r="AC511" s="6">
        <f>[1]Emissions!AB927</f>
        <v>0</v>
      </c>
      <c r="AD511" s="6">
        <f>[1]Emissions!AC927</f>
        <v>0</v>
      </c>
      <c r="AE511" s="6">
        <f>[1]Emissions!AD927</f>
        <v>0</v>
      </c>
      <c r="AF511" s="6">
        <f>[1]Emissions!AE927</f>
        <v>0</v>
      </c>
      <c r="AG511" s="6">
        <f>[1]Emissions!AF927</f>
        <v>0</v>
      </c>
      <c r="AH511" s="6">
        <f>[1]Emissions!AG927</f>
        <v>0</v>
      </c>
      <c r="AI511" s="6">
        <f>[1]Emissions!AH927</f>
        <v>0</v>
      </c>
      <c r="AJ511" s="6">
        <f>[1]Emissions!AI927</f>
        <v>0</v>
      </c>
      <c r="AK511" s="6">
        <f>[1]Emissions!AJ927</f>
        <v>0</v>
      </c>
      <c r="AL511" s="6">
        <f>[1]Emissions!AK927</f>
        <v>0</v>
      </c>
    </row>
    <row r="512" spans="2:38" hidden="1" x14ac:dyDescent="0.3">
      <c r="B512" s="16" t="str">
        <f>[1]Emissions!A928</f>
        <v>ems_mat_co2_sche_0</v>
      </c>
      <c r="C512" s="6">
        <f>[1]Emissions!B928</f>
        <v>2.5948967509999998</v>
      </c>
      <c r="D512" s="6">
        <f>[1]Emissions!C928</f>
        <v>2.5942116820000001</v>
      </c>
      <c r="E512" s="6">
        <f>[1]Emissions!D928</f>
        <v>2.6043333030000002</v>
      </c>
      <c r="F512" s="6">
        <f>[1]Emissions!E928</f>
        <v>2.6259194130000001</v>
      </c>
      <c r="G512" s="6">
        <f>[1]Emissions!F928</f>
        <v>2.6559269080000001</v>
      </c>
      <c r="H512" s="6">
        <f>[1]Emissions!G928</f>
        <v>2.691380611</v>
      </c>
      <c r="I512" s="6">
        <f>[1]Emissions!H928</f>
        <v>2.726372681</v>
      </c>
      <c r="J512" s="6">
        <f>[1]Emissions!I928</f>
        <v>2.7615617129999999</v>
      </c>
      <c r="K512" s="6">
        <f>[1]Emissions!J928</f>
        <v>2.7964155509999999</v>
      </c>
      <c r="L512" s="6">
        <f>[1]Emissions!K928</f>
        <v>2.831109981</v>
      </c>
      <c r="M512" s="6">
        <f>[1]Emissions!L928</f>
        <v>2.8713052000000001</v>
      </c>
      <c r="N512" s="6">
        <f>[1]Emissions!M928</f>
        <v>2.908813318</v>
      </c>
      <c r="O512" s="6">
        <f>[1]Emissions!N928</f>
        <v>2.9472523719999999</v>
      </c>
      <c r="P512" s="6">
        <f>[1]Emissions!O928</f>
        <v>2.9872744510000002</v>
      </c>
      <c r="Q512" s="6">
        <f>[1]Emissions!P928</f>
        <v>3.0285804860000001</v>
      </c>
      <c r="R512" s="6">
        <f>[1]Emissions!Q928</f>
        <v>3.0708083980000001</v>
      </c>
      <c r="S512" s="6">
        <f>[1]Emissions!R928</f>
        <v>3.113755775</v>
      </c>
      <c r="T512" s="6">
        <f>[1]Emissions!S928</f>
        <v>3.1574105509999999</v>
      </c>
      <c r="U512" s="6">
        <f>[1]Emissions!T928</f>
        <v>3.2018862440000002</v>
      </c>
      <c r="V512" s="6">
        <f>[1]Emissions!U928</f>
        <v>3.2473322480000002</v>
      </c>
      <c r="W512" s="6">
        <f>[1]Emissions!V928</f>
        <v>3.290234163</v>
      </c>
      <c r="X512" s="6">
        <f>[1]Emissions!W928</f>
        <v>3.337367564</v>
      </c>
      <c r="Y512" s="6">
        <f>[1]Emissions!X928</f>
        <v>3.3864149989999999</v>
      </c>
      <c r="Z512" s="6">
        <f>[1]Emissions!Y928</f>
        <v>3.4366159629999999</v>
      </c>
      <c r="AA512" s="6">
        <f>[1]Emissions!Z928</f>
        <v>3.487750261</v>
      </c>
      <c r="AB512" s="6">
        <f>[1]Emissions!AA928</f>
        <v>3.5288501289999998</v>
      </c>
      <c r="AC512" s="6">
        <f>[1]Emissions!AB928</f>
        <v>3.575587836</v>
      </c>
      <c r="AD512" s="6">
        <f>[1]Emissions!AC928</f>
        <v>3.6245396250000002</v>
      </c>
      <c r="AE512" s="6">
        <f>[1]Emissions!AD928</f>
        <v>3.6747811939999999</v>
      </c>
      <c r="AF512" s="6">
        <f>[1]Emissions!AE928</f>
        <v>3.726237824</v>
      </c>
      <c r="AG512" s="6">
        <f>[1]Emissions!AF928</f>
        <v>3.778813865</v>
      </c>
      <c r="AH512" s="6">
        <f>[1]Emissions!AG928</f>
        <v>3.8323057450000002</v>
      </c>
      <c r="AI512" s="6">
        <f>[1]Emissions!AH928</f>
        <v>3.8865070739999998</v>
      </c>
      <c r="AJ512" s="6">
        <f>[1]Emissions!AI928</f>
        <v>3.941302903</v>
      </c>
      <c r="AK512" s="6">
        <f>[1]Emissions!AJ928</f>
        <v>3.9966983969999998</v>
      </c>
      <c r="AL512" s="6">
        <f>[1]Emissions!AK928</f>
        <v>4.0527865629999997</v>
      </c>
    </row>
    <row r="513" spans="2:38" hidden="1" x14ac:dyDescent="0.3">
      <c r="B513" s="16" t="str">
        <f>[1]Emissions!A929</f>
        <v>ems_ci_co2_spla_0</v>
      </c>
      <c r="C513" s="6">
        <f>[1]Emissions!B929</f>
        <v>1.29735004</v>
      </c>
      <c r="D513" s="6">
        <f>[1]Emissions!C929</f>
        <v>1.3029338989999999</v>
      </c>
      <c r="E513" s="6">
        <f>[1]Emissions!D929</f>
        <v>1.308897988</v>
      </c>
      <c r="F513" s="6">
        <f>[1]Emissions!E929</f>
        <v>1.3155670989999999</v>
      </c>
      <c r="G513" s="6">
        <f>[1]Emissions!F929</f>
        <v>1.3246463100000001</v>
      </c>
      <c r="H513" s="6">
        <f>[1]Emissions!G929</f>
        <v>1.3380620059999999</v>
      </c>
      <c r="I513" s="6">
        <f>[1]Emissions!H929</f>
        <v>1.3540554730000001</v>
      </c>
      <c r="J513" s="6">
        <f>[1]Emissions!I929</f>
        <v>1.3746307719999999</v>
      </c>
      <c r="K513" s="6">
        <f>[1]Emissions!J929</f>
        <v>1.398172923</v>
      </c>
      <c r="L513" s="6">
        <f>[1]Emissions!K929</f>
        <v>1.422630863</v>
      </c>
      <c r="M513" s="6">
        <f>[1]Emissions!L929</f>
        <v>1.4499905310000001</v>
      </c>
      <c r="N513" s="6">
        <f>[1]Emissions!M929</f>
        <v>1.4729860589999999</v>
      </c>
      <c r="O513" s="6">
        <f>[1]Emissions!N929</f>
        <v>1.4953964930000001</v>
      </c>
      <c r="P513" s="6">
        <f>[1]Emissions!O929</f>
        <v>1.5181448340000001</v>
      </c>
      <c r="Q513" s="6">
        <f>[1]Emissions!P929</f>
        <v>1.54133385</v>
      </c>
      <c r="R513" s="6">
        <f>[1]Emissions!Q929</f>
        <v>1.5648887039999999</v>
      </c>
      <c r="S513" s="6">
        <f>[1]Emissions!R929</f>
        <v>1.5886859980000001</v>
      </c>
      <c r="T513" s="6">
        <f>[1]Emissions!S929</f>
        <v>1.6126224629999999</v>
      </c>
      <c r="U513" s="6">
        <f>[1]Emissions!T929</f>
        <v>1.6366512360000001</v>
      </c>
      <c r="V513" s="6">
        <f>[1]Emissions!U929</f>
        <v>1.6608038759999999</v>
      </c>
      <c r="W513" s="6">
        <f>[1]Emissions!V929</f>
        <v>1.682608616</v>
      </c>
      <c r="X513" s="6">
        <f>[1]Emissions!W929</f>
        <v>1.7073905709999999</v>
      </c>
      <c r="Y513" s="6">
        <f>[1]Emissions!X929</f>
        <v>1.7328911170000001</v>
      </c>
      <c r="Z513" s="6">
        <f>[1]Emissions!Y929</f>
        <v>1.758790649</v>
      </c>
      <c r="AA513" s="6">
        <f>[1]Emissions!Z929</f>
        <v>1.7853009230000001</v>
      </c>
      <c r="AB513" s="6">
        <f>[1]Emissions!AA929</f>
        <v>1.8047150110000001</v>
      </c>
      <c r="AC513" s="6">
        <f>[1]Emissions!AB929</f>
        <v>1.829701638</v>
      </c>
      <c r="AD513" s="6">
        <f>[1]Emissions!AC929</f>
        <v>1.855821561</v>
      </c>
      <c r="AE513" s="6">
        <f>[1]Emissions!AD929</f>
        <v>1.8819389289999999</v>
      </c>
      <c r="AF513" s="6">
        <f>[1]Emissions!AE929</f>
        <v>1.908212918</v>
      </c>
      <c r="AG513" s="6">
        <f>[1]Emissions!AF929</f>
        <v>1.9349915499999999</v>
      </c>
      <c r="AH513" s="6">
        <f>[1]Emissions!AG929</f>
        <v>1.9624965750000001</v>
      </c>
      <c r="AI513" s="6">
        <f>[1]Emissions!AH929</f>
        <v>1.990764781</v>
      </c>
      <c r="AJ513" s="6">
        <f>[1]Emissions!AI929</f>
        <v>2.0196900740000001</v>
      </c>
      <c r="AK513" s="6">
        <f>[1]Emissions!AJ929</f>
        <v>2.0491065179999999</v>
      </c>
      <c r="AL513" s="6">
        <f>[1]Emissions!AK929</f>
        <v>2.0788692489999998</v>
      </c>
    </row>
    <row r="514" spans="2:38" hidden="1" x14ac:dyDescent="0.3">
      <c r="B514" s="16" t="str">
        <f>[1]Emissions!A930</f>
        <v>ems_y_co2_spla_0</v>
      </c>
      <c r="C514" s="6">
        <f>[1]Emissions!B930</f>
        <v>0</v>
      </c>
      <c r="D514" s="6">
        <f>[1]Emissions!C930</f>
        <v>0</v>
      </c>
      <c r="E514" s="6">
        <f>[1]Emissions!D930</f>
        <v>0</v>
      </c>
      <c r="F514" s="6">
        <f>[1]Emissions!E930</f>
        <v>0</v>
      </c>
      <c r="G514" s="6">
        <f>[1]Emissions!F930</f>
        <v>0</v>
      </c>
      <c r="H514" s="6">
        <f>[1]Emissions!G930</f>
        <v>0</v>
      </c>
      <c r="I514" s="6">
        <f>[1]Emissions!H930</f>
        <v>0</v>
      </c>
      <c r="J514" s="6">
        <f>[1]Emissions!I930</f>
        <v>0</v>
      </c>
      <c r="K514" s="6">
        <f>[1]Emissions!J930</f>
        <v>0</v>
      </c>
      <c r="L514" s="6">
        <f>[1]Emissions!K930</f>
        <v>0</v>
      </c>
      <c r="M514" s="6">
        <f>[1]Emissions!L930</f>
        <v>0</v>
      </c>
      <c r="N514" s="6">
        <f>[1]Emissions!M930</f>
        <v>0</v>
      </c>
      <c r="O514" s="6">
        <f>[1]Emissions!N930</f>
        <v>0</v>
      </c>
      <c r="P514" s="6">
        <f>[1]Emissions!O930</f>
        <v>0</v>
      </c>
      <c r="Q514" s="6">
        <f>[1]Emissions!P930</f>
        <v>0</v>
      </c>
      <c r="R514" s="6">
        <f>[1]Emissions!Q930</f>
        <v>0</v>
      </c>
      <c r="S514" s="6">
        <f>[1]Emissions!R930</f>
        <v>0</v>
      </c>
      <c r="T514" s="6">
        <f>[1]Emissions!S930</f>
        <v>0</v>
      </c>
      <c r="U514" s="6">
        <f>[1]Emissions!T930</f>
        <v>0</v>
      </c>
      <c r="V514" s="6">
        <f>[1]Emissions!U930</f>
        <v>0</v>
      </c>
      <c r="W514" s="6">
        <f>[1]Emissions!V930</f>
        <v>0</v>
      </c>
      <c r="X514" s="6">
        <f>[1]Emissions!W930</f>
        <v>0</v>
      </c>
      <c r="Y514" s="6">
        <f>[1]Emissions!X930</f>
        <v>0</v>
      </c>
      <c r="Z514" s="6">
        <f>[1]Emissions!Y930</f>
        <v>0</v>
      </c>
      <c r="AA514" s="6">
        <f>[1]Emissions!Z930</f>
        <v>0</v>
      </c>
      <c r="AB514" s="6">
        <f>[1]Emissions!AA930</f>
        <v>0</v>
      </c>
      <c r="AC514" s="6">
        <f>[1]Emissions!AB930</f>
        <v>0</v>
      </c>
      <c r="AD514" s="6">
        <f>[1]Emissions!AC930</f>
        <v>0</v>
      </c>
      <c r="AE514" s="6">
        <f>[1]Emissions!AD930</f>
        <v>0</v>
      </c>
      <c r="AF514" s="6">
        <f>[1]Emissions!AE930</f>
        <v>0</v>
      </c>
      <c r="AG514" s="6">
        <f>[1]Emissions!AF930</f>
        <v>0</v>
      </c>
      <c r="AH514" s="6">
        <f>[1]Emissions!AG930</f>
        <v>0</v>
      </c>
      <c r="AI514" s="6">
        <f>[1]Emissions!AH930</f>
        <v>0</v>
      </c>
      <c r="AJ514" s="6">
        <f>[1]Emissions!AI930</f>
        <v>0</v>
      </c>
      <c r="AK514" s="6">
        <f>[1]Emissions!AJ930</f>
        <v>0</v>
      </c>
      <c r="AL514" s="6">
        <f>[1]Emissions!AK930</f>
        <v>0</v>
      </c>
    </row>
    <row r="515" spans="2:38" hidden="1" x14ac:dyDescent="0.3">
      <c r="B515" s="16" t="str">
        <f>[1]Emissions!A931</f>
        <v>ems_mat_co2_spla_0</v>
      </c>
      <c r="C515" s="6">
        <f>[1]Emissions!B931</f>
        <v>0</v>
      </c>
      <c r="D515" s="6">
        <f>[1]Emissions!C931</f>
        <v>0</v>
      </c>
      <c r="E515" s="6">
        <f>[1]Emissions!D931</f>
        <v>0</v>
      </c>
      <c r="F515" s="6">
        <f>[1]Emissions!E931</f>
        <v>0</v>
      </c>
      <c r="G515" s="6">
        <f>[1]Emissions!F931</f>
        <v>0</v>
      </c>
      <c r="H515" s="6">
        <f>[1]Emissions!G931</f>
        <v>0</v>
      </c>
      <c r="I515" s="6">
        <f>[1]Emissions!H931</f>
        <v>0</v>
      </c>
      <c r="J515" s="6">
        <f>[1]Emissions!I931</f>
        <v>0</v>
      </c>
      <c r="K515" s="6">
        <f>[1]Emissions!J931</f>
        <v>0</v>
      </c>
      <c r="L515" s="6">
        <f>[1]Emissions!K931</f>
        <v>0</v>
      </c>
      <c r="M515" s="6">
        <f>[1]Emissions!L931</f>
        <v>0</v>
      </c>
      <c r="N515" s="6">
        <f>[1]Emissions!M931</f>
        <v>0</v>
      </c>
      <c r="O515" s="6">
        <f>[1]Emissions!N931</f>
        <v>0</v>
      </c>
      <c r="P515" s="6">
        <f>[1]Emissions!O931</f>
        <v>0</v>
      </c>
      <c r="Q515" s="6">
        <f>[1]Emissions!P931</f>
        <v>0</v>
      </c>
      <c r="R515" s="6">
        <f>[1]Emissions!Q931</f>
        <v>0</v>
      </c>
      <c r="S515" s="6">
        <f>[1]Emissions!R931</f>
        <v>0</v>
      </c>
      <c r="T515" s="6">
        <f>[1]Emissions!S931</f>
        <v>0</v>
      </c>
      <c r="U515" s="6">
        <f>[1]Emissions!T931</f>
        <v>0</v>
      </c>
      <c r="V515" s="6">
        <f>[1]Emissions!U931</f>
        <v>0</v>
      </c>
      <c r="W515" s="6">
        <f>[1]Emissions!V931</f>
        <v>0</v>
      </c>
      <c r="X515" s="6">
        <f>[1]Emissions!W931</f>
        <v>0</v>
      </c>
      <c r="Y515" s="6">
        <f>[1]Emissions!X931</f>
        <v>0</v>
      </c>
      <c r="Z515" s="6">
        <f>[1]Emissions!Y931</f>
        <v>0</v>
      </c>
      <c r="AA515" s="6">
        <f>[1]Emissions!Z931</f>
        <v>0</v>
      </c>
      <c r="AB515" s="6">
        <f>[1]Emissions!AA931</f>
        <v>0</v>
      </c>
      <c r="AC515" s="6">
        <f>[1]Emissions!AB931</f>
        <v>0</v>
      </c>
      <c r="AD515" s="6">
        <f>[1]Emissions!AC931</f>
        <v>0</v>
      </c>
      <c r="AE515" s="6">
        <f>[1]Emissions!AD931</f>
        <v>0</v>
      </c>
      <c r="AF515" s="6">
        <f>[1]Emissions!AE931</f>
        <v>0</v>
      </c>
      <c r="AG515" s="6">
        <f>[1]Emissions!AF931</f>
        <v>0</v>
      </c>
      <c r="AH515" s="6">
        <f>[1]Emissions!AG931</f>
        <v>0</v>
      </c>
      <c r="AI515" s="6">
        <f>[1]Emissions!AH931</f>
        <v>0</v>
      </c>
      <c r="AJ515" s="6">
        <f>[1]Emissions!AI931</f>
        <v>0</v>
      </c>
      <c r="AK515" s="6">
        <f>[1]Emissions!AJ931</f>
        <v>0</v>
      </c>
      <c r="AL515" s="6">
        <f>[1]Emissions!AK931</f>
        <v>0</v>
      </c>
    </row>
    <row r="516" spans="2:38" hidden="1" x14ac:dyDescent="0.3">
      <c r="B516" s="16" t="str">
        <f>[1]Emissions!A932</f>
        <v>ems_ci_co2_smet_0</v>
      </c>
      <c r="C516" s="6">
        <f>[1]Emissions!B932</f>
        <v>7.5653420369999997</v>
      </c>
      <c r="D516" s="6">
        <f>[1]Emissions!C932</f>
        <v>7.670200565</v>
      </c>
      <c r="E516" s="6">
        <f>[1]Emissions!D932</f>
        <v>7.7905426029999996</v>
      </c>
      <c r="F516" s="6">
        <f>[1]Emissions!E932</f>
        <v>7.9128633859999997</v>
      </c>
      <c r="G516" s="6">
        <f>[1]Emissions!F932</f>
        <v>8.0375349549999999</v>
      </c>
      <c r="H516" s="6">
        <f>[1]Emissions!G932</f>
        <v>8.1671483919999996</v>
      </c>
      <c r="I516" s="6">
        <f>[1]Emissions!H932</f>
        <v>8.2860695900000003</v>
      </c>
      <c r="J516" s="6">
        <f>[1]Emissions!I932</f>
        <v>8.4096606729999994</v>
      </c>
      <c r="K516" s="6">
        <f>[1]Emissions!J932</f>
        <v>8.5362029620000008</v>
      </c>
      <c r="L516" s="6">
        <f>[1]Emissions!K932</f>
        <v>8.66310994</v>
      </c>
      <c r="M516" s="6">
        <f>[1]Emissions!L932</f>
        <v>8.8138892470000005</v>
      </c>
      <c r="N516" s="6">
        <f>[1]Emissions!M932</f>
        <v>8.9391752689999997</v>
      </c>
      <c r="O516" s="6">
        <f>[1]Emissions!N932</f>
        <v>9.064834415</v>
      </c>
      <c r="P516" s="6">
        <f>[1]Emissions!O932</f>
        <v>9.1949595459999998</v>
      </c>
      <c r="Q516" s="6">
        <f>[1]Emissions!P932</f>
        <v>9.3288484609999998</v>
      </c>
      <c r="R516" s="6">
        <f>[1]Emissions!Q932</f>
        <v>9.4653794149999992</v>
      </c>
      <c r="S516" s="6">
        <f>[1]Emissions!R932</f>
        <v>9.6038517829999996</v>
      </c>
      <c r="T516" s="6">
        <f>[1]Emissions!S932</f>
        <v>9.7441086779999999</v>
      </c>
      <c r="U516" s="6">
        <f>[1]Emissions!T932</f>
        <v>9.8863330989999998</v>
      </c>
      <c r="V516" s="6">
        <f>[1]Emissions!U932</f>
        <v>10.03085658</v>
      </c>
      <c r="W516" s="6">
        <f>[1]Emissions!V932</f>
        <v>10.160490469999999</v>
      </c>
      <c r="X516" s="6">
        <f>[1]Emissions!W932</f>
        <v>10.31178381</v>
      </c>
      <c r="Y516" s="6">
        <f>[1]Emissions!X932</f>
        <v>10.46792147</v>
      </c>
      <c r="Z516" s="6">
        <f>[1]Emissions!Y932</f>
        <v>10.62599511</v>
      </c>
      <c r="AA516" s="6">
        <f>[1]Emissions!Z932</f>
        <v>10.7862746</v>
      </c>
      <c r="AB516" s="6">
        <f>[1]Emissions!AA932</f>
        <v>10.89766373</v>
      </c>
      <c r="AC516" s="6">
        <f>[1]Emissions!AB932</f>
        <v>11.044748419999999</v>
      </c>
      <c r="AD516" s="6">
        <f>[1]Emissions!AC932</f>
        <v>11.200532340000001</v>
      </c>
      <c r="AE516" s="6">
        <f>[1]Emissions!AD932</f>
        <v>11.358772610000001</v>
      </c>
      <c r="AF516" s="6">
        <f>[1]Emissions!AE932</f>
        <v>11.519250420000001</v>
      </c>
      <c r="AG516" s="6">
        <f>[1]Emissions!AF932</f>
        <v>11.682433899999999</v>
      </c>
      <c r="AH516" s="6">
        <f>[1]Emissions!AG932</f>
        <v>11.848448469999999</v>
      </c>
      <c r="AI516" s="6">
        <f>[1]Emissions!AH932</f>
        <v>12.01712221</v>
      </c>
      <c r="AJ516" s="6">
        <f>[1]Emissions!AI932</f>
        <v>12.1882091</v>
      </c>
      <c r="AK516" s="6">
        <f>[1]Emissions!AJ932</f>
        <v>12.361557169999999</v>
      </c>
      <c r="AL516" s="6">
        <f>[1]Emissions!AK932</f>
        <v>12.53716779</v>
      </c>
    </row>
    <row r="517" spans="2:38" hidden="1" x14ac:dyDescent="0.3">
      <c r="B517" s="16" t="str">
        <f>[1]Emissions!A933</f>
        <v>ems_y_co2_smet_0</v>
      </c>
      <c r="C517" s="6">
        <f>[1]Emissions!B933</f>
        <v>0</v>
      </c>
      <c r="D517" s="6">
        <f>[1]Emissions!C933</f>
        <v>0</v>
      </c>
      <c r="E517" s="6">
        <f>[1]Emissions!D933</f>
        <v>0</v>
      </c>
      <c r="F517" s="6">
        <f>[1]Emissions!E933</f>
        <v>0</v>
      </c>
      <c r="G517" s="6">
        <f>[1]Emissions!F933</f>
        <v>0</v>
      </c>
      <c r="H517" s="6">
        <f>[1]Emissions!G933</f>
        <v>0</v>
      </c>
      <c r="I517" s="6">
        <f>[1]Emissions!H933</f>
        <v>0</v>
      </c>
      <c r="J517" s="6">
        <f>[1]Emissions!I933</f>
        <v>0</v>
      </c>
      <c r="K517" s="6">
        <f>[1]Emissions!J933</f>
        <v>0</v>
      </c>
      <c r="L517" s="6">
        <f>[1]Emissions!K933</f>
        <v>0</v>
      </c>
      <c r="M517" s="6">
        <f>[1]Emissions!L933</f>
        <v>0</v>
      </c>
      <c r="N517" s="6">
        <f>[1]Emissions!M933</f>
        <v>0</v>
      </c>
      <c r="O517" s="6">
        <f>[1]Emissions!N933</f>
        <v>0</v>
      </c>
      <c r="P517" s="6">
        <f>[1]Emissions!O933</f>
        <v>0</v>
      </c>
      <c r="Q517" s="6">
        <f>[1]Emissions!P933</f>
        <v>0</v>
      </c>
      <c r="R517" s="6">
        <f>[1]Emissions!Q933</f>
        <v>0</v>
      </c>
      <c r="S517" s="6">
        <f>[1]Emissions!R933</f>
        <v>0</v>
      </c>
      <c r="T517" s="6">
        <f>[1]Emissions!S933</f>
        <v>0</v>
      </c>
      <c r="U517" s="6">
        <f>[1]Emissions!T933</f>
        <v>0</v>
      </c>
      <c r="V517" s="6">
        <f>[1]Emissions!U933</f>
        <v>0</v>
      </c>
      <c r="W517" s="6">
        <f>[1]Emissions!V933</f>
        <v>0</v>
      </c>
      <c r="X517" s="6">
        <f>[1]Emissions!W933</f>
        <v>0</v>
      </c>
      <c r="Y517" s="6">
        <f>[1]Emissions!X933</f>
        <v>0</v>
      </c>
      <c r="Z517" s="6">
        <f>[1]Emissions!Y933</f>
        <v>0</v>
      </c>
      <c r="AA517" s="6">
        <f>[1]Emissions!Z933</f>
        <v>0</v>
      </c>
      <c r="AB517" s="6">
        <f>[1]Emissions!AA933</f>
        <v>0</v>
      </c>
      <c r="AC517" s="6">
        <f>[1]Emissions!AB933</f>
        <v>0</v>
      </c>
      <c r="AD517" s="6">
        <f>[1]Emissions!AC933</f>
        <v>0</v>
      </c>
      <c r="AE517" s="6">
        <f>[1]Emissions!AD933</f>
        <v>0</v>
      </c>
      <c r="AF517" s="6">
        <f>[1]Emissions!AE933</f>
        <v>0</v>
      </c>
      <c r="AG517" s="6">
        <f>[1]Emissions!AF933</f>
        <v>0</v>
      </c>
      <c r="AH517" s="6">
        <f>[1]Emissions!AG933</f>
        <v>0</v>
      </c>
      <c r="AI517" s="6">
        <f>[1]Emissions!AH933</f>
        <v>0</v>
      </c>
      <c r="AJ517" s="6">
        <f>[1]Emissions!AI933</f>
        <v>0</v>
      </c>
      <c r="AK517" s="6">
        <f>[1]Emissions!AJ933</f>
        <v>0</v>
      </c>
      <c r="AL517" s="6">
        <f>[1]Emissions!AK933</f>
        <v>0</v>
      </c>
    </row>
    <row r="518" spans="2:38" hidden="1" x14ac:dyDescent="0.3">
      <c r="B518" s="16" t="str">
        <f>[1]Emissions!A934</f>
        <v>ems_mat_co2_smet_0</v>
      </c>
      <c r="C518" s="6">
        <f>[1]Emissions!B934</f>
        <v>12.8223094</v>
      </c>
      <c r="D518" s="6">
        <f>[1]Emissions!C934</f>
        <v>13.00204447</v>
      </c>
      <c r="E518" s="6">
        <f>[1]Emissions!D934</f>
        <v>13.220380049999999</v>
      </c>
      <c r="F518" s="6">
        <f>[1]Emissions!E934</f>
        <v>13.454561229999999</v>
      </c>
      <c r="G518" s="6">
        <f>[1]Emissions!F934</f>
        <v>13.700105799999999</v>
      </c>
      <c r="H518" s="6">
        <f>[1]Emissions!G934</f>
        <v>13.954016299999999</v>
      </c>
      <c r="I518" s="6">
        <f>[1]Emissions!H934</f>
        <v>14.182215080000001</v>
      </c>
      <c r="J518" s="6">
        <f>[1]Emissions!I934</f>
        <v>14.406984420000001</v>
      </c>
      <c r="K518" s="6">
        <f>[1]Emissions!J934</f>
        <v>14.62541409</v>
      </c>
      <c r="L518" s="6">
        <f>[1]Emissions!K934</f>
        <v>14.83622059</v>
      </c>
      <c r="M518" s="6">
        <f>[1]Emissions!L934</f>
        <v>15.08538036</v>
      </c>
      <c r="N518" s="6">
        <f>[1]Emissions!M934</f>
        <v>15.289322139999999</v>
      </c>
      <c r="O518" s="6">
        <f>[1]Emissions!N934</f>
        <v>15.493972960000001</v>
      </c>
      <c r="P518" s="6">
        <f>[1]Emissions!O934</f>
        <v>15.706591830000001</v>
      </c>
      <c r="Q518" s="6">
        <f>[1]Emissions!P934</f>
        <v>15.92567642</v>
      </c>
      <c r="R518" s="6">
        <f>[1]Emissions!Q934</f>
        <v>16.148965390000001</v>
      </c>
      <c r="S518" s="6">
        <f>[1]Emissions!R934</f>
        <v>16.375161039999998</v>
      </c>
      <c r="T518" s="6">
        <f>[1]Emissions!S934</f>
        <v>16.604196219999999</v>
      </c>
      <c r="U518" s="6">
        <f>[1]Emissions!T934</f>
        <v>16.836764559999999</v>
      </c>
      <c r="V518" s="6">
        <f>[1]Emissions!U934</f>
        <v>17.073801710000001</v>
      </c>
      <c r="W518" s="6">
        <f>[1]Emissions!V934</f>
        <v>17.28543187</v>
      </c>
      <c r="X518" s="6">
        <f>[1]Emissions!W934</f>
        <v>17.535388600000001</v>
      </c>
      <c r="Y518" s="6">
        <f>[1]Emissions!X934</f>
        <v>17.794839240000002</v>
      </c>
      <c r="Z518" s="6">
        <f>[1]Emissions!Y934</f>
        <v>18.058354959999999</v>
      </c>
      <c r="AA518" s="6">
        <f>[1]Emissions!Z934</f>
        <v>18.32572511</v>
      </c>
      <c r="AB518" s="6">
        <f>[1]Emissions!AA934</f>
        <v>18.507496440000001</v>
      </c>
      <c r="AC518" s="6">
        <f>[1]Emissions!AB934</f>
        <v>18.750096840000001</v>
      </c>
      <c r="AD518" s="6">
        <f>[1]Emissions!AC934</f>
        <v>19.008537449999999</v>
      </c>
      <c r="AE518" s="6">
        <f>[1]Emissions!AD934</f>
        <v>19.27284972</v>
      </c>
      <c r="AF518" s="6">
        <f>[1]Emissions!AE934</f>
        <v>19.54260713</v>
      </c>
      <c r="AG518" s="6">
        <f>[1]Emissions!AF934</f>
        <v>19.81798547</v>
      </c>
      <c r="AH518" s="6">
        <f>[1]Emissions!AG934</f>
        <v>20.098372860000001</v>
      </c>
      <c r="AI518" s="6">
        <f>[1]Emissions!AH934</f>
        <v>20.38280477</v>
      </c>
      <c r="AJ518" s="6">
        <f>[1]Emissions!AI934</f>
        <v>20.670553210000001</v>
      </c>
      <c r="AK518" s="6">
        <f>[1]Emissions!AJ934</f>
        <v>20.96142622</v>
      </c>
      <c r="AL518" s="6">
        <f>[1]Emissions!AK934</f>
        <v>21.25572919</v>
      </c>
    </row>
    <row r="519" spans="2:38" hidden="1" x14ac:dyDescent="0.3">
      <c r="B519" s="16" t="str">
        <f>[1]Emissions!A935</f>
        <v>ems_ci_co2_sigo_0</v>
      </c>
      <c r="C519" s="6">
        <f>[1]Emissions!B935</f>
        <v>3.0087871819999998</v>
      </c>
      <c r="D519" s="6">
        <f>[1]Emissions!C935</f>
        <v>3.0159860329999999</v>
      </c>
      <c r="E519" s="6">
        <f>[1]Emissions!D935</f>
        <v>3.0253728889999998</v>
      </c>
      <c r="F519" s="6">
        <f>[1]Emissions!E935</f>
        <v>3.0397772879999998</v>
      </c>
      <c r="G519" s="6">
        <f>[1]Emissions!F935</f>
        <v>3.0618592009999999</v>
      </c>
      <c r="H519" s="6">
        <f>[1]Emissions!G935</f>
        <v>3.09398178</v>
      </c>
      <c r="I519" s="6">
        <f>[1]Emissions!H935</f>
        <v>3.1321803460000002</v>
      </c>
      <c r="J519" s="6">
        <f>[1]Emissions!I935</f>
        <v>3.1781787480000001</v>
      </c>
      <c r="K519" s="6">
        <f>[1]Emissions!J935</f>
        <v>3.2286735819999999</v>
      </c>
      <c r="L519" s="6">
        <f>[1]Emissions!K935</f>
        <v>3.2800569880000001</v>
      </c>
      <c r="M519" s="6">
        <f>[1]Emissions!L935</f>
        <v>3.335772263</v>
      </c>
      <c r="N519" s="6">
        <f>[1]Emissions!M935</f>
        <v>3.3850821350000002</v>
      </c>
      <c r="O519" s="6">
        <f>[1]Emissions!N935</f>
        <v>3.433491622</v>
      </c>
      <c r="P519" s="6">
        <f>[1]Emissions!O935</f>
        <v>3.482768069</v>
      </c>
      <c r="Q519" s="6">
        <f>[1]Emissions!P935</f>
        <v>3.533227788</v>
      </c>
      <c r="R519" s="6">
        <f>[1]Emissions!Q935</f>
        <v>3.5847646040000001</v>
      </c>
      <c r="S519" s="6">
        <f>[1]Emissions!R935</f>
        <v>3.6371334709999998</v>
      </c>
      <c r="T519" s="6">
        <f>[1]Emissions!S935</f>
        <v>3.6901198970000002</v>
      </c>
      <c r="U519" s="6">
        <f>[1]Emissions!T935</f>
        <v>3.743636242</v>
      </c>
      <c r="V519" s="6">
        <f>[1]Emissions!U935</f>
        <v>3.7977575520000002</v>
      </c>
      <c r="W519" s="6">
        <f>[1]Emissions!V935</f>
        <v>3.8483727679999999</v>
      </c>
      <c r="X519" s="6">
        <f>[1]Emissions!W935</f>
        <v>3.9038566349999999</v>
      </c>
      <c r="Y519" s="6">
        <f>[1]Emissions!X935</f>
        <v>3.961212476</v>
      </c>
      <c r="Z519" s="6">
        <f>[1]Emissions!Y935</f>
        <v>4.0198806070000002</v>
      </c>
      <c r="AA519" s="6">
        <f>[1]Emissions!Z935</f>
        <v>4.0800879510000003</v>
      </c>
      <c r="AB519" s="6">
        <f>[1]Emissions!AA935</f>
        <v>4.1286865949999996</v>
      </c>
      <c r="AC519" s="6">
        <f>[1]Emissions!AB935</f>
        <v>4.1853422309999999</v>
      </c>
      <c r="AD519" s="6">
        <f>[1]Emissions!AC935</f>
        <v>4.2440516190000004</v>
      </c>
      <c r="AE519" s="6">
        <f>[1]Emissions!AD935</f>
        <v>4.3031567280000003</v>
      </c>
      <c r="AF519" s="6">
        <f>[1]Emissions!AE935</f>
        <v>4.3629712600000001</v>
      </c>
      <c r="AG519" s="6">
        <f>[1]Emissions!AF935</f>
        <v>4.4240632690000004</v>
      </c>
      <c r="AH519" s="6">
        <f>[1]Emissions!AG935</f>
        <v>4.4867380749999999</v>
      </c>
      <c r="AI519" s="6">
        <f>[1]Emissions!AH935</f>
        <v>4.5509652999999997</v>
      </c>
      <c r="AJ519" s="6">
        <f>[1]Emissions!AI935</f>
        <v>4.6164859409999996</v>
      </c>
      <c r="AK519" s="6">
        <f>[1]Emissions!AJ935</f>
        <v>4.6829789259999997</v>
      </c>
      <c r="AL519" s="6">
        <f>[1]Emissions!AK935</f>
        <v>4.7502038129999997</v>
      </c>
    </row>
    <row r="520" spans="2:38" hidden="1" x14ac:dyDescent="0.3">
      <c r="B520" s="16" t="str">
        <f>[1]Emissions!A936</f>
        <v>ems_y_co2_sigo_0</v>
      </c>
      <c r="C520" s="6">
        <f>[1]Emissions!B936</f>
        <v>0</v>
      </c>
      <c r="D520" s="6">
        <f>[1]Emissions!C936</f>
        <v>0</v>
      </c>
      <c r="E520" s="6">
        <f>[1]Emissions!D936</f>
        <v>0</v>
      </c>
      <c r="F520" s="6">
        <f>[1]Emissions!E936</f>
        <v>0</v>
      </c>
      <c r="G520" s="6">
        <f>[1]Emissions!F936</f>
        <v>0</v>
      </c>
      <c r="H520" s="6">
        <f>[1]Emissions!G936</f>
        <v>0</v>
      </c>
      <c r="I520" s="6">
        <f>[1]Emissions!H936</f>
        <v>0</v>
      </c>
      <c r="J520" s="6">
        <f>[1]Emissions!I936</f>
        <v>0</v>
      </c>
      <c r="K520" s="6">
        <f>[1]Emissions!J936</f>
        <v>0</v>
      </c>
      <c r="L520" s="6">
        <f>[1]Emissions!K936</f>
        <v>0</v>
      </c>
      <c r="M520" s="6">
        <f>[1]Emissions!L936</f>
        <v>0</v>
      </c>
      <c r="N520" s="6">
        <f>[1]Emissions!M936</f>
        <v>0</v>
      </c>
      <c r="O520" s="6">
        <f>[1]Emissions!N936</f>
        <v>0</v>
      </c>
      <c r="P520" s="6">
        <f>[1]Emissions!O936</f>
        <v>0</v>
      </c>
      <c r="Q520" s="6">
        <f>[1]Emissions!P936</f>
        <v>0</v>
      </c>
      <c r="R520" s="6">
        <f>[1]Emissions!Q936</f>
        <v>0</v>
      </c>
      <c r="S520" s="6">
        <f>[1]Emissions!R936</f>
        <v>0</v>
      </c>
      <c r="T520" s="6">
        <f>[1]Emissions!S936</f>
        <v>0</v>
      </c>
      <c r="U520" s="6">
        <f>[1]Emissions!T936</f>
        <v>0</v>
      </c>
      <c r="V520" s="6">
        <f>[1]Emissions!U936</f>
        <v>0</v>
      </c>
      <c r="W520" s="6">
        <f>[1]Emissions!V936</f>
        <v>0</v>
      </c>
      <c r="X520" s="6">
        <f>[1]Emissions!W936</f>
        <v>0</v>
      </c>
      <c r="Y520" s="6">
        <f>[1]Emissions!X936</f>
        <v>0</v>
      </c>
      <c r="Z520" s="6">
        <f>[1]Emissions!Y936</f>
        <v>0</v>
      </c>
      <c r="AA520" s="6">
        <f>[1]Emissions!Z936</f>
        <v>0</v>
      </c>
      <c r="AB520" s="6">
        <f>[1]Emissions!AA936</f>
        <v>0</v>
      </c>
      <c r="AC520" s="6">
        <f>[1]Emissions!AB936</f>
        <v>0</v>
      </c>
      <c r="AD520" s="6">
        <f>[1]Emissions!AC936</f>
        <v>0</v>
      </c>
      <c r="AE520" s="6">
        <f>[1]Emissions!AD936</f>
        <v>0</v>
      </c>
      <c r="AF520" s="6">
        <f>[1]Emissions!AE936</f>
        <v>0</v>
      </c>
      <c r="AG520" s="6">
        <f>[1]Emissions!AF936</f>
        <v>0</v>
      </c>
      <c r="AH520" s="6">
        <f>[1]Emissions!AG936</f>
        <v>0</v>
      </c>
      <c r="AI520" s="6">
        <f>[1]Emissions!AH936</f>
        <v>0</v>
      </c>
      <c r="AJ520" s="6">
        <f>[1]Emissions!AI936</f>
        <v>0</v>
      </c>
      <c r="AK520" s="6">
        <f>[1]Emissions!AJ936</f>
        <v>0</v>
      </c>
      <c r="AL520" s="6">
        <f>[1]Emissions!AK936</f>
        <v>0</v>
      </c>
    </row>
    <row r="521" spans="2:38" hidden="1" x14ac:dyDescent="0.3">
      <c r="B521" s="16" t="str">
        <f>[1]Emissions!A937</f>
        <v>ems_mat_co2_sigo_0</v>
      </c>
      <c r="C521" s="6">
        <f>[1]Emissions!B937</f>
        <v>0.47325563850000002</v>
      </c>
      <c r="D521" s="6">
        <f>[1]Emissions!C937</f>
        <v>0.47430302019999998</v>
      </c>
      <c r="E521" s="6">
        <f>[1]Emissions!D937</f>
        <v>0.47728667489999999</v>
      </c>
      <c r="F521" s="6">
        <f>[1]Emissions!E937</f>
        <v>0.48209038230000001</v>
      </c>
      <c r="G521" s="6">
        <f>[1]Emissions!F937</f>
        <v>0.4881689159</v>
      </c>
      <c r="H521" s="6">
        <f>[1]Emissions!G937</f>
        <v>0.49505129009999999</v>
      </c>
      <c r="I521" s="6">
        <f>[1]Emissions!H937</f>
        <v>0.50158711970000003</v>
      </c>
      <c r="J521" s="6">
        <f>[1]Emissions!I937</f>
        <v>0.50811161510000002</v>
      </c>
      <c r="K521" s="6">
        <f>[1]Emissions!J937</f>
        <v>0.51455885619999997</v>
      </c>
      <c r="L521" s="6">
        <f>[1]Emissions!K937</f>
        <v>0.52096695250000002</v>
      </c>
      <c r="M521" s="6">
        <f>[1]Emissions!L937</f>
        <v>0.52854773899999996</v>
      </c>
      <c r="N521" s="6">
        <f>[1]Emissions!M937</f>
        <v>0.53541492430000004</v>
      </c>
      <c r="O521" s="6">
        <f>[1]Emissions!N937</f>
        <v>0.54245365899999998</v>
      </c>
      <c r="P521" s="6">
        <f>[1]Emissions!O937</f>
        <v>0.54981219349999999</v>
      </c>
      <c r="Q521" s="6">
        <f>[1]Emissions!P937</f>
        <v>0.55741628200000004</v>
      </c>
      <c r="R521" s="6">
        <f>[1]Emissions!Q937</f>
        <v>0.56518274729999995</v>
      </c>
      <c r="S521" s="6">
        <f>[1]Emissions!R937</f>
        <v>0.57306778589999996</v>
      </c>
      <c r="T521" s="6">
        <f>[1]Emissions!S937</f>
        <v>0.58107076520000001</v>
      </c>
      <c r="U521" s="6">
        <f>[1]Emissions!T937</f>
        <v>0.58921700160000001</v>
      </c>
      <c r="V521" s="6">
        <f>[1]Emissions!U937</f>
        <v>0.5975378751</v>
      </c>
      <c r="W521" s="6">
        <f>[1]Emissions!V937</f>
        <v>0.60527089229999997</v>
      </c>
      <c r="X521" s="6">
        <f>[1]Emissions!W937</f>
        <v>0.61393389860000003</v>
      </c>
      <c r="Y521" s="6">
        <f>[1]Emissions!X937</f>
        <v>0.62295984900000001</v>
      </c>
      <c r="Z521" s="6">
        <f>[1]Emissions!Y937</f>
        <v>0.63217494510000005</v>
      </c>
      <c r="AA521" s="6">
        <f>[1]Emissions!Z937</f>
        <v>0.64154316249999999</v>
      </c>
      <c r="AB521" s="6">
        <f>[1]Emissions!AA937</f>
        <v>0.64869441329999999</v>
      </c>
      <c r="AC521" s="6">
        <f>[1]Emissions!AB937</f>
        <v>0.65720943040000002</v>
      </c>
      <c r="AD521" s="6">
        <f>[1]Emissions!AC937</f>
        <v>0.66620274170000005</v>
      </c>
      <c r="AE521" s="6">
        <f>[1]Emissions!AD937</f>
        <v>0.67542318079999997</v>
      </c>
      <c r="AF521" s="6">
        <f>[1]Emissions!AE937</f>
        <v>0.6848497039</v>
      </c>
      <c r="AG521" s="6">
        <f>[1]Emissions!AF937</f>
        <v>0.69446808670000004</v>
      </c>
      <c r="AH521" s="6">
        <f>[1]Emissions!AG937</f>
        <v>0.70424311110000004</v>
      </c>
      <c r="AI521" s="6">
        <f>[1]Emissions!AH937</f>
        <v>0.71413824299999995</v>
      </c>
      <c r="AJ521" s="6">
        <f>[1]Emissions!AI937</f>
        <v>0.72413421609999995</v>
      </c>
      <c r="AK521" s="6">
        <f>[1]Emissions!AJ937</f>
        <v>0.73423446240000001</v>
      </c>
      <c r="AL521" s="6">
        <f>[1]Emissions!AK937</f>
        <v>0.74445853259999994</v>
      </c>
    </row>
    <row r="522" spans="2:38" hidden="1" x14ac:dyDescent="0.3">
      <c r="B522" s="16" t="str">
        <f>[1]Emissions!A938</f>
        <v>ems_ci_co2_scgo_0</v>
      </c>
      <c r="C522" s="6">
        <f>[1]Emissions!B938</f>
        <v>0.69721547260000005</v>
      </c>
      <c r="D522" s="6">
        <f>[1]Emissions!C938</f>
        <v>0.68240888840000002</v>
      </c>
      <c r="E522" s="6">
        <f>[1]Emissions!D938</f>
        <v>0.67055571680000003</v>
      </c>
      <c r="F522" s="6">
        <f>[1]Emissions!E938</f>
        <v>0.66505604259999995</v>
      </c>
      <c r="G522" s="6">
        <f>[1]Emissions!F938</f>
        <v>0.66437732640000002</v>
      </c>
      <c r="H522" s="6">
        <f>[1]Emissions!G938</f>
        <v>0.66724080500000005</v>
      </c>
      <c r="I522" s="6">
        <f>[1]Emissions!H938</f>
        <v>0.67389296679999999</v>
      </c>
      <c r="J522" s="6">
        <f>[1]Emissions!I938</f>
        <v>0.68162191760000002</v>
      </c>
      <c r="K522" s="6">
        <f>[1]Emissions!J938</f>
        <v>0.69018626250000004</v>
      </c>
      <c r="L522" s="6">
        <f>[1]Emissions!K938</f>
        <v>0.69949073470000001</v>
      </c>
      <c r="M522" s="6">
        <f>[1]Emissions!L938</f>
        <v>0.70746648639999998</v>
      </c>
      <c r="N522" s="6">
        <f>[1]Emissions!M938</f>
        <v>0.71957158629999995</v>
      </c>
      <c r="O522" s="6">
        <f>[1]Emissions!N938</f>
        <v>0.73181200199999996</v>
      </c>
      <c r="P522" s="6">
        <f>[1]Emissions!O938</f>
        <v>0.74410403550000004</v>
      </c>
      <c r="Q522" s="6">
        <f>[1]Emissions!P938</f>
        <v>0.75658181170000005</v>
      </c>
      <c r="R522" s="6">
        <f>[1]Emissions!Q938</f>
        <v>0.76931615689999999</v>
      </c>
      <c r="S522" s="6">
        <f>[1]Emissions!R938</f>
        <v>0.78231024169999996</v>
      </c>
      <c r="T522" s="6">
        <f>[1]Emissions!S938</f>
        <v>0.79552527750000002</v>
      </c>
      <c r="U522" s="6">
        <f>[1]Emissions!T938</f>
        <v>0.80892931140000002</v>
      </c>
      <c r="V522" s="6">
        <f>[1]Emissions!U938</f>
        <v>0.82251436600000005</v>
      </c>
      <c r="W522" s="6">
        <f>[1]Emissions!V938</f>
        <v>0.83752046989999995</v>
      </c>
      <c r="X522" s="6">
        <f>[1]Emissions!W938</f>
        <v>0.85045506400000004</v>
      </c>
      <c r="Y522" s="6">
        <f>[1]Emissions!X938</f>
        <v>0.86398038420000001</v>
      </c>
      <c r="Z522" s="6">
        <f>[1]Emissions!Y938</f>
        <v>0.87811661730000001</v>
      </c>
      <c r="AA522" s="6">
        <f>[1]Emissions!Z938</f>
        <v>0.89272043720000005</v>
      </c>
      <c r="AB522" s="6">
        <f>[1]Emissions!AA938</f>
        <v>0.91085827159999999</v>
      </c>
      <c r="AC522" s="6">
        <f>[1]Emissions!AB938</f>
        <v>0.92478442199999999</v>
      </c>
      <c r="AD522" s="6">
        <f>[1]Emissions!AC938</f>
        <v>0.93862342710000002</v>
      </c>
      <c r="AE522" s="6">
        <f>[1]Emissions!AD938</f>
        <v>0.95278452260000002</v>
      </c>
      <c r="AF522" s="6">
        <f>[1]Emissions!AE938</f>
        <v>0.9672882773</v>
      </c>
      <c r="AG522" s="6">
        <f>[1]Emissions!AF938</f>
        <v>0.98212331559999999</v>
      </c>
      <c r="AH522" s="6">
        <f>[1]Emissions!AG938</f>
        <v>0.99727171839999995</v>
      </c>
      <c r="AI522" s="6">
        <f>[1]Emissions!AH938</f>
        <v>1.012709243</v>
      </c>
      <c r="AJ522" s="6">
        <f>[1]Emissions!AI938</f>
        <v>1.0284097670000001</v>
      </c>
      <c r="AK522" s="6">
        <f>[1]Emissions!AJ938</f>
        <v>1.0443520399999999</v>
      </c>
      <c r="AL522" s="6">
        <f>[1]Emissions!AK938</f>
        <v>1.06052434</v>
      </c>
    </row>
    <row r="523" spans="2:38" hidden="1" x14ac:dyDescent="0.3">
      <c r="B523" s="16" t="str">
        <f>[1]Emissions!A939</f>
        <v>ems_y_co2_scgo_0</v>
      </c>
      <c r="C523" s="6">
        <f>[1]Emissions!B939</f>
        <v>0</v>
      </c>
      <c r="D523" s="6">
        <f>[1]Emissions!C939</f>
        <v>0</v>
      </c>
      <c r="E523" s="6">
        <f>[1]Emissions!D939</f>
        <v>0</v>
      </c>
      <c r="F523" s="6">
        <f>[1]Emissions!E939</f>
        <v>0</v>
      </c>
      <c r="G523" s="6">
        <f>[1]Emissions!F939</f>
        <v>0</v>
      </c>
      <c r="H523" s="6">
        <f>[1]Emissions!G939</f>
        <v>0</v>
      </c>
      <c r="I523" s="6">
        <f>[1]Emissions!H939</f>
        <v>0</v>
      </c>
      <c r="J523" s="6">
        <f>[1]Emissions!I939</f>
        <v>0</v>
      </c>
      <c r="K523" s="6">
        <f>[1]Emissions!J939</f>
        <v>0</v>
      </c>
      <c r="L523" s="6">
        <f>[1]Emissions!K939</f>
        <v>0</v>
      </c>
      <c r="M523" s="6">
        <f>[1]Emissions!L939</f>
        <v>0</v>
      </c>
      <c r="N523" s="6">
        <f>[1]Emissions!M939</f>
        <v>0</v>
      </c>
      <c r="O523" s="6">
        <f>[1]Emissions!N939</f>
        <v>0</v>
      </c>
      <c r="P523" s="6">
        <f>[1]Emissions!O939</f>
        <v>0</v>
      </c>
      <c r="Q523" s="6">
        <f>[1]Emissions!P939</f>
        <v>0</v>
      </c>
      <c r="R523" s="6">
        <f>[1]Emissions!Q939</f>
        <v>0</v>
      </c>
      <c r="S523" s="6">
        <f>[1]Emissions!R939</f>
        <v>0</v>
      </c>
      <c r="T523" s="6">
        <f>[1]Emissions!S939</f>
        <v>0</v>
      </c>
      <c r="U523" s="6">
        <f>[1]Emissions!T939</f>
        <v>0</v>
      </c>
      <c r="V523" s="6">
        <f>[1]Emissions!U939</f>
        <v>0</v>
      </c>
      <c r="W523" s="6">
        <f>[1]Emissions!V939</f>
        <v>0</v>
      </c>
      <c r="X523" s="6">
        <f>[1]Emissions!W939</f>
        <v>0</v>
      </c>
      <c r="Y523" s="6">
        <f>[1]Emissions!X939</f>
        <v>0</v>
      </c>
      <c r="Z523" s="6">
        <f>[1]Emissions!Y939</f>
        <v>0</v>
      </c>
      <c r="AA523" s="6">
        <f>[1]Emissions!Z939</f>
        <v>0</v>
      </c>
      <c r="AB523" s="6">
        <f>[1]Emissions!AA939</f>
        <v>0</v>
      </c>
      <c r="AC523" s="6">
        <f>[1]Emissions!AB939</f>
        <v>0</v>
      </c>
      <c r="AD523" s="6">
        <f>[1]Emissions!AC939</f>
        <v>0</v>
      </c>
      <c r="AE523" s="6">
        <f>[1]Emissions!AD939</f>
        <v>0</v>
      </c>
      <c r="AF523" s="6">
        <f>[1]Emissions!AE939</f>
        <v>0</v>
      </c>
      <c r="AG523" s="6">
        <f>[1]Emissions!AF939</f>
        <v>0</v>
      </c>
      <c r="AH523" s="6">
        <f>[1]Emissions!AG939</f>
        <v>0</v>
      </c>
      <c r="AI523" s="6">
        <f>[1]Emissions!AH939</f>
        <v>0</v>
      </c>
      <c r="AJ523" s="6">
        <f>[1]Emissions!AI939</f>
        <v>0</v>
      </c>
      <c r="AK523" s="6">
        <f>[1]Emissions!AJ939</f>
        <v>0</v>
      </c>
      <c r="AL523" s="6">
        <f>[1]Emissions!AK939</f>
        <v>0</v>
      </c>
    </row>
    <row r="524" spans="2:38" hidden="1" x14ac:dyDescent="0.3">
      <c r="B524" s="16" t="str">
        <f>[1]Emissions!A940</f>
        <v>ems_mat_co2_scgo_0</v>
      </c>
      <c r="C524" s="6">
        <f>[1]Emissions!B940</f>
        <v>0</v>
      </c>
      <c r="D524" s="6">
        <f>[1]Emissions!C940</f>
        <v>0</v>
      </c>
      <c r="E524" s="6">
        <f>[1]Emissions!D940</f>
        <v>0</v>
      </c>
      <c r="F524" s="6">
        <f>[1]Emissions!E940</f>
        <v>0</v>
      </c>
      <c r="G524" s="6">
        <f>[1]Emissions!F940</f>
        <v>0</v>
      </c>
      <c r="H524" s="6">
        <f>[1]Emissions!G940</f>
        <v>0</v>
      </c>
      <c r="I524" s="6">
        <f>[1]Emissions!H940</f>
        <v>0</v>
      </c>
      <c r="J524" s="6">
        <f>[1]Emissions!I940</f>
        <v>0</v>
      </c>
      <c r="K524" s="6">
        <f>[1]Emissions!J940</f>
        <v>0</v>
      </c>
      <c r="L524" s="6">
        <f>[1]Emissions!K940</f>
        <v>0</v>
      </c>
      <c r="M524" s="6">
        <f>[1]Emissions!L940</f>
        <v>0</v>
      </c>
      <c r="N524" s="6">
        <f>[1]Emissions!M940</f>
        <v>0</v>
      </c>
      <c r="O524" s="6">
        <f>[1]Emissions!N940</f>
        <v>0</v>
      </c>
      <c r="P524" s="6">
        <f>[1]Emissions!O940</f>
        <v>0</v>
      </c>
      <c r="Q524" s="6">
        <f>[1]Emissions!P940</f>
        <v>0</v>
      </c>
      <c r="R524" s="6">
        <f>[1]Emissions!Q940</f>
        <v>0</v>
      </c>
      <c r="S524" s="6">
        <f>[1]Emissions!R940</f>
        <v>0</v>
      </c>
      <c r="T524" s="6">
        <f>[1]Emissions!S940</f>
        <v>0</v>
      </c>
      <c r="U524" s="6">
        <f>[1]Emissions!T940</f>
        <v>0</v>
      </c>
      <c r="V524" s="6">
        <f>[1]Emissions!U940</f>
        <v>0</v>
      </c>
      <c r="W524" s="6">
        <f>[1]Emissions!V940</f>
        <v>0</v>
      </c>
      <c r="X524" s="6">
        <f>[1]Emissions!W940</f>
        <v>0</v>
      </c>
      <c r="Y524" s="6">
        <f>[1]Emissions!X940</f>
        <v>0</v>
      </c>
      <c r="Z524" s="6">
        <f>[1]Emissions!Y940</f>
        <v>0</v>
      </c>
      <c r="AA524" s="6">
        <f>[1]Emissions!Z940</f>
        <v>0</v>
      </c>
      <c r="AB524" s="6">
        <f>[1]Emissions!AA940</f>
        <v>0</v>
      </c>
      <c r="AC524" s="6">
        <f>[1]Emissions!AB940</f>
        <v>0</v>
      </c>
      <c r="AD524" s="6">
        <f>[1]Emissions!AC940</f>
        <v>0</v>
      </c>
      <c r="AE524" s="6">
        <f>[1]Emissions!AD940</f>
        <v>0</v>
      </c>
      <c r="AF524" s="6">
        <f>[1]Emissions!AE940</f>
        <v>0</v>
      </c>
      <c r="AG524" s="6">
        <f>[1]Emissions!AF940</f>
        <v>0</v>
      </c>
      <c r="AH524" s="6">
        <f>[1]Emissions!AG940</f>
        <v>0</v>
      </c>
      <c r="AI524" s="6">
        <f>[1]Emissions!AH940</f>
        <v>0</v>
      </c>
      <c r="AJ524" s="6">
        <f>[1]Emissions!AI940</f>
        <v>0</v>
      </c>
      <c r="AK524" s="6">
        <f>[1]Emissions!AJ940</f>
        <v>0</v>
      </c>
      <c r="AL524" s="6">
        <f>[1]Emissions!AK940</f>
        <v>0</v>
      </c>
    </row>
    <row r="525" spans="2:38" hidden="1" x14ac:dyDescent="0.3">
      <c r="B525" s="16" t="str">
        <f>[1]Emissions!A941</f>
        <v>ems_ci_co2_scon_0</v>
      </c>
      <c r="C525" s="6">
        <f>[1]Emissions!B941</f>
        <v>7.5419030080000002</v>
      </c>
      <c r="D525" s="6">
        <f>[1]Emissions!C941</f>
        <v>7.9906949310000002</v>
      </c>
      <c r="E525" s="6">
        <f>[1]Emissions!D941</f>
        <v>8.4730006959999997</v>
      </c>
      <c r="F525" s="6">
        <f>[1]Emissions!E941</f>
        <v>8.7842847200000005</v>
      </c>
      <c r="G525" s="6">
        <f>[1]Emissions!F941</f>
        <v>8.9706400550000005</v>
      </c>
      <c r="H525" s="6">
        <f>[1]Emissions!G941</f>
        <v>9.1009686960000007</v>
      </c>
      <c r="I525" s="6">
        <f>[1]Emissions!H941</f>
        <v>9.0681040970000009</v>
      </c>
      <c r="J525" s="6">
        <f>[1]Emissions!I941</f>
        <v>9.1029121830000008</v>
      </c>
      <c r="K525" s="6">
        <f>[1]Emissions!J941</f>
        <v>9.1808228409999995</v>
      </c>
      <c r="L525" s="6">
        <f>[1]Emissions!K941</f>
        <v>9.2803559159999995</v>
      </c>
      <c r="M525" s="6">
        <f>[1]Emissions!L941</f>
        <v>9.6044295080000008</v>
      </c>
      <c r="N525" s="6">
        <f>[1]Emissions!M941</f>
        <v>9.6305589180000002</v>
      </c>
      <c r="O525" s="6">
        <f>[1]Emissions!N941</f>
        <v>9.7050996749999996</v>
      </c>
      <c r="P525" s="6">
        <f>[1]Emissions!O941</f>
        <v>9.8256076829999994</v>
      </c>
      <c r="Q525" s="6">
        <f>[1]Emissions!P941</f>
        <v>9.9718295500000007</v>
      </c>
      <c r="R525" s="6">
        <f>[1]Emissions!Q941</f>
        <v>10.12976432</v>
      </c>
      <c r="S525" s="6">
        <f>[1]Emissions!R941</f>
        <v>10.292313679999999</v>
      </c>
      <c r="T525" s="6">
        <f>[1]Emissions!S941</f>
        <v>10.45797183</v>
      </c>
      <c r="U525" s="6">
        <f>[1]Emissions!T941</f>
        <v>10.627168040000001</v>
      </c>
      <c r="V525" s="6">
        <f>[1]Emissions!U941</f>
        <v>10.80049472</v>
      </c>
      <c r="W525" s="6">
        <f>[1]Emissions!V941</f>
        <v>10.82689946</v>
      </c>
      <c r="X525" s="6">
        <f>[1]Emissions!W941</f>
        <v>11.073660479999999</v>
      </c>
      <c r="Y525" s="6">
        <f>[1]Emissions!X941</f>
        <v>11.30643652</v>
      </c>
      <c r="Z525" s="6">
        <f>[1]Emissions!Y941</f>
        <v>11.517957389999999</v>
      </c>
      <c r="AA525" s="6">
        <f>[1]Emissions!Z941</f>
        <v>11.71940305</v>
      </c>
      <c r="AB525" s="6">
        <f>[1]Emissions!AA941</f>
        <v>11.47299067</v>
      </c>
      <c r="AC525" s="6">
        <f>[1]Emissions!AB941</f>
        <v>11.680642069999999</v>
      </c>
      <c r="AD525" s="6">
        <f>[1]Emissions!AC941</f>
        <v>11.911764489999999</v>
      </c>
      <c r="AE525" s="6">
        <f>[1]Emissions!AD941</f>
        <v>12.12823504</v>
      </c>
      <c r="AF525" s="6">
        <f>[1]Emissions!AE941</f>
        <v>12.335133389999999</v>
      </c>
      <c r="AG525" s="6">
        <f>[1]Emissions!AF941</f>
        <v>12.537959559999999</v>
      </c>
      <c r="AH525" s="6">
        <f>[1]Emissions!AG941</f>
        <v>12.73937228</v>
      </c>
      <c r="AI525" s="6">
        <f>[1]Emissions!AH941</f>
        <v>12.94043913</v>
      </c>
      <c r="AJ525" s="6">
        <f>[1]Emissions!AI941</f>
        <v>13.141746360000001</v>
      </c>
      <c r="AK525" s="6">
        <f>[1]Emissions!AJ941</f>
        <v>13.34391342</v>
      </c>
      <c r="AL525" s="6">
        <f>[1]Emissions!AK941</f>
        <v>13.547660280000001</v>
      </c>
    </row>
    <row r="526" spans="2:38" hidden="1" x14ac:dyDescent="0.3">
      <c r="B526" s="16" t="str">
        <f>[1]Emissions!A942</f>
        <v>ems_y_co2_scon_0</v>
      </c>
      <c r="C526" s="6">
        <f>[1]Emissions!B942</f>
        <v>0</v>
      </c>
      <c r="D526" s="6">
        <f>[1]Emissions!C942</f>
        <v>0</v>
      </c>
      <c r="E526" s="6">
        <f>[1]Emissions!D942</f>
        <v>0</v>
      </c>
      <c r="F526" s="6">
        <f>[1]Emissions!E942</f>
        <v>0</v>
      </c>
      <c r="G526" s="6">
        <f>[1]Emissions!F942</f>
        <v>0</v>
      </c>
      <c r="H526" s="6">
        <f>[1]Emissions!G942</f>
        <v>0</v>
      </c>
      <c r="I526" s="6">
        <f>[1]Emissions!H942</f>
        <v>0</v>
      </c>
      <c r="J526" s="6">
        <f>[1]Emissions!I942</f>
        <v>0</v>
      </c>
      <c r="K526" s="6">
        <f>[1]Emissions!J942</f>
        <v>0</v>
      </c>
      <c r="L526" s="6">
        <f>[1]Emissions!K942</f>
        <v>0</v>
      </c>
      <c r="M526" s="6">
        <f>[1]Emissions!L942</f>
        <v>0</v>
      </c>
      <c r="N526" s="6">
        <f>[1]Emissions!M942</f>
        <v>0</v>
      </c>
      <c r="O526" s="6">
        <f>[1]Emissions!N942</f>
        <v>0</v>
      </c>
      <c r="P526" s="6">
        <f>[1]Emissions!O942</f>
        <v>0</v>
      </c>
      <c r="Q526" s="6">
        <f>[1]Emissions!P942</f>
        <v>0</v>
      </c>
      <c r="R526" s="6">
        <f>[1]Emissions!Q942</f>
        <v>0</v>
      </c>
      <c r="S526" s="6">
        <f>[1]Emissions!R942</f>
        <v>0</v>
      </c>
      <c r="T526" s="6">
        <f>[1]Emissions!S942</f>
        <v>0</v>
      </c>
      <c r="U526" s="6">
        <f>[1]Emissions!T942</f>
        <v>0</v>
      </c>
      <c r="V526" s="6">
        <f>[1]Emissions!U942</f>
        <v>0</v>
      </c>
      <c r="W526" s="6">
        <f>[1]Emissions!V942</f>
        <v>0</v>
      </c>
      <c r="X526" s="6">
        <f>[1]Emissions!W942</f>
        <v>0</v>
      </c>
      <c r="Y526" s="6">
        <f>[1]Emissions!X942</f>
        <v>0</v>
      </c>
      <c r="Z526" s="6">
        <f>[1]Emissions!Y942</f>
        <v>0</v>
      </c>
      <c r="AA526" s="6">
        <f>[1]Emissions!Z942</f>
        <v>0</v>
      </c>
      <c r="AB526" s="6">
        <f>[1]Emissions!AA942</f>
        <v>0</v>
      </c>
      <c r="AC526" s="6">
        <f>[1]Emissions!AB942</f>
        <v>0</v>
      </c>
      <c r="AD526" s="6">
        <f>[1]Emissions!AC942</f>
        <v>0</v>
      </c>
      <c r="AE526" s="6">
        <f>[1]Emissions!AD942</f>
        <v>0</v>
      </c>
      <c r="AF526" s="6">
        <f>[1]Emissions!AE942</f>
        <v>0</v>
      </c>
      <c r="AG526" s="6">
        <f>[1]Emissions!AF942</f>
        <v>0</v>
      </c>
      <c r="AH526" s="6">
        <f>[1]Emissions!AG942</f>
        <v>0</v>
      </c>
      <c r="AI526" s="6">
        <f>[1]Emissions!AH942</f>
        <v>0</v>
      </c>
      <c r="AJ526" s="6">
        <f>[1]Emissions!AI942</f>
        <v>0</v>
      </c>
      <c r="AK526" s="6">
        <f>[1]Emissions!AJ942</f>
        <v>0</v>
      </c>
      <c r="AL526" s="6">
        <f>[1]Emissions!AK942</f>
        <v>0</v>
      </c>
    </row>
    <row r="527" spans="2:38" hidden="1" x14ac:dyDescent="0.3">
      <c r="B527" s="16" t="str">
        <f>[1]Emissions!A943</f>
        <v>ems_mat_co2_scon_0</v>
      </c>
      <c r="C527" s="6">
        <f>[1]Emissions!B943</f>
        <v>0</v>
      </c>
      <c r="D527" s="6">
        <f>[1]Emissions!C943</f>
        <v>0</v>
      </c>
      <c r="E527" s="6">
        <f>[1]Emissions!D943</f>
        <v>0</v>
      </c>
      <c r="F527" s="6">
        <f>[1]Emissions!E943</f>
        <v>0</v>
      </c>
      <c r="G527" s="6">
        <f>[1]Emissions!F943</f>
        <v>0</v>
      </c>
      <c r="H527" s="6">
        <f>[1]Emissions!G943</f>
        <v>0</v>
      </c>
      <c r="I527" s="6">
        <f>[1]Emissions!H943</f>
        <v>0</v>
      </c>
      <c r="J527" s="6">
        <f>[1]Emissions!I943</f>
        <v>0</v>
      </c>
      <c r="K527" s="6">
        <f>[1]Emissions!J943</f>
        <v>0</v>
      </c>
      <c r="L527" s="6">
        <f>[1]Emissions!K943</f>
        <v>0</v>
      </c>
      <c r="M527" s="6">
        <f>[1]Emissions!L943</f>
        <v>0</v>
      </c>
      <c r="N527" s="6">
        <f>[1]Emissions!M943</f>
        <v>0</v>
      </c>
      <c r="O527" s="6">
        <f>[1]Emissions!N943</f>
        <v>0</v>
      </c>
      <c r="P527" s="6">
        <f>[1]Emissions!O943</f>
        <v>0</v>
      </c>
      <c r="Q527" s="6">
        <f>[1]Emissions!P943</f>
        <v>0</v>
      </c>
      <c r="R527" s="6">
        <f>[1]Emissions!Q943</f>
        <v>0</v>
      </c>
      <c r="S527" s="6">
        <f>[1]Emissions!R943</f>
        <v>0</v>
      </c>
      <c r="T527" s="6">
        <f>[1]Emissions!S943</f>
        <v>0</v>
      </c>
      <c r="U527" s="6">
        <f>[1]Emissions!T943</f>
        <v>0</v>
      </c>
      <c r="V527" s="6">
        <f>[1]Emissions!U943</f>
        <v>0</v>
      </c>
      <c r="W527" s="6">
        <f>[1]Emissions!V943</f>
        <v>0</v>
      </c>
      <c r="X527" s="6">
        <f>[1]Emissions!W943</f>
        <v>0</v>
      </c>
      <c r="Y527" s="6">
        <f>[1]Emissions!X943</f>
        <v>0</v>
      </c>
      <c r="Z527" s="6">
        <f>[1]Emissions!Y943</f>
        <v>0</v>
      </c>
      <c r="AA527" s="6">
        <f>[1]Emissions!Z943</f>
        <v>0</v>
      </c>
      <c r="AB527" s="6">
        <f>[1]Emissions!AA943</f>
        <v>0</v>
      </c>
      <c r="AC527" s="6">
        <f>[1]Emissions!AB943</f>
        <v>0</v>
      </c>
      <c r="AD527" s="6">
        <f>[1]Emissions!AC943</f>
        <v>0</v>
      </c>
      <c r="AE527" s="6">
        <f>[1]Emissions!AD943</f>
        <v>0</v>
      </c>
      <c r="AF527" s="6">
        <f>[1]Emissions!AE943</f>
        <v>0</v>
      </c>
      <c r="AG527" s="6">
        <f>[1]Emissions!AF943</f>
        <v>0</v>
      </c>
      <c r="AH527" s="6">
        <f>[1]Emissions!AG943</f>
        <v>0</v>
      </c>
      <c r="AI527" s="6">
        <f>[1]Emissions!AH943</f>
        <v>0</v>
      </c>
      <c r="AJ527" s="6">
        <f>[1]Emissions!AI943</f>
        <v>0</v>
      </c>
      <c r="AK527" s="6">
        <f>[1]Emissions!AJ943</f>
        <v>0</v>
      </c>
      <c r="AL527" s="6">
        <f>[1]Emissions!AK943</f>
        <v>0</v>
      </c>
    </row>
    <row r="528" spans="2:38" hidden="1" x14ac:dyDescent="0.3">
      <c r="B528" s="16" t="str">
        <f>[1]Emissions!A944</f>
        <v>ems_ci_co2_srai_0</v>
      </c>
      <c r="C528" s="6">
        <f>[1]Emissions!B944</f>
        <v>5.5899890560000003</v>
      </c>
      <c r="D528" s="6">
        <f>[1]Emissions!C944</f>
        <v>5.5787174689999999</v>
      </c>
      <c r="E528" s="6">
        <f>[1]Emissions!D944</f>
        <v>5.5794012459999998</v>
      </c>
      <c r="F528" s="6">
        <f>[1]Emissions!E944</f>
        <v>5.602385065</v>
      </c>
      <c r="G528" s="6">
        <f>[1]Emissions!F944</f>
        <v>5.6425312730000003</v>
      </c>
      <c r="H528" s="6">
        <f>[1]Emissions!G944</f>
        <v>5.6945774570000003</v>
      </c>
      <c r="I528" s="6">
        <f>[1]Emissions!H944</f>
        <v>5.7534343149999998</v>
      </c>
      <c r="J528" s="6">
        <f>[1]Emissions!I944</f>
        <v>5.8153066630000003</v>
      </c>
      <c r="K528" s="6">
        <f>[1]Emissions!J944</f>
        <v>5.8794961219999999</v>
      </c>
      <c r="L528" s="6">
        <f>[1]Emissions!K944</f>
        <v>5.9463106809999999</v>
      </c>
      <c r="M528" s="6">
        <f>[1]Emissions!L944</f>
        <v>6.0176134399999999</v>
      </c>
      <c r="N528" s="6">
        <f>[1]Emissions!M944</f>
        <v>6.0950114199999996</v>
      </c>
      <c r="O528" s="6">
        <f>[1]Emissions!N944</f>
        <v>6.1744347309999998</v>
      </c>
      <c r="P528" s="6">
        <f>[1]Emissions!O944</f>
        <v>6.2552089530000003</v>
      </c>
      <c r="Q528" s="6">
        <f>[1]Emissions!P944</f>
        <v>6.3370606089999999</v>
      </c>
      <c r="R528" s="6">
        <f>[1]Emissions!Q944</f>
        <v>6.4198219070000002</v>
      </c>
      <c r="S528" s="6">
        <f>[1]Emissions!R944</f>
        <v>6.5034354150000002</v>
      </c>
      <c r="T528" s="6">
        <f>[1]Emissions!S944</f>
        <v>6.587947207</v>
      </c>
      <c r="U528" s="6">
        <f>[1]Emissions!T944</f>
        <v>6.6735007590000004</v>
      </c>
      <c r="V528" s="6">
        <f>[1]Emissions!U944</f>
        <v>6.7602814240000004</v>
      </c>
      <c r="W528" s="6">
        <f>[1]Emissions!V944</f>
        <v>6.8468979220000001</v>
      </c>
      <c r="X528" s="6">
        <f>[1]Emissions!W944</f>
        <v>6.9336792750000003</v>
      </c>
      <c r="Y528" s="6">
        <f>[1]Emissions!X944</f>
        <v>7.0231797260000004</v>
      </c>
      <c r="Z528" s="6">
        <f>[1]Emissions!Y944</f>
        <v>7.1152141230000003</v>
      </c>
      <c r="AA528" s="6">
        <f>[1]Emissions!Z944</f>
        <v>7.2093182420000002</v>
      </c>
      <c r="AB528" s="6">
        <f>[1]Emissions!AA944</f>
        <v>7.2994700979999996</v>
      </c>
      <c r="AC528" s="6">
        <f>[1]Emissions!AB944</f>
        <v>7.3869091180000002</v>
      </c>
      <c r="AD528" s="6">
        <f>[1]Emissions!AC944</f>
        <v>7.4755243069999997</v>
      </c>
      <c r="AE528" s="6">
        <f>[1]Emissions!AD944</f>
        <v>7.566014579</v>
      </c>
      <c r="AF528" s="6">
        <f>[1]Emissions!AE944</f>
        <v>7.6584528140000003</v>
      </c>
      <c r="AG528" s="6">
        <f>[1]Emissions!AF944</f>
        <v>7.7526913860000004</v>
      </c>
      <c r="AH528" s="6">
        <f>[1]Emissions!AG944</f>
        <v>7.8484977530000002</v>
      </c>
      <c r="AI528" s="6">
        <f>[1]Emissions!AH944</f>
        <v>7.9456715290000002</v>
      </c>
      <c r="AJ528" s="6">
        <f>[1]Emissions!AI944</f>
        <v>8.0441163459999991</v>
      </c>
      <c r="AK528" s="6">
        <f>[1]Emissions!AJ944</f>
        <v>8.143847762</v>
      </c>
      <c r="AL528" s="6">
        <f>[1]Emissions!AK944</f>
        <v>8.2449508609999995</v>
      </c>
    </row>
    <row r="529" spans="2:38" hidden="1" x14ac:dyDescent="0.3">
      <c r="B529" s="16" t="str">
        <f>[1]Emissions!A945</f>
        <v>ems_y_co2_srai_0</v>
      </c>
      <c r="C529" s="6">
        <f>[1]Emissions!B945</f>
        <v>0</v>
      </c>
      <c r="D529" s="6">
        <f>[1]Emissions!C945</f>
        <v>0</v>
      </c>
      <c r="E529" s="6">
        <f>[1]Emissions!D945</f>
        <v>0</v>
      </c>
      <c r="F529" s="6">
        <f>[1]Emissions!E945</f>
        <v>0</v>
      </c>
      <c r="G529" s="6">
        <f>[1]Emissions!F945</f>
        <v>0</v>
      </c>
      <c r="H529" s="6">
        <f>[1]Emissions!G945</f>
        <v>0</v>
      </c>
      <c r="I529" s="6">
        <f>[1]Emissions!H945</f>
        <v>0</v>
      </c>
      <c r="J529" s="6">
        <f>[1]Emissions!I945</f>
        <v>0</v>
      </c>
      <c r="K529" s="6">
        <f>[1]Emissions!J945</f>
        <v>0</v>
      </c>
      <c r="L529" s="6">
        <f>[1]Emissions!K945</f>
        <v>0</v>
      </c>
      <c r="M529" s="6">
        <f>[1]Emissions!L945</f>
        <v>0</v>
      </c>
      <c r="N529" s="6">
        <f>[1]Emissions!M945</f>
        <v>0</v>
      </c>
      <c r="O529" s="6">
        <f>[1]Emissions!N945</f>
        <v>0</v>
      </c>
      <c r="P529" s="6">
        <f>[1]Emissions!O945</f>
        <v>0</v>
      </c>
      <c r="Q529" s="6">
        <f>[1]Emissions!P945</f>
        <v>0</v>
      </c>
      <c r="R529" s="6">
        <f>[1]Emissions!Q945</f>
        <v>0</v>
      </c>
      <c r="S529" s="6">
        <f>[1]Emissions!R945</f>
        <v>0</v>
      </c>
      <c r="T529" s="6">
        <f>[1]Emissions!S945</f>
        <v>0</v>
      </c>
      <c r="U529" s="6">
        <f>[1]Emissions!T945</f>
        <v>0</v>
      </c>
      <c r="V529" s="6">
        <f>[1]Emissions!U945</f>
        <v>0</v>
      </c>
      <c r="W529" s="6">
        <f>[1]Emissions!V945</f>
        <v>0</v>
      </c>
      <c r="X529" s="6">
        <f>[1]Emissions!W945</f>
        <v>0</v>
      </c>
      <c r="Y529" s="6">
        <f>[1]Emissions!X945</f>
        <v>0</v>
      </c>
      <c r="Z529" s="6">
        <f>[1]Emissions!Y945</f>
        <v>0</v>
      </c>
      <c r="AA529" s="6">
        <f>[1]Emissions!Z945</f>
        <v>0</v>
      </c>
      <c r="AB529" s="6">
        <f>[1]Emissions!AA945</f>
        <v>0</v>
      </c>
      <c r="AC529" s="6">
        <f>[1]Emissions!AB945</f>
        <v>0</v>
      </c>
      <c r="AD529" s="6">
        <f>[1]Emissions!AC945</f>
        <v>0</v>
      </c>
      <c r="AE529" s="6">
        <f>[1]Emissions!AD945</f>
        <v>0</v>
      </c>
      <c r="AF529" s="6">
        <f>[1]Emissions!AE945</f>
        <v>0</v>
      </c>
      <c r="AG529" s="6">
        <f>[1]Emissions!AF945</f>
        <v>0</v>
      </c>
      <c r="AH529" s="6">
        <f>[1]Emissions!AG945</f>
        <v>0</v>
      </c>
      <c r="AI529" s="6">
        <f>[1]Emissions!AH945</f>
        <v>0</v>
      </c>
      <c r="AJ529" s="6">
        <f>[1]Emissions!AI945</f>
        <v>0</v>
      </c>
      <c r="AK529" s="6">
        <f>[1]Emissions!AJ945</f>
        <v>0</v>
      </c>
      <c r="AL529" s="6">
        <f>[1]Emissions!AK945</f>
        <v>0</v>
      </c>
    </row>
    <row r="530" spans="2:38" hidden="1" x14ac:dyDescent="0.3">
      <c r="B530" s="16" t="str">
        <f>[1]Emissions!A946</f>
        <v>ems_mat_co2_srai_0</v>
      </c>
      <c r="C530" s="6">
        <f>[1]Emissions!B946</f>
        <v>0</v>
      </c>
      <c r="D530" s="6">
        <f>[1]Emissions!C946</f>
        <v>0</v>
      </c>
      <c r="E530" s="6">
        <f>[1]Emissions!D946</f>
        <v>0</v>
      </c>
      <c r="F530" s="6">
        <f>[1]Emissions!E946</f>
        <v>0</v>
      </c>
      <c r="G530" s="6">
        <f>[1]Emissions!F946</f>
        <v>0</v>
      </c>
      <c r="H530" s="6">
        <f>[1]Emissions!G946</f>
        <v>0</v>
      </c>
      <c r="I530" s="6">
        <f>[1]Emissions!H946</f>
        <v>0</v>
      </c>
      <c r="J530" s="6">
        <f>[1]Emissions!I946</f>
        <v>0</v>
      </c>
      <c r="K530" s="6">
        <f>[1]Emissions!J946</f>
        <v>0</v>
      </c>
      <c r="L530" s="6">
        <f>[1]Emissions!K946</f>
        <v>0</v>
      </c>
      <c r="M530" s="6">
        <f>[1]Emissions!L946</f>
        <v>0</v>
      </c>
      <c r="N530" s="6">
        <f>[1]Emissions!M946</f>
        <v>0</v>
      </c>
      <c r="O530" s="6">
        <f>[1]Emissions!N946</f>
        <v>0</v>
      </c>
      <c r="P530" s="6">
        <f>[1]Emissions!O946</f>
        <v>0</v>
      </c>
      <c r="Q530" s="6">
        <f>[1]Emissions!P946</f>
        <v>0</v>
      </c>
      <c r="R530" s="6">
        <f>[1]Emissions!Q946</f>
        <v>0</v>
      </c>
      <c r="S530" s="6">
        <f>[1]Emissions!R946</f>
        <v>0</v>
      </c>
      <c r="T530" s="6">
        <f>[1]Emissions!S946</f>
        <v>0</v>
      </c>
      <c r="U530" s="6">
        <f>[1]Emissions!T946</f>
        <v>0</v>
      </c>
      <c r="V530" s="6">
        <f>[1]Emissions!U946</f>
        <v>0</v>
      </c>
      <c r="W530" s="6">
        <f>[1]Emissions!V946</f>
        <v>0</v>
      </c>
      <c r="X530" s="6">
        <f>[1]Emissions!W946</f>
        <v>0</v>
      </c>
      <c r="Y530" s="6">
        <f>[1]Emissions!X946</f>
        <v>0</v>
      </c>
      <c r="Z530" s="6">
        <f>[1]Emissions!Y946</f>
        <v>0</v>
      </c>
      <c r="AA530" s="6">
        <f>[1]Emissions!Z946</f>
        <v>0</v>
      </c>
      <c r="AB530" s="6">
        <f>[1]Emissions!AA946</f>
        <v>0</v>
      </c>
      <c r="AC530" s="6">
        <f>[1]Emissions!AB946</f>
        <v>0</v>
      </c>
      <c r="AD530" s="6">
        <f>[1]Emissions!AC946</f>
        <v>0</v>
      </c>
      <c r="AE530" s="6">
        <f>[1]Emissions!AD946</f>
        <v>0</v>
      </c>
      <c r="AF530" s="6">
        <f>[1]Emissions!AE946</f>
        <v>0</v>
      </c>
      <c r="AG530" s="6">
        <f>[1]Emissions!AF946</f>
        <v>0</v>
      </c>
      <c r="AH530" s="6">
        <f>[1]Emissions!AG946</f>
        <v>0</v>
      </c>
      <c r="AI530" s="6">
        <f>[1]Emissions!AH946</f>
        <v>0</v>
      </c>
      <c r="AJ530" s="6">
        <f>[1]Emissions!AI946</f>
        <v>0</v>
      </c>
      <c r="AK530" s="6">
        <f>[1]Emissions!AJ946</f>
        <v>0</v>
      </c>
      <c r="AL530" s="6">
        <f>[1]Emissions!AK946</f>
        <v>0</v>
      </c>
    </row>
    <row r="531" spans="2:38" hidden="1" x14ac:dyDescent="0.3">
      <c r="B531" s="16" t="str">
        <f>[1]Emissions!A947</f>
        <v>ems_ci_co2_sroa_0</v>
      </c>
      <c r="C531" s="6">
        <f>[1]Emissions!B947</f>
        <v>16.043584360000001</v>
      </c>
      <c r="D531" s="6">
        <f>[1]Emissions!C947</f>
        <v>15.99709125</v>
      </c>
      <c r="E531" s="6">
        <f>[1]Emissions!D947</f>
        <v>15.973187149999999</v>
      </c>
      <c r="F531" s="6">
        <f>[1]Emissions!E947</f>
        <v>16.01090232</v>
      </c>
      <c r="G531" s="6">
        <f>[1]Emissions!F947</f>
        <v>16.101426109999998</v>
      </c>
      <c r="H531" s="6">
        <f>[1]Emissions!G947</f>
        <v>16.232448120000001</v>
      </c>
      <c r="I531" s="6">
        <f>[1]Emissions!H947</f>
        <v>16.39036917</v>
      </c>
      <c r="J531" s="6">
        <f>[1]Emissions!I947</f>
        <v>16.562353819999998</v>
      </c>
      <c r="K531" s="6">
        <f>[1]Emissions!J947</f>
        <v>16.743485660000001</v>
      </c>
      <c r="L531" s="6">
        <f>[1]Emissions!K947</f>
        <v>16.931894799999998</v>
      </c>
      <c r="M531" s="6">
        <f>[1]Emissions!L947</f>
        <v>17.129754680000001</v>
      </c>
      <c r="N531" s="6">
        <f>[1]Emissions!M947</f>
        <v>17.344212970000001</v>
      </c>
      <c r="O531" s="6">
        <f>[1]Emissions!N947</f>
        <v>17.563675480000001</v>
      </c>
      <c r="P531" s="6">
        <f>[1]Emissions!O947</f>
        <v>17.786796679999998</v>
      </c>
      <c r="Q531" s="6">
        <f>[1]Emissions!P947</f>
        <v>18.01321403</v>
      </c>
      <c r="R531" s="6">
        <f>[1]Emissions!Q947</f>
        <v>18.24254607</v>
      </c>
      <c r="S531" s="6">
        <f>[1]Emissions!R947</f>
        <v>18.474468730000002</v>
      </c>
      <c r="T531" s="6">
        <f>[1]Emissions!S947</f>
        <v>18.708840739999999</v>
      </c>
      <c r="U531" s="6">
        <f>[1]Emissions!T947</f>
        <v>18.94583347</v>
      </c>
      <c r="V531" s="6">
        <f>[1]Emissions!U947</f>
        <v>19.185862369999999</v>
      </c>
      <c r="W531" s="6">
        <f>[1]Emissions!V947</f>
        <v>19.425937650000002</v>
      </c>
      <c r="X531" s="6">
        <f>[1]Emissions!W947</f>
        <v>19.665329570000001</v>
      </c>
      <c r="Y531" s="6">
        <f>[1]Emissions!X947</f>
        <v>19.911904209999999</v>
      </c>
      <c r="Z531" s="6">
        <f>[1]Emissions!Y947</f>
        <v>20.165534239999999</v>
      </c>
      <c r="AA531" s="6">
        <f>[1]Emissions!Z947</f>
        <v>20.4251708</v>
      </c>
      <c r="AB531" s="6">
        <f>[1]Emissions!AA947</f>
        <v>20.676342200000001</v>
      </c>
      <c r="AC531" s="6">
        <f>[1]Emissions!AB947</f>
        <v>20.918837799999999</v>
      </c>
      <c r="AD531" s="6">
        <f>[1]Emissions!AC947</f>
        <v>21.163710330000001</v>
      </c>
      <c r="AE531" s="6">
        <f>[1]Emissions!AD947</f>
        <v>21.413132390000001</v>
      </c>
      <c r="AF531" s="6">
        <f>[1]Emissions!AE947</f>
        <v>21.667727759999998</v>
      </c>
      <c r="AG531" s="6">
        <f>[1]Emissions!AF947</f>
        <v>21.9275065</v>
      </c>
      <c r="AH531" s="6">
        <f>[1]Emissions!AG947</f>
        <v>22.192067040000001</v>
      </c>
      <c r="AI531" s="6">
        <f>[1]Emissions!AH947</f>
        <v>22.460865399999999</v>
      </c>
      <c r="AJ531" s="6">
        <f>[1]Emissions!AI947</f>
        <v>22.73346798</v>
      </c>
      <c r="AK531" s="6">
        <f>[1]Emissions!AJ947</f>
        <v>23.009685560000001</v>
      </c>
      <c r="AL531" s="6">
        <f>[1]Emissions!AK947</f>
        <v>23.289566059999999</v>
      </c>
    </row>
    <row r="532" spans="2:38" hidden="1" x14ac:dyDescent="0.3">
      <c r="B532" s="16" t="str">
        <f>[1]Emissions!A948</f>
        <v>ems_y_co2_sroa_0</v>
      </c>
      <c r="C532" s="6">
        <f>[1]Emissions!B948</f>
        <v>0</v>
      </c>
      <c r="D532" s="6">
        <f>[1]Emissions!C948</f>
        <v>0</v>
      </c>
      <c r="E532" s="6">
        <f>[1]Emissions!D948</f>
        <v>0</v>
      </c>
      <c r="F532" s="6">
        <f>[1]Emissions!E948</f>
        <v>0</v>
      </c>
      <c r="G532" s="6">
        <f>[1]Emissions!F948</f>
        <v>0</v>
      </c>
      <c r="H532" s="6">
        <f>[1]Emissions!G948</f>
        <v>0</v>
      </c>
      <c r="I532" s="6">
        <f>[1]Emissions!H948</f>
        <v>0</v>
      </c>
      <c r="J532" s="6">
        <f>[1]Emissions!I948</f>
        <v>0</v>
      </c>
      <c r="K532" s="6">
        <f>[1]Emissions!J948</f>
        <v>0</v>
      </c>
      <c r="L532" s="6">
        <f>[1]Emissions!K948</f>
        <v>0</v>
      </c>
      <c r="M532" s="6">
        <f>[1]Emissions!L948</f>
        <v>0</v>
      </c>
      <c r="N532" s="6">
        <f>[1]Emissions!M948</f>
        <v>0</v>
      </c>
      <c r="O532" s="6">
        <f>[1]Emissions!N948</f>
        <v>0</v>
      </c>
      <c r="P532" s="6">
        <f>[1]Emissions!O948</f>
        <v>0</v>
      </c>
      <c r="Q532" s="6">
        <f>[1]Emissions!P948</f>
        <v>0</v>
      </c>
      <c r="R532" s="6">
        <f>[1]Emissions!Q948</f>
        <v>0</v>
      </c>
      <c r="S532" s="6">
        <f>[1]Emissions!R948</f>
        <v>0</v>
      </c>
      <c r="T532" s="6">
        <f>[1]Emissions!S948</f>
        <v>0</v>
      </c>
      <c r="U532" s="6">
        <f>[1]Emissions!T948</f>
        <v>0</v>
      </c>
      <c r="V532" s="6">
        <f>[1]Emissions!U948</f>
        <v>0</v>
      </c>
      <c r="W532" s="6">
        <f>[1]Emissions!V948</f>
        <v>0</v>
      </c>
      <c r="X532" s="6">
        <f>[1]Emissions!W948</f>
        <v>0</v>
      </c>
      <c r="Y532" s="6">
        <f>[1]Emissions!X948</f>
        <v>0</v>
      </c>
      <c r="Z532" s="6">
        <f>[1]Emissions!Y948</f>
        <v>0</v>
      </c>
      <c r="AA532" s="6">
        <f>[1]Emissions!Z948</f>
        <v>0</v>
      </c>
      <c r="AB532" s="6">
        <f>[1]Emissions!AA948</f>
        <v>0</v>
      </c>
      <c r="AC532" s="6">
        <f>[1]Emissions!AB948</f>
        <v>0</v>
      </c>
      <c r="AD532" s="6">
        <f>[1]Emissions!AC948</f>
        <v>0</v>
      </c>
      <c r="AE532" s="6">
        <f>[1]Emissions!AD948</f>
        <v>0</v>
      </c>
      <c r="AF532" s="6">
        <f>[1]Emissions!AE948</f>
        <v>0</v>
      </c>
      <c r="AG532" s="6">
        <f>[1]Emissions!AF948</f>
        <v>0</v>
      </c>
      <c r="AH532" s="6">
        <f>[1]Emissions!AG948</f>
        <v>0</v>
      </c>
      <c r="AI532" s="6">
        <f>[1]Emissions!AH948</f>
        <v>0</v>
      </c>
      <c r="AJ532" s="6">
        <f>[1]Emissions!AI948</f>
        <v>0</v>
      </c>
      <c r="AK532" s="6">
        <f>[1]Emissions!AJ948</f>
        <v>0</v>
      </c>
      <c r="AL532" s="6">
        <f>[1]Emissions!AK948</f>
        <v>0</v>
      </c>
    </row>
    <row r="533" spans="2:38" hidden="1" x14ac:dyDescent="0.3">
      <c r="B533" s="16" t="str">
        <f>[1]Emissions!A949</f>
        <v>ems_mat_co2_sroa_0</v>
      </c>
      <c r="C533" s="6">
        <f>[1]Emissions!B949</f>
        <v>0</v>
      </c>
      <c r="D533" s="6">
        <f>[1]Emissions!C949</f>
        <v>0</v>
      </c>
      <c r="E533" s="6">
        <f>[1]Emissions!D949</f>
        <v>0</v>
      </c>
      <c r="F533" s="6">
        <f>[1]Emissions!E949</f>
        <v>0</v>
      </c>
      <c r="G533" s="6">
        <f>[1]Emissions!F949</f>
        <v>0</v>
      </c>
      <c r="H533" s="6">
        <f>[1]Emissions!G949</f>
        <v>0</v>
      </c>
      <c r="I533" s="6">
        <f>[1]Emissions!H949</f>
        <v>0</v>
      </c>
      <c r="J533" s="6">
        <f>[1]Emissions!I949</f>
        <v>0</v>
      </c>
      <c r="K533" s="6">
        <f>[1]Emissions!J949</f>
        <v>0</v>
      </c>
      <c r="L533" s="6">
        <f>[1]Emissions!K949</f>
        <v>0</v>
      </c>
      <c r="M533" s="6">
        <f>[1]Emissions!L949</f>
        <v>0</v>
      </c>
      <c r="N533" s="6">
        <f>[1]Emissions!M949</f>
        <v>0</v>
      </c>
      <c r="O533" s="6">
        <f>[1]Emissions!N949</f>
        <v>0</v>
      </c>
      <c r="P533" s="6">
        <f>[1]Emissions!O949</f>
        <v>0</v>
      </c>
      <c r="Q533" s="6">
        <f>[1]Emissions!P949</f>
        <v>0</v>
      </c>
      <c r="R533" s="6">
        <f>[1]Emissions!Q949</f>
        <v>0</v>
      </c>
      <c r="S533" s="6">
        <f>[1]Emissions!R949</f>
        <v>0</v>
      </c>
      <c r="T533" s="6">
        <f>[1]Emissions!S949</f>
        <v>0</v>
      </c>
      <c r="U533" s="6">
        <f>[1]Emissions!T949</f>
        <v>0</v>
      </c>
      <c r="V533" s="6">
        <f>[1]Emissions!U949</f>
        <v>0</v>
      </c>
      <c r="W533" s="6">
        <f>[1]Emissions!V949</f>
        <v>0</v>
      </c>
      <c r="X533" s="6">
        <f>[1]Emissions!W949</f>
        <v>0</v>
      </c>
      <c r="Y533" s="6">
        <f>[1]Emissions!X949</f>
        <v>0</v>
      </c>
      <c r="Z533" s="6">
        <f>[1]Emissions!Y949</f>
        <v>0</v>
      </c>
      <c r="AA533" s="6">
        <f>[1]Emissions!Z949</f>
        <v>0</v>
      </c>
      <c r="AB533" s="6">
        <f>[1]Emissions!AA949</f>
        <v>0</v>
      </c>
      <c r="AC533" s="6">
        <f>[1]Emissions!AB949</f>
        <v>0</v>
      </c>
      <c r="AD533" s="6">
        <f>[1]Emissions!AC949</f>
        <v>0</v>
      </c>
      <c r="AE533" s="6">
        <f>[1]Emissions!AD949</f>
        <v>0</v>
      </c>
      <c r="AF533" s="6">
        <f>[1]Emissions!AE949</f>
        <v>0</v>
      </c>
      <c r="AG533" s="6">
        <f>[1]Emissions!AF949</f>
        <v>0</v>
      </c>
      <c r="AH533" s="6">
        <f>[1]Emissions!AG949</f>
        <v>0</v>
      </c>
      <c r="AI533" s="6">
        <f>[1]Emissions!AH949</f>
        <v>0</v>
      </c>
      <c r="AJ533" s="6">
        <f>[1]Emissions!AI949</f>
        <v>0</v>
      </c>
      <c r="AK533" s="6">
        <f>[1]Emissions!AJ949</f>
        <v>0</v>
      </c>
      <c r="AL533" s="6">
        <f>[1]Emissions!AK949</f>
        <v>0</v>
      </c>
    </row>
    <row r="534" spans="2:38" hidden="1" x14ac:dyDescent="0.3">
      <c r="B534" s="16" t="str">
        <f>[1]Emissions!A950</f>
        <v>ems_ci_co2_swat_0</v>
      </c>
      <c r="C534" s="6">
        <f>[1]Emissions!B950</f>
        <v>3.7871648360000001</v>
      </c>
      <c r="D534" s="6">
        <f>[1]Emissions!C950</f>
        <v>3.8471703490000002</v>
      </c>
      <c r="E534" s="6">
        <f>[1]Emissions!D950</f>
        <v>3.9120774780000001</v>
      </c>
      <c r="F534" s="6">
        <f>[1]Emissions!E950</f>
        <v>3.9815562880000002</v>
      </c>
      <c r="G534" s="6">
        <f>[1]Emissions!F950</f>
        <v>4.056939957</v>
      </c>
      <c r="H534" s="6">
        <f>[1]Emissions!G950</f>
        <v>4.1376657100000003</v>
      </c>
      <c r="I534" s="6">
        <f>[1]Emissions!H950</f>
        <v>4.2178628729999996</v>
      </c>
      <c r="J534" s="6">
        <f>[1]Emissions!I950</f>
        <v>4.2971261849999998</v>
      </c>
      <c r="K534" s="6">
        <f>[1]Emissions!J950</f>
        <v>4.3731784999999999</v>
      </c>
      <c r="L534" s="6">
        <f>[1]Emissions!K950</f>
        <v>4.4449250339999997</v>
      </c>
      <c r="M534" s="6">
        <f>[1]Emissions!L950</f>
        <v>4.5189693479999997</v>
      </c>
      <c r="N534" s="6">
        <f>[1]Emissions!M950</f>
        <v>4.5860567730000001</v>
      </c>
      <c r="O534" s="6">
        <f>[1]Emissions!N950</f>
        <v>4.6519397580000001</v>
      </c>
      <c r="P534" s="6">
        <f>[1]Emissions!O950</f>
        <v>4.718201734</v>
      </c>
      <c r="Q534" s="6">
        <f>[1]Emissions!P950</f>
        <v>4.7854244530000001</v>
      </c>
      <c r="R534" s="6">
        <f>[1]Emissions!Q950</f>
        <v>4.8537150630000001</v>
      </c>
      <c r="S534" s="6">
        <f>[1]Emissions!R950</f>
        <v>4.9229763210000002</v>
      </c>
      <c r="T534" s="6">
        <f>[1]Emissions!S950</f>
        <v>4.9931143320000002</v>
      </c>
      <c r="U534" s="6">
        <f>[1]Emissions!T950</f>
        <v>5.0641562970000003</v>
      </c>
      <c r="V534" s="6">
        <f>[1]Emissions!U950</f>
        <v>5.1362613960000001</v>
      </c>
      <c r="W534" s="6">
        <f>[1]Emissions!V950</f>
        <v>5.2051416320000001</v>
      </c>
      <c r="X534" s="6">
        <f>[1]Emissions!W950</f>
        <v>5.279136651</v>
      </c>
      <c r="Y534" s="6">
        <f>[1]Emissions!X950</f>
        <v>5.355359773</v>
      </c>
      <c r="Z534" s="6">
        <f>[1]Emissions!Y950</f>
        <v>5.4335879970000001</v>
      </c>
      <c r="AA534" s="6">
        <f>[1]Emissions!Z950</f>
        <v>5.5137197479999998</v>
      </c>
      <c r="AB534" s="6">
        <f>[1]Emissions!AA950</f>
        <v>5.5824694040000002</v>
      </c>
      <c r="AC534" s="6">
        <f>[1]Emissions!AB950</f>
        <v>5.6570109349999997</v>
      </c>
      <c r="AD534" s="6">
        <f>[1]Emissions!AC950</f>
        <v>5.7332164250000002</v>
      </c>
      <c r="AE534" s="6">
        <f>[1]Emissions!AD950</f>
        <v>5.8110367570000001</v>
      </c>
      <c r="AF534" s="6">
        <f>[1]Emissions!AE950</f>
        <v>5.8908330490000003</v>
      </c>
      <c r="AG534" s="6">
        <f>[1]Emissions!AF950</f>
        <v>5.9727718850000002</v>
      </c>
      <c r="AH534" s="6">
        <f>[1]Emissions!AG950</f>
        <v>6.0567320809999998</v>
      </c>
      <c r="AI534" s="6">
        <f>[1]Emissions!AH950</f>
        <v>6.142393942</v>
      </c>
      <c r="AJ534" s="6">
        <f>[1]Emissions!AI950</f>
        <v>6.2293975750000001</v>
      </c>
      <c r="AK534" s="6">
        <f>[1]Emissions!AJ950</f>
        <v>6.3174834280000001</v>
      </c>
      <c r="AL534" s="6">
        <f>[1]Emissions!AK950</f>
        <v>6.4065607440000001</v>
      </c>
    </row>
    <row r="535" spans="2:38" hidden="1" x14ac:dyDescent="0.3">
      <c r="B535" s="16" t="str">
        <f>[1]Emissions!A951</f>
        <v>ems_y_co2_swat_0</v>
      </c>
      <c r="C535" s="6">
        <f>[1]Emissions!B951</f>
        <v>0</v>
      </c>
      <c r="D535" s="6">
        <f>[1]Emissions!C951</f>
        <v>0</v>
      </c>
      <c r="E535" s="6">
        <f>[1]Emissions!D951</f>
        <v>0</v>
      </c>
      <c r="F535" s="6">
        <f>[1]Emissions!E951</f>
        <v>0</v>
      </c>
      <c r="G535" s="6">
        <f>[1]Emissions!F951</f>
        <v>0</v>
      </c>
      <c r="H535" s="6">
        <f>[1]Emissions!G951</f>
        <v>0</v>
      </c>
      <c r="I535" s="6">
        <f>[1]Emissions!H951</f>
        <v>0</v>
      </c>
      <c r="J535" s="6">
        <f>[1]Emissions!I951</f>
        <v>0</v>
      </c>
      <c r="K535" s="6">
        <f>[1]Emissions!J951</f>
        <v>0</v>
      </c>
      <c r="L535" s="6">
        <f>[1]Emissions!K951</f>
        <v>0</v>
      </c>
      <c r="M535" s="6">
        <f>[1]Emissions!L951</f>
        <v>0</v>
      </c>
      <c r="N535" s="6">
        <f>[1]Emissions!M951</f>
        <v>0</v>
      </c>
      <c r="O535" s="6">
        <f>[1]Emissions!N951</f>
        <v>0</v>
      </c>
      <c r="P535" s="6">
        <f>[1]Emissions!O951</f>
        <v>0</v>
      </c>
      <c r="Q535" s="6">
        <f>[1]Emissions!P951</f>
        <v>0</v>
      </c>
      <c r="R535" s="6">
        <f>[1]Emissions!Q951</f>
        <v>0</v>
      </c>
      <c r="S535" s="6">
        <f>[1]Emissions!R951</f>
        <v>0</v>
      </c>
      <c r="T535" s="6">
        <f>[1]Emissions!S951</f>
        <v>0</v>
      </c>
      <c r="U535" s="6">
        <f>[1]Emissions!T951</f>
        <v>0</v>
      </c>
      <c r="V535" s="6">
        <f>[1]Emissions!U951</f>
        <v>0</v>
      </c>
      <c r="W535" s="6">
        <f>[1]Emissions!V951</f>
        <v>0</v>
      </c>
      <c r="X535" s="6">
        <f>[1]Emissions!W951</f>
        <v>0</v>
      </c>
      <c r="Y535" s="6">
        <f>[1]Emissions!X951</f>
        <v>0</v>
      </c>
      <c r="Z535" s="6">
        <f>[1]Emissions!Y951</f>
        <v>0</v>
      </c>
      <c r="AA535" s="6">
        <f>[1]Emissions!Z951</f>
        <v>0</v>
      </c>
      <c r="AB535" s="6">
        <f>[1]Emissions!AA951</f>
        <v>0</v>
      </c>
      <c r="AC535" s="6">
        <f>[1]Emissions!AB951</f>
        <v>0</v>
      </c>
      <c r="AD535" s="6">
        <f>[1]Emissions!AC951</f>
        <v>0</v>
      </c>
      <c r="AE535" s="6">
        <f>[1]Emissions!AD951</f>
        <v>0</v>
      </c>
      <c r="AF535" s="6">
        <f>[1]Emissions!AE951</f>
        <v>0</v>
      </c>
      <c r="AG535" s="6">
        <f>[1]Emissions!AF951</f>
        <v>0</v>
      </c>
      <c r="AH535" s="6">
        <f>[1]Emissions!AG951</f>
        <v>0</v>
      </c>
      <c r="AI535" s="6">
        <f>[1]Emissions!AH951</f>
        <v>0</v>
      </c>
      <c r="AJ535" s="6">
        <f>[1]Emissions!AI951</f>
        <v>0</v>
      </c>
      <c r="AK535" s="6">
        <f>[1]Emissions!AJ951</f>
        <v>0</v>
      </c>
      <c r="AL535" s="6">
        <f>[1]Emissions!AK951</f>
        <v>0</v>
      </c>
    </row>
    <row r="536" spans="2:38" hidden="1" x14ac:dyDescent="0.3">
      <c r="B536" s="16" t="str">
        <f>[1]Emissions!A952</f>
        <v>ems_mat_co2_swat_0</v>
      </c>
      <c r="C536" s="6">
        <f>[1]Emissions!B952</f>
        <v>0</v>
      </c>
      <c r="D536" s="6">
        <f>[1]Emissions!C952</f>
        <v>0</v>
      </c>
      <c r="E536" s="6">
        <f>[1]Emissions!D952</f>
        <v>0</v>
      </c>
      <c r="F536" s="6">
        <f>[1]Emissions!E952</f>
        <v>0</v>
      </c>
      <c r="G536" s="6">
        <f>[1]Emissions!F952</f>
        <v>0</v>
      </c>
      <c r="H536" s="6">
        <f>[1]Emissions!G952</f>
        <v>0</v>
      </c>
      <c r="I536" s="6">
        <f>[1]Emissions!H952</f>
        <v>0</v>
      </c>
      <c r="J536" s="6">
        <f>[1]Emissions!I952</f>
        <v>0</v>
      </c>
      <c r="K536" s="6">
        <f>[1]Emissions!J952</f>
        <v>0</v>
      </c>
      <c r="L536" s="6">
        <f>[1]Emissions!K952</f>
        <v>0</v>
      </c>
      <c r="M536" s="6">
        <f>[1]Emissions!L952</f>
        <v>0</v>
      </c>
      <c r="N536" s="6">
        <f>[1]Emissions!M952</f>
        <v>0</v>
      </c>
      <c r="O536" s="6">
        <f>[1]Emissions!N952</f>
        <v>0</v>
      </c>
      <c r="P536" s="6">
        <f>[1]Emissions!O952</f>
        <v>0</v>
      </c>
      <c r="Q536" s="6">
        <f>[1]Emissions!P952</f>
        <v>0</v>
      </c>
      <c r="R536" s="6">
        <f>[1]Emissions!Q952</f>
        <v>0</v>
      </c>
      <c r="S536" s="6">
        <f>[1]Emissions!R952</f>
        <v>0</v>
      </c>
      <c r="T536" s="6">
        <f>[1]Emissions!S952</f>
        <v>0</v>
      </c>
      <c r="U536" s="6">
        <f>[1]Emissions!T952</f>
        <v>0</v>
      </c>
      <c r="V536" s="6">
        <f>[1]Emissions!U952</f>
        <v>0</v>
      </c>
      <c r="W536" s="6">
        <f>[1]Emissions!V952</f>
        <v>0</v>
      </c>
      <c r="X536" s="6">
        <f>[1]Emissions!W952</f>
        <v>0</v>
      </c>
      <c r="Y536" s="6">
        <f>[1]Emissions!X952</f>
        <v>0</v>
      </c>
      <c r="Z536" s="6">
        <f>[1]Emissions!Y952</f>
        <v>0</v>
      </c>
      <c r="AA536" s="6">
        <f>[1]Emissions!Z952</f>
        <v>0</v>
      </c>
      <c r="AB536" s="6">
        <f>[1]Emissions!AA952</f>
        <v>0</v>
      </c>
      <c r="AC536" s="6">
        <f>[1]Emissions!AB952</f>
        <v>0</v>
      </c>
      <c r="AD536" s="6">
        <f>[1]Emissions!AC952</f>
        <v>0</v>
      </c>
      <c r="AE536" s="6">
        <f>[1]Emissions!AD952</f>
        <v>0</v>
      </c>
      <c r="AF536" s="6">
        <f>[1]Emissions!AE952</f>
        <v>0</v>
      </c>
      <c r="AG536" s="6">
        <f>[1]Emissions!AF952</f>
        <v>0</v>
      </c>
      <c r="AH536" s="6">
        <f>[1]Emissions!AG952</f>
        <v>0</v>
      </c>
      <c r="AI536" s="6">
        <f>[1]Emissions!AH952</f>
        <v>0</v>
      </c>
      <c r="AJ536" s="6">
        <f>[1]Emissions!AI952</f>
        <v>0</v>
      </c>
      <c r="AK536" s="6">
        <f>[1]Emissions!AJ952</f>
        <v>0</v>
      </c>
      <c r="AL536" s="6">
        <f>[1]Emissions!AK952</f>
        <v>0</v>
      </c>
    </row>
    <row r="537" spans="2:38" hidden="1" x14ac:dyDescent="0.3">
      <c r="B537" s="16" t="str">
        <f>[1]Emissions!A953</f>
        <v>ems_ci_co2_sair_0</v>
      </c>
      <c r="C537" s="6">
        <f>[1]Emissions!B953</f>
        <v>19.865303740000002</v>
      </c>
      <c r="D537" s="6">
        <f>[1]Emissions!C953</f>
        <v>20.11204111</v>
      </c>
      <c r="E537" s="6">
        <f>[1]Emissions!D953</f>
        <v>20.407258670000001</v>
      </c>
      <c r="F537" s="6">
        <f>[1]Emissions!E953</f>
        <v>20.7519773</v>
      </c>
      <c r="G537" s="6">
        <f>[1]Emissions!F953</f>
        <v>21.133488</v>
      </c>
      <c r="H537" s="6">
        <f>[1]Emissions!G953</f>
        <v>21.536563260000001</v>
      </c>
      <c r="I537" s="6">
        <f>[1]Emissions!H953</f>
        <v>21.934165310000001</v>
      </c>
      <c r="J537" s="6">
        <f>[1]Emissions!I953</f>
        <v>22.325118589999999</v>
      </c>
      <c r="K537" s="6">
        <f>[1]Emissions!J953</f>
        <v>22.710785659999999</v>
      </c>
      <c r="L537" s="6">
        <f>[1]Emissions!K953</f>
        <v>23.096970290000002</v>
      </c>
      <c r="M537" s="6">
        <f>[1]Emissions!L953</f>
        <v>23.51403221</v>
      </c>
      <c r="N537" s="6">
        <f>[1]Emissions!M953</f>
        <v>23.932812569999999</v>
      </c>
      <c r="O537" s="6">
        <f>[1]Emissions!N953</f>
        <v>24.360831090000001</v>
      </c>
      <c r="P537" s="6">
        <f>[1]Emissions!O953</f>
        <v>24.797755179999999</v>
      </c>
      <c r="Q537" s="6">
        <f>[1]Emissions!P953</f>
        <v>25.24162819</v>
      </c>
      <c r="R537" s="6">
        <f>[1]Emissions!Q953</f>
        <v>25.69058532</v>
      </c>
      <c r="S537" s="6">
        <f>[1]Emissions!R953</f>
        <v>26.143665599999999</v>
      </c>
      <c r="T537" s="6">
        <f>[1]Emissions!S953</f>
        <v>26.600964749999999</v>
      </c>
      <c r="U537" s="6">
        <f>[1]Emissions!T953</f>
        <v>27.063382430000001</v>
      </c>
      <c r="V537" s="6">
        <f>[1]Emissions!U953</f>
        <v>27.532144540000001</v>
      </c>
      <c r="W537" s="6">
        <f>[1]Emissions!V953</f>
        <v>27.989664919999999</v>
      </c>
      <c r="X537" s="6">
        <f>[1]Emissions!W953</f>
        <v>28.464658610000001</v>
      </c>
      <c r="Y537" s="6">
        <f>[1]Emissions!X953</f>
        <v>28.95299284</v>
      </c>
      <c r="Z537" s="6">
        <f>[1]Emissions!Y953</f>
        <v>29.45333003</v>
      </c>
      <c r="AA537" s="6">
        <f>[1]Emissions!Z953</f>
        <v>29.964313310000001</v>
      </c>
      <c r="AB537" s="6">
        <f>[1]Emissions!AA953</f>
        <v>30.427606650000001</v>
      </c>
      <c r="AC537" s="6">
        <f>[1]Emissions!AB953</f>
        <v>30.904572229999999</v>
      </c>
      <c r="AD537" s="6">
        <f>[1]Emissions!AC953</f>
        <v>31.392677750000001</v>
      </c>
      <c r="AE537" s="6">
        <f>[1]Emissions!AD953</f>
        <v>31.893130729999999</v>
      </c>
      <c r="AF537" s="6">
        <f>[1]Emissions!AE953</f>
        <v>32.405908119999999</v>
      </c>
      <c r="AG537" s="6">
        <f>[1]Emissions!AF953</f>
        <v>32.929899460000001</v>
      </c>
      <c r="AH537" s="6">
        <f>[1]Emissions!AG953</f>
        <v>33.463633160000001</v>
      </c>
      <c r="AI537" s="6">
        <f>[1]Emissions!AH953</f>
        <v>34.006008180000002</v>
      </c>
      <c r="AJ537" s="6">
        <f>[1]Emissions!AI953</f>
        <v>34.556704799999999</v>
      </c>
      <c r="AK537" s="6">
        <f>[1]Emissions!AJ953</f>
        <v>35.116168340000002</v>
      </c>
      <c r="AL537" s="6">
        <f>[1]Emissions!AK953</f>
        <v>35.68526988</v>
      </c>
    </row>
    <row r="538" spans="2:38" hidden="1" x14ac:dyDescent="0.3">
      <c r="B538" s="16" t="str">
        <f>[1]Emissions!A954</f>
        <v>ems_y_co2_sair_0</v>
      </c>
      <c r="C538" s="6">
        <f>[1]Emissions!B954</f>
        <v>0</v>
      </c>
      <c r="D538" s="6">
        <f>[1]Emissions!C954</f>
        <v>0</v>
      </c>
      <c r="E538" s="6">
        <f>[1]Emissions!D954</f>
        <v>0</v>
      </c>
      <c r="F538" s="6">
        <f>[1]Emissions!E954</f>
        <v>0</v>
      </c>
      <c r="G538" s="6">
        <f>[1]Emissions!F954</f>
        <v>0</v>
      </c>
      <c r="H538" s="6">
        <f>[1]Emissions!G954</f>
        <v>0</v>
      </c>
      <c r="I538" s="6">
        <f>[1]Emissions!H954</f>
        <v>0</v>
      </c>
      <c r="J538" s="6">
        <f>[1]Emissions!I954</f>
        <v>0</v>
      </c>
      <c r="K538" s="6">
        <f>[1]Emissions!J954</f>
        <v>0</v>
      </c>
      <c r="L538" s="6">
        <f>[1]Emissions!K954</f>
        <v>0</v>
      </c>
      <c r="M538" s="6">
        <f>[1]Emissions!L954</f>
        <v>0</v>
      </c>
      <c r="N538" s="6">
        <f>[1]Emissions!M954</f>
        <v>0</v>
      </c>
      <c r="O538" s="6">
        <f>[1]Emissions!N954</f>
        <v>0</v>
      </c>
      <c r="P538" s="6">
        <f>[1]Emissions!O954</f>
        <v>0</v>
      </c>
      <c r="Q538" s="6">
        <f>[1]Emissions!P954</f>
        <v>0</v>
      </c>
      <c r="R538" s="6">
        <f>[1]Emissions!Q954</f>
        <v>0</v>
      </c>
      <c r="S538" s="6">
        <f>[1]Emissions!R954</f>
        <v>0</v>
      </c>
      <c r="T538" s="6">
        <f>[1]Emissions!S954</f>
        <v>0</v>
      </c>
      <c r="U538" s="6">
        <f>[1]Emissions!T954</f>
        <v>0</v>
      </c>
      <c r="V538" s="6">
        <f>[1]Emissions!U954</f>
        <v>0</v>
      </c>
      <c r="W538" s="6">
        <f>[1]Emissions!V954</f>
        <v>0</v>
      </c>
      <c r="X538" s="6">
        <f>[1]Emissions!W954</f>
        <v>0</v>
      </c>
      <c r="Y538" s="6">
        <f>[1]Emissions!X954</f>
        <v>0</v>
      </c>
      <c r="Z538" s="6">
        <f>[1]Emissions!Y954</f>
        <v>0</v>
      </c>
      <c r="AA538" s="6">
        <f>[1]Emissions!Z954</f>
        <v>0</v>
      </c>
      <c r="AB538" s="6">
        <f>[1]Emissions!AA954</f>
        <v>0</v>
      </c>
      <c r="AC538" s="6">
        <f>[1]Emissions!AB954</f>
        <v>0</v>
      </c>
      <c r="AD538" s="6">
        <f>[1]Emissions!AC954</f>
        <v>0</v>
      </c>
      <c r="AE538" s="6">
        <f>[1]Emissions!AD954</f>
        <v>0</v>
      </c>
      <c r="AF538" s="6">
        <f>[1]Emissions!AE954</f>
        <v>0</v>
      </c>
      <c r="AG538" s="6">
        <f>[1]Emissions!AF954</f>
        <v>0</v>
      </c>
      <c r="AH538" s="6">
        <f>[1]Emissions!AG954</f>
        <v>0</v>
      </c>
      <c r="AI538" s="6">
        <f>[1]Emissions!AH954</f>
        <v>0</v>
      </c>
      <c r="AJ538" s="6">
        <f>[1]Emissions!AI954</f>
        <v>0</v>
      </c>
      <c r="AK538" s="6">
        <f>[1]Emissions!AJ954</f>
        <v>0</v>
      </c>
      <c r="AL538" s="6">
        <f>[1]Emissions!AK954</f>
        <v>0</v>
      </c>
    </row>
    <row r="539" spans="2:38" hidden="1" x14ac:dyDescent="0.3">
      <c r="B539" s="16" t="str">
        <f>[1]Emissions!A955</f>
        <v>ems_mat_co2_sair_0</v>
      </c>
      <c r="C539" s="6">
        <f>[1]Emissions!B955</f>
        <v>0</v>
      </c>
      <c r="D539" s="6">
        <f>[1]Emissions!C955</f>
        <v>0</v>
      </c>
      <c r="E539" s="6">
        <f>[1]Emissions!D955</f>
        <v>0</v>
      </c>
      <c r="F539" s="6">
        <f>[1]Emissions!E955</f>
        <v>0</v>
      </c>
      <c r="G539" s="6">
        <f>[1]Emissions!F955</f>
        <v>0</v>
      </c>
      <c r="H539" s="6">
        <f>[1]Emissions!G955</f>
        <v>0</v>
      </c>
      <c r="I539" s="6">
        <f>[1]Emissions!H955</f>
        <v>0</v>
      </c>
      <c r="J539" s="6">
        <f>[1]Emissions!I955</f>
        <v>0</v>
      </c>
      <c r="K539" s="6">
        <f>[1]Emissions!J955</f>
        <v>0</v>
      </c>
      <c r="L539" s="6">
        <f>[1]Emissions!K955</f>
        <v>0</v>
      </c>
      <c r="M539" s="6">
        <f>[1]Emissions!L955</f>
        <v>0</v>
      </c>
      <c r="N539" s="6">
        <f>[1]Emissions!M955</f>
        <v>0</v>
      </c>
      <c r="O539" s="6">
        <f>[1]Emissions!N955</f>
        <v>0</v>
      </c>
      <c r="P539" s="6">
        <f>[1]Emissions!O955</f>
        <v>0</v>
      </c>
      <c r="Q539" s="6">
        <f>[1]Emissions!P955</f>
        <v>0</v>
      </c>
      <c r="R539" s="6">
        <f>[1]Emissions!Q955</f>
        <v>0</v>
      </c>
      <c r="S539" s="6">
        <f>[1]Emissions!R955</f>
        <v>0</v>
      </c>
      <c r="T539" s="6">
        <f>[1]Emissions!S955</f>
        <v>0</v>
      </c>
      <c r="U539" s="6">
        <f>[1]Emissions!T955</f>
        <v>0</v>
      </c>
      <c r="V539" s="6">
        <f>[1]Emissions!U955</f>
        <v>0</v>
      </c>
      <c r="W539" s="6">
        <f>[1]Emissions!V955</f>
        <v>0</v>
      </c>
      <c r="X539" s="6">
        <f>[1]Emissions!W955</f>
        <v>0</v>
      </c>
      <c r="Y539" s="6">
        <f>[1]Emissions!X955</f>
        <v>0</v>
      </c>
      <c r="Z539" s="6">
        <f>[1]Emissions!Y955</f>
        <v>0</v>
      </c>
      <c r="AA539" s="6">
        <f>[1]Emissions!Z955</f>
        <v>0</v>
      </c>
      <c r="AB539" s="6">
        <f>[1]Emissions!AA955</f>
        <v>0</v>
      </c>
      <c r="AC539" s="6">
        <f>[1]Emissions!AB955</f>
        <v>0</v>
      </c>
      <c r="AD539" s="6">
        <f>[1]Emissions!AC955</f>
        <v>0</v>
      </c>
      <c r="AE539" s="6">
        <f>[1]Emissions!AD955</f>
        <v>0</v>
      </c>
      <c r="AF539" s="6">
        <f>[1]Emissions!AE955</f>
        <v>0</v>
      </c>
      <c r="AG539" s="6">
        <f>[1]Emissions!AF955</f>
        <v>0</v>
      </c>
      <c r="AH539" s="6">
        <f>[1]Emissions!AG955</f>
        <v>0</v>
      </c>
      <c r="AI539" s="6">
        <f>[1]Emissions!AH955</f>
        <v>0</v>
      </c>
      <c r="AJ539" s="6">
        <f>[1]Emissions!AI955</f>
        <v>0</v>
      </c>
      <c r="AK539" s="6">
        <f>[1]Emissions!AJ955</f>
        <v>0</v>
      </c>
      <c r="AL539" s="6">
        <f>[1]Emissions!AK955</f>
        <v>0</v>
      </c>
    </row>
    <row r="540" spans="2:38" hidden="1" x14ac:dyDescent="0.3">
      <c r="B540" s="16" t="str">
        <f>[1]Emissions!A956</f>
        <v>ems_ci_co2_spri_0</v>
      </c>
      <c r="C540" s="6">
        <f>[1]Emissions!B956</f>
        <v>30.97960806</v>
      </c>
      <c r="D540" s="6">
        <f>[1]Emissions!C956</f>
        <v>31.13940354</v>
      </c>
      <c r="E540" s="6">
        <f>[1]Emissions!D956</f>
        <v>31.06235242</v>
      </c>
      <c r="F540" s="6">
        <f>[1]Emissions!E956</f>
        <v>30.924520130000001</v>
      </c>
      <c r="G540" s="6">
        <f>[1]Emissions!F956</f>
        <v>30.86930946</v>
      </c>
      <c r="H540" s="6">
        <f>[1]Emissions!G956</f>
        <v>31.03693144</v>
      </c>
      <c r="I540" s="6">
        <f>[1]Emissions!H956</f>
        <v>31.548742529999998</v>
      </c>
      <c r="J540" s="6">
        <f>[1]Emissions!I956</f>
        <v>32.325154410000003</v>
      </c>
      <c r="K540" s="6">
        <f>[1]Emissions!J956</f>
        <v>33.282035180000001</v>
      </c>
      <c r="L540" s="6">
        <f>[1]Emissions!K956</f>
        <v>34.299485730000001</v>
      </c>
      <c r="M540" s="6">
        <f>[1]Emissions!L956</f>
        <v>35.171333429999997</v>
      </c>
      <c r="N540" s="6">
        <f>[1]Emissions!M956</f>
        <v>36.106113309999998</v>
      </c>
      <c r="O540" s="6">
        <f>[1]Emissions!N956</f>
        <v>36.957063130000002</v>
      </c>
      <c r="P540" s="6">
        <f>[1]Emissions!O956</f>
        <v>37.743002560000001</v>
      </c>
      <c r="Q540" s="6">
        <f>[1]Emissions!P956</f>
        <v>38.494494590000002</v>
      </c>
      <c r="R540" s="6">
        <f>[1]Emissions!Q956</f>
        <v>39.231156110000001</v>
      </c>
      <c r="S540" s="6">
        <f>[1]Emissions!R956</f>
        <v>39.958589089999997</v>
      </c>
      <c r="T540" s="6">
        <f>[1]Emissions!S956</f>
        <v>40.672663540000002</v>
      </c>
      <c r="U540" s="6">
        <f>[1]Emissions!T956</f>
        <v>41.367458210000002</v>
      </c>
      <c r="V540" s="6">
        <f>[1]Emissions!U956</f>
        <v>42.041311370000003</v>
      </c>
      <c r="W540" s="6">
        <f>[1]Emissions!V956</f>
        <v>42.759090020000002</v>
      </c>
      <c r="X540" s="6">
        <f>[1]Emissions!W956</f>
        <v>43.364103970000002</v>
      </c>
      <c r="Y540" s="6">
        <f>[1]Emissions!X956</f>
        <v>43.973236300000003</v>
      </c>
      <c r="Z540" s="6">
        <f>[1]Emissions!Y956</f>
        <v>44.607377130000003</v>
      </c>
      <c r="AA540" s="6">
        <f>[1]Emissions!Z956</f>
        <v>45.278646739999999</v>
      </c>
      <c r="AB540" s="6">
        <f>[1]Emissions!AA956</f>
        <v>46.139783999999999</v>
      </c>
      <c r="AC540" s="6">
        <f>[1]Emissions!AB956</f>
        <v>46.839540620000001</v>
      </c>
      <c r="AD540" s="6">
        <f>[1]Emissions!AC956</f>
        <v>47.506413369999997</v>
      </c>
      <c r="AE540" s="6">
        <f>[1]Emissions!AD956</f>
        <v>48.151992309999997</v>
      </c>
      <c r="AF540" s="6">
        <f>[1]Emissions!AE956</f>
        <v>48.792570449999999</v>
      </c>
      <c r="AG540" s="6">
        <f>[1]Emissions!AF956</f>
        <v>49.451205000000002</v>
      </c>
      <c r="AH540" s="6">
        <f>[1]Emissions!AG956</f>
        <v>50.146762950000003</v>
      </c>
      <c r="AI540" s="6">
        <f>[1]Emissions!AH956</f>
        <v>50.886788119999999</v>
      </c>
      <c r="AJ540" s="6">
        <f>[1]Emissions!AI956</f>
        <v>51.666813670000003</v>
      </c>
      <c r="AK540" s="6">
        <f>[1]Emissions!AJ956</f>
        <v>52.47473866</v>
      </c>
      <c r="AL540" s="6">
        <f>[1]Emissions!AK956</f>
        <v>53.297213050000003</v>
      </c>
    </row>
    <row r="541" spans="2:38" hidden="1" x14ac:dyDescent="0.3">
      <c r="B541" s="16" t="str">
        <f>[1]Emissions!A957</f>
        <v>ems_y_co2_spri_0</v>
      </c>
      <c r="C541" s="6">
        <f>[1]Emissions!B957</f>
        <v>0.40384413009999998</v>
      </c>
      <c r="D541" s="6">
        <f>[1]Emissions!C957</f>
        <v>0.40504472159999999</v>
      </c>
      <c r="E541" s="6">
        <f>[1]Emissions!D957</f>
        <v>0.4085483466</v>
      </c>
      <c r="F541" s="6">
        <f>[1]Emissions!E957</f>
        <v>0.41462774460000001</v>
      </c>
      <c r="G541" s="6">
        <f>[1]Emissions!F957</f>
        <v>0.421970338</v>
      </c>
      <c r="H541" s="6">
        <f>[1]Emissions!G957</f>
        <v>0.4296396992</v>
      </c>
      <c r="I541" s="6">
        <f>[1]Emissions!H957</f>
        <v>0.4375031654</v>
      </c>
      <c r="J541" s="6">
        <f>[1]Emissions!I957</f>
        <v>0.44435510839999998</v>
      </c>
      <c r="K541" s="6">
        <f>[1]Emissions!J957</f>
        <v>0.4506036148</v>
      </c>
      <c r="L541" s="6">
        <f>[1]Emissions!K957</f>
        <v>0.45672950769999998</v>
      </c>
      <c r="M541" s="6">
        <f>[1]Emissions!L957</f>
        <v>0.4623522363</v>
      </c>
      <c r="N541" s="6">
        <f>[1]Emissions!M957</f>
        <v>0.47017405029999998</v>
      </c>
      <c r="O541" s="6">
        <f>[1]Emissions!N957</f>
        <v>0.47801498419999999</v>
      </c>
      <c r="P541" s="6">
        <f>[1]Emissions!O957</f>
        <v>0.48597791070000002</v>
      </c>
      <c r="Q541" s="6">
        <f>[1]Emissions!P957</f>
        <v>0.49405358059999999</v>
      </c>
      <c r="R541" s="6">
        <f>[1]Emissions!Q957</f>
        <v>0.50222332879999998</v>
      </c>
      <c r="S541" s="6">
        <f>[1]Emissions!R957</f>
        <v>0.51048149509999996</v>
      </c>
      <c r="T541" s="6">
        <f>[1]Emissions!S957</f>
        <v>0.51883622829999998</v>
      </c>
      <c r="U541" s="6">
        <f>[1]Emissions!T957</f>
        <v>0.52731004780000001</v>
      </c>
      <c r="V541" s="6">
        <f>[1]Emissions!U957</f>
        <v>0.53592585309999996</v>
      </c>
      <c r="W541" s="6">
        <f>[1]Emissions!V957</f>
        <v>0.54514571970000003</v>
      </c>
      <c r="X541" s="6">
        <f>[1]Emissions!W957</f>
        <v>0.55343630070000005</v>
      </c>
      <c r="Y541" s="6">
        <f>[1]Emissions!X957</f>
        <v>0.5622250754</v>
      </c>
      <c r="Z541" s="6">
        <f>[1]Emissions!Y957</f>
        <v>0.57131770199999998</v>
      </c>
      <c r="AA541" s="6">
        <f>[1]Emissions!Z957</f>
        <v>0.58058767960000002</v>
      </c>
      <c r="AB541" s="6">
        <f>[1]Emissions!AA957</f>
        <v>0.59104236860000003</v>
      </c>
      <c r="AC541" s="6">
        <f>[1]Emissions!AB957</f>
        <v>0.59940228849999999</v>
      </c>
      <c r="AD541" s="6">
        <f>[1]Emissions!AC957</f>
        <v>0.60806031780000003</v>
      </c>
      <c r="AE541" s="6">
        <f>[1]Emissions!AD957</f>
        <v>0.61701181549999995</v>
      </c>
      <c r="AF541" s="6">
        <f>[1]Emissions!AE957</f>
        <v>0.62621311430000004</v>
      </c>
      <c r="AG541" s="6">
        <f>[1]Emissions!AF957</f>
        <v>0.63559058049999995</v>
      </c>
      <c r="AH541" s="6">
        <f>[1]Emissions!AG957</f>
        <v>0.64507223579999995</v>
      </c>
      <c r="AI541" s="6">
        <f>[1]Emissions!AH957</f>
        <v>0.65461560870000002</v>
      </c>
      <c r="AJ541" s="6">
        <f>[1]Emissions!AI957</f>
        <v>0.66421782360000003</v>
      </c>
      <c r="AK541" s="6">
        <f>[1]Emissions!AJ957</f>
        <v>0.67390722830000005</v>
      </c>
      <c r="AL541" s="6">
        <f>[1]Emissions!AK957</f>
        <v>0.68372433649999997</v>
      </c>
    </row>
    <row r="542" spans="2:38" hidden="1" x14ac:dyDescent="0.3">
      <c r="B542" s="16" t="str">
        <f>[1]Emissions!A958</f>
        <v>ems_mat_co2_spri_0</v>
      </c>
      <c r="C542" s="6">
        <f>[1]Emissions!B958</f>
        <v>0.59216026710000003</v>
      </c>
      <c r="D542" s="6">
        <f>[1]Emissions!C958</f>
        <v>0.59441334440000004</v>
      </c>
      <c r="E542" s="6">
        <f>[1]Emissions!D958</f>
        <v>0.59921034230000003</v>
      </c>
      <c r="F542" s="6">
        <f>[1]Emissions!E958</f>
        <v>0.607778402</v>
      </c>
      <c r="G542" s="6">
        <f>[1]Emissions!F958</f>
        <v>0.61844975999999996</v>
      </c>
      <c r="H542" s="6">
        <f>[1]Emissions!G958</f>
        <v>0.62976052530000004</v>
      </c>
      <c r="I542" s="6">
        <f>[1]Emissions!H958</f>
        <v>0.64136943469999996</v>
      </c>
      <c r="J542" s="6">
        <f>[1]Emissions!I958</f>
        <v>0.65161835430000004</v>
      </c>
      <c r="K542" s="6">
        <f>[1]Emissions!J958</f>
        <v>0.66088831270000004</v>
      </c>
      <c r="L542" s="6">
        <f>[1]Emissions!K958</f>
        <v>0.66988422729999997</v>
      </c>
      <c r="M542" s="6">
        <f>[1]Emissions!L958</f>
        <v>0.6781752768</v>
      </c>
      <c r="N542" s="6">
        <f>[1]Emissions!M958</f>
        <v>0.68936338090000004</v>
      </c>
      <c r="O542" s="6">
        <f>[1]Emissions!N958</f>
        <v>0.7008892954</v>
      </c>
      <c r="P542" s="6">
        <f>[1]Emissions!O958</f>
        <v>0.71260042109999999</v>
      </c>
      <c r="Q542" s="6">
        <f>[1]Emissions!P958</f>
        <v>0.72447002159999996</v>
      </c>
      <c r="R542" s="6">
        <f>[1]Emissions!Q958</f>
        <v>0.73647247849999997</v>
      </c>
      <c r="S542" s="6">
        <f>[1]Emissions!R958</f>
        <v>0.74859935619999995</v>
      </c>
      <c r="T542" s="6">
        <f>[1]Emissions!S958</f>
        <v>0.76086230749999995</v>
      </c>
      <c r="U542" s="6">
        <f>[1]Emissions!T958</f>
        <v>0.77329411150000005</v>
      </c>
      <c r="V542" s="6">
        <f>[1]Emissions!U958</f>
        <v>0.78592987010000004</v>
      </c>
      <c r="W542" s="6">
        <f>[1]Emissions!V958</f>
        <v>0.79939698420000005</v>
      </c>
      <c r="X542" s="6">
        <f>[1]Emissions!W958</f>
        <v>0.81169268510000003</v>
      </c>
      <c r="Y542" s="6">
        <f>[1]Emissions!X958</f>
        <v>0.82452783039999999</v>
      </c>
      <c r="Z542" s="6">
        <f>[1]Emissions!Y958</f>
        <v>0.83783109919999998</v>
      </c>
      <c r="AA542" s="6">
        <f>[1]Emissions!Z958</f>
        <v>0.85142008049999995</v>
      </c>
      <c r="AB542" s="6">
        <f>[1]Emissions!AA958</f>
        <v>0.86663205099999996</v>
      </c>
      <c r="AC542" s="6">
        <f>[1]Emissions!AB958</f>
        <v>0.87918269169999996</v>
      </c>
      <c r="AD542" s="6">
        <f>[1]Emissions!AC958</f>
        <v>0.89184001980000005</v>
      </c>
      <c r="AE542" s="6">
        <f>[1]Emissions!AD958</f>
        <v>0.90491220630000002</v>
      </c>
      <c r="AF542" s="6">
        <f>[1]Emissions!AE958</f>
        <v>0.91836972549999996</v>
      </c>
      <c r="AG542" s="6">
        <f>[1]Emissions!AF958</f>
        <v>0.93210584190000001</v>
      </c>
      <c r="AH542" s="6">
        <f>[1]Emissions!AG958</f>
        <v>0.94600937370000004</v>
      </c>
      <c r="AI542" s="6">
        <f>[1]Emissions!AH958</f>
        <v>0.96001004710000004</v>
      </c>
      <c r="AJ542" s="6">
        <f>[1]Emissions!AI958</f>
        <v>0.97409646400000005</v>
      </c>
      <c r="AK542" s="6">
        <f>[1]Emissions!AJ958</f>
        <v>0.98830607520000002</v>
      </c>
      <c r="AL542" s="6">
        <f>[1]Emissions!AK958</f>
        <v>1.0026978419999999</v>
      </c>
    </row>
    <row r="543" spans="2:38" hidden="1" x14ac:dyDescent="0.3">
      <c r="B543" s="16" t="str">
        <f>[1]Emissions!A959</f>
        <v>ems_ci_co2_spub_0</v>
      </c>
      <c r="C543" s="6">
        <f>[1]Emissions!B959</f>
        <v>15.11717672</v>
      </c>
      <c r="D543" s="6">
        <f>[1]Emissions!C959</f>
        <v>15.27732808</v>
      </c>
      <c r="E543" s="6">
        <f>[1]Emissions!D959</f>
        <v>15.367111960000001</v>
      </c>
      <c r="F543" s="6">
        <f>[1]Emissions!E959</f>
        <v>15.4237044</v>
      </c>
      <c r="G543" s="6">
        <f>[1]Emissions!F959</f>
        <v>15.49506774</v>
      </c>
      <c r="H543" s="6">
        <f>[1]Emissions!G959</f>
        <v>15.63182419</v>
      </c>
      <c r="I543" s="6">
        <f>[1]Emissions!H959</f>
        <v>15.8711889</v>
      </c>
      <c r="J543" s="6">
        <f>[1]Emissions!I959</f>
        <v>16.200462330000001</v>
      </c>
      <c r="K543" s="6">
        <f>[1]Emissions!J959</f>
        <v>16.594574860000002</v>
      </c>
      <c r="L543" s="6">
        <f>[1]Emissions!K959</f>
        <v>17.01410177</v>
      </c>
      <c r="M543" s="6">
        <f>[1]Emissions!L959</f>
        <v>17.406770949999999</v>
      </c>
      <c r="N543" s="6">
        <f>[1]Emissions!M959</f>
        <v>17.804282100000002</v>
      </c>
      <c r="O543" s="6">
        <f>[1]Emissions!N959</f>
        <v>18.175576960000001</v>
      </c>
      <c r="P543" s="6">
        <f>[1]Emissions!O959</f>
        <v>18.528293219999998</v>
      </c>
      <c r="Q543" s="6">
        <f>[1]Emissions!P959</f>
        <v>18.872366249999999</v>
      </c>
      <c r="R543" s="6">
        <f>[1]Emissions!Q959</f>
        <v>19.214238219999999</v>
      </c>
      <c r="S543" s="6">
        <f>[1]Emissions!R959</f>
        <v>19.555886130000001</v>
      </c>
      <c r="T543" s="6">
        <f>[1]Emissions!S959</f>
        <v>19.896060089999999</v>
      </c>
      <c r="U543" s="6">
        <f>[1]Emissions!T959</f>
        <v>20.232723570000001</v>
      </c>
      <c r="V543" s="6">
        <f>[1]Emissions!U959</f>
        <v>20.565020530000002</v>
      </c>
      <c r="W543" s="6">
        <f>[1]Emissions!V959</f>
        <v>20.901950500000002</v>
      </c>
      <c r="X543" s="6">
        <f>[1]Emissions!W959</f>
        <v>21.217575310000001</v>
      </c>
      <c r="Y543" s="6">
        <f>[1]Emissions!X959</f>
        <v>21.53588555</v>
      </c>
      <c r="Z543" s="6">
        <f>[1]Emissions!Y959</f>
        <v>21.862409660000001</v>
      </c>
      <c r="AA543" s="6">
        <f>[1]Emissions!Z959</f>
        <v>22.201420779999999</v>
      </c>
      <c r="AB543" s="6">
        <f>[1]Emissions!AA959</f>
        <v>22.571260720000001</v>
      </c>
      <c r="AC543" s="6">
        <f>[1]Emissions!AB959</f>
        <v>22.910764610000001</v>
      </c>
      <c r="AD543" s="6">
        <f>[1]Emissions!AC959</f>
        <v>23.243453460000001</v>
      </c>
      <c r="AE543" s="6">
        <f>[1]Emissions!AD959</f>
        <v>23.570399470000002</v>
      </c>
      <c r="AF543" s="6">
        <f>[1]Emissions!AE959</f>
        <v>23.896123079999999</v>
      </c>
      <c r="AG543" s="6">
        <f>[1]Emissions!AF959</f>
        <v>24.227923260000001</v>
      </c>
      <c r="AH543" s="6">
        <f>[1]Emissions!AG959</f>
        <v>24.572173500000002</v>
      </c>
      <c r="AI543" s="6">
        <f>[1]Emissions!AH959</f>
        <v>24.93181075</v>
      </c>
      <c r="AJ543" s="6">
        <f>[1]Emissions!AI959</f>
        <v>25.305880550000001</v>
      </c>
      <c r="AK543" s="6">
        <f>[1]Emissions!AJ959</f>
        <v>25.69079284</v>
      </c>
      <c r="AL543" s="6">
        <f>[1]Emissions!AK959</f>
        <v>26.08234113</v>
      </c>
    </row>
    <row r="544" spans="2:38" hidden="1" x14ac:dyDescent="0.3">
      <c r="B544" s="16" t="str">
        <f>[1]Emissions!A960</f>
        <v>ems_y_co2_spub_0</v>
      </c>
      <c r="C544" s="6">
        <f>[1]Emissions!B960</f>
        <v>0</v>
      </c>
      <c r="D544" s="6">
        <f>[1]Emissions!C960</f>
        <v>0</v>
      </c>
      <c r="E544" s="6">
        <f>[1]Emissions!D960</f>
        <v>0</v>
      </c>
      <c r="F544" s="6">
        <f>[1]Emissions!E960</f>
        <v>0</v>
      </c>
      <c r="G544" s="6">
        <f>[1]Emissions!F960</f>
        <v>0</v>
      </c>
      <c r="H544" s="6">
        <f>[1]Emissions!G960</f>
        <v>0</v>
      </c>
      <c r="I544" s="6">
        <f>[1]Emissions!H960</f>
        <v>0</v>
      </c>
      <c r="J544" s="6">
        <f>[1]Emissions!I960</f>
        <v>0</v>
      </c>
      <c r="K544" s="6">
        <f>[1]Emissions!J960</f>
        <v>0</v>
      </c>
      <c r="L544" s="6">
        <f>[1]Emissions!K960</f>
        <v>0</v>
      </c>
      <c r="M544" s="6">
        <f>[1]Emissions!L960</f>
        <v>0</v>
      </c>
      <c r="N544" s="6">
        <f>[1]Emissions!M960</f>
        <v>0</v>
      </c>
      <c r="O544" s="6">
        <f>[1]Emissions!N960</f>
        <v>0</v>
      </c>
      <c r="P544" s="6">
        <f>[1]Emissions!O960</f>
        <v>0</v>
      </c>
      <c r="Q544" s="6">
        <f>[1]Emissions!P960</f>
        <v>0</v>
      </c>
      <c r="R544" s="6">
        <f>[1]Emissions!Q960</f>
        <v>0</v>
      </c>
      <c r="S544" s="6">
        <f>[1]Emissions!R960</f>
        <v>0</v>
      </c>
      <c r="T544" s="6">
        <f>[1]Emissions!S960</f>
        <v>0</v>
      </c>
      <c r="U544" s="6">
        <f>[1]Emissions!T960</f>
        <v>0</v>
      </c>
      <c r="V544" s="6">
        <f>[1]Emissions!U960</f>
        <v>0</v>
      </c>
      <c r="W544" s="6">
        <f>[1]Emissions!V960</f>
        <v>0</v>
      </c>
      <c r="X544" s="6">
        <f>[1]Emissions!W960</f>
        <v>0</v>
      </c>
      <c r="Y544" s="6">
        <f>[1]Emissions!X960</f>
        <v>0</v>
      </c>
      <c r="Z544" s="6">
        <f>[1]Emissions!Y960</f>
        <v>0</v>
      </c>
      <c r="AA544" s="6">
        <f>[1]Emissions!Z960</f>
        <v>0</v>
      </c>
      <c r="AB544" s="6">
        <f>[1]Emissions!AA960</f>
        <v>0</v>
      </c>
      <c r="AC544" s="6">
        <f>[1]Emissions!AB960</f>
        <v>0</v>
      </c>
      <c r="AD544" s="6">
        <f>[1]Emissions!AC960</f>
        <v>0</v>
      </c>
      <c r="AE544" s="6">
        <f>[1]Emissions!AD960</f>
        <v>0</v>
      </c>
      <c r="AF544" s="6">
        <f>[1]Emissions!AE960</f>
        <v>0</v>
      </c>
      <c r="AG544" s="6">
        <f>[1]Emissions!AF960</f>
        <v>0</v>
      </c>
      <c r="AH544" s="6">
        <f>[1]Emissions!AG960</f>
        <v>0</v>
      </c>
      <c r="AI544" s="6">
        <f>[1]Emissions!AH960</f>
        <v>0</v>
      </c>
      <c r="AJ544" s="6">
        <f>[1]Emissions!AI960</f>
        <v>0</v>
      </c>
      <c r="AK544" s="6">
        <f>[1]Emissions!AJ960</f>
        <v>0</v>
      </c>
      <c r="AL544" s="6">
        <f>[1]Emissions!AK960</f>
        <v>0</v>
      </c>
    </row>
    <row r="545" spans="2:38" hidden="1" x14ac:dyDescent="0.3">
      <c r="B545" s="16" t="str">
        <f>[1]Emissions!A961</f>
        <v>ems_mat_co2_spub_0</v>
      </c>
      <c r="C545" s="6">
        <f>[1]Emissions!B961</f>
        <v>9.7331678910000008</v>
      </c>
      <c r="D545" s="6">
        <f>[1]Emissions!C961</f>
        <v>9.8300874199999999</v>
      </c>
      <c r="E545" s="6">
        <f>[1]Emissions!D961</f>
        <v>9.9526635030000001</v>
      </c>
      <c r="F545" s="6">
        <f>[1]Emissions!E961</f>
        <v>10.104516759999999</v>
      </c>
      <c r="G545" s="6">
        <f>[1]Emissions!F961</f>
        <v>10.272628409999999</v>
      </c>
      <c r="H545" s="6">
        <f>[1]Emissions!G961</f>
        <v>10.447433889999999</v>
      </c>
      <c r="I545" s="6">
        <f>[1]Emissions!H961</f>
        <v>10.624948720000001</v>
      </c>
      <c r="J545" s="6">
        <f>[1]Emissions!I961</f>
        <v>10.795565910000001</v>
      </c>
      <c r="K545" s="6">
        <f>[1]Emissions!J961</f>
        <v>10.96291834</v>
      </c>
      <c r="L545" s="6">
        <f>[1]Emissions!K961</f>
        <v>11.131518489999999</v>
      </c>
      <c r="M545" s="6">
        <f>[1]Emissions!L961</f>
        <v>11.30272652</v>
      </c>
      <c r="N545" s="6">
        <f>[1]Emissions!M961</f>
        <v>11.492882720000001</v>
      </c>
      <c r="O545" s="6">
        <f>[1]Emissions!N961</f>
        <v>11.68471606</v>
      </c>
      <c r="P545" s="6">
        <f>[1]Emissions!O961</f>
        <v>11.87812982</v>
      </c>
      <c r="Q545" s="6">
        <f>[1]Emissions!P961</f>
        <v>12.073570589999999</v>
      </c>
      <c r="R545" s="6">
        <f>[1]Emissions!Q961</f>
        <v>12.27131142</v>
      </c>
      <c r="S545" s="6">
        <f>[1]Emissions!R961</f>
        <v>12.47154538</v>
      </c>
      <c r="T545" s="6">
        <f>[1]Emissions!S961</f>
        <v>12.67441131</v>
      </c>
      <c r="U545" s="6">
        <f>[1]Emissions!T961</f>
        <v>12.88009628</v>
      </c>
      <c r="V545" s="6">
        <f>[1]Emissions!U961</f>
        <v>13.088786560000001</v>
      </c>
      <c r="W545" s="6">
        <f>[1]Emissions!V961</f>
        <v>13.300501069999999</v>
      </c>
      <c r="X545" s="6">
        <f>[1]Emissions!W961</f>
        <v>13.507959250000001</v>
      </c>
      <c r="Y545" s="6">
        <f>[1]Emissions!X961</f>
        <v>13.72184116</v>
      </c>
      <c r="Z545" s="6">
        <f>[1]Emissions!Y961</f>
        <v>13.941139229999999</v>
      </c>
      <c r="AA545" s="6">
        <f>[1]Emissions!Z961</f>
        <v>14.16452539</v>
      </c>
      <c r="AB545" s="6">
        <f>[1]Emissions!AA961</f>
        <v>14.388523510000001</v>
      </c>
      <c r="AC545" s="6">
        <f>[1]Emissions!AB961</f>
        <v>14.59694724</v>
      </c>
      <c r="AD545" s="6">
        <f>[1]Emissions!AC961</f>
        <v>14.808305470000001</v>
      </c>
      <c r="AE545" s="6">
        <f>[1]Emissions!AD961</f>
        <v>15.02422735</v>
      </c>
      <c r="AF545" s="6">
        <f>[1]Emissions!AE961</f>
        <v>15.244338190000001</v>
      </c>
      <c r="AG545" s="6">
        <f>[1]Emissions!AF961</f>
        <v>15.46798843</v>
      </c>
      <c r="AH545" s="6">
        <f>[1]Emissions!AG961</f>
        <v>15.694627540000001</v>
      </c>
      <c r="AI545" s="6">
        <f>[1]Emissions!AH961</f>
        <v>15.923984300000001</v>
      </c>
      <c r="AJ545" s="6">
        <f>[1]Emissions!AI961</f>
        <v>16.156103470000001</v>
      </c>
      <c r="AK545" s="6">
        <f>[1]Emissions!AJ961</f>
        <v>16.39125516</v>
      </c>
      <c r="AL545" s="6">
        <f>[1]Emissions!AK961</f>
        <v>16.629778890000001</v>
      </c>
    </row>
    <row r="546" spans="2:38" hidden="1" x14ac:dyDescent="0.3">
      <c r="B546" s="16" t="str">
        <f>[1]Emissions!A962</f>
        <v>ems_ci_co2_smin_0</v>
      </c>
      <c r="C546" s="6">
        <f>[1]Emissions!B962</f>
        <v>1.7686087939999999</v>
      </c>
      <c r="D546" s="6">
        <f>[1]Emissions!C962</f>
        <v>1.963015811</v>
      </c>
      <c r="E546" s="6">
        <f>[1]Emissions!D962</f>
        <v>2.1500834580000001</v>
      </c>
      <c r="F546" s="6">
        <f>[1]Emissions!E962</f>
        <v>2.3054855409999999</v>
      </c>
      <c r="G546" s="6">
        <f>[1]Emissions!F962</f>
        <v>2.4343909400000001</v>
      </c>
      <c r="H546" s="6">
        <f>[1]Emissions!G962</f>
        <v>2.5451716160000002</v>
      </c>
      <c r="I546" s="6">
        <f>[1]Emissions!H962</f>
        <v>2.6343936710000002</v>
      </c>
      <c r="J546" s="6">
        <f>[1]Emissions!I962</f>
        <v>2.7157281229999999</v>
      </c>
      <c r="K546" s="6">
        <f>[1]Emissions!J962</f>
        <v>2.7906477060000001</v>
      </c>
      <c r="L546" s="6">
        <f>[1]Emissions!K962</f>
        <v>2.859201632</v>
      </c>
      <c r="M546" s="6">
        <f>[1]Emissions!L962</f>
        <v>2.935271717</v>
      </c>
      <c r="N546" s="6">
        <f>[1]Emissions!M962</f>
        <v>2.9915409340000001</v>
      </c>
      <c r="O546" s="6">
        <f>[1]Emissions!N962</f>
        <v>3.0447700740000001</v>
      </c>
      <c r="P546" s="6">
        <f>[1]Emissions!O962</f>
        <v>3.0980257789999999</v>
      </c>
      <c r="Q546" s="6">
        <f>[1]Emissions!P962</f>
        <v>3.1512044499999998</v>
      </c>
      <c r="R546" s="6">
        <f>[1]Emissions!Q962</f>
        <v>3.203906972</v>
      </c>
      <c r="S546" s="6">
        <f>[1]Emissions!R962</f>
        <v>3.2559629430000001</v>
      </c>
      <c r="T546" s="6">
        <f>[1]Emissions!S962</f>
        <v>3.3074891960000001</v>
      </c>
      <c r="U546" s="6">
        <f>[1]Emissions!T962</f>
        <v>3.358748018</v>
      </c>
      <c r="V546" s="6">
        <f>[1]Emissions!U962</f>
        <v>3.4100415630000001</v>
      </c>
      <c r="W546" s="6">
        <f>[1]Emissions!V962</f>
        <v>3.4521448189999999</v>
      </c>
      <c r="X546" s="6">
        <f>[1]Emissions!W962</f>
        <v>3.5058904530000001</v>
      </c>
      <c r="Y546" s="6">
        <f>[1]Emissions!X962</f>
        <v>3.5610853659999999</v>
      </c>
      <c r="Z546" s="6">
        <f>[1]Emissions!Y962</f>
        <v>3.6160093369999999</v>
      </c>
      <c r="AA546" s="6">
        <f>[1]Emissions!Z962</f>
        <v>3.6710260090000002</v>
      </c>
      <c r="AB546" s="6">
        <f>[1]Emissions!AA962</f>
        <v>3.6983907569999999</v>
      </c>
      <c r="AC546" s="6">
        <f>[1]Emissions!AB962</f>
        <v>3.7476686570000002</v>
      </c>
      <c r="AD546" s="6">
        <f>[1]Emissions!AC962</f>
        <v>3.8014525909999999</v>
      </c>
      <c r="AE546" s="6">
        <f>[1]Emissions!AD962</f>
        <v>3.8555129450000001</v>
      </c>
      <c r="AF546" s="6">
        <f>[1]Emissions!AE962</f>
        <v>3.9097650650000002</v>
      </c>
      <c r="AG546" s="6">
        <f>[1]Emissions!AF962</f>
        <v>3.9646184830000002</v>
      </c>
      <c r="AH546" s="6">
        <f>[1]Emissions!AG962</f>
        <v>4.0202623439999998</v>
      </c>
      <c r="AI546" s="6">
        <f>[1]Emissions!AH962</f>
        <v>4.0766751220000002</v>
      </c>
      <c r="AJ546" s="6">
        <f>[1]Emissions!AI962</f>
        <v>4.1337558530000003</v>
      </c>
      <c r="AK546" s="6">
        <f>[1]Emissions!AJ962</f>
        <v>4.1914294749999996</v>
      </c>
      <c r="AL546" s="6">
        <f>[1]Emissions!AK962</f>
        <v>4.2496939960000004</v>
      </c>
    </row>
    <row r="547" spans="2:38" hidden="1" x14ac:dyDescent="0.3">
      <c r="B547" s="16" t="str">
        <f>[1]Emissions!A963</f>
        <v>ems_y_co2_smin_0</v>
      </c>
      <c r="C547" s="6">
        <f>[1]Emissions!B963</f>
        <v>0</v>
      </c>
      <c r="D547" s="6">
        <f>[1]Emissions!C963</f>
        <v>0</v>
      </c>
      <c r="E547" s="6">
        <f>[1]Emissions!D963</f>
        <v>0</v>
      </c>
      <c r="F547" s="6">
        <f>[1]Emissions!E963</f>
        <v>0</v>
      </c>
      <c r="G547" s="6">
        <f>[1]Emissions!F963</f>
        <v>0</v>
      </c>
      <c r="H547" s="6">
        <f>[1]Emissions!G963</f>
        <v>0</v>
      </c>
      <c r="I547" s="6">
        <f>[1]Emissions!H963</f>
        <v>0</v>
      </c>
      <c r="J547" s="6">
        <f>[1]Emissions!I963</f>
        <v>0</v>
      </c>
      <c r="K547" s="6">
        <f>[1]Emissions!J963</f>
        <v>0</v>
      </c>
      <c r="L547" s="6">
        <f>[1]Emissions!K963</f>
        <v>0</v>
      </c>
      <c r="M547" s="6">
        <f>[1]Emissions!L963</f>
        <v>0</v>
      </c>
      <c r="N547" s="6">
        <f>[1]Emissions!M963</f>
        <v>0</v>
      </c>
      <c r="O547" s="6">
        <f>[1]Emissions!N963</f>
        <v>0</v>
      </c>
      <c r="P547" s="6">
        <f>[1]Emissions!O963</f>
        <v>0</v>
      </c>
      <c r="Q547" s="6">
        <f>[1]Emissions!P963</f>
        <v>0</v>
      </c>
      <c r="R547" s="6">
        <f>[1]Emissions!Q963</f>
        <v>0</v>
      </c>
      <c r="S547" s="6">
        <f>[1]Emissions!R963</f>
        <v>0</v>
      </c>
      <c r="T547" s="6">
        <f>[1]Emissions!S963</f>
        <v>0</v>
      </c>
      <c r="U547" s="6">
        <f>[1]Emissions!T963</f>
        <v>0</v>
      </c>
      <c r="V547" s="6">
        <f>[1]Emissions!U963</f>
        <v>0</v>
      </c>
      <c r="W547" s="6">
        <f>[1]Emissions!V963</f>
        <v>0</v>
      </c>
      <c r="X547" s="6">
        <f>[1]Emissions!W963</f>
        <v>0</v>
      </c>
      <c r="Y547" s="6">
        <f>[1]Emissions!X963</f>
        <v>0</v>
      </c>
      <c r="Z547" s="6">
        <f>[1]Emissions!Y963</f>
        <v>0</v>
      </c>
      <c r="AA547" s="6">
        <f>[1]Emissions!Z963</f>
        <v>0</v>
      </c>
      <c r="AB547" s="6">
        <f>[1]Emissions!AA963</f>
        <v>0</v>
      </c>
      <c r="AC547" s="6">
        <f>[1]Emissions!AB963</f>
        <v>0</v>
      </c>
      <c r="AD547" s="6">
        <f>[1]Emissions!AC963</f>
        <v>0</v>
      </c>
      <c r="AE547" s="6">
        <f>[1]Emissions!AD963</f>
        <v>0</v>
      </c>
      <c r="AF547" s="6">
        <f>[1]Emissions!AE963</f>
        <v>0</v>
      </c>
      <c r="AG547" s="6">
        <f>[1]Emissions!AF963</f>
        <v>0</v>
      </c>
      <c r="AH547" s="6">
        <f>[1]Emissions!AG963</f>
        <v>0</v>
      </c>
      <c r="AI547" s="6">
        <f>[1]Emissions!AH963</f>
        <v>0</v>
      </c>
      <c r="AJ547" s="6">
        <f>[1]Emissions!AI963</f>
        <v>0</v>
      </c>
      <c r="AK547" s="6">
        <f>[1]Emissions!AJ963</f>
        <v>0</v>
      </c>
      <c r="AL547" s="6">
        <f>[1]Emissions!AK963</f>
        <v>0</v>
      </c>
    </row>
    <row r="548" spans="2:38" hidden="1" x14ac:dyDescent="0.3">
      <c r="B548" s="16" t="str">
        <f>[1]Emissions!A964</f>
        <v>ems_mat_co2_smin_0</v>
      </c>
      <c r="C548" s="6">
        <f>[1]Emissions!B964</f>
        <v>9.7397463099999998E-2</v>
      </c>
      <c r="D548" s="6">
        <f>[1]Emissions!C964</f>
        <v>0.1080876554</v>
      </c>
      <c r="E548" s="6">
        <f>[1]Emissions!D964</f>
        <v>0.1184919532</v>
      </c>
      <c r="F548" s="6">
        <f>[1]Emissions!E964</f>
        <v>0.1272592813</v>
      </c>
      <c r="G548" s="6">
        <f>[1]Emissions!F964</f>
        <v>0.1345957964</v>
      </c>
      <c r="H548" s="6">
        <f>[1]Emissions!G964</f>
        <v>0.14086860339999999</v>
      </c>
      <c r="I548" s="6">
        <f>[1]Emissions!H964</f>
        <v>0.14581395159999999</v>
      </c>
      <c r="J548" s="6">
        <f>[1]Emissions!I964</f>
        <v>0.1501748899</v>
      </c>
      <c r="K548" s="6">
        <f>[1]Emissions!J964</f>
        <v>0.15407061799999999</v>
      </c>
      <c r="L548" s="6">
        <f>[1]Emissions!K964</f>
        <v>0.15756951960000001</v>
      </c>
      <c r="M548" s="6">
        <f>[1]Emissions!L964</f>
        <v>0.16151646189999999</v>
      </c>
      <c r="N548" s="6">
        <f>[1]Emissions!M964</f>
        <v>0.16440416059999999</v>
      </c>
      <c r="O548" s="6">
        <f>[1]Emissions!N964</f>
        <v>0.16716634089999999</v>
      </c>
      <c r="P548" s="6">
        <f>[1]Emissions!O964</f>
        <v>0.16996254429999999</v>
      </c>
      <c r="Q548" s="6">
        <f>[1]Emissions!P964</f>
        <v>0.1727748919</v>
      </c>
      <c r="R548" s="6">
        <f>[1]Emissions!Q964</f>
        <v>0.17557322920000001</v>
      </c>
      <c r="S548" s="6">
        <f>[1]Emissions!R964</f>
        <v>0.17834584840000001</v>
      </c>
      <c r="T548" s="6">
        <f>[1]Emissions!S964</f>
        <v>0.18110124720000001</v>
      </c>
      <c r="U548" s="6">
        <f>[1]Emissions!T964</f>
        <v>0.183857203</v>
      </c>
      <c r="V548" s="6">
        <f>[1]Emissions!U964</f>
        <v>0.18663203019999999</v>
      </c>
      <c r="W548" s="6">
        <f>[1]Emissions!V964</f>
        <v>0.1889080792</v>
      </c>
      <c r="X548" s="6">
        <f>[1]Emissions!W964</f>
        <v>0.19184615390000001</v>
      </c>
      <c r="Y548" s="6">
        <f>[1]Emissions!X964</f>
        <v>0.1948782158</v>
      </c>
      <c r="Z548" s="6">
        <f>[1]Emissions!Y964</f>
        <v>0.19789967889999999</v>
      </c>
      <c r="AA548" s="6">
        <f>[1]Emissions!Z964</f>
        <v>0.20092075600000001</v>
      </c>
      <c r="AB548" s="6">
        <f>[1]Emissions!AA964</f>
        <v>0.2023882793</v>
      </c>
      <c r="AC548" s="6">
        <f>[1]Emissions!AB964</f>
        <v>0.2050656938</v>
      </c>
      <c r="AD548" s="6">
        <f>[1]Emissions!AC964</f>
        <v>0.208008583</v>
      </c>
      <c r="AE548" s="6">
        <f>[1]Emissions!AD964</f>
        <v>0.21098819520000001</v>
      </c>
      <c r="AF548" s="6">
        <f>[1]Emissions!AE964</f>
        <v>0.21399282680000001</v>
      </c>
      <c r="AG548" s="6">
        <f>[1]Emissions!AF964</f>
        <v>0.2170327185</v>
      </c>
      <c r="AH548" s="6">
        <f>[1]Emissions!AG964</f>
        <v>0.2201072379</v>
      </c>
      <c r="AI548" s="6">
        <f>[1]Emissions!AH964</f>
        <v>0.2232096875</v>
      </c>
      <c r="AJ548" s="6">
        <f>[1]Emissions!AI964</f>
        <v>0.22633546460000001</v>
      </c>
      <c r="AK548" s="6">
        <f>[1]Emissions!AJ964</f>
        <v>0.2294859407</v>
      </c>
      <c r="AL548" s="6">
        <f>[1]Emissions!AK964</f>
        <v>0.23266778639999999</v>
      </c>
    </row>
    <row r="549" spans="2:38" hidden="1" x14ac:dyDescent="0.3">
      <c r="B549" s="16" t="str">
        <f>[1]Emissions!A965</f>
        <v>ems_ci_co2_soil_0</v>
      </c>
      <c r="C549" s="6">
        <f>[1]Emissions!B965</f>
        <v>16.64052448</v>
      </c>
      <c r="D549" s="6">
        <f>[1]Emissions!C965</f>
        <v>16.880246199999998</v>
      </c>
      <c r="E549" s="6">
        <f>[1]Emissions!D965</f>
        <v>17.087361949999998</v>
      </c>
      <c r="F549" s="6">
        <f>[1]Emissions!E965</f>
        <v>17.280278769999999</v>
      </c>
      <c r="G549" s="6">
        <f>[1]Emissions!F965</f>
        <v>17.476143879999999</v>
      </c>
      <c r="H549" s="6">
        <f>[1]Emissions!G965</f>
        <v>17.684277550000001</v>
      </c>
      <c r="I549" s="6">
        <f>[1]Emissions!H965</f>
        <v>17.896648840000001</v>
      </c>
      <c r="J549" s="6">
        <f>[1]Emissions!I965</f>
        <v>18.121696199999999</v>
      </c>
      <c r="K549" s="6">
        <f>[1]Emissions!J965</f>
        <v>18.356370510000001</v>
      </c>
      <c r="L549" s="6">
        <f>[1]Emissions!K965</f>
        <v>18.595601909999999</v>
      </c>
      <c r="M549" s="6">
        <f>[1]Emissions!L965</f>
        <v>18.852789260000002</v>
      </c>
      <c r="N549" s="6">
        <f>[1]Emissions!M965</f>
        <v>19.094947390000002</v>
      </c>
      <c r="O549" s="6">
        <f>[1]Emissions!N965</f>
        <v>19.334949460000001</v>
      </c>
      <c r="P549" s="6">
        <f>[1]Emissions!O965</f>
        <v>19.575387710000001</v>
      </c>
      <c r="Q549" s="6">
        <f>[1]Emissions!P965</f>
        <v>19.816913159999999</v>
      </c>
      <c r="R549" s="6">
        <f>[1]Emissions!Q965</f>
        <v>20.059759629999999</v>
      </c>
      <c r="S549" s="6">
        <f>[1]Emissions!R965</f>
        <v>20.303972519999999</v>
      </c>
      <c r="T549" s="6">
        <f>[1]Emissions!S965</f>
        <v>20.54946906</v>
      </c>
      <c r="U549" s="6">
        <f>[1]Emissions!T965</f>
        <v>20.796177369999999</v>
      </c>
      <c r="V549" s="6">
        <f>[1]Emissions!U965</f>
        <v>21.0441796</v>
      </c>
      <c r="W549" s="6">
        <f>[1]Emissions!V965</f>
        <v>21.280383530000002</v>
      </c>
      <c r="X549" s="6">
        <f>[1]Emissions!W965</f>
        <v>21.5290119</v>
      </c>
      <c r="Y549" s="6">
        <f>[1]Emissions!X965</f>
        <v>21.781552019999999</v>
      </c>
      <c r="Z549" s="6">
        <f>[1]Emissions!Y965</f>
        <v>22.037152420000002</v>
      </c>
      <c r="AA549" s="6">
        <f>[1]Emissions!Z965</f>
        <v>22.296326499999999</v>
      </c>
      <c r="AB549" s="6">
        <f>[1]Emissions!AA965</f>
        <v>22.519486300000001</v>
      </c>
      <c r="AC549" s="6">
        <f>[1]Emissions!AB965</f>
        <v>22.76045074</v>
      </c>
      <c r="AD549" s="6">
        <f>[1]Emissions!AC965</f>
        <v>23.00525305</v>
      </c>
      <c r="AE549" s="6">
        <f>[1]Emissions!AD965</f>
        <v>23.25137058</v>
      </c>
      <c r="AF549" s="6">
        <f>[1]Emissions!AE965</f>
        <v>23.49924364</v>
      </c>
      <c r="AG549" s="6">
        <f>[1]Emissions!AF965</f>
        <v>23.749866969999999</v>
      </c>
      <c r="AH549" s="6">
        <f>[1]Emissions!AG965</f>
        <v>24.00402206</v>
      </c>
      <c r="AI549" s="6">
        <f>[1]Emissions!AH965</f>
        <v>24.262044960000001</v>
      </c>
      <c r="AJ549" s="6">
        <f>[1]Emissions!AI965</f>
        <v>24.523855560000001</v>
      </c>
      <c r="AK549" s="6">
        <f>[1]Emissions!AJ965</f>
        <v>24.78912979</v>
      </c>
      <c r="AL549" s="6">
        <f>[1]Emissions!AK965</f>
        <v>25.057510829999998</v>
      </c>
    </row>
    <row r="550" spans="2:38" hidden="1" x14ac:dyDescent="0.3">
      <c r="B550" s="16" t="str">
        <f>[1]Emissions!A966</f>
        <v>ems_y_co2_soil_0</v>
      </c>
      <c r="C550" s="6">
        <f>[1]Emissions!B966</f>
        <v>0</v>
      </c>
      <c r="D550" s="6">
        <f>[1]Emissions!C966</f>
        <v>0</v>
      </c>
      <c r="E550" s="6">
        <f>[1]Emissions!D966</f>
        <v>0</v>
      </c>
      <c r="F550" s="6">
        <f>[1]Emissions!E966</f>
        <v>0</v>
      </c>
      <c r="G550" s="6">
        <f>[1]Emissions!F966</f>
        <v>0</v>
      </c>
      <c r="H550" s="6">
        <f>[1]Emissions!G966</f>
        <v>0</v>
      </c>
      <c r="I550" s="6">
        <f>[1]Emissions!H966</f>
        <v>0</v>
      </c>
      <c r="J550" s="6">
        <f>[1]Emissions!I966</f>
        <v>0</v>
      </c>
      <c r="K550" s="6">
        <f>[1]Emissions!J966</f>
        <v>0</v>
      </c>
      <c r="L550" s="6">
        <f>[1]Emissions!K966</f>
        <v>0</v>
      </c>
      <c r="M550" s="6">
        <f>[1]Emissions!L966</f>
        <v>0</v>
      </c>
      <c r="N550" s="6">
        <f>[1]Emissions!M966</f>
        <v>0</v>
      </c>
      <c r="O550" s="6">
        <f>[1]Emissions!N966</f>
        <v>0</v>
      </c>
      <c r="P550" s="6">
        <f>[1]Emissions!O966</f>
        <v>0</v>
      </c>
      <c r="Q550" s="6">
        <f>[1]Emissions!P966</f>
        <v>0</v>
      </c>
      <c r="R550" s="6">
        <f>[1]Emissions!Q966</f>
        <v>0</v>
      </c>
      <c r="S550" s="6">
        <f>[1]Emissions!R966</f>
        <v>0</v>
      </c>
      <c r="T550" s="6">
        <f>[1]Emissions!S966</f>
        <v>0</v>
      </c>
      <c r="U550" s="6">
        <f>[1]Emissions!T966</f>
        <v>0</v>
      </c>
      <c r="V550" s="6">
        <f>[1]Emissions!U966</f>
        <v>0</v>
      </c>
      <c r="W550" s="6">
        <f>[1]Emissions!V966</f>
        <v>0</v>
      </c>
      <c r="X550" s="6">
        <f>[1]Emissions!W966</f>
        <v>0</v>
      </c>
      <c r="Y550" s="6">
        <f>[1]Emissions!X966</f>
        <v>0</v>
      </c>
      <c r="Z550" s="6">
        <f>[1]Emissions!Y966</f>
        <v>0</v>
      </c>
      <c r="AA550" s="6">
        <f>[1]Emissions!Z966</f>
        <v>0</v>
      </c>
      <c r="AB550" s="6">
        <f>[1]Emissions!AA966</f>
        <v>0</v>
      </c>
      <c r="AC550" s="6">
        <f>[1]Emissions!AB966</f>
        <v>0</v>
      </c>
      <c r="AD550" s="6">
        <f>[1]Emissions!AC966</f>
        <v>0</v>
      </c>
      <c r="AE550" s="6">
        <f>[1]Emissions!AD966</f>
        <v>0</v>
      </c>
      <c r="AF550" s="6">
        <f>[1]Emissions!AE966</f>
        <v>0</v>
      </c>
      <c r="AG550" s="6">
        <f>[1]Emissions!AF966</f>
        <v>0</v>
      </c>
      <c r="AH550" s="6">
        <f>[1]Emissions!AG966</f>
        <v>0</v>
      </c>
      <c r="AI550" s="6">
        <f>[1]Emissions!AH966</f>
        <v>0</v>
      </c>
      <c r="AJ550" s="6">
        <f>[1]Emissions!AI966</f>
        <v>0</v>
      </c>
      <c r="AK550" s="6">
        <f>[1]Emissions!AJ966</f>
        <v>0</v>
      </c>
      <c r="AL550" s="6">
        <f>[1]Emissions!AK966</f>
        <v>0</v>
      </c>
    </row>
    <row r="551" spans="2:38" hidden="1" x14ac:dyDescent="0.3">
      <c r="B551" s="16" t="str">
        <f>[1]Emissions!A967</f>
        <v>ems_mat_co2_soil_0</v>
      </c>
      <c r="C551" s="6">
        <f>[1]Emissions!B967</f>
        <v>4.789896691</v>
      </c>
      <c r="D551" s="6">
        <f>[1]Emissions!C967</f>
        <v>4.8588881910000001</v>
      </c>
      <c r="E551" s="6">
        <f>[1]Emissions!D967</f>
        <v>4.9184610449999999</v>
      </c>
      <c r="F551" s="6">
        <f>[1]Emissions!E967</f>
        <v>4.9738965610000001</v>
      </c>
      <c r="G551" s="6">
        <f>[1]Emissions!F967</f>
        <v>5.0301347449999998</v>
      </c>
      <c r="H551" s="6">
        <f>[1]Emissions!G967</f>
        <v>5.0898804310000001</v>
      </c>
      <c r="I551" s="6">
        <f>[1]Emissions!H967</f>
        <v>5.150853594</v>
      </c>
      <c r="J551" s="6">
        <f>[1]Emissions!I967</f>
        <v>5.2155104569999997</v>
      </c>
      <c r="K551" s="6">
        <f>[1]Emissions!J967</f>
        <v>5.2829879880000004</v>
      </c>
      <c r="L551" s="6">
        <f>[1]Emissions!K967</f>
        <v>5.3518262889999999</v>
      </c>
      <c r="M551" s="6">
        <f>[1]Emissions!L967</f>
        <v>5.4258660399999998</v>
      </c>
      <c r="N551" s="6">
        <f>[1]Emissions!M967</f>
        <v>5.4956025070000001</v>
      </c>
      <c r="O551" s="6">
        <f>[1]Emissions!N967</f>
        <v>5.5647302400000003</v>
      </c>
      <c r="P551" s="6">
        <f>[1]Emissions!O967</f>
        <v>5.6339892479999998</v>
      </c>
      <c r="Q551" s="6">
        <f>[1]Emissions!P967</f>
        <v>5.703564504</v>
      </c>
      <c r="R551" s="6">
        <f>[1]Emissions!Q967</f>
        <v>5.773522958</v>
      </c>
      <c r="S551" s="6">
        <f>[1]Emissions!R967</f>
        <v>5.8438777220000002</v>
      </c>
      <c r="T551" s="6">
        <f>[1]Emissions!S967</f>
        <v>5.9146043690000001</v>
      </c>
      <c r="U551" s="6">
        <f>[1]Emissions!T967</f>
        <v>5.9856806950000001</v>
      </c>
      <c r="V551" s="6">
        <f>[1]Emissions!U967</f>
        <v>6.0571283390000001</v>
      </c>
      <c r="W551" s="6">
        <f>[1]Emissions!V967</f>
        <v>6.1251789829999996</v>
      </c>
      <c r="X551" s="6">
        <f>[1]Emissions!W967</f>
        <v>6.1968010229999999</v>
      </c>
      <c r="Y551" s="6">
        <f>[1]Emissions!X967</f>
        <v>6.2695425980000001</v>
      </c>
      <c r="Z551" s="6">
        <f>[1]Emissions!Y967</f>
        <v>6.3431587809999996</v>
      </c>
      <c r="AA551" s="6">
        <f>[1]Emissions!Z967</f>
        <v>6.417799123</v>
      </c>
      <c r="AB551" s="6">
        <f>[1]Emissions!AA967</f>
        <v>6.4820753440000001</v>
      </c>
      <c r="AC551" s="6">
        <f>[1]Emissions!AB967</f>
        <v>6.5514767340000004</v>
      </c>
      <c r="AD551" s="6">
        <f>[1]Emissions!AC967</f>
        <v>6.6219797370000002</v>
      </c>
      <c r="AE551" s="6">
        <f>[1]Emissions!AD967</f>
        <v>6.6928546170000001</v>
      </c>
      <c r="AF551" s="6">
        <f>[1]Emissions!AE967</f>
        <v>6.7642262710000001</v>
      </c>
      <c r="AG551" s="6">
        <f>[1]Emissions!AF967</f>
        <v>6.8363816579999996</v>
      </c>
      <c r="AH551" s="6">
        <f>[1]Emissions!AG967</f>
        <v>6.9095482260000001</v>
      </c>
      <c r="AI551" s="6">
        <f>[1]Emissions!AH967</f>
        <v>6.983825843</v>
      </c>
      <c r="AJ551" s="6">
        <f>[1]Emissions!AI967</f>
        <v>7.059193992</v>
      </c>
      <c r="AK551" s="6">
        <f>[1]Emissions!AJ967</f>
        <v>7.1355606590000002</v>
      </c>
      <c r="AL551" s="6">
        <f>[1]Emissions!AK967</f>
        <v>7.2128230919999998</v>
      </c>
    </row>
    <row r="552" spans="2:38" hidden="1" x14ac:dyDescent="0.3">
      <c r="B552" s="16" t="str">
        <f>[1]Emissions!A968</f>
        <v>ems_ci_co2_sbfu_0</v>
      </c>
      <c r="C552" s="6">
        <f>[1]Emissions!B968</f>
        <v>3.9556864699999998</v>
      </c>
      <c r="D552" s="6">
        <f>[1]Emissions!C968</f>
        <v>4.0494378559999999</v>
      </c>
      <c r="E552" s="6">
        <f>[1]Emissions!D968</f>
        <v>4.1327122239999996</v>
      </c>
      <c r="F552" s="6">
        <f>[1]Emissions!E968</f>
        <v>4.2073790249999998</v>
      </c>
      <c r="G552" s="6">
        <f>[1]Emissions!F968</f>
        <v>4.2781223580000001</v>
      </c>
      <c r="H552" s="6">
        <f>[1]Emissions!G968</f>
        <v>4.3476347740000003</v>
      </c>
      <c r="I552" s="6">
        <f>[1]Emissions!H968</f>
        <v>4.4142995740000002</v>
      </c>
      <c r="J552" s="6">
        <f>[1]Emissions!I968</f>
        <v>4.4808329950000001</v>
      </c>
      <c r="K552" s="6">
        <f>[1]Emissions!J968</f>
        <v>4.5472792530000001</v>
      </c>
      <c r="L552" s="6">
        <f>[1]Emissions!K968</f>
        <v>4.6132098299999997</v>
      </c>
      <c r="M552" s="6">
        <f>[1]Emissions!L968</f>
        <v>4.6827457680000002</v>
      </c>
      <c r="N552" s="6">
        <f>[1]Emissions!M968</f>
        <v>4.7478226289999998</v>
      </c>
      <c r="O552" s="6">
        <f>[1]Emissions!N968</f>
        <v>4.8119743799999997</v>
      </c>
      <c r="P552" s="6">
        <f>[1]Emissions!O968</f>
        <v>4.8759183530000003</v>
      </c>
      <c r="Q552" s="6">
        <f>[1]Emissions!P968</f>
        <v>4.9398399409999998</v>
      </c>
      <c r="R552" s="6">
        <f>[1]Emissions!Q968</f>
        <v>5.0038059500000003</v>
      </c>
      <c r="S552" s="6">
        <f>[1]Emissions!R968</f>
        <v>5.0678430739999998</v>
      </c>
      <c r="T552" s="6">
        <f>[1]Emissions!S968</f>
        <v>5.1319703040000002</v>
      </c>
      <c r="U552" s="6">
        <f>[1]Emissions!T968</f>
        <v>5.1962200679999997</v>
      </c>
      <c r="V552" s="6">
        <f>[1]Emissions!U968</f>
        <v>5.2606533860000004</v>
      </c>
      <c r="W552" s="6">
        <f>[1]Emissions!V968</f>
        <v>5.3219755099999997</v>
      </c>
      <c r="X552" s="6">
        <f>[1]Emissions!W968</f>
        <v>5.3863943729999999</v>
      </c>
      <c r="Y552" s="6">
        <f>[1]Emissions!X968</f>
        <v>5.4516690419999998</v>
      </c>
      <c r="Z552" s="6">
        <f>[1]Emissions!Y968</f>
        <v>5.5175616420000004</v>
      </c>
      <c r="AA552" s="6">
        <f>[1]Emissions!Z968</f>
        <v>5.5841800319999999</v>
      </c>
      <c r="AB552" s="6">
        <f>[1]Emissions!AA968</f>
        <v>5.6415516630000004</v>
      </c>
      <c r="AC552" s="6">
        <f>[1]Emissions!AB968</f>
        <v>5.7034074730000004</v>
      </c>
      <c r="AD552" s="6">
        <f>[1]Emissions!AC968</f>
        <v>5.7662161770000004</v>
      </c>
      <c r="AE552" s="6">
        <f>[1]Emissions!AD968</f>
        <v>5.8293705820000001</v>
      </c>
      <c r="AF552" s="6">
        <f>[1]Emissions!AE968</f>
        <v>5.8929485379999997</v>
      </c>
      <c r="AG552" s="6">
        <f>[1]Emissions!AF968</f>
        <v>5.9571365719999996</v>
      </c>
      <c r="AH552" s="6">
        <f>[1]Emissions!AG968</f>
        <v>6.0220772809999996</v>
      </c>
      <c r="AI552" s="6">
        <f>[1]Emissions!AH968</f>
        <v>6.0878350550000002</v>
      </c>
      <c r="AJ552" s="6">
        <f>[1]Emissions!AI968</f>
        <v>6.1544064250000003</v>
      </c>
      <c r="AK552" s="6">
        <f>[1]Emissions!AJ968</f>
        <v>6.2217500609999998</v>
      </c>
      <c r="AL552" s="6">
        <f>[1]Emissions!AK968</f>
        <v>6.2898199869999996</v>
      </c>
    </row>
    <row r="553" spans="2:38" hidden="1" x14ac:dyDescent="0.3">
      <c r="B553" s="16" t="str">
        <f>[1]Emissions!A969</f>
        <v>ems_y_co2_sbfu_0</v>
      </c>
      <c r="C553" s="6">
        <f>[1]Emissions!B969</f>
        <v>0</v>
      </c>
      <c r="D553" s="6">
        <f>[1]Emissions!C969</f>
        <v>0</v>
      </c>
      <c r="E553" s="6">
        <f>[1]Emissions!D969</f>
        <v>0</v>
      </c>
      <c r="F553" s="6">
        <f>[1]Emissions!E969</f>
        <v>0</v>
      </c>
      <c r="G553" s="6">
        <f>[1]Emissions!F969</f>
        <v>0</v>
      </c>
      <c r="H553" s="6">
        <f>[1]Emissions!G969</f>
        <v>0</v>
      </c>
      <c r="I553" s="6">
        <f>[1]Emissions!H969</f>
        <v>0</v>
      </c>
      <c r="J553" s="6">
        <f>[1]Emissions!I969</f>
        <v>0</v>
      </c>
      <c r="K553" s="6">
        <f>[1]Emissions!J969</f>
        <v>0</v>
      </c>
      <c r="L553" s="6">
        <f>[1]Emissions!K969</f>
        <v>0</v>
      </c>
      <c r="M553" s="6">
        <f>[1]Emissions!L969</f>
        <v>0</v>
      </c>
      <c r="N553" s="6">
        <f>[1]Emissions!M969</f>
        <v>0</v>
      </c>
      <c r="O553" s="6">
        <f>[1]Emissions!N969</f>
        <v>0</v>
      </c>
      <c r="P553" s="6">
        <f>[1]Emissions!O969</f>
        <v>0</v>
      </c>
      <c r="Q553" s="6">
        <f>[1]Emissions!P969</f>
        <v>0</v>
      </c>
      <c r="R553" s="6">
        <f>[1]Emissions!Q969</f>
        <v>0</v>
      </c>
      <c r="S553" s="6">
        <f>[1]Emissions!R969</f>
        <v>0</v>
      </c>
      <c r="T553" s="6">
        <f>[1]Emissions!S969</f>
        <v>0</v>
      </c>
      <c r="U553" s="6">
        <f>[1]Emissions!T969</f>
        <v>0</v>
      </c>
      <c r="V553" s="6">
        <f>[1]Emissions!U969</f>
        <v>0</v>
      </c>
      <c r="W553" s="6">
        <f>[1]Emissions!V969</f>
        <v>0</v>
      </c>
      <c r="X553" s="6">
        <f>[1]Emissions!W969</f>
        <v>0</v>
      </c>
      <c r="Y553" s="6">
        <f>[1]Emissions!X969</f>
        <v>0</v>
      </c>
      <c r="Z553" s="6">
        <f>[1]Emissions!Y969</f>
        <v>0</v>
      </c>
      <c r="AA553" s="6">
        <f>[1]Emissions!Z969</f>
        <v>0</v>
      </c>
      <c r="AB553" s="6">
        <f>[1]Emissions!AA969</f>
        <v>0</v>
      </c>
      <c r="AC553" s="6">
        <f>[1]Emissions!AB969</f>
        <v>0</v>
      </c>
      <c r="AD553" s="6">
        <f>[1]Emissions!AC969</f>
        <v>0</v>
      </c>
      <c r="AE553" s="6">
        <f>[1]Emissions!AD969</f>
        <v>0</v>
      </c>
      <c r="AF553" s="6">
        <f>[1]Emissions!AE969</f>
        <v>0</v>
      </c>
      <c r="AG553" s="6">
        <f>[1]Emissions!AF969</f>
        <v>0</v>
      </c>
      <c r="AH553" s="6">
        <f>[1]Emissions!AG969</f>
        <v>0</v>
      </c>
      <c r="AI553" s="6">
        <f>[1]Emissions!AH969</f>
        <v>0</v>
      </c>
      <c r="AJ553" s="6">
        <f>[1]Emissions!AI969</f>
        <v>0</v>
      </c>
      <c r="AK553" s="6">
        <f>[1]Emissions!AJ969</f>
        <v>0</v>
      </c>
      <c r="AL553" s="6">
        <f>[1]Emissions!AK969</f>
        <v>0</v>
      </c>
    </row>
    <row r="554" spans="2:38" hidden="1" x14ac:dyDescent="0.3">
      <c r="B554" s="16" t="str">
        <f>[1]Emissions!A970</f>
        <v>ems_mat_co2_sbfu_0</v>
      </c>
      <c r="C554" s="6">
        <f>[1]Emissions!B970</f>
        <v>3.2993264390000001</v>
      </c>
      <c r="D554" s="6">
        <f>[1]Emissions!C970</f>
        <v>3.3775218229999999</v>
      </c>
      <c r="E554" s="6">
        <f>[1]Emissions!D970</f>
        <v>3.4469786199999999</v>
      </c>
      <c r="F554" s="6">
        <f>[1]Emissions!E970</f>
        <v>3.5092560879999999</v>
      </c>
      <c r="G554" s="6">
        <f>[1]Emissions!F970</f>
        <v>3.5682611020000001</v>
      </c>
      <c r="H554" s="6">
        <f>[1]Emissions!G970</f>
        <v>3.6262394410000001</v>
      </c>
      <c r="I554" s="6">
        <f>[1]Emissions!H970</f>
        <v>3.681842665</v>
      </c>
      <c r="J554" s="6">
        <f>[1]Emissions!I970</f>
        <v>3.7373363089999998</v>
      </c>
      <c r="K554" s="6">
        <f>[1]Emissions!J970</f>
        <v>3.792757253</v>
      </c>
      <c r="L554" s="6">
        <f>[1]Emissions!K970</f>
        <v>3.8477480819999998</v>
      </c>
      <c r="M554" s="6">
        <f>[1]Emissions!L970</f>
        <v>3.9057460399999999</v>
      </c>
      <c r="N554" s="6">
        <f>[1]Emissions!M970</f>
        <v>3.9600248090000001</v>
      </c>
      <c r="O554" s="6">
        <f>[1]Emissions!N970</f>
        <v>4.0135319709999999</v>
      </c>
      <c r="P554" s="6">
        <f>[1]Emissions!O970</f>
        <v>4.0668658320000004</v>
      </c>
      <c r="Q554" s="6">
        <f>[1]Emissions!P970</f>
        <v>4.1201810229999998</v>
      </c>
      <c r="R554" s="6">
        <f>[1]Emissions!Q970</f>
        <v>4.1735332649999997</v>
      </c>
      <c r="S554" s="6">
        <f>[1]Emissions!R970</f>
        <v>4.2269448230000002</v>
      </c>
      <c r="T554" s="6">
        <f>[1]Emissions!S970</f>
        <v>4.280431536</v>
      </c>
      <c r="U554" s="6">
        <f>[1]Emissions!T970</f>
        <v>4.3340204519999999</v>
      </c>
      <c r="V554" s="6">
        <f>[1]Emissions!U970</f>
        <v>4.3877624649999998</v>
      </c>
      <c r="W554" s="6">
        <f>[1]Emissions!V970</f>
        <v>4.4389095200000002</v>
      </c>
      <c r="X554" s="6">
        <f>[1]Emissions!W970</f>
        <v>4.4926394759999999</v>
      </c>
      <c r="Y554" s="6">
        <f>[1]Emissions!X970</f>
        <v>4.5470832369999998</v>
      </c>
      <c r="Z554" s="6">
        <f>[1]Emissions!Y970</f>
        <v>4.602042397</v>
      </c>
      <c r="AA554" s="6">
        <f>[1]Emissions!Z970</f>
        <v>4.6576069169999998</v>
      </c>
      <c r="AB554" s="6">
        <f>[1]Emissions!AA970</f>
        <v>4.7054589770000002</v>
      </c>
      <c r="AC554" s="6">
        <f>[1]Emissions!AB970</f>
        <v>4.7570511629999999</v>
      </c>
      <c r="AD554" s="6">
        <f>[1]Emissions!AC970</f>
        <v>4.8094381310000003</v>
      </c>
      <c r="AE554" s="6">
        <f>[1]Emissions!AD970</f>
        <v>4.8621134389999998</v>
      </c>
      <c r="AF554" s="6">
        <f>[1]Emissions!AE970</f>
        <v>4.9151420190000001</v>
      </c>
      <c r="AG554" s="6">
        <f>[1]Emissions!AF970</f>
        <v>4.9686794479999996</v>
      </c>
      <c r="AH554" s="6">
        <f>[1]Emissions!AG970</f>
        <v>5.0228446619999998</v>
      </c>
      <c r="AI554" s="6">
        <f>[1]Emissions!AH970</f>
        <v>5.0776913659999998</v>
      </c>
      <c r="AJ554" s="6">
        <f>[1]Emissions!AI970</f>
        <v>5.1332166680000002</v>
      </c>
      <c r="AK554" s="6">
        <f>[1]Emissions!AJ970</f>
        <v>5.1893860949999997</v>
      </c>
      <c r="AL554" s="6">
        <f>[1]Emissions!AK970</f>
        <v>5.2461612999999998</v>
      </c>
    </row>
    <row r="555" spans="2:38" hidden="1" x14ac:dyDescent="0.3">
      <c r="B555" s="16" t="str">
        <f>[1]Emissions!A971</f>
        <v>ems_ci_co2_seoi_0</v>
      </c>
      <c r="C555" s="6">
        <f>[1]Emissions!B971</f>
        <v>1.79697964</v>
      </c>
      <c r="D555" s="6">
        <f>[1]Emissions!C971</f>
        <v>1.8117830239999999</v>
      </c>
      <c r="E555" s="6">
        <f>[1]Emissions!D971</f>
        <v>1.8210399500000001</v>
      </c>
      <c r="F555" s="6">
        <f>[1]Emissions!E971</f>
        <v>1.828781547</v>
      </c>
      <c r="G555" s="6">
        <f>[1]Emissions!F971</f>
        <v>1.8381675230000001</v>
      </c>
      <c r="H555" s="6">
        <f>[1]Emissions!G971</f>
        <v>1.851242429</v>
      </c>
      <c r="I555" s="6">
        <f>[1]Emissions!H971</f>
        <v>1.8678421869999999</v>
      </c>
      <c r="J555" s="6">
        <f>[1]Emissions!I971</f>
        <v>1.8874072740000001</v>
      </c>
      <c r="K555" s="6">
        <f>[1]Emissions!J971</f>
        <v>1.9083791400000001</v>
      </c>
      <c r="L555" s="6">
        <f>[1]Emissions!K971</f>
        <v>1.9290839900000001</v>
      </c>
      <c r="M555" s="6">
        <f>[1]Emissions!L971</f>
        <v>1.9492693320000001</v>
      </c>
      <c r="N555" s="6">
        <f>[1]Emissions!M971</f>
        <v>1.967891029</v>
      </c>
      <c r="O555" s="6">
        <f>[1]Emissions!N971</f>
        <v>1.9853364979999999</v>
      </c>
      <c r="P555" s="6">
        <f>[1]Emissions!O971</f>
        <v>2.0022024539999999</v>
      </c>
      <c r="Q555" s="6">
        <f>[1]Emissions!P971</f>
        <v>2.0188602530000002</v>
      </c>
      <c r="R555" s="6">
        <f>[1]Emissions!Q971</f>
        <v>2.0355091160000001</v>
      </c>
      <c r="S555" s="6">
        <f>[1]Emissions!R971</f>
        <v>2.0522221049999998</v>
      </c>
      <c r="T555" s="6">
        <f>[1]Emissions!S971</f>
        <v>2.0689784680000001</v>
      </c>
      <c r="U555" s="6">
        <f>[1]Emissions!T971</f>
        <v>2.085745245</v>
      </c>
      <c r="V555" s="6">
        <f>[1]Emissions!U971</f>
        <v>2.102545332</v>
      </c>
      <c r="W555" s="6">
        <f>[1]Emissions!V971</f>
        <v>2.1187329629999998</v>
      </c>
      <c r="X555" s="6">
        <f>[1]Emissions!W971</f>
        <v>2.1353033880000001</v>
      </c>
      <c r="Y555" s="6">
        <f>[1]Emissions!X971</f>
        <v>2.1524401160000002</v>
      </c>
      <c r="Z555" s="6">
        <f>[1]Emissions!Y971</f>
        <v>2.170244442</v>
      </c>
      <c r="AA555" s="6">
        <f>[1]Emissions!Z971</f>
        <v>2.188825204</v>
      </c>
      <c r="AB555" s="6">
        <f>[1]Emissions!AA971</f>
        <v>2.205762971</v>
      </c>
      <c r="AC555" s="6">
        <f>[1]Emissions!AB971</f>
        <v>2.2231409599999998</v>
      </c>
      <c r="AD555" s="6">
        <f>[1]Emissions!AC971</f>
        <v>2.2407037889999999</v>
      </c>
      <c r="AE555" s="6">
        <f>[1]Emissions!AD971</f>
        <v>2.2583635709999998</v>
      </c>
      <c r="AF555" s="6">
        <f>[1]Emissions!AE971</f>
        <v>2.2763461280000001</v>
      </c>
      <c r="AG555" s="6">
        <f>[1]Emissions!AF971</f>
        <v>2.2949546550000002</v>
      </c>
      <c r="AH555" s="6">
        <f>[1]Emissions!AG971</f>
        <v>2.314388095</v>
      </c>
      <c r="AI555" s="6">
        <f>[1]Emissions!AH971</f>
        <v>2.3346738459999998</v>
      </c>
      <c r="AJ555" s="6">
        <f>[1]Emissions!AI971</f>
        <v>2.3556943060000002</v>
      </c>
      <c r="AK555" s="6">
        <f>[1]Emissions!AJ971</f>
        <v>2.377261844</v>
      </c>
      <c r="AL555" s="6">
        <f>[1]Emissions!AK971</f>
        <v>2.3992141949999999</v>
      </c>
    </row>
    <row r="556" spans="2:38" hidden="1" x14ac:dyDescent="0.3">
      <c r="B556" s="16" t="str">
        <f>[1]Emissions!A972</f>
        <v>ems_y_co2_seoi_0</v>
      </c>
      <c r="C556" s="6">
        <f>[1]Emissions!B972</f>
        <v>0</v>
      </c>
      <c r="D556" s="6">
        <f>[1]Emissions!C972</f>
        <v>0</v>
      </c>
      <c r="E556" s="6">
        <f>[1]Emissions!D972</f>
        <v>0</v>
      </c>
      <c r="F556" s="6">
        <f>[1]Emissions!E972</f>
        <v>0</v>
      </c>
      <c r="G556" s="6">
        <f>[1]Emissions!F972</f>
        <v>0</v>
      </c>
      <c r="H556" s="6">
        <f>[1]Emissions!G972</f>
        <v>0</v>
      </c>
      <c r="I556" s="6">
        <f>[1]Emissions!H972</f>
        <v>0</v>
      </c>
      <c r="J556" s="6">
        <f>[1]Emissions!I972</f>
        <v>0</v>
      </c>
      <c r="K556" s="6">
        <f>[1]Emissions!J972</f>
        <v>0</v>
      </c>
      <c r="L556" s="6">
        <f>[1]Emissions!K972</f>
        <v>0</v>
      </c>
      <c r="M556" s="6">
        <f>[1]Emissions!L972</f>
        <v>0</v>
      </c>
      <c r="N556" s="6">
        <f>[1]Emissions!M972</f>
        <v>0</v>
      </c>
      <c r="O556" s="6">
        <f>[1]Emissions!N972</f>
        <v>0</v>
      </c>
      <c r="P556" s="6">
        <f>[1]Emissions!O972</f>
        <v>0</v>
      </c>
      <c r="Q556" s="6">
        <f>[1]Emissions!P972</f>
        <v>0</v>
      </c>
      <c r="R556" s="6">
        <f>[1]Emissions!Q972</f>
        <v>0</v>
      </c>
      <c r="S556" s="6">
        <f>[1]Emissions!R972</f>
        <v>0</v>
      </c>
      <c r="T556" s="6">
        <f>[1]Emissions!S972</f>
        <v>0</v>
      </c>
      <c r="U556" s="6">
        <f>[1]Emissions!T972</f>
        <v>0</v>
      </c>
      <c r="V556" s="6">
        <f>[1]Emissions!U972</f>
        <v>0</v>
      </c>
      <c r="W556" s="6">
        <f>[1]Emissions!V972</f>
        <v>0</v>
      </c>
      <c r="X556" s="6">
        <f>[1]Emissions!W972</f>
        <v>0</v>
      </c>
      <c r="Y556" s="6">
        <f>[1]Emissions!X972</f>
        <v>0</v>
      </c>
      <c r="Z556" s="6">
        <f>[1]Emissions!Y972</f>
        <v>0</v>
      </c>
      <c r="AA556" s="6">
        <f>[1]Emissions!Z972</f>
        <v>0</v>
      </c>
      <c r="AB556" s="6">
        <f>[1]Emissions!AA972</f>
        <v>0</v>
      </c>
      <c r="AC556" s="6">
        <f>[1]Emissions!AB972</f>
        <v>0</v>
      </c>
      <c r="AD556" s="6">
        <f>[1]Emissions!AC972</f>
        <v>0</v>
      </c>
      <c r="AE556" s="6">
        <f>[1]Emissions!AD972</f>
        <v>0</v>
      </c>
      <c r="AF556" s="6">
        <f>[1]Emissions!AE972</f>
        <v>0</v>
      </c>
      <c r="AG556" s="6">
        <f>[1]Emissions!AF972</f>
        <v>0</v>
      </c>
      <c r="AH556" s="6">
        <f>[1]Emissions!AG972</f>
        <v>0</v>
      </c>
      <c r="AI556" s="6">
        <f>[1]Emissions!AH972</f>
        <v>0</v>
      </c>
      <c r="AJ556" s="6">
        <f>[1]Emissions!AI972</f>
        <v>0</v>
      </c>
      <c r="AK556" s="6">
        <f>[1]Emissions!AJ972</f>
        <v>0</v>
      </c>
      <c r="AL556" s="6">
        <f>[1]Emissions!AK972</f>
        <v>0</v>
      </c>
    </row>
    <row r="557" spans="2:38" hidden="1" x14ac:dyDescent="0.3">
      <c r="B557" s="16" t="str">
        <f>[1]Emissions!A973</f>
        <v>ems_mat_co2_seoi_0</v>
      </c>
      <c r="C557" s="6">
        <f>[1]Emissions!B973</f>
        <v>0.1231599526</v>
      </c>
      <c r="D557" s="6">
        <f>[1]Emissions!C973</f>
        <v>0.1241745351</v>
      </c>
      <c r="E557" s="6">
        <f>[1]Emissions!D973</f>
        <v>0.12480897890000001</v>
      </c>
      <c r="F557" s="6">
        <f>[1]Emissions!E973</f>
        <v>0.1253395662</v>
      </c>
      <c r="G557" s="6">
        <f>[1]Emissions!F973</f>
        <v>0.12598285479999999</v>
      </c>
      <c r="H557" s="6">
        <f>[1]Emissions!G973</f>
        <v>0.1268789722</v>
      </c>
      <c r="I557" s="6">
        <f>[1]Emissions!H973</f>
        <v>0.12801667310000001</v>
      </c>
      <c r="J557" s="6">
        <f>[1]Emissions!I973</f>
        <v>0.12935760939999999</v>
      </c>
      <c r="K557" s="6">
        <f>[1]Emissions!J973</f>
        <v>0.13079496239999999</v>
      </c>
      <c r="L557" s="6">
        <f>[1]Emissions!K973</f>
        <v>0.1322140148</v>
      </c>
      <c r="M557" s="6">
        <f>[1]Emissions!L973</f>
        <v>0.1335974617</v>
      </c>
      <c r="N557" s="6">
        <f>[1]Emissions!M973</f>
        <v>0.13487374060000001</v>
      </c>
      <c r="O557" s="6">
        <f>[1]Emissions!N973</f>
        <v>0.13606940419999999</v>
      </c>
      <c r="P557" s="6">
        <f>[1]Emissions!O973</f>
        <v>0.13722534959999999</v>
      </c>
      <c r="Q557" s="6">
        <f>[1]Emissions!P973</f>
        <v>0.13836702849999999</v>
      </c>
      <c r="R557" s="6">
        <f>[1]Emissions!Q973</f>
        <v>0.139508095</v>
      </c>
      <c r="S557" s="6">
        <f>[1]Emissions!R973</f>
        <v>0.14065355639999999</v>
      </c>
      <c r="T557" s="6">
        <f>[1]Emissions!S973</f>
        <v>0.14180199060000001</v>
      </c>
      <c r="U557" s="6">
        <f>[1]Emissions!T973</f>
        <v>0.1429511386</v>
      </c>
      <c r="V557" s="6">
        <f>[1]Emissions!U973</f>
        <v>0.1441025695</v>
      </c>
      <c r="W557" s="6">
        <f>[1]Emissions!V973</f>
        <v>0.1452120244</v>
      </c>
      <c r="X557" s="6">
        <f>[1]Emissions!W973</f>
        <v>0.14634771490000001</v>
      </c>
      <c r="Y557" s="6">
        <f>[1]Emissions!X973</f>
        <v>0.14752221830000001</v>
      </c>
      <c r="Z557" s="6">
        <f>[1]Emissions!Y973</f>
        <v>0.1487424769</v>
      </c>
      <c r="AA557" s="6">
        <f>[1]Emissions!Z973</f>
        <v>0.15001595030000001</v>
      </c>
      <c r="AB557" s="6">
        <f>[1]Emissions!AA973</f>
        <v>0.1511768175</v>
      </c>
      <c r="AC557" s="6">
        <f>[1]Emissions!AB973</f>
        <v>0.1523678561</v>
      </c>
      <c r="AD557" s="6">
        <f>[1]Emissions!AC973</f>
        <v>0.15357156329999999</v>
      </c>
      <c r="AE557" s="6">
        <f>[1]Emissions!AD973</f>
        <v>0.15478191520000001</v>
      </c>
      <c r="AF557" s="6">
        <f>[1]Emissions!AE973</f>
        <v>0.1560143893</v>
      </c>
      <c r="AG557" s="6">
        <f>[1]Emissions!AF973</f>
        <v>0.1572897657</v>
      </c>
      <c r="AH557" s="6">
        <f>[1]Emissions!AG973</f>
        <v>0.15862167930000001</v>
      </c>
      <c r="AI557" s="6">
        <f>[1]Emissions!AH973</f>
        <v>0.16001200779999999</v>
      </c>
      <c r="AJ557" s="6">
        <f>[1]Emissions!AI973</f>
        <v>0.16145269130000001</v>
      </c>
      <c r="AK557" s="6">
        <f>[1]Emissions!AJ973</f>
        <v>0.16293087000000001</v>
      </c>
      <c r="AL557" s="6">
        <f>[1]Emissions!AK973</f>
        <v>0.16443542259999999</v>
      </c>
    </row>
    <row r="558" spans="2:38" hidden="1" x14ac:dyDescent="0.3">
      <c r="B558" s="16" t="str">
        <f>[1]Emissions!A974</f>
        <v>ems_ci_co2_sega_0</v>
      </c>
      <c r="C558" s="6">
        <f>[1]Emissions!B974</f>
        <v>4.5529256260000004</v>
      </c>
      <c r="D558" s="6">
        <f>[1]Emissions!C974</f>
        <v>4.5904322860000004</v>
      </c>
      <c r="E558" s="6">
        <f>[1]Emissions!D974</f>
        <v>4.6138861369999997</v>
      </c>
      <c r="F558" s="6">
        <f>[1]Emissions!E974</f>
        <v>4.6335006700000001</v>
      </c>
      <c r="G558" s="6">
        <f>[1]Emissions!F974</f>
        <v>4.6572814920000001</v>
      </c>
      <c r="H558" s="6">
        <f>[1]Emissions!G974</f>
        <v>4.6904087880000001</v>
      </c>
      <c r="I558" s="6">
        <f>[1]Emissions!H974</f>
        <v>4.732466842</v>
      </c>
      <c r="J558" s="6">
        <f>[1]Emissions!I974</f>
        <v>4.7820380150000004</v>
      </c>
      <c r="K558" s="6">
        <f>[1]Emissions!J974</f>
        <v>4.8351734799999999</v>
      </c>
      <c r="L558" s="6">
        <f>[1]Emissions!K974</f>
        <v>4.8876324149999997</v>
      </c>
      <c r="M558" s="6">
        <f>[1]Emissions!L974</f>
        <v>4.9387750979999998</v>
      </c>
      <c r="N558" s="6">
        <f>[1]Emissions!M974</f>
        <v>4.9859560429999998</v>
      </c>
      <c r="O558" s="6">
        <f>[1]Emissions!N974</f>
        <v>5.0301568330000004</v>
      </c>
      <c r="P558" s="6">
        <f>[1]Emissions!O974</f>
        <v>5.0728893389999996</v>
      </c>
      <c r="Q558" s="6">
        <f>[1]Emissions!P974</f>
        <v>5.1150944479999998</v>
      </c>
      <c r="R558" s="6">
        <f>[1]Emissions!Q974</f>
        <v>5.1572769149999997</v>
      </c>
      <c r="S558" s="6">
        <f>[1]Emissions!R974</f>
        <v>5.1996218540000001</v>
      </c>
      <c r="T558" s="6">
        <f>[1]Emissions!S974</f>
        <v>5.2420766890000001</v>
      </c>
      <c r="U558" s="6">
        <f>[1]Emissions!T974</f>
        <v>5.2845579110000003</v>
      </c>
      <c r="V558" s="6">
        <f>[1]Emissions!U974</f>
        <v>5.3271235270000004</v>
      </c>
      <c r="W558" s="6">
        <f>[1]Emissions!V974</f>
        <v>5.3681373920000004</v>
      </c>
      <c r="X558" s="6">
        <f>[1]Emissions!W974</f>
        <v>5.4101211249999999</v>
      </c>
      <c r="Y558" s="6">
        <f>[1]Emissions!X974</f>
        <v>5.4535396739999999</v>
      </c>
      <c r="Z558" s="6">
        <f>[1]Emissions!Y974</f>
        <v>5.4986496850000002</v>
      </c>
      <c r="AA558" s="6">
        <f>[1]Emissions!Z974</f>
        <v>5.5457269189999998</v>
      </c>
      <c r="AB558" s="6">
        <f>[1]Emissions!AA974</f>
        <v>5.5886413700000004</v>
      </c>
      <c r="AC558" s="6">
        <f>[1]Emissions!AB974</f>
        <v>5.6326711889999999</v>
      </c>
      <c r="AD558" s="6">
        <f>[1]Emissions!AC974</f>
        <v>5.6771693330000002</v>
      </c>
      <c r="AE558" s="6">
        <f>[1]Emissions!AD974</f>
        <v>5.7219131179999998</v>
      </c>
      <c r="AF558" s="6">
        <f>[1]Emissions!AE974</f>
        <v>5.7674747059999998</v>
      </c>
      <c r="AG558" s="6">
        <f>[1]Emissions!AF974</f>
        <v>5.8146222849999996</v>
      </c>
      <c r="AH558" s="6">
        <f>[1]Emissions!AG974</f>
        <v>5.8638599109999996</v>
      </c>
      <c r="AI558" s="6">
        <f>[1]Emissions!AH974</f>
        <v>5.9152569960000001</v>
      </c>
      <c r="AJ558" s="6">
        <f>[1]Emissions!AI974</f>
        <v>5.9685155810000001</v>
      </c>
      <c r="AK558" s="6">
        <f>[1]Emissions!AJ974</f>
        <v>6.0231602710000001</v>
      </c>
      <c r="AL558" s="6">
        <f>[1]Emissions!AK974</f>
        <v>6.078779945</v>
      </c>
    </row>
    <row r="559" spans="2:38" hidden="1" x14ac:dyDescent="0.3">
      <c r="B559" s="16" t="str">
        <f>[1]Emissions!A975</f>
        <v>ems_y_co2_sega_0</v>
      </c>
      <c r="C559" s="6">
        <f>[1]Emissions!B975</f>
        <v>0</v>
      </c>
      <c r="D559" s="6">
        <f>[1]Emissions!C975</f>
        <v>0</v>
      </c>
      <c r="E559" s="6">
        <f>[1]Emissions!D975</f>
        <v>0</v>
      </c>
      <c r="F559" s="6">
        <f>[1]Emissions!E975</f>
        <v>0</v>
      </c>
      <c r="G559" s="6">
        <f>[1]Emissions!F975</f>
        <v>0</v>
      </c>
      <c r="H559" s="6">
        <f>[1]Emissions!G975</f>
        <v>0</v>
      </c>
      <c r="I559" s="6">
        <f>[1]Emissions!H975</f>
        <v>0</v>
      </c>
      <c r="J559" s="6">
        <f>[1]Emissions!I975</f>
        <v>0</v>
      </c>
      <c r="K559" s="6">
        <f>[1]Emissions!J975</f>
        <v>0</v>
      </c>
      <c r="L559" s="6">
        <f>[1]Emissions!K975</f>
        <v>0</v>
      </c>
      <c r="M559" s="6">
        <f>[1]Emissions!L975</f>
        <v>0</v>
      </c>
      <c r="N559" s="6">
        <f>[1]Emissions!M975</f>
        <v>0</v>
      </c>
      <c r="O559" s="6">
        <f>[1]Emissions!N975</f>
        <v>0</v>
      </c>
      <c r="P559" s="6">
        <f>[1]Emissions!O975</f>
        <v>0</v>
      </c>
      <c r="Q559" s="6">
        <f>[1]Emissions!P975</f>
        <v>0</v>
      </c>
      <c r="R559" s="6">
        <f>[1]Emissions!Q975</f>
        <v>0</v>
      </c>
      <c r="S559" s="6">
        <f>[1]Emissions!R975</f>
        <v>0</v>
      </c>
      <c r="T559" s="6">
        <f>[1]Emissions!S975</f>
        <v>0</v>
      </c>
      <c r="U559" s="6">
        <f>[1]Emissions!T975</f>
        <v>0</v>
      </c>
      <c r="V559" s="6">
        <f>[1]Emissions!U975</f>
        <v>0</v>
      </c>
      <c r="W559" s="6">
        <f>[1]Emissions!V975</f>
        <v>0</v>
      </c>
      <c r="X559" s="6">
        <f>[1]Emissions!W975</f>
        <v>0</v>
      </c>
      <c r="Y559" s="6">
        <f>[1]Emissions!X975</f>
        <v>0</v>
      </c>
      <c r="Z559" s="6">
        <f>[1]Emissions!Y975</f>
        <v>0</v>
      </c>
      <c r="AA559" s="6">
        <f>[1]Emissions!Z975</f>
        <v>0</v>
      </c>
      <c r="AB559" s="6">
        <f>[1]Emissions!AA975</f>
        <v>0</v>
      </c>
      <c r="AC559" s="6">
        <f>[1]Emissions!AB975</f>
        <v>0</v>
      </c>
      <c r="AD559" s="6">
        <f>[1]Emissions!AC975</f>
        <v>0</v>
      </c>
      <c r="AE559" s="6">
        <f>[1]Emissions!AD975</f>
        <v>0</v>
      </c>
      <c r="AF559" s="6">
        <f>[1]Emissions!AE975</f>
        <v>0</v>
      </c>
      <c r="AG559" s="6">
        <f>[1]Emissions!AF975</f>
        <v>0</v>
      </c>
      <c r="AH559" s="6">
        <f>[1]Emissions!AG975</f>
        <v>0</v>
      </c>
      <c r="AI559" s="6">
        <f>[1]Emissions!AH975</f>
        <v>0</v>
      </c>
      <c r="AJ559" s="6">
        <f>[1]Emissions!AI975</f>
        <v>0</v>
      </c>
      <c r="AK559" s="6">
        <f>[1]Emissions!AJ975</f>
        <v>0</v>
      </c>
      <c r="AL559" s="6">
        <f>[1]Emissions!AK975</f>
        <v>0</v>
      </c>
    </row>
    <row r="560" spans="2:38" hidden="1" x14ac:dyDescent="0.3">
      <c r="B560" s="16" t="str">
        <f>[1]Emissions!A976</f>
        <v>ems_mat_co2_sega_0</v>
      </c>
      <c r="C560" s="6">
        <f>[1]Emissions!B976</f>
        <v>0.31204477320000001</v>
      </c>
      <c r="D560" s="6">
        <f>[1]Emissions!C976</f>
        <v>0.31461537480000001</v>
      </c>
      <c r="E560" s="6">
        <f>[1]Emissions!D976</f>
        <v>0.31622283610000002</v>
      </c>
      <c r="F560" s="6">
        <f>[1]Emissions!E976</f>
        <v>0.3175671612</v>
      </c>
      <c r="G560" s="6">
        <f>[1]Emissions!F976</f>
        <v>0.3191970321</v>
      </c>
      <c r="H560" s="6">
        <f>[1]Emissions!G976</f>
        <v>0.32146748400000003</v>
      </c>
      <c r="I560" s="6">
        <f>[1]Emissions!H976</f>
        <v>0.3243500252</v>
      </c>
      <c r="J560" s="6">
        <f>[1]Emissions!I976</f>
        <v>0.32774749450000001</v>
      </c>
      <c r="K560" s="6">
        <f>[1]Emissions!J976</f>
        <v>0.33138925050000001</v>
      </c>
      <c r="L560" s="6">
        <f>[1]Emissions!K976</f>
        <v>0.33498463899999997</v>
      </c>
      <c r="M560" s="6">
        <f>[1]Emissions!L976</f>
        <v>0.3384898154</v>
      </c>
      <c r="N560" s="6">
        <f>[1]Emissions!M976</f>
        <v>0.34172346539999998</v>
      </c>
      <c r="O560" s="6">
        <f>[1]Emissions!N976</f>
        <v>0.34475286379999998</v>
      </c>
      <c r="P560" s="6">
        <f>[1]Emissions!O976</f>
        <v>0.34768163019999998</v>
      </c>
      <c r="Q560" s="6">
        <f>[1]Emissions!P976</f>
        <v>0.35057425019999999</v>
      </c>
      <c r="R560" s="6">
        <f>[1]Emissions!Q976</f>
        <v>0.35346531840000001</v>
      </c>
      <c r="S560" s="6">
        <f>[1]Emissions!R976</f>
        <v>0.35636752199999999</v>
      </c>
      <c r="T560" s="6">
        <f>[1]Emissions!S976</f>
        <v>0.35927725739999999</v>
      </c>
      <c r="U560" s="6">
        <f>[1]Emissions!T976</f>
        <v>0.36218880149999999</v>
      </c>
      <c r="V560" s="6">
        <f>[1]Emissions!U976</f>
        <v>0.36510612949999999</v>
      </c>
      <c r="W560" s="6">
        <f>[1]Emissions!V976</f>
        <v>0.36791710500000002</v>
      </c>
      <c r="X560" s="6">
        <f>[1]Emissions!W976</f>
        <v>0.37079455249999999</v>
      </c>
      <c r="Y560" s="6">
        <f>[1]Emissions!X976</f>
        <v>0.3737703383</v>
      </c>
      <c r="Z560" s="6">
        <f>[1]Emissions!Y976</f>
        <v>0.376862052</v>
      </c>
      <c r="AA560" s="6">
        <f>[1]Emissions!Z976</f>
        <v>0.38008859379999999</v>
      </c>
      <c r="AB560" s="6">
        <f>[1]Emissions!AA976</f>
        <v>0.38302983010000002</v>
      </c>
      <c r="AC560" s="6">
        <f>[1]Emissions!AB976</f>
        <v>0.38604751059999998</v>
      </c>
      <c r="AD560" s="6">
        <f>[1]Emissions!AC976</f>
        <v>0.38909728869999999</v>
      </c>
      <c r="AE560" s="6">
        <f>[1]Emissions!AD976</f>
        <v>0.39216390239999999</v>
      </c>
      <c r="AF560" s="6">
        <f>[1]Emissions!AE976</f>
        <v>0.39528656600000001</v>
      </c>
      <c r="AG560" s="6">
        <f>[1]Emissions!AF976</f>
        <v>0.39851792899999999</v>
      </c>
      <c r="AH560" s="6">
        <f>[1]Emissions!AG976</f>
        <v>0.40189253800000002</v>
      </c>
      <c r="AI560" s="6">
        <f>[1]Emissions!AH976</f>
        <v>0.40541515030000003</v>
      </c>
      <c r="AJ560" s="6">
        <f>[1]Emissions!AI976</f>
        <v>0.40906534449999998</v>
      </c>
      <c r="AK560" s="6">
        <f>[1]Emissions!AJ976</f>
        <v>0.4128105386</v>
      </c>
      <c r="AL560" s="6">
        <f>[1]Emissions!AK976</f>
        <v>0.41662255520000002</v>
      </c>
    </row>
    <row r="561" spans="1:38" hidden="1" x14ac:dyDescent="0.3">
      <c r="B561" s="16" t="str">
        <f>[1]Emissions!A977</f>
        <v>ems_ci_co2_seco_0</v>
      </c>
      <c r="C561" s="6">
        <f>[1]Emissions!B977</f>
        <v>4.5415965390000004</v>
      </c>
      <c r="D561" s="6">
        <f>[1]Emissions!C977</f>
        <v>4.5790098720000003</v>
      </c>
      <c r="E561" s="6">
        <f>[1]Emissions!D977</f>
        <v>4.6024053609999998</v>
      </c>
      <c r="F561" s="6">
        <f>[1]Emissions!E977</f>
        <v>4.621971083</v>
      </c>
      <c r="G561" s="6">
        <f>[1]Emissions!F977</f>
        <v>4.6456927260000001</v>
      </c>
      <c r="H561" s="6">
        <f>[1]Emissions!G977</f>
        <v>4.6787375840000003</v>
      </c>
      <c r="I561" s="6">
        <f>[1]Emissions!H977</f>
        <v>4.7206909789999996</v>
      </c>
      <c r="J561" s="6">
        <f>[1]Emissions!I977</f>
        <v>4.7701387989999997</v>
      </c>
      <c r="K561" s="6">
        <f>[1]Emissions!J977</f>
        <v>4.823142045</v>
      </c>
      <c r="L561" s="6">
        <f>[1]Emissions!K977</f>
        <v>4.8754704459999996</v>
      </c>
      <c r="M561" s="6">
        <f>[1]Emissions!L977</f>
        <v>4.9264858719999998</v>
      </c>
      <c r="N561" s="6">
        <f>[1]Emissions!M977</f>
        <v>4.9735494200000003</v>
      </c>
      <c r="O561" s="6">
        <f>[1]Emissions!N977</f>
        <v>5.0176402270000002</v>
      </c>
      <c r="P561" s="6">
        <f>[1]Emissions!O977</f>
        <v>5.060266403</v>
      </c>
      <c r="Q561" s="6">
        <f>[1]Emissions!P977</f>
        <v>5.1023664950000001</v>
      </c>
      <c r="R561" s="6">
        <f>[1]Emissions!Q977</f>
        <v>5.1444440010000001</v>
      </c>
      <c r="S561" s="6">
        <f>[1]Emissions!R977</f>
        <v>5.186683575</v>
      </c>
      <c r="T561" s="6">
        <f>[1]Emissions!S977</f>
        <v>5.2290327699999999</v>
      </c>
      <c r="U561" s="6">
        <f>[1]Emissions!T977</f>
        <v>5.2714082879999999</v>
      </c>
      <c r="V561" s="6">
        <f>[1]Emissions!U977</f>
        <v>5.3138679890000002</v>
      </c>
      <c r="W561" s="6">
        <f>[1]Emissions!V977</f>
        <v>5.3547798010000003</v>
      </c>
      <c r="X561" s="6">
        <f>[1]Emissions!W977</f>
        <v>5.3966590659999998</v>
      </c>
      <c r="Y561" s="6">
        <f>[1]Emissions!X977</f>
        <v>5.4399695780000004</v>
      </c>
      <c r="Z561" s="6">
        <f>[1]Emissions!Y977</f>
        <v>5.4849673409999999</v>
      </c>
      <c r="AA561" s="6">
        <f>[1]Emissions!Z977</f>
        <v>5.531927434</v>
      </c>
      <c r="AB561" s="6">
        <f>[1]Emissions!AA977</f>
        <v>5.5747351009999999</v>
      </c>
      <c r="AC561" s="6">
        <f>[1]Emissions!AB977</f>
        <v>5.6186553610000001</v>
      </c>
      <c r="AD561" s="6">
        <f>[1]Emissions!AC977</f>
        <v>5.6630427799999996</v>
      </c>
      <c r="AE561" s="6">
        <f>[1]Emissions!AD977</f>
        <v>5.7076752300000004</v>
      </c>
      <c r="AF561" s="6">
        <f>[1]Emissions!AE977</f>
        <v>5.753123446</v>
      </c>
      <c r="AG561" s="6">
        <f>[1]Emissions!AF977</f>
        <v>5.8001537069999998</v>
      </c>
      <c r="AH561" s="6">
        <f>[1]Emissions!AG977</f>
        <v>5.8492688150000003</v>
      </c>
      <c r="AI561" s="6">
        <f>[1]Emissions!AH977</f>
        <v>5.9005380079999998</v>
      </c>
      <c r="AJ561" s="6">
        <f>[1]Emissions!AI977</f>
        <v>5.9536640690000002</v>
      </c>
      <c r="AK561" s="6">
        <f>[1]Emissions!AJ977</f>
        <v>6.0081727860000003</v>
      </c>
      <c r="AL561" s="6">
        <f>[1]Emissions!AK977</f>
        <v>6.0636540610000003</v>
      </c>
    </row>
    <row r="562" spans="1:38" hidden="1" x14ac:dyDescent="0.3">
      <c r="B562" s="16" t="str">
        <f>[1]Emissions!A978</f>
        <v>ems_y_co2_seco_0</v>
      </c>
      <c r="C562" s="6">
        <f>[1]Emissions!B978</f>
        <v>0</v>
      </c>
      <c r="D562" s="6">
        <f>[1]Emissions!C978</f>
        <v>0</v>
      </c>
      <c r="E562" s="6">
        <f>[1]Emissions!D978</f>
        <v>0</v>
      </c>
      <c r="F562" s="6">
        <f>[1]Emissions!E978</f>
        <v>0</v>
      </c>
      <c r="G562" s="6">
        <f>[1]Emissions!F978</f>
        <v>0</v>
      </c>
      <c r="H562" s="6">
        <f>[1]Emissions!G978</f>
        <v>0</v>
      </c>
      <c r="I562" s="6">
        <f>[1]Emissions!H978</f>
        <v>0</v>
      </c>
      <c r="J562" s="6">
        <f>[1]Emissions!I978</f>
        <v>0</v>
      </c>
      <c r="K562" s="6">
        <f>[1]Emissions!J978</f>
        <v>0</v>
      </c>
      <c r="L562" s="6">
        <f>[1]Emissions!K978</f>
        <v>0</v>
      </c>
      <c r="M562" s="6">
        <f>[1]Emissions!L978</f>
        <v>0</v>
      </c>
      <c r="N562" s="6">
        <f>[1]Emissions!M978</f>
        <v>0</v>
      </c>
      <c r="O562" s="6">
        <f>[1]Emissions!N978</f>
        <v>0</v>
      </c>
      <c r="P562" s="6">
        <f>[1]Emissions!O978</f>
        <v>0</v>
      </c>
      <c r="Q562" s="6">
        <f>[1]Emissions!P978</f>
        <v>0</v>
      </c>
      <c r="R562" s="6">
        <f>[1]Emissions!Q978</f>
        <v>0</v>
      </c>
      <c r="S562" s="6">
        <f>[1]Emissions!R978</f>
        <v>0</v>
      </c>
      <c r="T562" s="6">
        <f>[1]Emissions!S978</f>
        <v>0</v>
      </c>
      <c r="U562" s="6">
        <f>[1]Emissions!T978</f>
        <v>0</v>
      </c>
      <c r="V562" s="6">
        <f>[1]Emissions!U978</f>
        <v>0</v>
      </c>
      <c r="W562" s="6">
        <f>[1]Emissions!V978</f>
        <v>0</v>
      </c>
      <c r="X562" s="6">
        <f>[1]Emissions!W978</f>
        <v>0</v>
      </c>
      <c r="Y562" s="6">
        <f>[1]Emissions!X978</f>
        <v>0</v>
      </c>
      <c r="Z562" s="6">
        <f>[1]Emissions!Y978</f>
        <v>0</v>
      </c>
      <c r="AA562" s="6">
        <f>[1]Emissions!Z978</f>
        <v>0</v>
      </c>
      <c r="AB562" s="6">
        <f>[1]Emissions!AA978</f>
        <v>0</v>
      </c>
      <c r="AC562" s="6">
        <f>[1]Emissions!AB978</f>
        <v>0</v>
      </c>
      <c r="AD562" s="6">
        <f>[1]Emissions!AC978</f>
        <v>0</v>
      </c>
      <c r="AE562" s="6">
        <f>[1]Emissions!AD978</f>
        <v>0</v>
      </c>
      <c r="AF562" s="6">
        <f>[1]Emissions!AE978</f>
        <v>0</v>
      </c>
      <c r="AG562" s="6">
        <f>[1]Emissions!AF978</f>
        <v>0</v>
      </c>
      <c r="AH562" s="6">
        <f>[1]Emissions!AG978</f>
        <v>0</v>
      </c>
      <c r="AI562" s="6">
        <f>[1]Emissions!AH978</f>
        <v>0</v>
      </c>
      <c r="AJ562" s="6">
        <f>[1]Emissions!AI978</f>
        <v>0</v>
      </c>
      <c r="AK562" s="6">
        <f>[1]Emissions!AJ978</f>
        <v>0</v>
      </c>
      <c r="AL562" s="6">
        <f>[1]Emissions!AK978</f>
        <v>0</v>
      </c>
    </row>
    <row r="563" spans="1:38" hidden="1" x14ac:dyDescent="0.3">
      <c r="B563" s="16" t="str">
        <f>[1]Emissions!A979</f>
        <v>ems_mat_co2_seco_0</v>
      </c>
      <c r="C563" s="6">
        <f>[1]Emissions!B979</f>
        <v>0.3112683094</v>
      </c>
      <c r="D563" s="6">
        <f>[1]Emissions!C979</f>
        <v>0.31383251449999999</v>
      </c>
      <c r="E563" s="6">
        <f>[1]Emissions!D979</f>
        <v>0.3154359759</v>
      </c>
      <c r="F563" s="6">
        <f>[1]Emissions!E979</f>
        <v>0.316776956</v>
      </c>
      <c r="G563" s="6">
        <f>[1]Emissions!F979</f>
        <v>0.31840277119999999</v>
      </c>
      <c r="H563" s="6">
        <f>[1]Emissions!G979</f>
        <v>0.32066757359999998</v>
      </c>
      <c r="I563" s="6">
        <f>[1]Emissions!H979</f>
        <v>0.32354294210000001</v>
      </c>
      <c r="J563" s="6">
        <f>[1]Emissions!I979</f>
        <v>0.32693195749999998</v>
      </c>
      <c r="K563" s="6">
        <f>[1]Emissions!J979</f>
        <v>0.33056465159999998</v>
      </c>
      <c r="L563" s="6">
        <f>[1]Emissions!K979</f>
        <v>0.33415109370000001</v>
      </c>
      <c r="M563" s="6">
        <f>[1]Emissions!L979</f>
        <v>0.33764754809999997</v>
      </c>
      <c r="N563" s="6">
        <f>[1]Emissions!M979</f>
        <v>0.3408731518</v>
      </c>
      <c r="O563" s="6">
        <f>[1]Emissions!N979</f>
        <v>0.34389501220000002</v>
      </c>
      <c r="P563" s="6">
        <f>[1]Emissions!O979</f>
        <v>0.34681649079999999</v>
      </c>
      <c r="Q563" s="6">
        <f>[1]Emissions!P979</f>
        <v>0.34970191309999998</v>
      </c>
      <c r="R563" s="6">
        <f>[1]Emissions!Q979</f>
        <v>0.35258578740000002</v>
      </c>
      <c r="S563" s="6">
        <f>[1]Emissions!R979</f>
        <v>0.35548076940000001</v>
      </c>
      <c r="T563" s="6">
        <f>[1]Emissions!S979</f>
        <v>0.35838326459999997</v>
      </c>
      <c r="U563" s="6">
        <f>[1]Emissions!T979</f>
        <v>0.36128756379999999</v>
      </c>
      <c r="V563" s="6">
        <f>[1]Emissions!U979</f>
        <v>0.3641976327</v>
      </c>
      <c r="W563" s="6">
        <f>[1]Emissions!V979</f>
        <v>0.3670016136</v>
      </c>
      <c r="X563" s="6">
        <f>[1]Emissions!W979</f>
        <v>0.36987190110000001</v>
      </c>
      <c r="Y563" s="6">
        <f>[1]Emissions!X979</f>
        <v>0.37284028219999998</v>
      </c>
      <c r="Z563" s="6">
        <f>[1]Emissions!Y979</f>
        <v>0.3759243028</v>
      </c>
      <c r="AA563" s="6">
        <f>[1]Emissions!Z979</f>
        <v>0.37914281589999999</v>
      </c>
      <c r="AB563" s="6">
        <f>[1]Emissions!AA979</f>
        <v>0.38207673349999999</v>
      </c>
      <c r="AC563" s="6">
        <f>[1]Emissions!AB979</f>
        <v>0.38508690509999999</v>
      </c>
      <c r="AD563" s="6">
        <f>[1]Emissions!AC979</f>
        <v>0.38812909439999999</v>
      </c>
      <c r="AE563" s="6">
        <f>[1]Emissions!AD979</f>
        <v>0.3911880774</v>
      </c>
      <c r="AF563" s="6">
        <f>[1]Emissions!AE979</f>
        <v>0.39430297089999999</v>
      </c>
      <c r="AG563" s="6">
        <f>[1]Emissions!AF979</f>
        <v>0.3975262933</v>
      </c>
      <c r="AH563" s="6">
        <f>[1]Emissions!AG979</f>
        <v>0.40089250520000003</v>
      </c>
      <c r="AI563" s="6">
        <f>[1]Emissions!AH979</f>
        <v>0.40440635209999998</v>
      </c>
      <c r="AJ563" s="6">
        <f>[1]Emissions!AI979</f>
        <v>0.40804746349999999</v>
      </c>
      <c r="AK563" s="6">
        <f>[1]Emissions!AJ979</f>
        <v>0.41178333839999998</v>
      </c>
      <c r="AL563" s="6">
        <f>[1]Emissions!AK979</f>
        <v>0.41558586959999999</v>
      </c>
    </row>
    <row r="564" spans="1:38" hidden="1" x14ac:dyDescent="0.3">
      <c r="B564" s="16" t="str">
        <f>[1]Emissions!A980</f>
        <v>ems_ci_co2_sech_0</v>
      </c>
      <c r="C564" s="6">
        <f>[1]Emissions!B980</f>
        <v>2.6053370220000001</v>
      </c>
      <c r="D564" s="6">
        <f>[1]Emissions!C980</f>
        <v>2.6330751829999999</v>
      </c>
      <c r="E564" s="6">
        <f>[1]Emissions!D980</f>
        <v>2.6553026380000002</v>
      </c>
      <c r="F564" s="6">
        <f>[1]Emissions!E980</f>
        <v>2.6753419979999999</v>
      </c>
      <c r="G564" s="6">
        <f>[1]Emissions!F980</f>
        <v>2.696717177</v>
      </c>
      <c r="H564" s="6">
        <f>[1]Emissions!G980</f>
        <v>2.7220123850000002</v>
      </c>
      <c r="I564" s="6">
        <f>[1]Emissions!H980</f>
        <v>2.7507026630000002</v>
      </c>
      <c r="J564" s="6">
        <f>[1]Emissions!I980</f>
        <v>2.7826076679999998</v>
      </c>
      <c r="K564" s="6">
        <f>[1]Emissions!J980</f>
        <v>2.8161987430000002</v>
      </c>
      <c r="L564" s="6">
        <f>[1]Emissions!K980</f>
        <v>2.8495678789999999</v>
      </c>
      <c r="M564" s="6">
        <f>[1]Emissions!L980</f>
        <v>2.8833145519999999</v>
      </c>
      <c r="N564" s="6">
        <f>[1]Emissions!M980</f>
        <v>2.9149855260000002</v>
      </c>
      <c r="O564" s="6">
        <f>[1]Emissions!N980</f>
        <v>2.9449222590000002</v>
      </c>
      <c r="P564" s="6">
        <f>[1]Emissions!O980</f>
        <v>2.9740184539999999</v>
      </c>
      <c r="Q564" s="6">
        <f>[1]Emissions!P980</f>
        <v>3.0027652480000002</v>
      </c>
      <c r="R564" s="6">
        <f>[1]Emissions!Q980</f>
        <v>3.0314007780000001</v>
      </c>
      <c r="S564" s="6">
        <f>[1]Emissions!R980</f>
        <v>3.060006284</v>
      </c>
      <c r="T564" s="6">
        <f>[1]Emissions!S980</f>
        <v>3.0885668310000001</v>
      </c>
      <c r="U564" s="6">
        <f>[1]Emissions!T980</f>
        <v>3.1170607449999999</v>
      </c>
      <c r="V564" s="6">
        <f>[1]Emissions!U980</f>
        <v>3.1455314649999999</v>
      </c>
      <c r="W564" s="6">
        <f>[1]Emissions!V980</f>
        <v>3.1725810729999999</v>
      </c>
      <c r="X564" s="6">
        <f>[1]Emissions!W980</f>
        <v>3.2002255970000002</v>
      </c>
      <c r="Y564" s="6">
        <f>[1]Emissions!X980</f>
        <v>3.2287609549999998</v>
      </c>
      <c r="Z564" s="6">
        <f>[1]Emissions!Y980</f>
        <v>3.258178075</v>
      </c>
      <c r="AA564" s="6">
        <f>[1]Emissions!Z980</f>
        <v>3.2885455659999998</v>
      </c>
      <c r="AB564" s="6">
        <f>[1]Emissions!AA980</f>
        <v>3.3151578079999999</v>
      </c>
      <c r="AC564" s="6">
        <f>[1]Emissions!AB980</f>
        <v>3.3420337959999999</v>
      </c>
      <c r="AD564" s="6">
        <f>[1]Emissions!AC980</f>
        <v>3.369260599</v>
      </c>
      <c r="AE564" s="6">
        <f>[1]Emissions!AD980</f>
        <v>3.3966588820000001</v>
      </c>
      <c r="AF564" s="6">
        <f>[1]Emissions!AE980</f>
        <v>3.4244394329999999</v>
      </c>
      <c r="AG564" s="6">
        <f>[1]Emissions!AF980</f>
        <v>3.4529474640000002</v>
      </c>
      <c r="AH564" s="6">
        <f>[1]Emissions!AG980</f>
        <v>3.4824273099999998</v>
      </c>
      <c r="AI564" s="6">
        <f>[1]Emissions!AH980</f>
        <v>3.5129264230000001</v>
      </c>
      <c r="AJ564" s="6">
        <f>[1]Emissions!AI980</f>
        <v>3.544316319</v>
      </c>
      <c r="AK564" s="6">
        <f>[1]Emissions!AJ980</f>
        <v>3.576378966</v>
      </c>
      <c r="AL564" s="6">
        <f>[1]Emissions!AK980</f>
        <v>3.608915756</v>
      </c>
    </row>
    <row r="565" spans="1:38" hidden="1" x14ac:dyDescent="0.3">
      <c r="B565" s="16" t="str">
        <f>[1]Emissions!A981</f>
        <v>ems_y_co2_sech_0</v>
      </c>
      <c r="C565" s="6">
        <f>[1]Emissions!B981</f>
        <v>0</v>
      </c>
      <c r="D565" s="6">
        <f>[1]Emissions!C981</f>
        <v>0</v>
      </c>
      <c r="E565" s="6">
        <f>[1]Emissions!D981</f>
        <v>0</v>
      </c>
      <c r="F565" s="6">
        <f>[1]Emissions!E981</f>
        <v>0</v>
      </c>
      <c r="G565" s="6">
        <f>[1]Emissions!F981</f>
        <v>0</v>
      </c>
      <c r="H565" s="6">
        <f>[1]Emissions!G981</f>
        <v>0</v>
      </c>
      <c r="I565" s="6">
        <f>[1]Emissions!H981</f>
        <v>0</v>
      </c>
      <c r="J565" s="6">
        <f>[1]Emissions!I981</f>
        <v>0</v>
      </c>
      <c r="K565" s="6">
        <f>[1]Emissions!J981</f>
        <v>0</v>
      </c>
      <c r="L565" s="6">
        <f>[1]Emissions!K981</f>
        <v>0</v>
      </c>
      <c r="M565" s="6">
        <f>[1]Emissions!L981</f>
        <v>0</v>
      </c>
      <c r="N565" s="6">
        <f>[1]Emissions!M981</f>
        <v>0</v>
      </c>
      <c r="O565" s="6">
        <f>[1]Emissions!N981</f>
        <v>0</v>
      </c>
      <c r="P565" s="6">
        <f>[1]Emissions!O981</f>
        <v>0</v>
      </c>
      <c r="Q565" s="6">
        <f>[1]Emissions!P981</f>
        <v>0</v>
      </c>
      <c r="R565" s="6">
        <f>[1]Emissions!Q981</f>
        <v>0</v>
      </c>
      <c r="S565" s="6">
        <f>[1]Emissions!R981</f>
        <v>0</v>
      </c>
      <c r="T565" s="6">
        <f>[1]Emissions!S981</f>
        <v>0</v>
      </c>
      <c r="U565" s="6">
        <f>[1]Emissions!T981</f>
        <v>0</v>
      </c>
      <c r="V565" s="6">
        <f>[1]Emissions!U981</f>
        <v>0</v>
      </c>
      <c r="W565" s="6">
        <f>[1]Emissions!V981</f>
        <v>0</v>
      </c>
      <c r="X565" s="6">
        <f>[1]Emissions!W981</f>
        <v>0</v>
      </c>
      <c r="Y565" s="6">
        <f>[1]Emissions!X981</f>
        <v>0</v>
      </c>
      <c r="Z565" s="6">
        <f>[1]Emissions!Y981</f>
        <v>0</v>
      </c>
      <c r="AA565" s="6">
        <f>[1]Emissions!Z981</f>
        <v>0</v>
      </c>
      <c r="AB565" s="6">
        <f>[1]Emissions!AA981</f>
        <v>0</v>
      </c>
      <c r="AC565" s="6">
        <f>[1]Emissions!AB981</f>
        <v>0</v>
      </c>
      <c r="AD565" s="6">
        <f>[1]Emissions!AC981</f>
        <v>0</v>
      </c>
      <c r="AE565" s="6">
        <f>[1]Emissions!AD981</f>
        <v>0</v>
      </c>
      <c r="AF565" s="6">
        <f>[1]Emissions!AE981</f>
        <v>0</v>
      </c>
      <c r="AG565" s="6">
        <f>[1]Emissions!AF981</f>
        <v>0</v>
      </c>
      <c r="AH565" s="6">
        <f>[1]Emissions!AG981</f>
        <v>0</v>
      </c>
      <c r="AI565" s="6">
        <f>[1]Emissions!AH981</f>
        <v>0</v>
      </c>
      <c r="AJ565" s="6">
        <f>[1]Emissions!AI981</f>
        <v>0</v>
      </c>
      <c r="AK565" s="6">
        <f>[1]Emissions!AJ981</f>
        <v>0</v>
      </c>
      <c r="AL565" s="6">
        <f>[1]Emissions!AK981</f>
        <v>0</v>
      </c>
    </row>
    <row r="566" spans="1:38" hidden="1" x14ac:dyDescent="0.3">
      <c r="B566" s="16" t="str">
        <f>[1]Emissions!A982</f>
        <v>ems_mat_co2_sech_0</v>
      </c>
      <c r="C566" s="6">
        <f>[1]Emissions!B982</f>
        <v>0.17856109919999999</v>
      </c>
      <c r="D566" s="6">
        <f>[1]Emissions!C982</f>
        <v>0.18044749199999999</v>
      </c>
      <c r="E566" s="6">
        <f>[1]Emissions!D982</f>
        <v>0.1819392118</v>
      </c>
      <c r="F566" s="6">
        <f>[1]Emissions!E982</f>
        <v>0.1832688676</v>
      </c>
      <c r="G566" s="6">
        <f>[1]Emissions!F982</f>
        <v>0.18468443740000001</v>
      </c>
      <c r="H566" s="6">
        <f>[1]Emissions!G982</f>
        <v>0.18636816449999999</v>
      </c>
      <c r="I566" s="6">
        <f>[1]Emissions!H982</f>
        <v>0.18828745690000001</v>
      </c>
      <c r="J566" s="6">
        <f>[1]Emissions!I982</f>
        <v>0.19043181479999999</v>
      </c>
      <c r="K566" s="6">
        <f>[1]Emissions!J982</f>
        <v>0.19269747509999999</v>
      </c>
      <c r="L566" s="6">
        <f>[1]Emissions!K982</f>
        <v>0.1949542008</v>
      </c>
      <c r="M566" s="6">
        <f>[1]Emissions!L982</f>
        <v>0.1972430654</v>
      </c>
      <c r="N566" s="6">
        <f>[1]Emissions!M982</f>
        <v>0.19939649270000001</v>
      </c>
      <c r="O566" s="6">
        <f>[1]Emissions!N982</f>
        <v>0.2014376611</v>
      </c>
      <c r="P566" s="6">
        <f>[1]Emissions!O982</f>
        <v>0.2034274117</v>
      </c>
      <c r="Q566" s="6">
        <f>[1]Emissions!P982</f>
        <v>0.20539885199999999</v>
      </c>
      <c r="R566" s="6">
        <f>[1]Emissions!Q982</f>
        <v>0.20736757189999999</v>
      </c>
      <c r="S566" s="6">
        <f>[1]Emissions!R982</f>
        <v>0.2093382798</v>
      </c>
      <c r="T566" s="6">
        <f>[1]Emissions!S982</f>
        <v>0.21130905890000001</v>
      </c>
      <c r="U566" s="6">
        <f>[1]Emissions!T982</f>
        <v>0.21327757959999999</v>
      </c>
      <c r="V566" s="6">
        <f>[1]Emissions!U982</f>
        <v>0.2152460739</v>
      </c>
      <c r="W566" s="6">
        <f>[1]Emissions!V982</f>
        <v>0.21711822010000001</v>
      </c>
      <c r="X566" s="6">
        <f>[1]Emissions!W982</f>
        <v>0.21903142410000001</v>
      </c>
      <c r="Y566" s="6">
        <f>[1]Emissions!X982</f>
        <v>0.22100569580000001</v>
      </c>
      <c r="Z566" s="6">
        <f>[1]Emissions!Y982</f>
        <v>0.22304016539999999</v>
      </c>
      <c r="AA566" s="6">
        <f>[1]Emissions!Z982</f>
        <v>0.22513930469999999</v>
      </c>
      <c r="AB566" s="6">
        <f>[1]Emissions!AA982</f>
        <v>0.22698055780000001</v>
      </c>
      <c r="AC566" s="6">
        <f>[1]Emissions!AB982</f>
        <v>0.22883886680000001</v>
      </c>
      <c r="AD566" s="6">
        <f>[1]Emissions!AC982</f>
        <v>0.2307204517</v>
      </c>
      <c r="AE566" s="6">
        <f>[1]Emissions!AD982</f>
        <v>0.23261317240000001</v>
      </c>
      <c r="AF566" s="6">
        <f>[1]Emissions!AE982</f>
        <v>0.2345314744</v>
      </c>
      <c r="AG566" s="6">
        <f>[1]Emissions!AF982</f>
        <v>0.23649893850000001</v>
      </c>
      <c r="AH566" s="6">
        <f>[1]Emissions!AG982</f>
        <v>0.2385322198</v>
      </c>
      <c r="AI566" s="6">
        <f>[1]Emissions!AH982</f>
        <v>0.24063450880000001</v>
      </c>
      <c r="AJ566" s="6">
        <f>[1]Emissions!AI982</f>
        <v>0.2427969861</v>
      </c>
      <c r="AK566" s="6">
        <f>[1]Emissions!AJ982</f>
        <v>0.24500474689999999</v>
      </c>
      <c r="AL566" s="6">
        <f>[1]Emissions!AK982</f>
        <v>0.2472442581</v>
      </c>
    </row>
    <row r="567" spans="1:38" hidden="1" x14ac:dyDescent="0.3">
      <c r="B567" s="16" t="str">
        <f>[1]Emissions!A983</f>
        <v>ems_ci_co2_seot_0</v>
      </c>
      <c r="C567" s="6">
        <f>[1]Emissions!B983</f>
        <v>1.79097061</v>
      </c>
      <c r="D567" s="6">
        <f>[1]Emissions!C983</f>
        <v>1.805997879</v>
      </c>
      <c r="E567" s="6">
        <f>[1]Emissions!D983</f>
        <v>1.8156797520000001</v>
      </c>
      <c r="F567" s="6">
        <f>[1]Emissions!E983</f>
        <v>1.8238525320000001</v>
      </c>
      <c r="G567" s="6">
        <f>[1]Emissions!F983</f>
        <v>1.833572848</v>
      </c>
      <c r="H567" s="6">
        <f>[1]Emissions!G983</f>
        <v>1.846895417</v>
      </c>
      <c r="I567" s="6">
        <f>[1]Emissions!H983</f>
        <v>1.8637367570000001</v>
      </c>
      <c r="J567" s="6">
        <f>[1]Emissions!I983</f>
        <v>1.8836120199999999</v>
      </c>
      <c r="K567" s="6">
        <f>[1]Emissions!J983</f>
        <v>1.904988535</v>
      </c>
      <c r="L567" s="6">
        <f>[1]Emissions!K983</f>
        <v>1.926158788</v>
      </c>
      <c r="M567" s="6">
        <f>[1]Emissions!L983</f>
        <v>1.946782797</v>
      </c>
      <c r="N567" s="6">
        <f>[1]Emissions!M983</f>
        <v>1.9657645290000001</v>
      </c>
      <c r="O567" s="6">
        <f>[1]Emissions!N983</f>
        <v>1.9834554390000001</v>
      </c>
      <c r="P567" s="6">
        <f>[1]Emissions!O983</f>
        <v>2.0004433850000001</v>
      </c>
      <c r="Q567" s="6">
        <f>[1]Emissions!P983</f>
        <v>2.0171110840000002</v>
      </c>
      <c r="R567" s="6">
        <f>[1]Emissions!Q983</f>
        <v>2.033678729</v>
      </c>
      <c r="S567" s="6">
        <f>[1]Emissions!R983</f>
        <v>2.0502408729999999</v>
      </c>
      <c r="T567" s="6">
        <f>[1]Emissions!S983</f>
        <v>2.0667934520000002</v>
      </c>
      <c r="U567" s="6">
        <f>[1]Emissions!T983</f>
        <v>2.083314347</v>
      </c>
      <c r="V567" s="6">
        <f>[1]Emissions!U983</f>
        <v>2.0998334710000002</v>
      </c>
      <c r="W567" s="6">
        <f>[1]Emissions!V983</f>
        <v>2.1157206560000001</v>
      </c>
      <c r="X567" s="6">
        <f>[1]Emissions!W983</f>
        <v>2.1319647499999999</v>
      </c>
      <c r="Y567" s="6">
        <f>[1]Emissions!X983</f>
        <v>2.148752199</v>
      </c>
      <c r="Z567" s="6">
        <f>[1]Emissions!Y983</f>
        <v>2.1661942380000001</v>
      </c>
      <c r="AA567" s="6">
        <f>[1]Emissions!Z983</f>
        <v>2.1844137699999999</v>
      </c>
      <c r="AB567" s="6">
        <f>[1]Emissions!AA983</f>
        <v>2.2010309459999999</v>
      </c>
      <c r="AC567" s="6">
        <f>[1]Emissions!AB983</f>
        <v>2.2181106669999999</v>
      </c>
      <c r="AD567" s="6">
        <f>[1]Emissions!AC983</f>
        <v>2.2353795540000001</v>
      </c>
      <c r="AE567" s="6">
        <f>[1]Emissions!AD983</f>
        <v>2.2527350909999999</v>
      </c>
      <c r="AF567" s="6">
        <f>[1]Emissions!AE983</f>
        <v>2.2703987450000001</v>
      </c>
      <c r="AG567" s="6">
        <f>[1]Emissions!AF983</f>
        <v>2.2886803389999999</v>
      </c>
      <c r="AH567" s="6">
        <f>[1]Emissions!AG983</f>
        <v>2.3077919530000002</v>
      </c>
      <c r="AI567" s="6">
        <f>[1]Emissions!AH983</f>
        <v>2.3277742840000002</v>
      </c>
      <c r="AJ567" s="6">
        <f>[1]Emissions!AI983</f>
        <v>2.3485181399999999</v>
      </c>
      <c r="AK567" s="6">
        <f>[1]Emissions!AJ983</f>
        <v>2.3698373909999999</v>
      </c>
      <c r="AL567" s="6">
        <f>[1]Emissions!AK983</f>
        <v>2.3915654430000002</v>
      </c>
    </row>
    <row r="568" spans="1:38" hidden="1" x14ac:dyDescent="0.3">
      <c r="B568" s="16" t="str">
        <f>[1]Emissions!A984</f>
        <v>ems_y_co2_seot_0</v>
      </c>
      <c r="C568" s="6">
        <f>[1]Emissions!B984</f>
        <v>0</v>
      </c>
      <c r="D568" s="6">
        <f>[1]Emissions!C984</f>
        <v>0</v>
      </c>
      <c r="E568" s="6">
        <f>[1]Emissions!D984</f>
        <v>0</v>
      </c>
      <c r="F568" s="6">
        <f>[1]Emissions!E984</f>
        <v>0</v>
      </c>
      <c r="G568" s="6">
        <f>[1]Emissions!F984</f>
        <v>0</v>
      </c>
      <c r="H568" s="6">
        <f>[1]Emissions!G984</f>
        <v>0</v>
      </c>
      <c r="I568" s="6">
        <f>[1]Emissions!H984</f>
        <v>0</v>
      </c>
      <c r="J568" s="6">
        <f>[1]Emissions!I984</f>
        <v>0</v>
      </c>
      <c r="K568" s="6">
        <f>[1]Emissions!J984</f>
        <v>0</v>
      </c>
      <c r="L568" s="6">
        <f>[1]Emissions!K984</f>
        <v>0</v>
      </c>
      <c r="M568" s="6">
        <f>[1]Emissions!L984</f>
        <v>0</v>
      </c>
      <c r="N568" s="6">
        <f>[1]Emissions!M984</f>
        <v>0</v>
      </c>
      <c r="O568" s="6">
        <f>[1]Emissions!N984</f>
        <v>0</v>
      </c>
      <c r="P568" s="6">
        <f>[1]Emissions!O984</f>
        <v>0</v>
      </c>
      <c r="Q568" s="6">
        <f>[1]Emissions!P984</f>
        <v>0</v>
      </c>
      <c r="R568" s="6">
        <f>[1]Emissions!Q984</f>
        <v>0</v>
      </c>
      <c r="S568" s="6">
        <f>[1]Emissions!R984</f>
        <v>0</v>
      </c>
      <c r="T568" s="6">
        <f>[1]Emissions!S984</f>
        <v>0</v>
      </c>
      <c r="U568" s="6">
        <f>[1]Emissions!T984</f>
        <v>0</v>
      </c>
      <c r="V568" s="6">
        <f>[1]Emissions!U984</f>
        <v>0</v>
      </c>
      <c r="W568" s="6">
        <f>[1]Emissions!V984</f>
        <v>0</v>
      </c>
      <c r="X568" s="6">
        <f>[1]Emissions!W984</f>
        <v>0</v>
      </c>
      <c r="Y568" s="6">
        <f>[1]Emissions!X984</f>
        <v>0</v>
      </c>
      <c r="Z568" s="6">
        <f>[1]Emissions!Y984</f>
        <v>0</v>
      </c>
      <c r="AA568" s="6">
        <f>[1]Emissions!Z984</f>
        <v>0</v>
      </c>
      <c r="AB568" s="6">
        <f>[1]Emissions!AA984</f>
        <v>0</v>
      </c>
      <c r="AC568" s="6">
        <f>[1]Emissions!AB984</f>
        <v>0</v>
      </c>
      <c r="AD568" s="6">
        <f>[1]Emissions!AC984</f>
        <v>0</v>
      </c>
      <c r="AE568" s="6">
        <f>[1]Emissions!AD984</f>
        <v>0</v>
      </c>
      <c r="AF568" s="6">
        <f>[1]Emissions!AE984</f>
        <v>0</v>
      </c>
      <c r="AG568" s="6">
        <f>[1]Emissions!AF984</f>
        <v>0</v>
      </c>
      <c r="AH568" s="6">
        <f>[1]Emissions!AG984</f>
        <v>0</v>
      </c>
      <c r="AI568" s="6">
        <f>[1]Emissions!AH984</f>
        <v>0</v>
      </c>
      <c r="AJ568" s="6">
        <f>[1]Emissions!AI984</f>
        <v>0</v>
      </c>
      <c r="AK568" s="6">
        <f>[1]Emissions!AJ984</f>
        <v>0</v>
      </c>
      <c r="AL568" s="6">
        <f>[1]Emissions!AK984</f>
        <v>0</v>
      </c>
    </row>
    <row r="569" spans="1:38" hidden="1" x14ac:dyDescent="0.3">
      <c r="B569" s="16" t="str">
        <f>[1]Emissions!A985</f>
        <v>ems_mat_co2_seot_0</v>
      </c>
      <c r="C569" s="6">
        <f>[1]Emissions!B985</f>
        <v>0.1227500185</v>
      </c>
      <c r="D569" s="6">
        <f>[1]Emissions!C985</f>
        <v>0.123761224</v>
      </c>
      <c r="E569" s="6">
        <f>[1]Emissions!D985</f>
        <v>0.124393556</v>
      </c>
      <c r="F569" s="6">
        <f>[1]Emissions!E985</f>
        <v>0.12492237740000001</v>
      </c>
      <c r="G569" s="6">
        <f>[1]Emissions!F985</f>
        <v>0.12556352470000001</v>
      </c>
      <c r="H569" s="6">
        <f>[1]Emissions!G985</f>
        <v>0.12645665950000001</v>
      </c>
      <c r="I569" s="6">
        <f>[1]Emissions!H985</f>
        <v>0.12759057360000001</v>
      </c>
      <c r="J569" s="6">
        <f>[1]Emissions!I985</f>
        <v>0.12892704660000001</v>
      </c>
      <c r="K569" s="6">
        <f>[1]Emissions!J985</f>
        <v>0.13035961539999999</v>
      </c>
      <c r="L569" s="6">
        <f>[1]Emissions!K985</f>
        <v>0.1317739446</v>
      </c>
      <c r="M569" s="6">
        <f>[1]Emissions!L985</f>
        <v>0.13315278659999999</v>
      </c>
      <c r="N569" s="6">
        <f>[1]Emissions!M985</f>
        <v>0.13442481749999999</v>
      </c>
      <c r="O569" s="6">
        <f>[1]Emissions!N985</f>
        <v>0.13561650140000001</v>
      </c>
      <c r="P569" s="6">
        <f>[1]Emissions!O985</f>
        <v>0.13676859929999999</v>
      </c>
      <c r="Q569" s="6">
        <f>[1]Emissions!P985</f>
        <v>0.13790647819999999</v>
      </c>
      <c r="R569" s="6">
        <f>[1]Emissions!Q985</f>
        <v>0.13904374659999999</v>
      </c>
      <c r="S569" s="6">
        <f>[1]Emissions!R985</f>
        <v>0.1401853954</v>
      </c>
      <c r="T569" s="6">
        <f>[1]Emissions!S985</f>
        <v>0.14133000709999999</v>
      </c>
      <c r="U569" s="6">
        <f>[1]Emissions!T985</f>
        <v>0.1424753302</v>
      </c>
      <c r="V569" s="6">
        <f>[1]Emissions!U985</f>
        <v>0.1436229285</v>
      </c>
      <c r="W569" s="6">
        <f>[1]Emissions!V985</f>
        <v>0.1447286907</v>
      </c>
      <c r="X569" s="6">
        <f>[1]Emissions!W985</f>
        <v>0.14586060109999999</v>
      </c>
      <c r="Y569" s="6">
        <f>[1]Emissions!X985</f>
        <v>0.14703119510000001</v>
      </c>
      <c r="Z569" s="6">
        <f>[1]Emissions!Y985</f>
        <v>0.14824739219999999</v>
      </c>
      <c r="AA569" s="6">
        <f>[1]Emissions!Z985</f>
        <v>0.1495166269</v>
      </c>
      <c r="AB569" s="6">
        <f>[1]Emissions!AA985</f>
        <v>0.15067363010000001</v>
      </c>
      <c r="AC569" s="6">
        <f>[1]Emissions!AB985</f>
        <v>0.15186070439999999</v>
      </c>
      <c r="AD569" s="6">
        <f>[1]Emissions!AC985</f>
        <v>0.15306040509999999</v>
      </c>
      <c r="AE569" s="6">
        <f>[1]Emissions!AD985</f>
        <v>0.1542667284</v>
      </c>
      <c r="AF569" s="6">
        <f>[1]Emissions!AE985</f>
        <v>0.15549510029999999</v>
      </c>
      <c r="AG569" s="6">
        <f>[1]Emissions!AF985</f>
        <v>0.1567662316</v>
      </c>
      <c r="AH569" s="6">
        <f>[1]Emissions!AG985</f>
        <v>0.15809371189999999</v>
      </c>
      <c r="AI569" s="6">
        <f>[1]Emissions!AH985</f>
        <v>0.1594794128</v>
      </c>
      <c r="AJ569" s="6">
        <f>[1]Emissions!AI985</f>
        <v>0.16091530100000001</v>
      </c>
      <c r="AK569" s="6">
        <f>[1]Emissions!AJ985</f>
        <v>0.16238855960000001</v>
      </c>
      <c r="AL569" s="6">
        <f>[1]Emissions!AK985</f>
        <v>0.16388810440000001</v>
      </c>
    </row>
    <row r="570" spans="1:38" hidden="1" x14ac:dyDescent="0.3">
      <c r="B570" s="1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</row>
    <row r="571" spans="1:38" x14ac:dyDescent="0.3">
      <c r="B571" s="17" t="s">
        <v>100</v>
      </c>
      <c r="C571" s="6">
        <f>[1]Emissions!B825-[1]Emissions!B829</f>
        <v>237.35012420000001</v>
      </c>
      <c r="D571" s="6">
        <f>[1]Emissions!C825-[1]Emissions!C829</f>
        <v>240.18043660000001</v>
      </c>
      <c r="E571" s="6">
        <f>[1]Emissions!D825-[1]Emissions!D829</f>
        <v>242.86382760000001</v>
      </c>
      <c r="F571" s="6">
        <f>[1]Emissions!E825-[1]Emissions!E829</f>
        <v>245.2958927</v>
      </c>
      <c r="G571" s="6">
        <f>[1]Emissions!F825-[1]Emissions!F829</f>
        <v>247.80458920000001</v>
      </c>
      <c r="H571" s="6">
        <f>[1]Emissions!G825-[1]Emissions!G829</f>
        <v>250.75424360000002</v>
      </c>
      <c r="I571" s="6">
        <f>[1]Emissions!H825-[1]Emissions!H829</f>
        <v>256.76331970000001</v>
      </c>
      <c r="J571" s="6">
        <f>[1]Emissions!I825-[1]Emissions!I829</f>
        <v>260.82665499999996</v>
      </c>
      <c r="K571" s="6">
        <f>[1]Emissions!J825-[1]Emissions!J829</f>
        <v>264.13710700000001</v>
      </c>
      <c r="L571" s="6">
        <f>[1]Emissions!K825-[1]Emissions!K829</f>
        <v>266.75705520000002</v>
      </c>
      <c r="M571" s="6">
        <f>[1]Emissions!L825-[1]Emissions!L829</f>
        <v>269.38593059999999</v>
      </c>
      <c r="N571" s="6">
        <f>[1]Emissions!M825-[1]Emissions!M829</f>
        <v>271.34750300000002</v>
      </c>
      <c r="O571" s="6">
        <f>[1]Emissions!N825-[1]Emissions!N829</f>
        <v>273.58095120000002</v>
      </c>
      <c r="P571" s="6">
        <f>[1]Emissions!O825-[1]Emissions!O829</f>
        <v>276.37650399999995</v>
      </c>
      <c r="Q571" s="6">
        <f>[1]Emissions!P825-[1]Emissions!P829</f>
        <v>279.76214479999999</v>
      </c>
      <c r="R571" s="6">
        <f>[1]Emissions!Q825-[1]Emissions!Q829</f>
        <v>283.62464010000002</v>
      </c>
      <c r="S571" s="6">
        <f>[1]Emissions!R825-[1]Emissions!R829</f>
        <v>287.78217010000003</v>
      </c>
      <c r="T571" s="6">
        <f>[1]Emissions!S825-[1]Emissions!S829</f>
        <v>292.05573330000004</v>
      </c>
      <c r="U571" s="6">
        <f>[1]Emissions!T825-[1]Emissions!T829</f>
        <v>296.32176990000005</v>
      </c>
      <c r="V571" s="6">
        <f>[1]Emissions!U825-[1]Emissions!U829</f>
        <v>300.53367629999997</v>
      </c>
      <c r="W571" s="6">
        <f>[1]Emissions!V825-[1]Emissions!V829</f>
        <v>304.3050389</v>
      </c>
      <c r="X571" s="6">
        <f>[1]Emissions!W825-[1]Emissions!W829</f>
        <v>308.50250519999997</v>
      </c>
      <c r="Y571" s="6">
        <f>[1]Emissions!X825-[1]Emissions!X829</f>
        <v>312.79128609999998</v>
      </c>
      <c r="Z571" s="6">
        <f>[1]Emissions!Y825-[1]Emissions!Y829</f>
        <v>317.15484570000001</v>
      </c>
      <c r="AA571" s="6">
        <f>[1]Emissions!Z825-[1]Emissions!Z829</f>
        <v>321.62255979999998</v>
      </c>
      <c r="AB571" s="6">
        <f>[1]Emissions!AA825-[1]Emissions!AA829</f>
        <v>324.9558376</v>
      </c>
      <c r="AC571" s="6">
        <f>[1]Emissions!AB825-[1]Emissions!AB829</f>
        <v>329.14927</v>
      </c>
      <c r="AD571" s="6">
        <f>[1]Emissions!AC825-[1]Emissions!AC829</f>
        <v>333.44459430000001</v>
      </c>
      <c r="AE571" s="6">
        <f>[1]Emissions!AD825-[1]Emissions!AD829</f>
        <v>337.70546769999999</v>
      </c>
      <c r="AF571" s="6">
        <f>[1]Emissions!AE825-[1]Emissions!AE829</f>
        <v>341.96910489999999</v>
      </c>
      <c r="AG571" s="6">
        <f>[1]Emissions!AF825-[1]Emissions!AF829</f>
        <v>346.29709889999998</v>
      </c>
      <c r="AH571" s="6">
        <f>[1]Emissions!AG825-[1]Emissions!AG829</f>
        <v>350.7322269</v>
      </c>
      <c r="AI571" s="6">
        <f>[1]Emissions!AH825-[1]Emissions!AH829</f>
        <v>355.28804050000002</v>
      </c>
      <c r="AJ571" s="6">
        <f>[1]Emissions!AI825-[1]Emissions!AI829</f>
        <v>359.95324930000004</v>
      </c>
      <c r="AK571" s="6">
        <f>[1]Emissions!AJ825-[1]Emissions!AJ829</f>
        <v>364.70387099999999</v>
      </c>
      <c r="AL571" s="6">
        <f>[1]Emissions!AK825-[1]Emissions!AK829</f>
        <v>369.51632869999997</v>
      </c>
    </row>
    <row r="572" spans="1:38" x14ac:dyDescent="0.3">
      <c r="A572" s="12" t="s">
        <v>66</v>
      </c>
      <c r="B572" t="s">
        <v>7</v>
      </c>
      <c r="C572" s="6">
        <f>SUM(C413:C418)</f>
        <v>14.771412002600002</v>
      </c>
      <c r="D572" s="6">
        <f t="shared" ref="D572:AL572" si="96">SUM(D413:D418)</f>
        <v>14.712716456599999</v>
      </c>
      <c r="E572" s="6">
        <f t="shared" si="96"/>
        <v>14.6056979966</v>
      </c>
      <c r="F572" s="6">
        <f t="shared" si="96"/>
        <v>14.497445604899998</v>
      </c>
      <c r="G572" s="6">
        <f t="shared" si="96"/>
        <v>14.437002080000001</v>
      </c>
      <c r="H572" s="6">
        <f t="shared" si="96"/>
        <v>14.456653075699998</v>
      </c>
      <c r="I572" s="6">
        <f t="shared" si="96"/>
        <v>15.469797474500002</v>
      </c>
      <c r="J572" s="6">
        <f t="shared" si="96"/>
        <v>15.7378479626</v>
      </c>
      <c r="K572" s="6">
        <f t="shared" si="96"/>
        <v>15.768676949000001</v>
      </c>
      <c r="L572" s="6">
        <f t="shared" si="96"/>
        <v>15.659738129500001</v>
      </c>
      <c r="M572" s="6">
        <f t="shared" si="96"/>
        <v>15.4758045729</v>
      </c>
      <c r="N572" s="6">
        <f t="shared" si="96"/>
        <v>15.278755390700001</v>
      </c>
      <c r="O572" s="6">
        <f t="shared" si="96"/>
        <v>15.12418995</v>
      </c>
      <c r="P572" s="6">
        <f t="shared" si="96"/>
        <v>15.044988398600001</v>
      </c>
      <c r="Q572" s="6">
        <f t="shared" si="96"/>
        <v>15.048691551099999</v>
      </c>
      <c r="R572" s="6">
        <f t="shared" si="96"/>
        <v>15.121059349399998</v>
      </c>
      <c r="S572" s="6">
        <f t="shared" si="96"/>
        <v>15.234678929199999</v>
      </c>
      <c r="T572" s="6">
        <f t="shared" si="96"/>
        <v>15.359448424199998</v>
      </c>
      <c r="U572" s="6">
        <f t="shared" si="96"/>
        <v>15.4716584573</v>
      </c>
      <c r="V572" s="6">
        <f t="shared" si="96"/>
        <v>15.558936891500002</v>
      </c>
      <c r="W572" s="6">
        <f t="shared" si="96"/>
        <v>15.613759610200001</v>
      </c>
      <c r="X572" s="6">
        <f t="shared" si="96"/>
        <v>15.6492163568</v>
      </c>
      <c r="Y572" s="6">
        <f t="shared" si="96"/>
        <v>15.6739381908</v>
      </c>
      <c r="Z572" s="6">
        <f t="shared" si="96"/>
        <v>15.6978277926</v>
      </c>
      <c r="AA572" s="6">
        <f t="shared" si="96"/>
        <v>15.7273833212</v>
      </c>
      <c r="AB572" s="6">
        <f t="shared" si="96"/>
        <v>15.745341037199999</v>
      </c>
      <c r="AC572" s="6">
        <f t="shared" si="96"/>
        <v>15.763772227500001</v>
      </c>
      <c r="AD572" s="6">
        <f t="shared" si="96"/>
        <v>15.778192364600001</v>
      </c>
      <c r="AE572" s="6">
        <f t="shared" si="96"/>
        <v>15.7900586679</v>
      </c>
      <c r="AF572" s="6">
        <f t="shared" si="96"/>
        <v>15.803197143399998</v>
      </c>
      <c r="AG572" s="6">
        <f t="shared" si="96"/>
        <v>15.8219021733</v>
      </c>
      <c r="AH572" s="6">
        <f t="shared" si="96"/>
        <v>15.848916660200002</v>
      </c>
      <c r="AI572" s="6">
        <f t="shared" si="96"/>
        <v>15.8843974473</v>
      </c>
      <c r="AJ572" s="6">
        <f t="shared" si="96"/>
        <v>15.926096622900001</v>
      </c>
      <c r="AK572" s="6">
        <f t="shared" si="96"/>
        <v>15.970442629199999</v>
      </c>
      <c r="AL572" s="6">
        <f t="shared" si="96"/>
        <v>16.013920067299999</v>
      </c>
    </row>
    <row r="573" spans="1:38" x14ac:dyDescent="0.3">
      <c r="A573" t="s">
        <v>27</v>
      </c>
      <c r="B573" t="s">
        <v>84</v>
      </c>
      <c r="C573" s="6">
        <f>SUM(C419:C421)</f>
        <v>9.8888167879999997</v>
      </c>
      <c r="D573" s="6">
        <f t="shared" ref="D573:AL573" si="97">SUM(D419:D421)</f>
        <v>9.9154227150000001</v>
      </c>
      <c r="E573" s="6">
        <f t="shared" si="97"/>
        <v>9.9045798129999998</v>
      </c>
      <c r="F573" s="6">
        <f t="shared" si="97"/>
        <v>9.8873288109999997</v>
      </c>
      <c r="G573" s="6">
        <f t="shared" si="97"/>
        <v>9.8853138040000008</v>
      </c>
      <c r="H573" s="6">
        <f t="shared" si="97"/>
        <v>9.9099053609999999</v>
      </c>
      <c r="I573" s="6">
        <f t="shared" si="97"/>
        <v>10.01067001</v>
      </c>
      <c r="J573" s="6">
        <f t="shared" si="97"/>
        <v>10.025962760000001</v>
      </c>
      <c r="K573" s="6">
        <f t="shared" si="97"/>
        <v>9.9722545300000007</v>
      </c>
      <c r="L573" s="6">
        <f t="shared" si="97"/>
        <v>9.8877470029999994</v>
      </c>
      <c r="M573" s="6">
        <f t="shared" si="97"/>
        <v>9.8041447910000006</v>
      </c>
      <c r="N573" s="6">
        <f t="shared" si="97"/>
        <v>9.7349629520000001</v>
      </c>
      <c r="O573" s="6">
        <f t="shared" si="97"/>
        <v>9.6936171200000008</v>
      </c>
      <c r="P573" s="6">
        <f t="shared" si="97"/>
        <v>9.6851233259999994</v>
      </c>
      <c r="Q573" s="6">
        <f t="shared" si="97"/>
        <v>9.7076879439999999</v>
      </c>
      <c r="R573" s="6">
        <f t="shared" si="97"/>
        <v>9.7539531200000003</v>
      </c>
      <c r="S573" s="6">
        <f t="shared" si="97"/>
        <v>9.8136613799999992</v>
      </c>
      <c r="T573" s="6">
        <f t="shared" si="97"/>
        <v>9.876819953</v>
      </c>
      <c r="U573" s="6">
        <f t="shared" si="97"/>
        <v>9.9362157579999995</v>
      </c>
      <c r="V573" s="6">
        <f t="shared" si="97"/>
        <v>9.9884523240000007</v>
      </c>
      <c r="W573" s="6">
        <f t="shared" si="97"/>
        <v>10.02850233</v>
      </c>
      <c r="X573" s="6">
        <f t="shared" si="97"/>
        <v>10.06417398</v>
      </c>
      <c r="Y573" s="6">
        <f t="shared" si="97"/>
        <v>10.09754006</v>
      </c>
      <c r="Z573" s="6">
        <f t="shared" si="97"/>
        <v>10.131147779999999</v>
      </c>
      <c r="AA573" s="6">
        <f t="shared" si="97"/>
        <v>10.166185759999999</v>
      </c>
      <c r="AB573" s="6">
        <f t="shared" si="97"/>
        <v>10.18812323</v>
      </c>
      <c r="AC573" s="6">
        <f t="shared" si="97"/>
        <v>10.207552720000001</v>
      </c>
      <c r="AD573" s="6">
        <f t="shared" si="97"/>
        <v>10.223622389999999</v>
      </c>
      <c r="AE573" s="6">
        <f t="shared" si="97"/>
        <v>10.23797491</v>
      </c>
      <c r="AF573" s="6">
        <f t="shared" si="97"/>
        <v>10.25247753</v>
      </c>
      <c r="AG573" s="6">
        <f t="shared" si="97"/>
        <v>10.268816899999999</v>
      </c>
      <c r="AH573" s="6">
        <f t="shared" si="97"/>
        <v>10.28799381</v>
      </c>
      <c r="AI573" s="6">
        <f t="shared" si="97"/>
        <v>10.310097150000001</v>
      </c>
      <c r="AJ573" s="6">
        <f t="shared" si="97"/>
        <v>10.334436999999999</v>
      </c>
      <c r="AK573" s="6">
        <f t="shared" si="97"/>
        <v>10.35992676</v>
      </c>
      <c r="AL573" s="6">
        <f t="shared" si="97"/>
        <v>10.38552095</v>
      </c>
    </row>
    <row r="574" spans="1:38" x14ac:dyDescent="0.3">
      <c r="B574" t="s">
        <v>85</v>
      </c>
      <c r="C574" s="6">
        <f>SUM(C425:C427)</f>
        <v>19.531116175000001</v>
      </c>
      <c r="D574" s="6">
        <f t="shared" ref="D574:AL574" si="98">SUM(D425:D427)</f>
        <v>20.135896637999998</v>
      </c>
      <c r="E574" s="6">
        <f t="shared" si="98"/>
        <v>20.866187449999998</v>
      </c>
      <c r="F574" s="6">
        <f t="shared" si="98"/>
        <v>21.457810567999999</v>
      </c>
      <c r="G574" s="6">
        <f t="shared" si="98"/>
        <v>21.914160072999998</v>
      </c>
      <c r="H574" s="6">
        <f t="shared" si="98"/>
        <v>22.300054793000001</v>
      </c>
      <c r="I574" s="6">
        <f t="shared" si="98"/>
        <v>22.325180250999999</v>
      </c>
      <c r="J574" s="6">
        <f t="shared" si="98"/>
        <v>22.338470378</v>
      </c>
      <c r="K574" s="6">
        <f t="shared" si="98"/>
        <v>22.424170191999998</v>
      </c>
      <c r="L574" s="6">
        <f t="shared" si="98"/>
        <v>22.599114193999998</v>
      </c>
      <c r="M574" s="6">
        <f t="shared" si="98"/>
        <v>23.116576618</v>
      </c>
      <c r="N574" s="6">
        <f t="shared" si="98"/>
        <v>23.395716016999998</v>
      </c>
      <c r="O574" s="6">
        <f t="shared" si="98"/>
        <v>23.736084836</v>
      </c>
      <c r="P574" s="6">
        <f t="shared" si="98"/>
        <v>24.146593276000001</v>
      </c>
      <c r="Q574" s="6">
        <f t="shared" si="98"/>
        <v>24.581174048999998</v>
      </c>
      <c r="R574" s="6">
        <f t="shared" si="98"/>
        <v>25.008115602</v>
      </c>
      <c r="S574" s="6">
        <f t="shared" si="98"/>
        <v>25.416860874999998</v>
      </c>
      <c r="T574" s="6">
        <f t="shared" si="98"/>
        <v>25.811769072000001</v>
      </c>
      <c r="U574" s="6">
        <f t="shared" si="98"/>
        <v>26.203796957000002</v>
      </c>
      <c r="V574" s="6">
        <f t="shared" si="98"/>
        <v>26.603587623999999</v>
      </c>
      <c r="W574" s="6">
        <f t="shared" si="98"/>
        <v>26.839720849000003</v>
      </c>
      <c r="X574" s="6">
        <f t="shared" si="98"/>
        <v>27.317330277</v>
      </c>
      <c r="Y574" s="6">
        <f t="shared" si="98"/>
        <v>27.818998554000004</v>
      </c>
      <c r="Z574" s="6">
        <f t="shared" si="98"/>
        <v>28.303717786</v>
      </c>
      <c r="AA574" s="6">
        <f t="shared" si="98"/>
        <v>28.776416852000001</v>
      </c>
      <c r="AB574" s="6">
        <f t="shared" si="98"/>
        <v>28.719629308999998</v>
      </c>
      <c r="AC574" s="6">
        <f t="shared" si="98"/>
        <v>29.120054844000002</v>
      </c>
      <c r="AD574" s="6">
        <f t="shared" si="98"/>
        <v>29.609963315000002</v>
      </c>
      <c r="AE574" s="6">
        <f t="shared" si="98"/>
        <v>30.099029358999999</v>
      </c>
      <c r="AF574" s="6">
        <f t="shared" si="98"/>
        <v>30.582500527000001</v>
      </c>
      <c r="AG574" s="6">
        <f t="shared" si="98"/>
        <v>31.065349744000002</v>
      </c>
      <c r="AH574" s="6">
        <f t="shared" si="98"/>
        <v>31.549479022</v>
      </c>
      <c r="AI574" s="6">
        <f t="shared" si="98"/>
        <v>32.034679296</v>
      </c>
      <c r="AJ574" s="6">
        <f t="shared" si="98"/>
        <v>32.520811389999999</v>
      </c>
      <c r="AK574" s="6">
        <f t="shared" si="98"/>
        <v>33.008835641000005</v>
      </c>
      <c r="AL574" s="6">
        <f t="shared" si="98"/>
        <v>33.500673216000003</v>
      </c>
    </row>
    <row r="575" spans="1:38" x14ac:dyDescent="0.3">
      <c r="B575" t="s">
        <v>86</v>
      </c>
      <c r="C575" s="6">
        <f>SUM(C431:C433)</f>
        <v>6.4303539799999996</v>
      </c>
      <c r="D575" s="6">
        <f t="shared" ref="D575:AL575" si="99">SUM(D431:D433)</f>
        <v>6.4286589579999998</v>
      </c>
      <c r="E575" s="6">
        <f t="shared" si="99"/>
        <v>6.4496595790000004</v>
      </c>
      <c r="F575" s="6">
        <f t="shared" si="99"/>
        <v>6.4960223460000002</v>
      </c>
      <c r="G575" s="6">
        <f t="shared" si="99"/>
        <v>6.5624719569999996</v>
      </c>
      <c r="H575" s="6">
        <f t="shared" si="99"/>
        <v>6.6438906850000006</v>
      </c>
      <c r="I575" s="6">
        <f t="shared" si="99"/>
        <v>6.7088748489999999</v>
      </c>
      <c r="J575" s="6">
        <f t="shared" si="99"/>
        <v>6.7555007069999995</v>
      </c>
      <c r="K575" s="6">
        <f t="shared" si="99"/>
        <v>6.8013237019999995</v>
      </c>
      <c r="L575" s="6">
        <f t="shared" si="99"/>
        <v>6.855260672</v>
      </c>
      <c r="M575" s="6">
        <f t="shared" si="99"/>
        <v>6.9344419140000007</v>
      </c>
      <c r="N575" s="6">
        <f t="shared" si="99"/>
        <v>7.0199567599999995</v>
      </c>
      <c r="O575" s="6">
        <f t="shared" si="99"/>
        <v>7.1180547609999998</v>
      </c>
      <c r="P575" s="6">
        <f t="shared" si="99"/>
        <v>7.2262199339999995</v>
      </c>
      <c r="Q575" s="6">
        <f t="shared" si="99"/>
        <v>7.339414712</v>
      </c>
      <c r="R575" s="6">
        <f t="shared" si="99"/>
        <v>7.4535029230000003</v>
      </c>
      <c r="S575" s="6">
        <f t="shared" si="99"/>
        <v>7.5663941939999999</v>
      </c>
      <c r="T575" s="6">
        <f t="shared" si="99"/>
        <v>7.6780107559999999</v>
      </c>
      <c r="U575" s="6">
        <f t="shared" si="99"/>
        <v>7.7895718330000001</v>
      </c>
      <c r="V575" s="6">
        <f t="shared" si="99"/>
        <v>7.9026668000000004</v>
      </c>
      <c r="W575" s="6">
        <f t="shared" si="99"/>
        <v>8.0099340399999992</v>
      </c>
      <c r="X575" s="6">
        <f t="shared" si="99"/>
        <v>8.1277679260000006</v>
      </c>
      <c r="Y575" s="6">
        <f t="shared" si="99"/>
        <v>8.2505346270000004</v>
      </c>
      <c r="Z575" s="6">
        <f t="shared" si="99"/>
        <v>8.376134467</v>
      </c>
      <c r="AA575" s="6">
        <f t="shared" si="99"/>
        <v>8.5038168389999989</v>
      </c>
      <c r="AB575" s="6">
        <f t="shared" si="99"/>
        <v>8.6073361300000002</v>
      </c>
      <c r="AC575" s="6">
        <f t="shared" si="99"/>
        <v>8.7240326479999997</v>
      </c>
      <c r="AD575" s="6">
        <f t="shared" si="99"/>
        <v>8.8455445369999985</v>
      </c>
      <c r="AE575" s="6">
        <f t="shared" si="99"/>
        <v>8.9697405229999987</v>
      </c>
      <c r="AF575" s="6">
        <f t="shared" si="99"/>
        <v>9.0967092039999997</v>
      </c>
      <c r="AG575" s="6">
        <f t="shared" si="99"/>
        <v>9.2264906660000001</v>
      </c>
      <c r="AH575" s="6">
        <f t="shared" si="99"/>
        <v>9.3587499239999996</v>
      </c>
      <c r="AI575" s="6">
        <f t="shared" si="99"/>
        <v>9.4929960219999998</v>
      </c>
      <c r="AJ575" s="6">
        <f t="shared" si="99"/>
        <v>9.6288466680000013</v>
      </c>
      <c r="AK575" s="6">
        <f t="shared" si="99"/>
        <v>9.7661727129999996</v>
      </c>
      <c r="AL575" s="6">
        <f t="shared" si="99"/>
        <v>9.9050930479999995</v>
      </c>
    </row>
    <row r="576" spans="1:38" x14ac:dyDescent="0.3">
      <c r="B576" t="s">
        <v>87</v>
      </c>
      <c r="C576" s="6">
        <f>SUM(C437:C439)</f>
        <v>20.387651436999999</v>
      </c>
      <c r="D576" s="6">
        <f t="shared" ref="D576:AL576" si="100">SUM(D437:D439)</f>
        <v>20.672245035</v>
      </c>
      <c r="E576" s="6">
        <f t="shared" si="100"/>
        <v>21.010922652999998</v>
      </c>
      <c r="F576" s="6">
        <f t="shared" si="100"/>
        <v>21.367424616000001</v>
      </c>
      <c r="G576" s="6">
        <f t="shared" si="100"/>
        <v>21.737640755000001</v>
      </c>
      <c r="H576" s="6">
        <f t="shared" si="100"/>
        <v>22.121164692000001</v>
      </c>
      <c r="I576" s="6">
        <f t="shared" si="100"/>
        <v>22.385718615000002</v>
      </c>
      <c r="J576" s="6">
        <f t="shared" si="100"/>
        <v>22.598014634999998</v>
      </c>
      <c r="K576" s="6">
        <f t="shared" si="100"/>
        <v>22.802221344000003</v>
      </c>
      <c r="L576" s="6">
        <f t="shared" si="100"/>
        <v>23.024282372999998</v>
      </c>
      <c r="M576" s="6">
        <f t="shared" si="100"/>
        <v>23.350192875000001</v>
      </c>
      <c r="N576" s="6">
        <f t="shared" si="100"/>
        <v>23.652138109999999</v>
      </c>
      <c r="O576" s="6">
        <f t="shared" si="100"/>
        <v>23.993315664000001</v>
      </c>
      <c r="P576" s="6">
        <f t="shared" si="100"/>
        <v>24.370082132999997</v>
      </c>
      <c r="Q576" s="6">
        <f t="shared" si="100"/>
        <v>24.764033568000002</v>
      </c>
      <c r="R576" s="6">
        <f t="shared" si="100"/>
        <v>25.159545525999999</v>
      </c>
      <c r="S576" s="6">
        <f t="shared" si="100"/>
        <v>25.548479182999998</v>
      </c>
      <c r="T576" s="6">
        <f t="shared" si="100"/>
        <v>25.930157446999999</v>
      </c>
      <c r="U576" s="6">
        <f t="shared" si="100"/>
        <v>26.308866690000002</v>
      </c>
      <c r="V576" s="6">
        <f t="shared" si="100"/>
        <v>26.690535869000001</v>
      </c>
      <c r="W576" s="6">
        <f t="shared" si="100"/>
        <v>27.03229434</v>
      </c>
      <c r="X576" s="6">
        <f t="shared" si="100"/>
        <v>27.435209220000001</v>
      </c>
      <c r="Y576" s="6">
        <f t="shared" si="100"/>
        <v>27.853799860000002</v>
      </c>
      <c r="Z576" s="6">
        <f t="shared" si="100"/>
        <v>28.278498110000001</v>
      </c>
      <c r="AA576" s="6">
        <f t="shared" si="100"/>
        <v>28.70800161</v>
      </c>
      <c r="AB576" s="6">
        <f t="shared" si="100"/>
        <v>29.002228860000002</v>
      </c>
      <c r="AC576" s="6">
        <f t="shared" si="100"/>
        <v>29.390614799999998</v>
      </c>
      <c r="AD576" s="6">
        <f t="shared" si="100"/>
        <v>29.802343780000001</v>
      </c>
      <c r="AE576" s="6">
        <f t="shared" si="100"/>
        <v>30.222057790000001</v>
      </c>
      <c r="AF576" s="6">
        <f t="shared" si="100"/>
        <v>30.649631119999999</v>
      </c>
      <c r="AG576" s="6">
        <f t="shared" si="100"/>
        <v>31.085851090000002</v>
      </c>
      <c r="AH576" s="6">
        <f t="shared" si="100"/>
        <v>31.530058690000001</v>
      </c>
      <c r="AI576" s="6">
        <f t="shared" si="100"/>
        <v>31.98079302</v>
      </c>
      <c r="AJ576" s="6">
        <f t="shared" si="100"/>
        <v>32.436792650000001</v>
      </c>
      <c r="AK576" s="6">
        <f t="shared" si="100"/>
        <v>32.897597189999999</v>
      </c>
      <c r="AL576" s="6">
        <f t="shared" si="100"/>
        <v>33.363603980000001</v>
      </c>
    </row>
    <row r="577" spans="1:38" x14ac:dyDescent="0.3">
      <c r="B577" t="s">
        <v>88</v>
      </c>
      <c r="C577" s="6">
        <f>SUM(C422:C424,C428:C430,C434:C436,C440:C442,C443:C445,C446:C448)</f>
        <v>17.274031938100002</v>
      </c>
      <c r="D577" s="6">
        <f t="shared" ref="D577:AL577" si="101">SUM(D422:D424,D428:D430,D434:D436,D440:D442,D443:D445,D446:D448)</f>
        <v>17.7488651046</v>
      </c>
      <c r="E577" s="6">
        <f t="shared" si="101"/>
        <v>18.265942953699998</v>
      </c>
      <c r="F577" s="6">
        <f t="shared" si="101"/>
        <v>18.636951208900001</v>
      </c>
      <c r="G577" s="6">
        <f t="shared" si="101"/>
        <v>18.911332842299998</v>
      </c>
      <c r="H577" s="6">
        <f t="shared" si="101"/>
        <v>19.160849740099998</v>
      </c>
      <c r="I577" s="6">
        <f t="shared" si="101"/>
        <v>19.3124247111</v>
      </c>
      <c r="J577" s="6">
        <f t="shared" si="101"/>
        <v>19.433635898200002</v>
      </c>
      <c r="K577" s="6">
        <f t="shared" si="101"/>
        <v>19.580051189599999</v>
      </c>
      <c r="L577" s="6">
        <f t="shared" si="101"/>
        <v>19.746395292499997</v>
      </c>
      <c r="M577" s="6">
        <f t="shared" si="101"/>
        <v>20.158946217100002</v>
      </c>
      <c r="N577" s="6">
        <f t="shared" si="101"/>
        <v>20.296768905</v>
      </c>
      <c r="O577" s="6">
        <f t="shared" si="101"/>
        <v>20.513450583699999</v>
      </c>
      <c r="P577" s="6">
        <f t="shared" si="101"/>
        <v>20.8029428211</v>
      </c>
      <c r="Q577" s="6">
        <f t="shared" si="101"/>
        <v>21.134398971899998</v>
      </c>
      <c r="R577" s="6">
        <f t="shared" si="101"/>
        <v>21.484861159000001</v>
      </c>
      <c r="S577" s="6">
        <f t="shared" si="101"/>
        <v>21.840434817999999</v>
      </c>
      <c r="T577" s="6">
        <f t="shared" si="101"/>
        <v>22.194975382800003</v>
      </c>
      <c r="U577" s="6">
        <f t="shared" si="101"/>
        <v>22.548225660600004</v>
      </c>
      <c r="V577" s="6">
        <f t="shared" si="101"/>
        <v>22.903394882299999</v>
      </c>
      <c r="W577" s="6">
        <f t="shared" si="101"/>
        <v>23.107379242900002</v>
      </c>
      <c r="X577" s="6">
        <f t="shared" si="101"/>
        <v>23.537508344099997</v>
      </c>
      <c r="Y577" s="6">
        <f t="shared" si="101"/>
        <v>23.962215526500003</v>
      </c>
      <c r="Z577" s="6">
        <f t="shared" si="101"/>
        <v>24.3729365913</v>
      </c>
      <c r="AA577" s="6">
        <f t="shared" si="101"/>
        <v>24.779575846500002</v>
      </c>
      <c r="AB577" s="6">
        <f t="shared" si="101"/>
        <v>24.722777902099999</v>
      </c>
      <c r="AC577" s="6">
        <f t="shared" si="101"/>
        <v>25.123045584000003</v>
      </c>
      <c r="AD577" s="6">
        <f t="shared" si="101"/>
        <v>25.549131044500001</v>
      </c>
      <c r="AE577" s="6">
        <f t="shared" si="101"/>
        <v>25.961951341300001</v>
      </c>
      <c r="AF577" s="6">
        <f t="shared" si="101"/>
        <v>26.368209110399999</v>
      </c>
      <c r="AG577" s="6">
        <f t="shared" si="101"/>
        <v>26.7751270925</v>
      </c>
      <c r="AH577" s="6">
        <f t="shared" si="101"/>
        <v>27.186090756099997</v>
      </c>
      <c r="AI577" s="6">
        <f t="shared" si="101"/>
        <v>27.601795113599998</v>
      </c>
      <c r="AJ577" s="6">
        <f t="shared" si="101"/>
        <v>28.021779275600004</v>
      </c>
      <c r="AK577" s="6">
        <f t="shared" si="101"/>
        <v>28.445529205900002</v>
      </c>
      <c r="AL577" s="6">
        <f t="shared" si="101"/>
        <v>28.873015622</v>
      </c>
    </row>
    <row r="578" spans="1:38" x14ac:dyDescent="0.3">
      <c r="B578" t="s">
        <v>89</v>
      </c>
      <c r="C578" s="6">
        <f>SUM(C452:C454)</f>
        <v>16.043584360000001</v>
      </c>
      <c r="D578" s="6">
        <f t="shared" ref="D578:AL578" si="102">SUM(D452:D454)</f>
        <v>15.99709125</v>
      </c>
      <c r="E578" s="6">
        <f t="shared" si="102"/>
        <v>15.973187149999999</v>
      </c>
      <c r="F578" s="6">
        <f t="shared" si="102"/>
        <v>16.01090232</v>
      </c>
      <c r="G578" s="6">
        <f t="shared" si="102"/>
        <v>16.101426109999998</v>
      </c>
      <c r="H578" s="6">
        <f t="shared" si="102"/>
        <v>16.232448120000001</v>
      </c>
      <c r="I578" s="6">
        <f t="shared" si="102"/>
        <v>16.38148511</v>
      </c>
      <c r="J578" s="6">
        <f t="shared" si="102"/>
        <v>16.501880499999999</v>
      </c>
      <c r="K578" s="6">
        <f t="shared" si="102"/>
        <v>16.622725519999999</v>
      </c>
      <c r="L578" s="6">
        <f t="shared" si="102"/>
        <v>16.756006960000001</v>
      </c>
      <c r="M578" s="6">
        <f t="shared" si="102"/>
        <v>16.911243160000001</v>
      </c>
      <c r="N578" s="6">
        <f t="shared" si="102"/>
        <v>17.097842969999999</v>
      </c>
      <c r="O578" s="6">
        <f t="shared" si="102"/>
        <v>17.30250092</v>
      </c>
      <c r="P578" s="6">
        <f t="shared" si="102"/>
        <v>17.519872939999999</v>
      </c>
      <c r="Q578" s="6">
        <f t="shared" si="102"/>
        <v>17.745040639999999</v>
      </c>
      <c r="R578" s="6">
        <f t="shared" si="102"/>
        <v>17.973839510000001</v>
      </c>
      <c r="S578" s="6">
        <f t="shared" si="102"/>
        <v>18.203928810000001</v>
      </c>
      <c r="T578" s="6">
        <f t="shared" si="102"/>
        <v>18.43503746</v>
      </c>
      <c r="U578" s="6">
        <f t="shared" si="102"/>
        <v>18.668370490000001</v>
      </c>
      <c r="V578" s="6">
        <f t="shared" si="102"/>
        <v>18.905625100000002</v>
      </c>
      <c r="W578" s="6">
        <f t="shared" si="102"/>
        <v>19.144808040000001</v>
      </c>
      <c r="X578" s="6">
        <f t="shared" si="102"/>
        <v>19.385065780000001</v>
      </c>
      <c r="Y578" s="6">
        <f t="shared" si="102"/>
        <v>19.633801779999999</v>
      </c>
      <c r="Z578" s="6">
        <f t="shared" si="102"/>
        <v>19.8900632</v>
      </c>
      <c r="AA578" s="6">
        <f t="shared" si="102"/>
        <v>20.15204516</v>
      </c>
      <c r="AB578" s="6">
        <f t="shared" si="102"/>
        <v>20.40524177</v>
      </c>
      <c r="AC578" s="6">
        <f t="shared" si="102"/>
        <v>20.648899650000001</v>
      </c>
      <c r="AD578" s="6">
        <f t="shared" si="102"/>
        <v>20.894338399999999</v>
      </c>
      <c r="AE578" s="6">
        <f t="shared" si="102"/>
        <v>21.143962169999998</v>
      </c>
      <c r="AF578" s="6">
        <f t="shared" si="102"/>
        <v>21.398561489999999</v>
      </c>
      <c r="AG578" s="6">
        <f t="shared" si="102"/>
        <v>21.658206239999998</v>
      </c>
      <c r="AH578" s="6">
        <f t="shared" si="102"/>
        <v>21.922457900000001</v>
      </c>
      <c r="AI578" s="6">
        <f t="shared" si="102"/>
        <v>22.190687560000001</v>
      </c>
      <c r="AJ578" s="6">
        <f t="shared" si="102"/>
        <v>22.462387830000001</v>
      </c>
      <c r="AK578" s="6">
        <f t="shared" si="102"/>
        <v>22.73734924</v>
      </c>
      <c r="AL578" s="6">
        <f t="shared" si="102"/>
        <v>23.015665569999999</v>
      </c>
    </row>
    <row r="579" spans="1:38" x14ac:dyDescent="0.3">
      <c r="B579" t="s">
        <v>90</v>
      </c>
      <c r="C579" s="6">
        <f>SUM(C458:C460)</f>
        <v>19.865303740000002</v>
      </c>
      <c r="D579" s="6">
        <f t="shared" ref="D579:AL579" si="103">SUM(D458:D460)</f>
        <v>20.11204111</v>
      </c>
      <c r="E579" s="6">
        <f t="shared" si="103"/>
        <v>20.407258670000001</v>
      </c>
      <c r="F579" s="6">
        <f t="shared" si="103"/>
        <v>20.7519773</v>
      </c>
      <c r="G579" s="6">
        <f t="shared" si="103"/>
        <v>21.133488</v>
      </c>
      <c r="H579" s="6">
        <f t="shared" si="103"/>
        <v>21.536563260000001</v>
      </c>
      <c r="I579" s="6">
        <f t="shared" si="103"/>
        <v>21.84037871</v>
      </c>
      <c r="J579" s="6">
        <f t="shared" si="103"/>
        <v>22.117640600000001</v>
      </c>
      <c r="K579" s="6">
        <f t="shared" si="103"/>
        <v>22.408373310000002</v>
      </c>
      <c r="L579" s="6">
        <f t="shared" si="103"/>
        <v>22.733404279999998</v>
      </c>
      <c r="M579" s="6">
        <f t="shared" si="103"/>
        <v>23.12540868</v>
      </c>
      <c r="N579" s="6">
        <f t="shared" si="103"/>
        <v>23.547378800000001</v>
      </c>
      <c r="O579" s="6">
        <f t="shared" si="103"/>
        <v>23.993319150000001</v>
      </c>
      <c r="P579" s="6">
        <f t="shared" si="103"/>
        <v>24.44909496</v>
      </c>
      <c r="Q579" s="6">
        <f t="shared" si="103"/>
        <v>24.902705699999999</v>
      </c>
      <c r="R579" s="6">
        <f t="shared" si="103"/>
        <v>25.348126279999999</v>
      </c>
      <c r="S579" s="6">
        <f t="shared" si="103"/>
        <v>25.78610647</v>
      </c>
      <c r="T579" s="6">
        <f t="shared" si="103"/>
        <v>26.222317199999999</v>
      </c>
      <c r="U579" s="6">
        <f t="shared" si="103"/>
        <v>26.664111569999999</v>
      </c>
      <c r="V579" s="6">
        <f t="shared" si="103"/>
        <v>27.117524629999998</v>
      </c>
      <c r="W579" s="6">
        <f t="shared" si="103"/>
        <v>27.56724818</v>
      </c>
      <c r="X579" s="6">
        <f t="shared" si="103"/>
        <v>28.040810610000001</v>
      </c>
      <c r="Y579" s="6">
        <f t="shared" si="103"/>
        <v>28.53188978</v>
      </c>
      <c r="Z579" s="6">
        <f t="shared" si="103"/>
        <v>29.036535789999999</v>
      </c>
      <c r="AA579" s="6">
        <f t="shared" si="103"/>
        <v>29.551448780000001</v>
      </c>
      <c r="AB579" s="6">
        <f t="shared" si="103"/>
        <v>30.01812352</v>
      </c>
      <c r="AC579" s="6">
        <f t="shared" si="103"/>
        <v>30.497234859999999</v>
      </c>
      <c r="AD579" s="6">
        <f t="shared" si="103"/>
        <v>30.98679916</v>
      </c>
      <c r="AE579" s="6">
        <f t="shared" si="103"/>
        <v>31.48832616</v>
      </c>
      <c r="AF579" s="6">
        <f t="shared" si="103"/>
        <v>32.001830820000002</v>
      </c>
      <c r="AG579" s="6">
        <f t="shared" si="103"/>
        <v>32.525997750000002</v>
      </c>
      <c r="AH579" s="6">
        <f t="shared" si="103"/>
        <v>33.059045910000002</v>
      </c>
      <c r="AI579" s="6">
        <f t="shared" si="103"/>
        <v>33.599636740000001</v>
      </c>
      <c r="AJ579" s="6">
        <f t="shared" si="103"/>
        <v>34.147412619999997</v>
      </c>
      <c r="AK579" s="6">
        <f t="shared" si="103"/>
        <v>34.703010280000001</v>
      </c>
      <c r="AL579" s="6">
        <f t="shared" si="103"/>
        <v>35.267655329999997</v>
      </c>
    </row>
    <row r="580" spans="1:38" x14ac:dyDescent="0.3">
      <c r="B580" t="s">
        <v>91</v>
      </c>
      <c r="C580" s="6">
        <f>SUM(C449:C451,C455:C457)</f>
        <v>9.3771538920000008</v>
      </c>
      <c r="D580" s="6">
        <f t="shared" ref="D580:AL580" si="104">SUM(D449:D451,D455:D457)</f>
        <v>9.4258878179999996</v>
      </c>
      <c r="E580" s="6">
        <f t="shared" si="104"/>
        <v>9.4914787240000003</v>
      </c>
      <c r="F580" s="6">
        <f t="shared" si="104"/>
        <v>9.5839413530000002</v>
      </c>
      <c r="G580" s="6">
        <f t="shared" si="104"/>
        <v>9.6994712300000003</v>
      </c>
      <c r="H580" s="6">
        <f t="shared" si="104"/>
        <v>9.8322431670000014</v>
      </c>
      <c r="I580" s="6">
        <f t="shared" si="104"/>
        <v>9.9545914199999999</v>
      </c>
      <c r="J580" s="6">
        <f t="shared" si="104"/>
        <v>10.053071722999999</v>
      </c>
      <c r="K580" s="6">
        <f t="shared" si="104"/>
        <v>10.143632839</v>
      </c>
      <c r="L580" s="6">
        <f t="shared" si="104"/>
        <v>10.236905220000001</v>
      </c>
      <c r="M580" s="6">
        <f t="shared" si="104"/>
        <v>10.348599061</v>
      </c>
      <c r="N580" s="6">
        <f t="shared" si="104"/>
        <v>10.474160453</v>
      </c>
      <c r="O580" s="6">
        <f t="shared" si="104"/>
        <v>10.614036484</v>
      </c>
      <c r="P580" s="6">
        <f t="shared" si="104"/>
        <v>10.765258352</v>
      </c>
      <c r="Q580" s="6">
        <f t="shared" si="104"/>
        <v>10.923243191000001</v>
      </c>
      <c r="R580" s="6">
        <f t="shared" si="104"/>
        <v>11.083546663</v>
      </c>
      <c r="S580" s="6">
        <f t="shared" si="104"/>
        <v>11.243258275999999</v>
      </c>
      <c r="T580" s="6">
        <f t="shared" si="104"/>
        <v>11.401519849</v>
      </c>
      <c r="U580" s="6">
        <f t="shared" si="104"/>
        <v>11.559167720000001</v>
      </c>
      <c r="V580" s="6">
        <f t="shared" si="104"/>
        <v>11.717866469000001</v>
      </c>
      <c r="W580" s="6">
        <f t="shared" si="104"/>
        <v>11.873277706</v>
      </c>
      <c r="X580" s="6">
        <f t="shared" si="104"/>
        <v>12.034512501</v>
      </c>
      <c r="Y580" s="6">
        <f t="shared" si="104"/>
        <v>12.201336428000001</v>
      </c>
      <c r="Z580" s="6">
        <f t="shared" si="104"/>
        <v>12.372950607</v>
      </c>
      <c r="AA580" s="6">
        <f t="shared" si="104"/>
        <v>12.548290985</v>
      </c>
      <c r="AB580" s="6">
        <f t="shared" si="104"/>
        <v>12.708034952</v>
      </c>
      <c r="AC580" s="6">
        <f t="shared" si="104"/>
        <v>12.870105885000001</v>
      </c>
      <c r="AD580" s="6">
        <f t="shared" si="104"/>
        <v>13.034517409999999</v>
      </c>
      <c r="AE580" s="6">
        <f t="shared" si="104"/>
        <v>13.20215005</v>
      </c>
      <c r="AF580" s="6">
        <f t="shared" si="104"/>
        <v>13.373625575</v>
      </c>
      <c r="AG580" s="6">
        <f t="shared" si="104"/>
        <v>13.54905436</v>
      </c>
      <c r="AH580" s="6">
        <f t="shared" si="104"/>
        <v>13.728071400000001</v>
      </c>
      <c r="AI580" s="6">
        <f t="shared" si="104"/>
        <v>13.910079639999999</v>
      </c>
      <c r="AJ580" s="6">
        <f t="shared" si="104"/>
        <v>14.094536000000002</v>
      </c>
      <c r="AK580" s="6">
        <f t="shared" si="104"/>
        <v>14.281147594</v>
      </c>
      <c r="AL580" s="6">
        <f t="shared" si="104"/>
        <v>14.469920026</v>
      </c>
    </row>
    <row r="581" spans="1:38" x14ac:dyDescent="0.3">
      <c r="B581" t="s">
        <v>10</v>
      </c>
      <c r="C581" s="6">
        <f>SUM(C461:C466)</f>
        <v>56.825957068200005</v>
      </c>
      <c r="D581" s="6">
        <f t="shared" ref="D581:AL581" si="105">SUM(D461:D466)</f>
        <v>57.246277105999994</v>
      </c>
      <c r="E581" s="6">
        <f t="shared" si="105"/>
        <v>57.389886571900007</v>
      </c>
      <c r="F581" s="6">
        <f t="shared" si="105"/>
        <v>57.475147436599997</v>
      </c>
      <c r="G581" s="6">
        <f t="shared" si="105"/>
        <v>57.677425708000001</v>
      </c>
      <c r="H581" s="6">
        <f t="shared" si="105"/>
        <v>58.175589744500002</v>
      </c>
      <c r="I581" s="6">
        <f t="shared" si="105"/>
        <v>61.073288215400005</v>
      </c>
      <c r="J581" s="6">
        <f t="shared" si="105"/>
        <v>63.234358282999999</v>
      </c>
      <c r="K581" s="6">
        <f t="shared" si="105"/>
        <v>64.960196307700002</v>
      </c>
      <c r="L581" s="6">
        <f t="shared" si="105"/>
        <v>66.066802282500007</v>
      </c>
      <c r="M581" s="6">
        <f t="shared" si="105"/>
        <v>66.440405781999999</v>
      </c>
      <c r="N581" s="6">
        <f t="shared" si="105"/>
        <v>66.661892832699991</v>
      </c>
      <c r="O581" s="6">
        <f t="shared" si="105"/>
        <v>66.820253549900002</v>
      </c>
      <c r="P581" s="6">
        <f t="shared" si="105"/>
        <v>67.161786162300004</v>
      </c>
      <c r="Q581" s="6">
        <f t="shared" si="105"/>
        <v>67.824696892300011</v>
      </c>
      <c r="R581" s="6">
        <f t="shared" si="105"/>
        <v>68.816568244600006</v>
      </c>
      <c r="S581" s="6">
        <f t="shared" si="105"/>
        <v>70.051423631100008</v>
      </c>
      <c r="T581" s="6">
        <f t="shared" si="105"/>
        <v>71.405968716800004</v>
      </c>
      <c r="U581" s="6">
        <f t="shared" si="105"/>
        <v>72.772827436100002</v>
      </c>
      <c r="V581" s="6">
        <f t="shared" si="105"/>
        <v>74.092956826199995</v>
      </c>
      <c r="W581" s="6">
        <f t="shared" si="105"/>
        <v>75.425825492099989</v>
      </c>
      <c r="X581" s="6">
        <f t="shared" si="105"/>
        <v>76.602252160299997</v>
      </c>
      <c r="Y581" s="6">
        <f t="shared" si="105"/>
        <v>77.79643167590001</v>
      </c>
      <c r="Z581" s="6">
        <f t="shared" si="105"/>
        <v>79.047606194300002</v>
      </c>
      <c r="AA581" s="6">
        <f t="shared" si="105"/>
        <v>80.369593637800008</v>
      </c>
      <c r="AB581" s="6">
        <f t="shared" si="105"/>
        <v>81.915233802700001</v>
      </c>
      <c r="AC581" s="6">
        <f t="shared" si="105"/>
        <v>83.239952241999987</v>
      </c>
      <c r="AD581" s="6">
        <f t="shared" si="105"/>
        <v>84.505289072300016</v>
      </c>
      <c r="AE581" s="6">
        <f t="shared" si="105"/>
        <v>85.723375849299998</v>
      </c>
      <c r="AF581" s="6">
        <f t="shared" si="105"/>
        <v>86.919121433900017</v>
      </c>
      <c r="AG581" s="6">
        <f t="shared" si="105"/>
        <v>88.130495150300007</v>
      </c>
      <c r="AH581" s="6">
        <f t="shared" si="105"/>
        <v>89.390678689299989</v>
      </c>
      <c r="AI581" s="6">
        <f t="shared" si="105"/>
        <v>90.715772306599987</v>
      </c>
      <c r="AJ581" s="6">
        <f t="shared" si="105"/>
        <v>92.102467960399991</v>
      </c>
      <c r="AK581" s="6">
        <f t="shared" si="105"/>
        <v>93.534029774699988</v>
      </c>
      <c r="AL581" s="6">
        <f t="shared" si="105"/>
        <v>94.990099312599995</v>
      </c>
    </row>
    <row r="582" spans="1:38" x14ac:dyDescent="0.3">
      <c r="B582" t="s">
        <v>24</v>
      </c>
      <c r="C582" s="6">
        <f>SUM(C467:C481)</f>
        <v>37.336550328900003</v>
      </c>
      <c r="D582" s="6">
        <f t="shared" ref="D582:AL582" si="106">SUM(D467:D481)</f>
        <v>38.078202756300001</v>
      </c>
      <c r="E582" s="6">
        <f t="shared" si="106"/>
        <v>38.730047152200001</v>
      </c>
      <c r="F582" s="6">
        <f t="shared" si="106"/>
        <v>39.308744210699999</v>
      </c>
      <c r="G582" s="6">
        <f t="shared" si="106"/>
        <v>39.862277723300004</v>
      </c>
      <c r="H582" s="6">
        <f t="shared" si="106"/>
        <v>40.424070088600004</v>
      </c>
      <c r="I582" s="6">
        <f t="shared" si="106"/>
        <v>41.161713242899999</v>
      </c>
      <c r="J582" s="6">
        <f t="shared" si="106"/>
        <v>41.768915184500003</v>
      </c>
      <c r="K582" s="6">
        <f t="shared" si="106"/>
        <v>42.307961029600001</v>
      </c>
      <c r="L582" s="6">
        <f t="shared" si="106"/>
        <v>42.794029816199995</v>
      </c>
      <c r="M582" s="6">
        <f t="shared" si="106"/>
        <v>43.289194134399999</v>
      </c>
      <c r="N582" s="6">
        <f t="shared" si="106"/>
        <v>43.730639371200006</v>
      </c>
      <c r="O582" s="6">
        <f t="shared" si="106"/>
        <v>44.180652589700003</v>
      </c>
      <c r="P582" s="6">
        <f t="shared" si="106"/>
        <v>44.6603548629</v>
      </c>
      <c r="Q582" s="6">
        <f t="shared" si="106"/>
        <v>45.172944795400007</v>
      </c>
      <c r="R582" s="6">
        <f t="shared" si="106"/>
        <v>45.712046892700002</v>
      </c>
      <c r="S582" s="6">
        <f t="shared" si="106"/>
        <v>46.266415585900006</v>
      </c>
      <c r="T582" s="6">
        <f t="shared" si="106"/>
        <v>46.8258416623</v>
      </c>
      <c r="U582" s="6">
        <f t="shared" si="106"/>
        <v>47.384181582600007</v>
      </c>
      <c r="V582" s="6">
        <f t="shared" si="106"/>
        <v>47.940227625900008</v>
      </c>
      <c r="W582" s="6">
        <f t="shared" si="106"/>
        <v>48.460250279900002</v>
      </c>
      <c r="X582" s="6">
        <f t="shared" si="106"/>
        <v>49.015579876099999</v>
      </c>
      <c r="Y582" s="6">
        <f t="shared" si="106"/>
        <v>49.583282503699998</v>
      </c>
      <c r="Z582" s="6">
        <f t="shared" si="106"/>
        <v>50.161132660399993</v>
      </c>
      <c r="AA582" s="6">
        <f t="shared" si="106"/>
        <v>50.750159124900001</v>
      </c>
      <c r="AB582" s="6">
        <f t="shared" si="106"/>
        <v>51.241287462100004</v>
      </c>
      <c r="AC582" s="6">
        <f t="shared" si="106"/>
        <v>51.787732570599999</v>
      </c>
      <c r="AD582" s="6">
        <f t="shared" si="106"/>
        <v>52.345124102299998</v>
      </c>
      <c r="AE582" s="6">
        <f t="shared" si="106"/>
        <v>52.904409618299994</v>
      </c>
      <c r="AF582" s="6">
        <f t="shared" si="106"/>
        <v>53.467462705800003</v>
      </c>
      <c r="AG582" s="6">
        <f t="shared" si="106"/>
        <v>54.038065047100005</v>
      </c>
      <c r="AH582" s="6">
        <f t="shared" si="106"/>
        <v>54.618945898199996</v>
      </c>
      <c r="AI582" s="6">
        <f t="shared" si="106"/>
        <v>55.210978766400004</v>
      </c>
      <c r="AJ582" s="6">
        <f t="shared" si="106"/>
        <v>55.813417632100006</v>
      </c>
      <c r="AK582" s="6">
        <f t="shared" si="106"/>
        <v>56.424783468300006</v>
      </c>
      <c r="AL582" s="6">
        <f t="shared" si="106"/>
        <v>57.0437076033</v>
      </c>
    </row>
    <row r="583" spans="1:38" x14ac:dyDescent="0.3">
      <c r="B583" t="s">
        <v>11</v>
      </c>
      <c r="C583" s="6">
        <f>SUM(C482:C490)</f>
        <v>9.5504835980999996</v>
      </c>
      <c r="D583" s="6">
        <f t="shared" ref="D583:AL583" si="107">SUM(D482:D490)</f>
        <v>9.6361241645</v>
      </c>
      <c r="E583" s="6">
        <f t="shared" si="107"/>
        <v>9.6951564946999991</v>
      </c>
      <c r="F583" s="6">
        <f t="shared" si="107"/>
        <v>9.7461338140000002</v>
      </c>
      <c r="G583" s="6">
        <f t="shared" si="107"/>
        <v>9.8046334843</v>
      </c>
      <c r="H583" s="6">
        <f t="shared" si="107"/>
        <v>9.8811377836000016</v>
      </c>
      <c r="I583" s="6">
        <f t="shared" si="107"/>
        <v>10.056986227499999</v>
      </c>
      <c r="J583" s="6">
        <f t="shared" si="107"/>
        <v>10.177185314700001</v>
      </c>
      <c r="K583" s="6">
        <f t="shared" si="107"/>
        <v>10.259844912399998</v>
      </c>
      <c r="L583" s="6">
        <f t="shared" si="107"/>
        <v>10.310618828499999</v>
      </c>
      <c r="M583" s="6">
        <f t="shared" si="107"/>
        <v>10.343449446599999</v>
      </c>
      <c r="N583" s="6">
        <f t="shared" si="107"/>
        <v>10.369201391600001</v>
      </c>
      <c r="O583" s="6">
        <f t="shared" si="107"/>
        <v>10.402856064599998</v>
      </c>
      <c r="P583" s="6">
        <f t="shared" si="107"/>
        <v>10.454938015699998</v>
      </c>
      <c r="Q583" s="6">
        <f t="shared" si="107"/>
        <v>10.528078470599999</v>
      </c>
      <c r="R583" s="6">
        <f t="shared" si="107"/>
        <v>10.618508241100001</v>
      </c>
      <c r="S583" s="6">
        <f t="shared" si="107"/>
        <v>10.718535577799999</v>
      </c>
      <c r="T583" s="6">
        <f t="shared" si="107"/>
        <v>10.8208196153</v>
      </c>
      <c r="U583" s="6">
        <f t="shared" si="107"/>
        <v>10.920691578899998</v>
      </c>
      <c r="V583" s="6">
        <f t="shared" si="107"/>
        <v>11.016820245099998</v>
      </c>
      <c r="W583" s="6">
        <f t="shared" si="107"/>
        <v>11.106041081100001</v>
      </c>
      <c r="X583" s="6">
        <f t="shared" si="107"/>
        <v>11.196164572099999</v>
      </c>
      <c r="Y583" s="6">
        <f t="shared" si="107"/>
        <v>11.2896710412</v>
      </c>
      <c r="Z583" s="6">
        <f t="shared" si="107"/>
        <v>11.3874901977</v>
      </c>
      <c r="AA583" s="6">
        <f t="shared" si="107"/>
        <v>11.489845859299999</v>
      </c>
      <c r="AB583" s="6">
        <f t="shared" si="107"/>
        <v>11.581805420999999</v>
      </c>
      <c r="AC583" s="6">
        <f t="shared" si="107"/>
        <v>11.674695546099999</v>
      </c>
      <c r="AD583" s="6">
        <f t="shared" si="107"/>
        <v>11.7672513072</v>
      </c>
      <c r="AE583" s="6">
        <f t="shared" si="107"/>
        <v>11.859069905500002</v>
      </c>
      <c r="AF583" s="6">
        <f t="shared" si="107"/>
        <v>11.951539537200002</v>
      </c>
      <c r="AG583" s="6">
        <f t="shared" si="107"/>
        <v>12.046613646300001</v>
      </c>
      <c r="AH583" s="6">
        <f t="shared" si="107"/>
        <v>12.1456892289</v>
      </c>
      <c r="AI583" s="6">
        <f t="shared" si="107"/>
        <v>12.2491221905</v>
      </c>
      <c r="AJ583" s="6">
        <f t="shared" si="107"/>
        <v>12.3562686437</v>
      </c>
      <c r="AK583" s="6">
        <f t="shared" si="107"/>
        <v>12.466037449799998</v>
      </c>
      <c r="AL583" s="6">
        <f t="shared" si="107"/>
        <v>12.5774166689</v>
      </c>
    </row>
    <row r="585" spans="1:38" x14ac:dyDescent="0.3">
      <c r="A585" s="12" t="s">
        <v>66</v>
      </c>
      <c r="C585" s="7" t="s">
        <v>46</v>
      </c>
      <c r="D585" s="7" t="s">
        <v>14</v>
      </c>
      <c r="E585" s="7" t="s">
        <v>15</v>
      </c>
      <c r="F585" s="7" t="s">
        <v>16</v>
      </c>
    </row>
    <row r="586" spans="1:38" x14ac:dyDescent="0.3">
      <c r="A586" t="s">
        <v>27</v>
      </c>
      <c r="B586" t="s">
        <v>7</v>
      </c>
      <c r="C586" s="6">
        <f>H572</f>
        <v>14.456653075699998</v>
      </c>
      <c r="D586" s="6">
        <f>R572</f>
        <v>15.121059349399998</v>
      </c>
      <c r="E586" s="6">
        <f>AB572</f>
        <v>15.745341037199999</v>
      </c>
      <c r="F586" s="6">
        <f>AL572</f>
        <v>16.013920067299999</v>
      </c>
    </row>
    <row r="587" spans="1:38" x14ac:dyDescent="0.3">
      <c r="B587" t="s">
        <v>84</v>
      </c>
      <c r="C587" s="6">
        <f t="shared" ref="C587:C597" si="108">H573</f>
        <v>9.9099053609999999</v>
      </c>
      <c r="D587" s="6">
        <f t="shared" ref="D587:D597" si="109">R573</f>
        <v>9.7539531200000003</v>
      </c>
      <c r="E587" s="6">
        <f t="shared" ref="E587:E597" si="110">AB573</f>
        <v>10.18812323</v>
      </c>
      <c r="F587" s="6">
        <f t="shared" ref="F587:F597" si="111">AL573</f>
        <v>10.38552095</v>
      </c>
    </row>
    <row r="588" spans="1:38" x14ac:dyDescent="0.3">
      <c r="B588" t="s">
        <v>85</v>
      </c>
      <c r="C588" s="6">
        <f t="shared" si="108"/>
        <v>22.300054793000001</v>
      </c>
      <c r="D588" s="6">
        <f t="shared" si="109"/>
        <v>25.008115602</v>
      </c>
      <c r="E588" s="6">
        <f t="shared" si="110"/>
        <v>28.719629308999998</v>
      </c>
      <c r="F588" s="6">
        <f t="shared" si="111"/>
        <v>33.500673216000003</v>
      </c>
    </row>
    <row r="589" spans="1:38" x14ac:dyDescent="0.3">
      <c r="B589" t="s">
        <v>86</v>
      </c>
      <c r="C589" s="6">
        <f t="shared" si="108"/>
        <v>6.6438906850000006</v>
      </c>
      <c r="D589" s="6">
        <f t="shared" si="109"/>
        <v>7.4535029230000003</v>
      </c>
      <c r="E589" s="6">
        <f t="shared" si="110"/>
        <v>8.6073361300000002</v>
      </c>
      <c r="F589" s="6">
        <f t="shared" si="111"/>
        <v>9.9050930479999995</v>
      </c>
    </row>
    <row r="590" spans="1:38" x14ac:dyDescent="0.3">
      <c r="B590" t="s">
        <v>87</v>
      </c>
      <c r="C590" s="6">
        <f t="shared" si="108"/>
        <v>22.121164692000001</v>
      </c>
      <c r="D590" s="6">
        <f t="shared" si="109"/>
        <v>25.159545525999999</v>
      </c>
      <c r="E590" s="6">
        <f t="shared" si="110"/>
        <v>29.002228860000002</v>
      </c>
      <c r="F590" s="6">
        <f t="shared" si="111"/>
        <v>33.363603980000001</v>
      </c>
    </row>
    <row r="591" spans="1:38" x14ac:dyDescent="0.3">
      <c r="B591" t="s">
        <v>88</v>
      </c>
      <c r="C591" s="6">
        <f t="shared" si="108"/>
        <v>19.160849740099998</v>
      </c>
      <c r="D591" s="6">
        <f t="shared" si="109"/>
        <v>21.484861159000001</v>
      </c>
      <c r="E591" s="6">
        <f t="shared" si="110"/>
        <v>24.722777902099999</v>
      </c>
      <c r="F591" s="6">
        <f t="shared" si="111"/>
        <v>28.873015622</v>
      </c>
    </row>
    <row r="592" spans="1:38" x14ac:dyDescent="0.3">
      <c r="B592" t="s">
        <v>89</v>
      </c>
      <c r="C592" s="6">
        <f t="shared" si="108"/>
        <v>16.232448120000001</v>
      </c>
      <c r="D592" s="6">
        <f t="shared" si="109"/>
        <v>17.973839510000001</v>
      </c>
      <c r="E592" s="6">
        <f t="shared" si="110"/>
        <v>20.40524177</v>
      </c>
      <c r="F592" s="6">
        <f t="shared" si="111"/>
        <v>23.015665569999999</v>
      </c>
    </row>
    <row r="593" spans="1:38" x14ac:dyDescent="0.3">
      <c r="B593" t="s">
        <v>90</v>
      </c>
      <c r="C593" s="6">
        <f t="shared" si="108"/>
        <v>21.536563260000001</v>
      </c>
      <c r="D593" s="6">
        <f t="shared" si="109"/>
        <v>25.348126279999999</v>
      </c>
      <c r="E593" s="6">
        <f t="shared" si="110"/>
        <v>30.01812352</v>
      </c>
      <c r="F593" s="6">
        <f t="shared" si="111"/>
        <v>35.267655329999997</v>
      </c>
    </row>
    <row r="594" spans="1:38" x14ac:dyDescent="0.3">
      <c r="B594" t="s">
        <v>91</v>
      </c>
      <c r="C594" s="6">
        <f t="shared" si="108"/>
        <v>9.8322431670000014</v>
      </c>
      <c r="D594" s="6">
        <f t="shared" si="109"/>
        <v>11.083546663</v>
      </c>
      <c r="E594" s="6">
        <f t="shared" si="110"/>
        <v>12.708034952</v>
      </c>
      <c r="F594" s="6">
        <f t="shared" si="111"/>
        <v>14.469920026</v>
      </c>
    </row>
    <row r="595" spans="1:38" x14ac:dyDescent="0.3">
      <c r="B595" t="s">
        <v>10</v>
      </c>
      <c r="C595" s="6">
        <f t="shared" si="108"/>
        <v>58.175589744500002</v>
      </c>
      <c r="D595" s="6">
        <f t="shared" si="109"/>
        <v>68.816568244600006</v>
      </c>
      <c r="E595" s="6">
        <f t="shared" si="110"/>
        <v>81.915233802700001</v>
      </c>
      <c r="F595" s="6">
        <f t="shared" si="111"/>
        <v>94.990099312599995</v>
      </c>
    </row>
    <row r="596" spans="1:38" x14ac:dyDescent="0.3">
      <c r="B596" t="s">
        <v>24</v>
      </c>
      <c r="C596" s="6">
        <f t="shared" si="108"/>
        <v>40.424070088600004</v>
      </c>
      <c r="D596" s="6">
        <f t="shared" si="109"/>
        <v>45.712046892700002</v>
      </c>
      <c r="E596" s="6">
        <f t="shared" si="110"/>
        <v>51.241287462100004</v>
      </c>
      <c r="F596" s="6">
        <f t="shared" si="111"/>
        <v>57.0437076033</v>
      </c>
    </row>
    <row r="597" spans="1:38" x14ac:dyDescent="0.3">
      <c r="B597" t="s">
        <v>11</v>
      </c>
      <c r="C597" s="6">
        <f t="shared" si="108"/>
        <v>9.8811377836000016</v>
      </c>
      <c r="D597" s="6">
        <f t="shared" si="109"/>
        <v>10.618508241100001</v>
      </c>
      <c r="E597" s="6">
        <f t="shared" si="110"/>
        <v>11.581805420999999</v>
      </c>
      <c r="F597" s="6">
        <f t="shared" si="111"/>
        <v>12.5774166689</v>
      </c>
    </row>
    <row r="599" spans="1:38" x14ac:dyDescent="0.3">
      <c r="A599" s="12" t="s">
        <v>67</v>
      </c>
      <c r="B599" t="s">
        <v>47</v>
      </c>
      <c r="C599" s="6">
        <f>[1]Results!F281</f>
        <v>150.74043230000001</v>
      </c>
      <c r="D599" s="6">
        <f>[1]Results!G281</f>
        <v>151.55673999999999</v>
      </c>
      <c r="E599" s="6">
        <f>[1]Results!H281</f>
        <v>151.98778630000001</v>
      </c>
      <c r="F599" s="6">
        <f>[1]Results!I281</f>
        <v>152.34718029999999</v>
      </c>
      <c r="G599" s="6">
        <f>[1]Results!J281</f>
        <v>152.8682671</v>
      </c>
      <c r="H599" s="6">
        <f>[1]Results!K281</f>
        <v>153.7174857</v>
      </c>
      <c r="I599" s="6">
        <f>[1]Results!L281</f>
        <v>156.49412240000001</v>
      </c>
      <c r="J599" s="6">
        <f>[1]Results!M281</f>
        <v>158.26656629999999</v>
      </c>
      <c r="K599" s="6">
        <f>[1]Results!N281</f>
        <v>159.6580831</v>
      </c>
      <c r="L599" s="6">
        <f>[1]Results!O281</f>
        <v>160.6548756</v>
      </c>
      <c r="M599" s="6">
        <f>[1]Results!P281</f>
        <v>161.4518831</v>
      </c>
      <c r="N599" s="6">
        <f>[1]Results!Q281</f>
        <v>162.04667739999999</v>
      </c>
      <c r="O599" s="6">
        <f>[1]Results!R281</f>
        <v>162.7321049</v>
      </c>
      <c r="P599" s="6">
        <f>[1]Results!S281</f>
        <v>163.6670642</v>
      </c>
      <c r="Q599" s="6">
        <f>[1]Results!T281</f>
        <v>164.8927927</v>
      </c>
      <c r="R599" s="6">
        <f>[1]Results!U281</f>
        <v>166.3652395</v>
      </c>
      <c r="S599" s="6">
        <f>[1]Results!V281</f>
        <v>167.98859719999999</v>
      </c>
      <c r="T599" s="6">
        <f>[1]Results!W281</f>
        <v>169.66518830000001</v>
      </c>
      <c r="U599" s="6">
        <f>[1]Results!X281</f>
        <v>171.32686240000001</v>
      </c>
      <c r="V599" s="6">
        <f>[1]Results!Y281</f>
        <v>172.94784569999999</v>
      </c>
      <c r="W599" s="6">
        <f>[1]Results!Z281</f>
        <v>174.43619330000001</v>
      </c>
      <c r="X599" s="6">
        <f>[1]Results!AA281</f>
        <v>175.99445940000001</v>
      </c>
      <c r="Y599" s="6">
        <f>[1]Results!AB281</f>
        <v>177.59189900000001</v>
      </c>
      <c r="Z599" s="6">
        <f>[1]Results!AC281</f>
        <v>179.23548880000001</v>
      </c>
      <c r="AA599" s="6">
        <f>[1]Results!AD281</f>
        <v>180.93538509999999</v>
      </c>
      <c r="AB599" s="6">
        <f>[1]Results!AE281</f>
        <v>182.36410900000001</v>
      </c>
      <c r="AC599" s="6">
        <f>[1]Results!AF281</f>
        <v>183.94430120000001</v>
      </c>
      <c r="AD599" s="6">
        <f>[1]Results!AG281</f>
        <v>185.52860050000001</v>
      </c>
      <c r="AE599" s="6">
        <f>[1]Results!AH281</f>
        <v>187.08618580000001</v>
      </c>
      <c r="AF599" s="6">
        <f>[1]Results!AI281</f>
        <v>188.63799420000001</v>
      </c>
      <c r="AG599" s="6">
        <f>[1]Results!AJ281</f>
        <v>190.2151638</v>
      </c>
      <c r="AH599" s="6">
        <f>[1]Results!AK281</f>
        <v>191.84050210000001</v>
      </c>
      <c r="AI599" s="6">
        <f>[1]Results!AL281</f>
        <v>193.52164819999999</v>
      </c>
      <c r="AJ599" s="6">
        <f>[1]Results!AM281</f>
        <v>195.25220229999999</v>
      </c>
      <c r="AK599" s="6">
        <f>[1]Results!AN281</f>
        <v>197.01842780000001</v>
      </c>
      <c r="AL599" s="6">
        <f>[1]Results!AO281</f>
        <v>198.8065422</v>
      </c>
    </row>
    <row r="600" spans="1:38" x14ac:dyDescent="0.3">
      <c r="A600" t="s">
        <v>27</v>
      </c>
      <c r="B600" s="6" t="str">
        <f>[1]Results!E282</f>
        <v>CF_toe_ccoa_2</v>
      </c>
      <c r="C600" s="6">
        <f>[1]Results!F282</f>
        <v>7.575381621</v>
      </c>
      <c r="D600" s="6">
        <f>[1]Results!G282</f>
        <v>7.9252931350000004</v>
      </c>
      <c r="E600" s="6">
        <f>[1]Results!H282</f>
        <v>8.2713389250000002</v>
      </c>
      <c r="F600" s="6">
        <f>[1]Results!I282</f>
        <v>8.56931771</v>
      </c>
      <c r="G600" s="6">
        <f>[1]Results!J282</f>
        <v>8.8289530870000004</v>
      </c>
      <c r="H600" s="6">
        <f>[1]Results!K282</f>
        <v>9.0663385430000005</v>
      </c>
      <c r="I600" s="6">
        <f>[1]Results!L282</f>
        <v>9.2771199299999996</v>
      </c>
      <c r="J600" s="6">
        <f>[1]Results!M282</f>
        <v>9.4357001749999991</v>
      </c>
      <c r="K600" s="6">
        <f>[1]Results!N282</f>
        <v>9.5751734870000007</v>
      </c>
      <c r="L600" s="6">
        <f>[1]Results!O282</f>
        <v>9.7056919520000005</v>
      </c>
      <c r="M600" s="6">
        <f>[1]Results!P282</f>
        <v>9.8710630960000003</v>
      </c>
      <c r="N600" s="6">
        <f>[1]Results!Q282</f>
        <v>10.00269203</v>
      </c>
      <c r="O600" s="6">
        <f>[1]Results!R282</f>
        <v>10.14436276</v>
      </c>
      <c r="P600" s="6">
        <f>[1]Results!S282</f>
        <v>10.30110035</v>
      </c>
      <c r="Q600" s="6">
        <f>[1]Results!T282</f>
        <v>10.46776105</v>
      </c>
      <c r="R600" s="6">
        <f>[1]Results!U282</f>
        <v>10.63840564</v>
      </c>
      <c r="S600" s="6">
        <f>[1]Results!V282</f>
        <v>10.80875275</v>
      </c>
      <c r="T600" s="6">
        <f>[1]Results!W282</f>
        <v>10.97687157</v>
      </c>
      <c r="U600" s="6">
        <f>[1]Results!X282</f>
        <v>11.14295079</v>
      </c>
      <c r="V600" s="6">
        <f>[1]Results!Y282</f>
        <v>11.308505930000001</v>
      </c>
      <c r="W600" s="6">
        <f>[1]Results!Z282</f>
        <v>11.449725389999999</v>
      </c>
      <c r="X600" s="6">
        <f>[1]Results!AA282</f>
        <v>11.622787929999999</v>
      </c>
      <c r="Y600" s="6">
        <f>[1]Results!AB282</f>
        <v>11.80160046</v>
      </c>
      <c r="Z600" s="6">
        <f>[1]Results!AC282</f>
        <v>11.981497969999999</v>
      </c>
      <c r="AA600" s="6">
        <f>[1]Results!AD282</f>
        <v>12.162881459999999</v>
      </c>
      <c r="AB600" s="6">
        <f>[1]Results!AE282</f>
        <v>12.27023571</v>
      </c>
      <c r="AC600" s="6">
        <f>[1]Results!AF282</f>
        <v>12.433986920000001</v>
      </c>
      <c r="AD600" s="6">
        <f>[1]Results!AG282</f>
        <v>12.609419620000001</v>
      </c>
      <c r="AE600" s="6">
        <f>[1]Results!AH282</f>
        <v>12.78601447</v>
      </c>
      <c r="AF600" s="6">
        <f>[1]Results!AI282</f>
        <v>12.963847210000001</v>
      </c>
      <c r="AG600" s="6">
        <f>[1]Results!AJ282</f>
        <v>13.144199820000001</v>
      </c>
      <c r="AH600" s="6">
        <f>[1]Results!AK282</f>
        <v>13.32765377</v>
      </c>
      <c r="AI600" s="6">
        <f>[1]Results!AL282</f>
        <v>13.5140998</v>
      </c>
      <c r="AJ600" s="6">
        <f>[1]Results!AM282</f>
        <v>13.70312341</v>
      </c>
      <c r="AK600" s="6">
        <f>[1]Results!AN282</f>
        <v>13.89435993</v>
      </c>
      <c r="AL600" s="6">
        <f>[1]Results!AO282</f>
        <v>14.08768426</v>
      </c>
    </row>
    <row r="601" spans="1:38" x14ac:dyDescent="0.3">
      <c r="B601" s="6" t="s">
        <v>48</v>
      </c>
      <c r="C601" s="6">
        <f>C602+C603+C604</f>
        <v>61.413764725</v>
      </c>
      <c r="D601" s="6">
        <f t="shared" ref="D601:AL601" si="112">D602+D603+D604</f>
        <v>61.408567914000002</v>
      </c>
      <c r="E601" s="6">
        <f t="shared" si="112"/>
        <v>61.265460503</v>
      </c>
      <c r="F601" s="6">
        <f t="shared" si="112"/>
        <v>61.167641963000001</v>
      </c>
      <c r="G601" s="6">
        <f t="shared" si="112"/>
        <v>61.186004601999997</v>
      </c>
      <c r="H601" s="6">
        <f t="shared" si="112"/>
        <v>61.347863242999999</v>
      </c>
      <c r="I601" s="6">
        <f t="shared" si="112"/>
        <v>62.127799241000005</v>
      </c>
      <c r="J601" s="6">
        <f t="shared" si="112"/>
        <v>62.641266078000001</v>
      </c>
      <c r="K601" s="6">
        <f t="shared" si="112"/>
        <v>63.110005865999995</v>
      </c>
      <c r="L601" s="6">
        <f t="shared" si="112"/>
        <v>63.529854225999998</v>
      </c>
      <c r="M601" s="6">
        <f t="shared" si="112"/>
        <v>63.946300473999997</v>
      </c>
      <c r="N601" s="6">
        <f t="shared" si="112"/>
        <v>64.312708987000008</v>
      </c>
      <c r="O601" s="6">
        <f t="shared" si="112"/>
        <v>64.701013899000003</v>
      </c>
      <c r="P601" s="6">
        <f t="shared" si="112"/>
        <v>65.138139006000003</v>
      </c>
      <c r="Q601" s="6">
        <f t="shared" si="112"/>
        <v>65.630785379000002</v>
      </c>
      <c r="R601" s="6">
        <f t="shared" si="112"/>
        <v>66.171310984000002</v>
      </c>
      <c r="S601" s="6">
        <f t="shared" si="112"/>
        <v>66.742920493</v>
      </c>
      <c r="T601" s="6">
        <f t="shared" si="112"/>
        <v>67.328126760999993</v>
      </c>
      <c r="U601" s="6">
        <f t="shared" si="112"/>
        <v>67.914105774999996</v>
      </c>
      <c r="V601" s="6">
        <f t="shared" si="112"/>
        <v>68.495381593999994</v>
      </c>
      <c r="W601" s="6">
        <f t="shared" si="112"/>
        <v>69.039614048999994</v>
      </c>
      <c r="X601" s="6">
        <f t="shared" si="112"/>
        <v>69.612351767999996</v>
      </c>
      <c r="Y601" s="6">
        <f t="shared" si="112"/>
        <v>70.192927066999999</v>
      </c>
      <c r="Z601" s="6">
        <f t="shared" si="112"/>
        <v>70.783252008000005</v>
      </c>
      <c r="AA601" s="6">
        <f t="shared" si="112"/>
        <v>71.386455769999998</v>
      </c>
      <c r="AB601" s="6">
        <f t="shared" si="112"/>
        <v>71.898112150000003</v>
      </c>
      <c r="AC601" s="6">
        <f t="shared" si="112"/>
        <v>72.465795270000001</v>
      </c>
      <c r="AD601" s="6">
        <f t="shared" si="112"/>
        <v>73.033158149999991</v>
      </c>
      <c r="AE601" s="6">
        <f t="shared" si="112"/>
        <v>73.593478959999999</v>
      </c>
      <c r="AF601" s="6">
        <f t="shared" si="112"/>
        <v>74.151434429999995</v>
      </c>
      <c r="AG601" s="6">
        <f t="shared" si="112"/>
        <v>74.713435610000005</v>
      </c>
      <c r="AH601" s="6">
        <f t="shared" si="112"/>
        <v>75.284318409999997</v>
      </c>
      <c r="AI601" s="6">
        <f t="shared" si="112"/>
        <v>75.866022700000002</v>
      </c>
      <c r="AJ601" s="6">
        <f t="shared" si="112"/>
        <v>76.457886400000007</v>
      </c>
      <c r="AK601" s="6">
        <f t="shared" si="112"/>
        <v>77.057786129999997</v>
      </c>
      <c r="AL601" s="6">
        <f t="shared" si="112"/>
        <v>77.663424329999998</v>
      </c>
    </row>
    <row r="602" spans="1:38" x14ac:dyDescent="0.3">
      <c r="B602" s="6" t="str">
        <f>[1]Results!E285</f>
        <v>CF_toe_ccoi_2</v>
      </c>
      <c r="C602" s="6">
        <f>[1]Results!F285</f>
        <v>0</v>
      </c>
      <c r="D602" s="6">
        <f>[1]Results!G285</f>
        <v>0</v>
      </c>
      <c r="E602" s="6">
        <f>[1]Results!H285</f>
        <v>0</v>
      </c>
      <c r="F602" s="6">
        <f>[1]Results!I285</f>
        <v>0</v>
      </c>
      <c r="G602" s="6">
        <f>[1]Results!J285</f>
        <v>0</v>
      </c>
      <c r="H602" s="6">
        <f>[1]Results!K285</f>
        <v>0</v>
      </c>
      <c r="I602" s="6">
        <f>[1]Results!L285</f>
        <v>0</v>
      </c>
      <c r="J602" s="6">
        <f>[1]Results!M285</f>
        <v>0</v>
      </c>
      <c r="K602" s="6">
        <f>[1]Results!N285</f>
        <v>0</v>
      </c>
      <c r="L602" s="6">
        <f>[1]Results!O285</f>
        <v>0</v>
      </c>
      <c r="M602" s="6">
        <f>[1]Results!P285</f>
        <v>0</v>
      </c>
      <c r="N602" s="6">
        <f>[1]Results!Q285</f>
        <v>0</v>
      </c>
      <c r="O602" s="6">
        <f>[1]Results!R285</f>
        <v>0</v>
      </c>
      <c r="P602" s="6">
        <f>[1]Results!S285</f>
        <v>0</v>
      </c>
      <c r="Q602" s="6">
        <f>[1]Results!T285</f>
        <v>0</v>
      </c>
      <c r="R602" s="6">
        <f>[1]Results!U285</f>
        <v>0</v>
      </c>
      <c r="S602" s="6">
        <f>[1]Results!V285</f>
        <v>0</v>
      </c>
      <c r="T602" s="6">
        <f>[1]Results!W285</f>
        <v>0</v>
      </c>
      <c r="U602" s="6">
        <f>[1]Results!X285</f>
        <v>0</v>
      </c>
      <c r="V602" s="6">
        <f>[1]Results!Y285</f>
        <v>0</v>
      </c>
      <c r="W602" s="6">
        <f>[1]Results!Z285</f>
        <v>0</v>
      </c>
      <c r="X602" s="6">
        <f>[1]Results!AA285</f>
        <v>0</v>
      </c>
      <c r="Y602" s="6">
        <f>[1]Results!AB285</f>
        <v>0</v>
      </c>
      <c r="Z602" s="6">
        <f>[1]Results!AC285</f>
        <v>0</v>
      </c>
      <c r="AA602" s="6">
        <f>[1]Results!AD285</f>
        <v>0</v>
      </c>
      <c r="AB602" s="6">
        <f>[1]Results!AE285</f>
        <v>0</v>
      </c>
      <c r="AC602" s="6">
        <f>[1]Results!AF285</f>
        <v>0</v>
      </c>
      <c r="AD602" s="6">
        <f>[1]Results!AG285</f>
        <v>0</v>
      </c>
      <c r="AE602" s="6">
        <f>[1]Results!AH285</f>
        <v>0</v>
      </c>
      <c r="AF602" s="6">
        <f>[1]Results!AI285</f>
        <v>0</v>
      </c>
      <c r="AG602" s="6">
        <f>[1]Results!AJ285</f>
        <v>0</v>
      </c>
      <c r="AH602" s="6">
        <f>[1]Results!AK285</f>
        <v>0</v>
      </c>
      <c r="AI602" s="6">
        <f>[1]Results!AL285</f>
        <v>0</v>
      </c>
      <c r="AJ602" s="6">
        <f>[1]Results!AM285</f>
        <v>0</v>
      </c>
      <c r="AK602" s="6">
        <f>[1]Results!AN285</f>
        <v>0</v>
      </c>
      <c r="AL602" s="6">
        <f>[1]Results!AO285</f>
        <v>0</v>
      </c>
    </row>
    <row r="603" spans="1:38" x14ac:dyDescent="0.3">
      <c r="B603" s="6" t="str">
        <f>[1]Results!E288</f>
        <v>CF_toe_cfut_2</v>
      </c>
      <c r="C603" s="6">
        <f>[1]Results!F288</f>
        <v>51.746791770000002</v>
      </c>
      <c r="D603" s="6">
        <f>[1]Results!G288</f>
        <v>51.721486599999999</v>
      </c>
      <c r="E603" s="6">
        <f>[1]Results!H288</f>
        <v>51.593889359999999</v>
      </c>
      <c r="F603" s="6">
        <f>[1]Results!I288</f>
        <v>51.525562700000002</v>
      </c>
      <c r="G603" s="6">
        <f>[1]Results!J288</f>
        <v>51.571415889999997</v>
      </c>
      <c r="H603" s="6">
        <f>[1]Results!K288</f>
        <v>51.747636589999999</v>
      </c>
      <c r="I603" s="6">
        <f>[1]Results!L288</f>
        <v>52.433771550000003</v>
      </c>
      <c r="J603" s="6">
        <f>[1]Results!M288</f>
        <v>52.898547809999997</v>
      </c>
      <c r="K603" s="6">
        <f>[1]Results!N288</f>
        <v>53.336599309999997</v>
      </c>
      <c r="L603" s="6">
        <f>[1]Results!O288</f>
        <v>53.74439821</v>
      </c>
      <c r="M603" s="6">
        <f>[1]Results!P288</f>
        <v>54.156976059999998</v>
      </c>
      <c r="N603" s="6">
        <f>[1]Results!Q288</f>
        <v>54.536982700000003</v>
      </c>
      <c r="O603" s="6">
        <f>[1]Results!R288</f>
        <v>54.939459820000003</v>
      </c>
      <c r="P603" s="6">
        <f>[1]Results!S288</f>
        <v>55.382560820000002</v>
      </c>
      <c r="Q603" s="6">
        <f>[1]Results!T288</f>
        <v>55.868865479999997</v>
      </c>
      <c r="R603" s="6">
        <f>[1]Results!U288</f>
        <v>56.390922410000002</v>
      </c>
      <c r="S603" s="6">
        <f>[1]Results!V288</f>
        <v>56.935886099999998</v>
      </c>
      <c r="T603" s="6">
        <f>[1]Results!W288</f>
        <v>57.490567849999998</v>
      </c>
      <c r="U603" s="6">
        <f>[1]Results!X288</f>
        <v>58.045612920000003</v>
      </c>
      <c r="V603" s="6">
        <f>[1]Results!Y288</f>
        <v>58.597446529999999</v>
      </c>
      <c r="W603" s="6">
        <f>[1]Results!Z288</f>
        <v>59.120328669999999</v>
      </c>
      <c r="X603" s="6">
        <f>[1]Results!AA288</f>
        <v>59.667187640000002</v>
      </c>
      <c r="Y603" s="6">
        <f>[1]Results!AB288</f>
        <v>60.221549080000003</v>
      </c>
      <c r="Z603" s="6">
        <f>[1]Results!AC288</f>
        <v>60.784754100000001</v>
      </c>
      <c r="AA603" s="6">
        <f>[1]Results!AD288</f>
        <v>61.359186479999998</v>
      </c>
      <c r="AB603" s="6">
        <f>[1]Results!AE288</f>
        <v>61.859053969999998</v>
      </c>
      <c r="AC603" s="6">
        <f>[1]Results!AF288</f>
        <v>62.404313719999998</v>
      </c>
      <c r="AD603" s="6">
        <f>[1]Results!AG288</f>
        <v>62.949035979999998</v>
      </c>
      <c r="AE603" s="6">
        <f>[1]Results!AH288</f>
        <v>63.487669420000003</v>
      </c>
      <c r="AF603" s="6">
        <f>[1]Results!AI288</f>
        <v>64.024353939999997</v>
      </c>
      <c r="AG603" s="6">
        <f>[1]Results!AJ288</f>
        <v>64.564465630000001</v>
      </c>
      <c r="AH603" s="6">
        <f>[1]Results!AK288</f>
        <v>65.111894539999994</v>
      </c>
      <c r="AI603" s="6">
        <f>[1]Results!AL288</f>
        <v>65.668217690000006</v>
      </c>
      <c r="AJ603" s="6">
        <f>[1]Results!AM288</f>
        <v>66.232949110000007</v>
      </c>
      <c r="AK603" s="6">
        <f>[1]Results!AN288</f>
        <v>66.804432919999996</v>
      </c>
      <c r="AL603" s="6">
        <f>[1]Results!AO288</f>
        <v>67.380898650000006</v>
      </c>
    </row>
    <row r="604" spans="1:38" x14ac:dyDescent="0.3">
      <c r="B604" s="6" t="str">
        <f>[1]Results!E291</f>
        <v>CF_toe_cfuh_2</v>
      </c>
      <c r="C604" s="6">
        <f>[1]Results!F291</f>
        <v>9.6669729550000003</v>
      </c>
      <c r="D604" s="6">
        <f>[1]Results!G291</f>
        <v>9.6870813140000003</v>
      </c>
      <c r="E604" s="6">
        <f>[1]Results!H291</f>
        <v>9.6715711429999995</v>
      </c>
      <c r="F604" s="6">
        <f>[1]Results!I291</f>
        <v>9.6420792629999994</v>
      </c>
      <c r="G604" s="6">
        <f>[1]Results!J291</f>
        <v>9.6145887119999998</v>
      </c>
      <c r="H604" s="6">
        <f>[1]Results!K291</f>
        <v>9.600226653</v>
      </c>
      <c r="I604" s="6">
        <f>[1]Results!L291</f>
        <v>9.6940276910000005</v>
      </c>
      <c r="J604" s="6">
        <f>[1]Results!M291</f>
        <v>9.7427182680000008</v>
      </c>
      <c r="K604" s="6">
        <f>[1]Results!N291</f>
        <v>9.7734065559999994</v>
      </c>
      <c r="L604" s="6">
        <f>[1]Results!O291</f>
        <v>9.7854560159999995</v>
      </c>
      <c r="M604" s="6">
        <f>[1]Results!P291</f>
        <v>9.7893244139999993</v>
      </c>
      <c r="N604" s="6">
        <f>[1]Results!Q291</f>
        <v>9.7757262869999995</v>
      </c>
      <c r="O604" s="6">
        <f>[1]Results!R291</f>
        <v>9.7615540789999997</v>
      </c>
      <c r="P604" s="6">
        <f>[1]Results!S291</f>
        <v>9.7555781859999993</v>
      </c>
      <c r="Q604" s="6">
        <f>[1]Results!T291</f>
        <v>9.7619198990000005</v>
      </c>
      <c r="R604" s="6">
        <f>[1]Results!U291</f>
        <v>9.7803885739999998</v>
      </c>
      <c r="S604" s="6">
        <f>[1]Results!V291</f>
        <v>9.8070343930000003</v>
      </c>
      <c r="T604" s="6">
        <f>[1]Results!W291</f>
        <v>9.8375589110000004</v>
      </c>
      <c r="U604" s="6">
        <f>[1]Results!X291</f>
        <v>9.8684928549999995</v>
      </c>
      <c r="V604" s="6">
        <f>[1]Results!Y291</f>
        <v>9.8979350640000003</v>
      </c>
      <c r="W604" s="6">
        <f>[1]Results!Z291</f>
        <v>9.9192853789999997</v>
      </c>
      <c r="X604" s="6">
        <f>[1]Results!AA291</f>
        <v>9.945164128</v>
      </c>
      <c r="Y604" s="6">
        <f>[1]Results!AB291</f>
        <v>9.9713779870000003</v>
      </c>
      <c r="Z604" s="6">
        <f>[1]Results!AC291</f>
        <v>9.9984979079999992</v>
      </c>
      <c r="AA604" s="6">
        <f>[1]Results!AD291</f>
        <v>10.02726929</v>
      </c>
      <c r="AB604" s="6">
        <f>[1]Results!AE291</f>
        <v>10.03905818</v>
      </c>
      <c r="AC604" s="6">
        <f>[1]Results!AF291</f>
        <v>10.06148155</v>
      </c>
      <c r="AD604" s="6">
        <f>[1]Results!AG291</f>
        <v>10.084122170000001</v>
      </c>
      <c r="AE604" s="6">
        <f>[1]Results!AH291</f>
        <v>10.105809539999999</v>
      </c>
      <c r="AF604" s="6">
        <f>[1]Results!AI291</f>
        <v>10.127080490000001</v>
      </c>
      <c r="AG604" s="6">
        <f>[1]Results!AJ291</f>
        <v>10.14896998</v>
      </c>
      <c r="AH604" s="6">
        <f>[1]Results!AK291</f>
        <v>10.172423869999999</v>
      </c>
      <c r="AI604" s="6">
        <f>[1]Results!AL291</f>
        <v>10.19780501</v>
      </c>
      <c r="AJ604" s="6">
        <f>[1]Results!AM291</f>
        <v>10.22493729</v>
      </c>
      <c r="AK604" s="6">
        <f>[1]Results!AN291</f>
        <v>10.25335321</v>
      </c>
      <c r="AL604" s="6">
        <f>[1]Results!AO291</f>
        <v>10.282525679999999</v>
      </c>
    </row>
    <row r="605" spans="1:38" x14ac:dyDescent="0.3">
      <c r="B605" s="6" t="str">
        <f>[1]Results!E293</f>
        <v>CF_toe_cgas_2</v>
      </c>
      <c r="C605" s="6">
        <f>[1]Results!F293</f>
        <v>28.024339489999999</v>
      </c>
      <c r="D605" s="6">
        <f>[1]Results!G293</f>
        <v>28.209844220000001</v>
      </c>
      <c r="E605" s="6">
        <f>[1]Results!H293</f>
        <v>28.31895471</v>
      </c>
      <c r="F605" s="6">
        <f>[1]Results!I293</f>
        <v>28.398028199999999</v>
      </c>
      <c r="G605" s="6">
        <f>[1]Results!J293</f>
        <v>28.495827219999999</v>
      </c>
      <c r="H605" s="6">
        <f>[1]Results!K293</f>
        <v>28.653233669999999</v>
      </c>
      <c r="I605" s="6">
        <f>[1]Results!L293</f>
        <v>29.19186771</v>
      </c>
      <c r="J605" s="6">
        <f>[1]Results!M293</f>
        <v>29.54858685</v>
      </c>
      <c r="K605" s="6">
        <f>[1]Results!N293</f>
        <v>29.82006385</v>
      </c>
      <c r="L605" s="6">
        <f>[1]Results!O293</f>
        <v>29.99698175</v>
      </c>
      <c r="M605" s="6">
        <f>[1]Results!P293</f>
        <v>30.1228911</v>
      </c>
      <c r="N605" s="6">
        <f>[1]Results!Q293</f>
        <v>30.199783660000001</v>
      </c>
      <c r="O605" s="6">
        <f>[1]Results!R293</f>
        <v>30.292736829999999</v>
      </c>
      <c r="P605" s="6">
        <f>[1]Results!S293</f>
        <v>30.440464519999999</v>
      </c>
      <c r="Q605" s="6">
        <f>[1]Results!T293</f>
        <v>30.654564740000001</v>
      </c>
      <c r="R605" s="6">
        <f>[1]Results!U293</f>
        <v>30.926529210000002</v>
      </c>
      <c r="S605" s="6">
        <f>[1]Results!V293</f>
        <v>31.23558135</v>
      </c>
      <c r="T605" s="6">
        <f>[1]Results!W293</f>
        <v>31.55913743</v>
      </c>
      <c r="U605" s="6">
        <f>[1]Results!X293</f>
        <v>31.8808945</v>
      </c>
      <c r="V605" s="6">
        <f>[1]Results!Y293</f>
        <v>32.194054829999999</v>
      </c>
      <c r="W605" s="6">
        <f>[1]Results!Z293</f>
        <v>32.477626299999997</v>
      </c>
      <c r="X605" s="6">
        <f>[1]Results!AA293</f>
        <v>32.774906309999999</v>
      </c>
      <c r="Y605" s="6">
        <f>[1]Results!AB293</f>
        <v>33.08040458</v>
      </c>
      <c r="Z605" s="6">
        <f>[1]Results!AC293</f>
        <v>33.395216689999998</v>
      </c>
      <c r="AA605" s="6">
        <f>[1]Results!AD293</f>
        <v>33.72159328</v>
      </c>
      <c r="AB605" s="6">
        <f>[1]Results!AE293</f>
        <v>33.988759809999998</v>
      </c>
      <c r="AC605" s="6">
        <f>[1]Results!AF293</f>
        <v>34.286808550000003</v>
      </c>
      <c r="AD605" s="6">
        <f>[1]Results!AG293</f>
        <v>34.586487169999998</v>
      </c>
      <c r="AE605" s="6">
        <f>[1]Results!AH293</f>
        <v>34.8797365</v>
      </c>
      <c r="AF605" s="6">
        <f>[1]Results!AI293</f>
        <v>35.170845030000002</v>
      </c>
      <c r="AG605" s="6">
        <f>[1]Results!AJ293</f>
        <v>35.466796590000001</v>
      </c>
      <c r="AH605" s="6">
        <f>[1]Results!AK293</f>
        <v>35.772874760000001</v>
      </c>
      <c r="AI605" s="6">
        <f>[1]Results!AL293</f>
        <v>36.090994799999997</v>
      </c>
      <c r="AJ605" s="6">
        <f>[1]Results!AM293</f>
        <v>36.419880169999999</v>
      </c>
      <c r="AK605" s="6">
        <f>[1]Results!AN293</f>
        <v>36.756406089999999</v>
      </c>
      <c r="AL605" s="6">
        <f>[1]Results!AO293</f>
        <v>37.097293110000003</v>
      </c>
    </row>
    <row r="606" spans="1:38" x14ac:dyDescent="0.3">
      <c r="B606" s="6" t="str">
        <f>[1]Results!E299</f>
        <v>CF_toe_cele_2</v>
      </c>
      <c r="C606" s="6">
        <f>[1]Results!F299</f>
        <v>36.372254470000001</v>
      </c>
      <c r="D606" s="6">
        <f>[1]Results!G299</f>
        <v>36.562063559999999</v>
      </c>
      <c r="E606" s="6">
        <f>[1]Results!H299</f>
        <v>36.634840869999998</v>
      </c>
      <c r="F606" s="6">
        <f>[1]Results!I299</f>
        <v>36.685157590000003</v>
      </c>
      <c r="G606" s="6">
        <f>[1]Results!J299</f>
        <v>36.785797189999997</v>
      </c>
      <c r="H606" s="6">
        <f>[1]Results!K299</f>
        <v>36.991993000000001</v>
      </c>
      <c r="I606" s="6">
        <f>[1]Results!L299</f>
        <v>37.865565349999997</v>
      </c>
      <c r="J606" s="6">
        <f>[1]Results!M299</f>
        <v>38.380144029999997</v>
      </c>
      <c r="K606" s="6">
        <f>[1]Results!N299</f>
        <v>38.721960330000002</v>
      </c>
      <c r="L606" s="6">
        <f>[1]Results!O299</f>
        <v>38.88936485</v>
      </c>
      <c r="M606" s="6">
        <f>[1]Results!P299</f>
        <v>38.925873639999999</v>
      </c>
      <c r="N606" s="6">
        <f>[1]Results!Q299</f>
        <v>38.924055340000002</v>
      </c>
      <c r="O606" s="6">
        <f>[1]Results!R299</f>
        <v>38.957022700000003</v>
      </c>
      <c r="P606" s="6">
        <f>[1]Results!S299</f>
        <v>39.08478315</v>
      </c>
      <c r="Q606" s="6">
        <f>[1]Results!T299</f>
        <v>39.325248530000003</v>
      </c>
      <c r="R606" s="6">
        <f>[1]Results!U299</f>
        <v>39.66114426</v>
      </c>
      <c r="S606" s="6">
        <f>[1]Results!V299</f>
        <v>40.052790250000001</v>
      </c>
      <c r="T606" s="6">
        <f>[1]Results!W299</f>
        <v>40.460836970000003</v>
      </c>
      <c r="U606" s="6">
        <f>[1]Results!X299</f>
        <v>40.858350919999999</v>
      </c>
      <c r="V606" s="6">
        <f>[1]Results!Y299</f>
        <v>41.235775869999998</v>
      </c>
      <c r="W606" s="6">
        <f>[1]Results!Z299</f>
        <v>41.587482209999997</v>
      </c>
      <c r="X606" s="6">
        <f>[1]Results!AA299</f>
        <v>41.932281119999999</v>
      </c>
      <c r="Y606" s="6">
        <f>[1]Results!AB299</f>
        <v>42.289467039999998</v>
      </c>
      <c r="Z606" s="6">
        <f>[1]Results!AC299</f>
        <v>42.66560569</v>
      </c>
      <c r="AA606" s="6">
        <f>[1]Results!AD299</f>
        <v>43.06342326</v>
      </c>
      <c r="AB606" s="6">
        <f>[1]Results!AE299</f>
        <v>43.440127050000001</v>
      </c>
      <c r="AC606" s="6">
        <f>[1]Results!AF299</f>
        <v>43.813832519999998</v>
      </c>
      <c r="AD606" s="6">
        <f>[1]Results!AG299</f>
        <v>44.180081319999999</v>
      </c>
      <c r="AE606" s="6">
        <f>[1]Results!AH299</f>
        <v>44.536837429999999</v>
      </c>
      <c r="AF606" s="6">
        <f>[1]Results!AI299</f>
        <v>44.892681279999998</v>
      </c>
      <c r="AG606" s="6">
        <f>[1]Results!AJ299</f>
        <v>45.259064619999997</v>
      </c>
      <c r="AH606" s="6">
        <f>[1]Results!AK299</f>
        <v>45.644244370000003</v>
      </c>
      <c r="AI606" s="6">
        <f>[1]Results!AL299</f>
        <v>46.050656420000003</v>
      </c>
      <c r="AJ606" s="6">
        <f>[1]Results!AM299</f>
        <v>46.475123719999999</v>
      </c>
      <c r="AK606" s="6">
        <f>[1]Results!AN299</f>
        <v>46.911779350000003</v>
      </c>
      <c r="AL606" s="6">
        <f>[1]Results!AO299</f>
        <v>47.354967369999997</v>
      </c>
    </row>
    <row r="607" spans="1:38" x14ac:dyDescent="0.3">
      <c r="B607" s="6" t="s">
        <v>49</v>
      </c>
      <c r="C607" s="6">
        <f>SUM(C608:C610)</f>
        <v>17.354691969000001</v>
      </c>
      <c r="D607" s="6">
        <f t="shared" ref="D607:AL607" si="113">SUM(D608:D610)</f>
        <v>17.450971182</v>
      </c>
      <c r="E607" s="6">
        <f t="shared" si="113"/>
        <v>17.497191243</v>
      </c>
      <c r="F607" s="6">
        <f t="shared" si="113"/>
        <v>17.527034857</v>
      </c>
      <c r="G607" s="6">
        <f t="shared" si="113"/>
        <v>17.571685037000002</v>
      </c>
      <c r="H607" s="6">
        <f t="shared" si="113"/>
        <v>17.658057238000001</v>
      </c>
      <c r="I607" s="6">
        <f t="shared" si="113"/>
        <v>18.031770196</v>
      </c>
      <c r="J607" s="6">
        <f t="shared" si="113"/>
        <v>18.260869149000001</v>
      </c>
      <c r="K607" s="6">
        <f t="shared" si="113"/>
        <v>18.430879613999998</v>
      </c>
      <c r="L607" s="6">
        <f t="shared" si="113"/>
        <v>18.532982809</v>
      </c>
      <c r="M607" s="6">
        <f t="shared" si="113"/>
        <v>18.585754838</v>
      </c>
      <c r="N607" s="6">
        <f t="shared" si="113"/>
        <v>18.607437351000002</v>
      </c>
      <c r="O607" s="6">
        <f t="shared" si="113"/>
        <v>18.636968721999999</v>
      </c>
      <c r="P607" s="6">
        <f t="shared" si="113"/>
        <v>18.702577215999998</v>
      </c>
      <c r="Q607" s="6">
        <f t="shared" si="113"/>
        <v>18.814432984</v>
      </c>
      <c r="R607" s="6">
        <f t="shared" si="113"/>
        <v>18.967849396999998</v>
      </c>
      <c r="S607" s="6">
        <f t="shared" si="113"/>
        <v>19.148552402</v>
      </c>
      <c r="T607" s="6">
        <f t="shared" si="113"/>
        <v>19.340215559000001</v>
      </c>
      <c r="U607" s="6">
        <f t="shared" si="113"/>
        <v>19.530560356999999</v>
      </c>
      <c r="V607" s="6">
        <f t="shared" si="113"/>
        <v>19.714127510000001</v>
      </c>
      <c r="W607" s="6">
        <f t="shared" si="113"/>
        <v>19.881745352999999</v>
      </c>
      <c r="X607" s="6">
        <f t="shared" si="113"/>
        <v>20.052132329999999</v>
      </c>
      <c r="Y607" s="6">
        <f t="shared" si="113"/>
        <v>20.227499808000001</v>
      </c>
      <c r="Z607" s="6">
        <f t="shared" si="113"/>
        <v>20.409916393</v>
      </c>
      <c r="AA607" s="6">
        <f t="shared" si="113"/>
        <v>20.601031286000001</v>
      </c>
      <c r="AB607" s="6">
        <f t="shared" si="113"/>
        <v>20.766874250999997</v>
      </c>
      <c r="AC607" s="6">
        <f t="shared" si="113"/>
        <v>20.943877960000002</v>
      </c>
      <c r="AD607" s="6">
        <f t="shared" si="113"/>
        <v>21.119454269999999</v>
      </c>
      <c r="AE607" s="6">
        <f t="shared" si="113"/>
        <v>21.290118473999996</v>
      </c>
      <c r="AF607" s="6">
        <f t="shared" si="113"/>
        <v>21.459186308</v>
      </c>
      <c r="AG607" s="6">
        <f t="shared" si="113"/>
        <v>21.631667125</v>
      </c>
      <c r="AH607" s="6">
        <f t="shared" si="113"/>
        <v>21.811410814000002</v>
      </c>
      <c r="AI607" s="6">
        <f t="shared" si="113"/>
        <v>21.999874449</v>
      </c>
      <c r="AJ607" s="6">
        <f t="shared" si="113"/>
        <v>22.196188628000002</v>
      </c>
      <c r="AK607" s="6">
        <f t="shared" si="113"/>
        <v>22.398096293000002</v>
      </c>
      <c r="AL607" s="6">
        <f t="shared" si="113"/>
        <v>22.603173130000002</v>
      </c>
    </row>
    <row r="608" spans="1:38" x14ac:dyDescent="0.3">
      <c r="B608" s="6" t="str">
        <f>[1]Results!E309</f>
        <v>CF_toe_chea_2</v>
      </c>
      <c r="C608" s="6">
        <f>[1]Results!F309</f>
        <v>2.7624646830000001</v>
      </c>
      <c r="D608" s="6">
        <f>[1]Results!G309</f>
        <v>2.7843034169999998</v>
      </c>
      <c r="E608" s="6">
        <f>[1]Results!H309</f>
        <v>2.8016115410000002</v>
      </c>
      <c r="F608" s="6">
        <f>[1]Results!I309</f>
        <v>2.8191399810000002</v>
      </c>
      <c r="G608" s="6">
        <f>[1]Results!J309</f>
        <v>2.8401739130000001</v>
      </c>
      <c r="H608" s="6">
        <f>[1]Results!K309</f>
        <v>2.8673336470000002</v>
      </c>
      <c r="I608" s="6">
        <f>[1]Results!L309</f>
        <v>2.9311178280000001</v>
      </c>
      <c r="J608" s="6">
        <f>[1]Results!M309</f>
        <v>2.9755916560000002</v>
      </c>
      <c r="K608" s="6">
        <f>[1]Results!N309</f>
        <v>3.0106118689999999</v>
      </c>
      <c r="L608" s="6">
        <f>[1]Results!O309</f>
        <v>3.0358976470000001</v>
      </c>
      <c r="M608" s="6">
        <f>[1]Results!P309</f>
        <v>3.0547422050000002</v>
      </c>
      <c r="N608" s="6">
        <f>[1]Results!Q309</f>
        <v>3.0719970879999998</v>
      </c>
      <c r="O608" s="6">
        <f>[1]Results!R309</f>
        <v>3.090219576</v>
      </c>
      <c r="P608" s="6">
        <f>[1]Results!S309</f>
        <v>3.1130513340000001</v>
      </c>
      <c r="Q608" s="6">
        <f>[1]Results!T309</f>
        <v>3.1418782439999999</v>
      </c>
      <c r="R608" s="6">
        <f>[1]Results!U309</f>
        <v>3.176054336</v>
      </c>
      <c r="S608" s="6">
        <f>[1]Results!V309</f>
        <v>3.2137168539999998</v>
      </c>
      <c r="T608" s="6">
        <f>[1]Results!W309</f>
        <v>3.2526136160000001</v>
      </c>
      <c r="U608" s="6">
        <f>[1]Results!X309</f>
        <v>3.2911700100000001</v>
      </c>
      <c r="V608" s="6">
        <f>[1]Results!Y309</f>
        <v>3.32880354</v>
      </c>
      <c r="W608" s="6">
        <f>[1]Results!Z309</f>
        <v>3.3646517710000001</v>
      </c>
      <c r="X608" s="6">
        <f>[1]Results!AA309</f>
        <v>3.3997459889999999</v>
      </c>
      <c r="Y608" s="6">
        <f>[1]Results!AB309</f>
        <v>3.4360973019999999</v>
      </c>
      <c r="Z608" s="6">
        <f>[1]Results!AC309</f>
        <v>3.4739079589999999</v>
      </c>
      <c r="AA608" s="6">
        <f>[1]Results!AD309</f>
        <v>3.5131583860000002</v>
      </c>
      <c r="AB608" s="6">
        <f>[1]Results!AE309</f>
        <v>3.549905522</v>
      </c>
      <c r="AC608" s="6">
        <f>[1]Results!AF309</f>
        <v>3.5844864919999999</v>
      </c>
      <c r="AD608" s="6">
        <f>[1]Results!AG309</f>
        <v>3.6186877919999998</v>
      </c>
      <c r="AE608" s="6">
        <f>[1]Results!AH309</f>
        <v>3.6525551919999999</v>
      </c>
      <c r="AF608" s="6">
        <f>[1]Results!AI309</f>
        <v>3.6864982839999998</v>
      </c>
      <c r="AG608" s="6">
        <f>[1]Results!AJ309</f>
        <v>3.721099465</v>
      </c>
      <c r="AH608" s="6">
        <f>[1]Results!AK309</f>
        <v>3.7568031639999999</v>
      </c>
      <c r="AI608" s="6">
        <f>[1]Results!AL309</f>
        <v>3.7937548859999999</v>
      </c>
      <c r="AJ608" s="6">
        <f>[1]Results!AM309</f>
        <v>3.831808482</v>
      </c>
      <c r="AK608" s="6">
        <f>[1]Results!AN309</f>
        <v>3.8706498069999999</v>
      </c>
      <c r="AL608" s="6">
        <f>[1]Results!AO309</f>
        <v>3.909951408</v>
      </c>
    </row>
    <row r="609" spans="1:38" x14ac:dyDescent="0.3">
      <c r="B609" s="6" t="str">
        <f>[1]Results!E311</f>
        <v>CF_toe_cbio_2</v>
      </c>
      <c r="C609" s="6">
        <f>[1]Results!F311</f>
        <v>8.0993422390000003</v>
      </c>
      <c r="D609" s="6">
        <f>[1]Results!G311</f>
        <v>8.1152645509999992</v>
      </c>
      <c r="E609" s="6">
        <f>[1]Results!H311</f>
        <v>8.107284538</v>
      </c>
      <c r="F609" s="6">
        <f>[1]Results!I311</f>
        <v>8.095267733</v>
      </c>
      <c r="G609" s="6">
        <f>[1]Results!J311</f>
        <v>8.0874274410000009</v>
      </c>
      <c r="H609" s="6">
        <f>[1]Results!K311</f>
        <v>8.0870769889999998</v>
      </c>
      <c r="I609" s="6">
        <f>[1]Results!L311</f>
        <v>8.1100004250000008</v>
      </c>
      <c r="J609" s="6">
        <f>[1]Results!M311</f>
        <v>8.1027372080000006</v>
      </c>
      <c r="K609" s="6">
        <f>[1]Results!N311</f>
        <v>8.09287022</v>
      </c>
      <c r="L609" s="6">
        <f>[1]Results!O311</f>
        <v>8.0827491780000003</v>
      </c>
      <c r="M609" s="6">
        <f>[1]Results!P311</f>
        <v>8.0775652020000006</v>
      </c>
      <c r="N609" s="6">
        <f>[1]Results!Q311</f>
        <v>8.0714431480000002</v>
      </c>
      <c r="O609" s="6">
        <f>[1]Results!R311</f>
        <v>8.0684691799999992</v>
      </c>
      <c r="P609" s="6">
        <f>[1]Results!S311</f>
        <v>8.0707498389999994</v>
      </c>
      <c r="Q609" s="6">
        <f>[1]Results!T311</f>
        <v>8.0781948680000006</v>
      </c>
      <c r="R609" s="6">
        <f>[1]Results!U311</f>
        <v>8.0895791999999993</v>
      </c>
      <c r="S609" s="6">
        <f>[1]Results!V311</f>
        <v>8.102781062</v>
      </c>
      <c r="T609" s="6">
        <f>[1]Results!W311</f>
        <v>8.1161954739999995</v>
      </c>
      <c r="U609" s="6">
        <f>[1]Results!X311</f>
        <v>8.1290778390000007</v>
      </c>
      <c r="V609" s="6">
        <f>[1]Results!Y311</f>
        <v>8.1414268120000006</v>
      </c>
      <c r="W609" s="6">
        <f>[1]Results!Z311</f>
        <v>8.1500939530000007</v>
      </c>
      <c r="X609" s="6">
        <f>[1]Results!AA311</f>
        <v>8.1612931609999997</v>
      </c>
      <c r="Y609" s="6">
        <f>[1]Results!AB311</f>
        <v>8.1743328300000009</v>
      </c>
      <c r="Z609" s="6">
        <f>[1]Results!AC311</f>
        <v>8.1887883850000005</v>
      </c>
      <c r="AA609" s="6">
        <f>[1]Results!AD311</f>
        <v>8.2045163930000005</v>
      </c>
      <c r="AB609" s="6">
        <f>[1]Results!AE311</f>
        <v>8.2105180749999995</v>
      </c>
      <c r="AC609" s="6">
        <f>[1]Results!AF311</f>
        <v>8.2193227859999993</v>
      </c>
      <c r="AD609" s="6">
        <f>[1]Results!AG311</f>
        <v>8.2291321059999998</v>
      </c>
      <c r="AE609" s="6">
        <f>[1]Results!AH311</f>
        <v>8.2392406909999991</v>
      </c>
      <c r="AF609" s="6">
        <f>[1]Results!AI311</f>
        <v>8.2499115459999999</v>
      </c>
      <c r="AG609" s="6">
        <f>[1]Results!AJ311</f>
        <v>8.2615426529999993</v>
      </c>
      <c r="AH609" s="6">
        <f>[1]Results!AK311</f>
        <v>8.2743523490000008</v>
      </c>
      <c r="AI609" s="6">
        <f>[1]Results!AL311</f>
        <v>8.2883223019999992</v>
      </c>
      <c r="AJ609" s="6">
        <f>[1]Results!AM311</f>
        <v>8.3032654160000003</v>
      </c>
      <c r="AK609" s="6">
        <f>[1]Results!AN311</f>
        <v>8.3189411260000004</v>
      </c>
      <c r="AL609" s="6">
        <f>[1]Results!AO311</f>
        <v>8.3351592120000007</v>
      </c>
    </row>
    <row r="610" spans="1:38" x14ac:dyDescent="0.3">
      <c r="B610" s="6" t="str">
        <f>[1]Results!E314</f>
        <v>CF_toe_cote_2</v>
      </c>
      <c r="C610" s="6">
        <f>[1]Results!F314</f>
        <v>6.4928850469999997</v>
      </c>
      <c r="D610" s="6">
        <f>[1]Results!G314</f>
        <v>6.5514032139999996</v>
      </c>
      <c r="E610" s="6">
        <f>[1]Results!H314</f>
        <v>6.5882951639999998</v>
      </c>
      <c r="F610" s="6">
        <f>[1]Results!I314</f>
        <v>6.6126271430000001</v>
      </c>
      <c r="G610" s="6">
        <f>[1]Results!J314</f>
        <v>6.6440836829999999</v>
      </c>
      <c r="H610" s="6">
        <f>[1]Results!K314</f>
        <v>6.7036466020000001</v>
      </c>
      <c r="I610" s="6">
        <f>[1]Results!L314</f>
        <v>6.9906519429999996</v>
      </c>
      <c r="J610" s="6">
        <f>[1]Results!M314</f>
        <v>7.182540285</v>
      </c>
      <c r="K610" s="6">
        <f>[1]Results!N314</f>
        <v>7.3273975250000003</v>
      </c>
      <c r="L610" s="6">
        <f>[1]Results!O314</f>
        <v>7.414335984</v>
      </c>
      <c r="M610" s="6">
        <f>[1]Results!P314</f>
        <v>7.4534474309999998</v>
      </c>
      <c r="N610" s="6">
        <f>[1]Results!Q314</f>
        <v>7.4639971149999997</v>
      </c>
      <c r="O610" s="6">
        <f>[1]Results!R314</f>
        <v>7.4782799659999997</v>
      </c>
      <c r="P610" s="6">
        <f>[1]Results!S314</f>
        <v>7.5187760429999999</v>
      </c>
      <c r="Q610" s="6">
        <f>[1]Results!T314</f>
        <v>7.5943598720000001</v>
      </c>
      <c r="R610" s="6">
        <f>[1]Results!U314</f>
        <v>7.702215861</v>
      </c>
      <c r="S610" s="6">
        <f>[1]Results!V314</f>
        <v>7.8320544859999996</v>
      </c>
      <c r="T610" s="6">
        <f>[1]Results!W314</f>
        <v>7.9714064689999997</v>
      </c>
      <c r="U610" s="6">
        <f>[1]Results!X314</f>
        <v>8.1103125079999998</v>
      </c>
      <c r="V610" s="6">
        <f>[1]Results!Y314</f>
        <v>8.2438971579999993</v>
      </c>
      <c r="W610" s="6">
        <f>[1]Results!Z314</f>
        <v>8.3669996290000004</v>
      </c>
      <c r="X610" s="6">
        <f>[1]Results!AA314</f>
        <v>8.49109318</v>
      </c>
      <c r="Y610" s="6">
        <f>[1]Results!AB314</f>
        <v>8.6170696759999998</v>
      </c>
      <c r="Z610" s="6">
        <f>[1]Results!AC314</f>
        <v>8.7472200489999992</v>
      </c>
      <c r="AA610" s="6">
        <f>[1]Results!AD314</f>
        <v>8.8833565070000002</v>
      </c>
      <c r="AB610" s="6">
        <f>[1]Results!AE314</f>
        <v>9.006450654</v>
      </c>
      <c r="AC610" s="6">
        <f>[1]Results!AF314</f>
        <v>9.1400686820000008</v>
      </c>
      <c r="AD610" s="6">
        <f>[1]Results!AG314</f>
        <v>9.2716343719999994</v>
      </c>
      <c r="AE610" s="6">
        <f>[1]Results!AH314</f>
        <v>9.3983225909999994</v>
      </c>
      <c r="AF610" s="6">
        <f>[1]Results!AI314</f>
        <v>9.5227764780000008</v>
      </c>
      <c r="AG610" s="6">
        <f>[1]Results!AJ314</f>
        <v>9.6490250070000005</v>
      </c>
      <c r="AH610" s="6">
        <f>[1]Results!AK314</f>
        <v>9.7802553010000004</v>
      </c>
      <c r="AI610" s="6">
        <f>[1]Results!AL314</f>
        <v>9.9177972610000005</v>
      </c>
      <c r="AJ610" s="6">
        <f>[1]Results!AM314</f>
        <v>10.06111473</v>
      </c>
      <c r="AK610" s="6">
        <f>[1]Results!AN314</f>
        <v>10.20850536</v>
      </c>
      <c r="AL610" s="6">
        <f>[1]Results!AO314</f>
        <v>10.35806251</v>
      </c>
    </row>
    <row r="611" spans="1:38" x14ac:dyDescent="0.3"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</row>
    <row r="612" spans="1:38" x14ac:dyDescent="0.3">
      <c r="A612" s="12" t="s">
        <v>67</v>
      </c>
      <c r="B612" s="6" t="str">
        <f>[1]Results!E317</f>
        <v>CF_toe_0</v>
      </c>
      <c r="C612" s="6">
        <f>[1]Results!F317</f>
        <v>150.74043230000001</v>
      </c>
      <c r="D612" s="6">
        <f>[1]Results!G317</f>
        <v>151.55673999999999</v>
      </c>
      <c r="E612" s="6">
        <f>[1]Results!H317</f>
        <v>151.98778630000001</v>
      </c>
      <c r="F612" s="6">
        <f>[1]Results!I317</f>
        <v>152.34718029999999</v>
      </c>
      <c r="G612" s="6">
        <f>[1]Results!J317</f>
        <v>152.8682671</v>
      </c>
      <c r="H612" s="6">
        <f>[1]Results!K317</f>
        <v>153.7174857</v>
      </c>
      <c r="I612" s="6">
        <f>[1]Results!L317</f>
        <v>154.84903539999999</v>
      </c>
      <c r="J612" s="6">
        <f>[1]Results!M317</f>
        <v>156.30822649999999</v>
      </c>
      <c r="K612" s="6">
        <f>[1]Results!N317</f>
        <v>157.9772035</v>
      </c>
      <c r="L612" s="6">
        <f>[1]Results!O317</f>
        <v>159.71299329999999</v>
      </c>
      <c r="M612" s="6">
        <f>[1]Results!P317</f>
        <v>161.53436869999999</v>
      </c>
      <c r="N612" s="6">
        <f>[1]Results!Q317</f>
        <v>163.1958157</v>
      </c>
      <c r="O612" s="6">
        <f>[1]Results!R317</f>
        <v>164.79813490000001</v>
      </c>
      <c r="P612" s="6">
        <f>[1]Results!S317</f>
        <v>166.38073019999999</v>
      </c>
      <c r="Q612" s="6">
        <f>[1]Results!T317</f>
        <v>167.95783399999999</v>
      </c>
      <c r="R612" s="6">
        <f>[1]Results!U317</f>
        <v>169.5365582</v>
      </c>
      <c r="S612" s="6">
        <f>[1]Results!V317</f>
        <v>171.11855410000001</v>
      </c>
      <c r="T612" s="6">
        <f>[1]Results!W317</f>
        <v>172.70033459999999</v>
      </c>
      <c r="U612" s="6">
        <f>[1]Results!X317</f>
        <v>174.27810220000001</v>
      </c>
      <c r="V612" s="6">
        <f>[1]Results!Y317</f>
        <v>175.85222830000001</v>
      </c>
      <c r="W612" s="6">
        <f>[1]Results!Z317</f>
        <v>177.32733820000001</v>
      </c>
      <c r="X612" s="6">
        <f>[1]Results!AA317</f>
        <v>178.88274960000001</v>
      </c>
      <c r="Y612" s="6">
        <f>[1]Results!AB317</f>
        <v>180.47024049999999</v>
      </c>
      <c r="Z612" s="6">
        <f>[1]Results!AC317</f>
        <v>182.08833680000001</v>
      </c>
      <c r="AA612" s="6">
        <f>[1]Results!AD317</f>
        <v>183.75022709999999</v>
      </c>
      <c r="AB612" s="6">
        <f>[1]Results!AE317</f>
        <v>185.1397283</v>
      </c>
      <c r="AC612" s="6">
        <f>[1]Results!AF317</f>
        <v>186.6890147</v>
      </c>
      <c r="AD612" s="6">
        <f>[1]Results!AG317</f>
        <v>188.25713569999999</v>
      </c>
      <c r="AE612" s="6">
        <f>[1]Results!AH317</f>
        <v>189.8126954</v>
      </c>
      <c r="AF612" s="6">
        <f>[1]Results!AI317</f>
        <v>191.37272429999999</v>
      </c>
      <c r="AG612" s="6">
        <f>[1]Results!AJ317</f>
        <v>192.96253189999999</v>
      </c>
      <c r="AH612" s="6">
        <f>[1]Results!AK317</f>
        <v>194.5996715</v>
      </c>
      <c r="AI612" s="6">
        <f>[1]Results!AL317</f>
        <v>196.28895660000001</v>
      </c>
      <c r="AJ612" s="6">
        <f>[1]Results!AM317</f>
        <v>198.02413759999999</v>
      </c>
      <c r="AK612" s="6">
        <f>[1]Results!AN317</f>
        <v>199.7932284</v>
      </c>
      <c r="AL612" s="6">
        <f>[1]Results!AO317</f>
        <v>201.5847981</v>
      </c>
    </row>
    <row r="613" spans="1:38" x14ac:dyDescent="0.3">
      <c r="A613" t="s">
        <v>26</v>
      </c>
      <c r="B613" s="6" t="str">
        <f>[1]Results!E318</f>
        <v>CF_toe_ccoa_0</v>
      </c>
      <c r="C613" s="6">
        <f>[1]Results!F318</f>
        <v>7.575381621</v>
      </c>
      <c r="D613" s="6">
        <f>[1]Results!G318</f>
        <v>7.9252931350000004</v>
      </c>
      <c r="E613" s="6">
        <f>[1]Results!H318</f>
        <v>8.2713389250000002</v>
      </c>
      <c r="F613" s="6">
        <f>[1]Results!I318</f>
        <v>8.56931771</v>
      </c>
      <c r="G613" s="6">
        <f>[1]Results!J318</f>
        <v>8.8289530870000004</v>
      </c>
      <c r="H613" s="6">
        <f>[1]Results!K318</f>
        <v>9.0663385430000005</v>
      </c>
      <c r="I613" s="6">
        <f>[1]Results!L318</f>
        <v>9.2668411499999994</v>
      </c>
      <c r="J613" s="6">
        <f>[1]Results!M318</f>
        <v>9.4618181319999994</v>
      </c>
      <c r="K613" s="6">
        <f>[1]Results!N318</f>
        <v>9.6515811920000001</v>
      </c>
      <c r="L613" s="6">
        <f>[1]Results!O318</f>
        <v>9.8332913340000001</v>
      </c>
      <c r="M613" s="6">
        <f>[1]Results!P318</f>
        <v>10.04211445</v>
      </c>
      <c r="N613" s="6">
        <f>[1]Results!Q318</f>
        <v>10.20380581</v>
      </c>
      <c r="O613" s="6">
        <f>[1]Results!R318</f>
        <v>10.36088747</v>
      </c>
      <c r="P613" s="6">
        <f>[1]Results!S318</f>
        <v>10.520766070000001</v>
      </c>
      <c r="Q613" s="6">
        <f>[1]Results!T318</f>
        <v>10.68287074</v>
      </c>
      <c r="R613" s="6">
        <f>[1]Results!U318</f>
        <v>10.84590498</v>
      </c>
      <c r="S613" s="6">
        <f>[1]Results!V318</f>
        <v>11.00915477</v>
      </c>
      <c r="T613" s="6">
        <f>[1]Results!W318</f>
        <v>11.17265716</v>
      </c>
      <c r="U613" s="6">
        <f>[1]Results!X318</f>
        <v>11.33687364</v>
      </c>
      <c r="V613" s="6">
        <f>[1]Results!Y318</f>
        <v>11.5024371</v>
      </c>
      <c r="W613" s="6">
        <f>[1]Results!Z318</f>
        <v>11.644149649999999</v>
      </c>
      <c r="X613" s="6">
        <f>[1]Results!AA318</f>
        <v>11.81754787</v>
      </c>
      <c r="Y613" s="6">
        <f>[1]Results!AB318</f>
        <v>11.99605416</v>
      </c>
      <c r="Z613" s="6">
        <f>[1]Results!AC318</f>
        <v>12.175199940000001</v>
      </c>
      <c r="AA613" s="6">
        <f>[1]Results!AD318</f>
        <v>12.35587404</v>
      </c>
      <c r="AB613" s="6">
        <f>[1]Results!AE318</f>
        <v>12.46256312</v>
      </c>
      <c r="AC613" s="6">
        <f>[1]Results!AF318</f>
        <v>12.62654977</v>
      </c>
      <c r="AD613" s="6">
        <f>[1]Results!AG318</f>
        <v>12.80281531</v>
      </c>
      <c r="AE613" s="6">
        <f>[1]Results!AH318</f>
        <v>12.980568809999999</v>
      </c>
      <c r="AF613" s="6">
        <f>[1]Results!AI318</f>
        <v>13.15965617</v>
      </c>
      <c r="AG613" s="6">
        <f>[1]Results!AJ318</f>
        <v>13.34121562</v>
      </c>
      <c r="AH613" s="6">
        <f>[1]Results!AK318</f>
        <v>13.52579808</v>
      </c>
      <c r="AI613" s="6">
        <f>[1]Results!AL318</f>
        <v>13.71335695</v>
      </c>
      <c r="AJ613" s="6">
        <f>[1]Results!AM318</f>
        <v>13.903582439999999</v>
      </c>
      <c r="AK613" s="6">
        <f>[1]Results!AN318</f>
        <v>14.096196000000001</v>
      </c>
      <c r="AL613" s="6">
        <f>[1]Results!AO318</f>
        <v>14.291103870000001</v>
      </c>
    </row>
    <row r="614" spans="1:38" x14ac:dyDescent="0.3">
      <c r="B614" s="6" t="s">
        <v>48</v>
      </c>
      <c r="C614" s="6">
        <f>C615+C616+C617</f>
        <v>61.413764725</v>
      </c>
      <c r="D614" s="6">
        <f t="shared" ref="D614:AI614" si="114">D615+D616+D617</f>
        <v>61.408567914000002</v>
      </c>
      <c r="E614" s="6">
        <f t="shared" si="114"/>
        <v>61.265460503</v>
      </c>
      <c r="F614" s="6">
        <f t="shared" si="114"/>
        <v>61.167641963000001</v>
      </c>
      <c r="G614" s="6">
        <f t="shared" si="114"/>
        <v>61.186004601999997</v>
      </c>
      <c r="H614" s="6">
        <f t="shared" si="114"/>
        <v>61.347863242999999</v>
      </c>
      <c r="I614" s="6">
        <f t="shared" si="114"/>
        <v>61.619609245000007</v>
      </c>
      <c r="J614" s="6">
        <f t="shared" si="114"/>
        <v>62.013073765000001</v>
      </c>
      <c r="K614" s="6">
        <f t="shared" si="114"/>
        <v>62.492579945000003</v>
      </c>
      <c r="L614" s="6">
        <f t="shared" si="114"/>
        <v>63.020042042999997</v>
      </c>
      <c r="M614" s="6">
        <f t="shared" si="114"/>
        <v>63.608183443000001</v>
      </c>
      <c r="N614" s="6">
        <f t="shared" si="114"/>
        <v>64.166115822999998</v>
      </c>
      <c r="O614" s="6">
        <f t="shared" si="114"/>
        <v>64.729498802999998</v>
      </c>
      <c r="P614" s="6">
        <f t="shared" si="114"/>
        <v>65.300215546000004</v>
      </c>
      <c r="Q614" s="6">
        <f t="shared" si="114"/>
        <v>65.876513441</v>
      </c>
      <c r="R614" s="6">
        <f t="shared" si="114"/>
        <v>66.456715435000007</v>
      </c>
      <c r="S614" s="6">
        <f t="shared" si="114"/>
        <v>67.039184667000001</v>
      </c>
      <c r="T614" s="6">
        <f t="shared" si="114"/>
        <v>67.622129381000008</v>
      </c>
      <c r="U614" s="6">
        <f t="shared" si="114"/>
        <v>68.204107703999995</v>
      </c>
      <c r="V614" s="6">
        <f t="shared" si="114"/>
        <v>68.784677723000001</v>
      </c>
      <c r="W614" s="6">
        <f t="shared" si="114"/>
        <v>69.331367385999997</v>
      </c>
      <c r="X614" s="6">
        <f t="shared" si="114"/>
        <v>69.905360709999997</v>
      </c>
      <c r="Y614" s="6">
        <f t="shared" si="114"/>
        <v>70.482811779999992</v>
      </c>
      <c r="Z614" s="6">
        <f t="shared" si="114"/>
        <v>71.063926870000003</v>
      </c>
      <c r="AA614" s="6">
        <f t="shared" si="114"/>
        <v>71.652288519999999</v>
      </c>
      <c r="AB614" s="6">
        <f t="shared" si="114"/>
        <v>72.145868379999996</v>
      </c>
      <c r="AC614" s="6">
        <f t="shared" si="114"/>
        <v>72.693735910000001</v>
      </c>
      <c r="AD614" s="6">
        <f t="shared" si="114"/>
        <v>73.24096136</v>
      </c>
      <c r="AE614" s="6">
        <f t="shared" si="114"/>
        <v>73.781110670000004</v>
      </c>
      <c r="AF614" s="6">
        <f t="shared" si="114"/>
        <v>74.318550149999993</v>
      </c>
      <c r="AG614" s="6">
        <f t="shared" si="114"/>
        <v>74.858910420000001</v>
      </c>
      <c r="AH614" s="6">
        <f t="shared" si="114"/>
        <v>75.406189479999995</v>
      </c>
      <c r="AI614" s="6">
        <f t="shared" si="114"/>
        <v>75.961927869999997</v>
      </c>
      <c r="AJ614" s="6">
        <f>AJ615+AJ616+AJ617</f>
        <v>76.525506059999998</v>
      </c>
      <c r="AK614" s="6">
        <f t="shared" ref="AK614" si="115">AK615+AK616+AK617</f>
        <v>77.095090739999989</v>
      </c>
      <c r="AL614" s="6">
        <f t="shared" ref="AL614" si="116">AL615+AL616+AL617</f>
        <v>77.668722540000005</v>
      </c>
    </row>
    <row r="615" spans="1:38" x14ac:dyDescent="0.3">
      <c r="B615" s="6" t="str">
        <f>[1]Results!E321</f>
        <v>CF_toe_ccoi_0</v>
      </c>
      <c r="C615" s="6">
        <f>[1]Results!F321</f>
        <v>0</v>
      </c>
      <c r="D615" s="6">
        <f>[1]Results!G321</f>
        <v>0</v>
      </c>
      <c r="E615" s="6">
        <f>[1]Results!H321</f>
        <v>0</v>
      </c>
      <c r="F615" s="6">
        <f>[1]Results!I321</f>
        <v>0</v>
      </c>
      <c r="G615" s="6">
        <f>[1]Results!J321</f>
        <v>0</v>
      </c>
      <c r="H615" s="6">
        <f>[1]Results!K321</f>
        <v>0</v>
      </c>
      <c r="I615" s="6">
        <f>[1]Results!L321</f>
        <v>0</v>
      </c>
      <c r="J615" s="6">
        <f>[1]Results!M321</f>
        <v>0</v>
      </c>
      <c r="K615" s="6">
        <f>[1]Results!N321</f>
        <v>0</v>
      </c>
      <c r="L615" s="6">
        <f>[1]Results!O321</f>
        <v>0</v>
      </c>
      <c r="M615" s="6">
        <f>[1]Results!P321</f>
        <v>0</v>
      </c>
      <c r="N615" s="6">
        <f>[1]Results!Q321</f>
        <v>0</v>
      </c>
      <c r="O615" s="6">
        <f>[1]Results!R321</f>
        <v>0</v>
      </c>
      <c r="P615" s="6">
        <f>[1]Results!S321</f>
        <v>0</v>
      </c>
      <c r="Q615" s="6">
        <f>[1]Results!T321</f>
        <v>0</v>
      </c>
      <c r="R615" s="6">
        <f>[1]Results!U321</f>
        <v>0</v>
      </c>
      <c r="S615" s="6">
        <f>[1]Results!V321</f>
        <v>0</v>
      </c>
      <c r="T615" s="6">
        <f>[1]Results!W321</f>
        <v>0</v>
      </c>
      <c r="U615" s="6">
        <f>[1]Results!X321</f>
        <v>0</v>
      </c>
      <c r="V615" s="6">
        <f>[1]Results!Y321</f>
        <v>0</v>
      </c>
      <c r="W615" s="6">
        <f>[1]Results!Z321</f>
        <v>0</v>
      </c>
      <c r="X615" s="6">
        <f>[1]Results!AA321</f>
        <v>0</v>
      </c>
      <c r="Y615" s="6">
        <f>[1]Results!AB321</f>
        <v>0</v>
      </c>
      <c r="Z615" s="6">
        <f>[1]Results!AC321</f>
        <v>0</v>
      </c>
      <c r="AA615" s="6">
        <f>[1]Results!AD321</f>
        <v>0</v>
      </c>
      <c r="AB615" s="6">
        <f>[1]Results!AE321</f>
        <v>0</v>
      </c>
      <c r="AC615" s="6">
        <f>[1]Results!AF321</f>
        <v>0</v>
      </c>
      <c r="AD615" s="6">
        <f>[1]Results!AG321</f>
        <v>0</v>
      </c>
      <c r="AE615" s="6">
        <f>[1]Results!AH321</f>
        <v>0</v>
      </c>
      <c r="AF615" s="6">
        <f>[1]Results!AI321</f>
        <v>0</v>
      </c>
      <c r="AG615" s="6">
        <f>[1]Results!AJ321</f>
        <v>0</v>
      </c>
      <c r="AH615" s="6">
        <f>[1]Results!AK321</f>
        <v>0</v>
      </c>
      <c r="AI615" s="6">
        <f>[1]Results!AL321</f>
        <v>0</v>
      </c>
      <c r="AJ615" s="6">
        <f>[1]Results!AM321</f>
        <v>0</v>
      </c>
      <c r="AK615" s="6">
        <f>[1]Results!AN321</f>
        <v>0</v>
      </c>
      <c r="AL615" s="6">
        <f>[1]Results!AO321</f>
        <v>0</v>
      </c>
    </row>
    <row r="616" spans="1:38" x14ac:dyDescent="0.3">
      <c r="B616" s="6" t="str">
        <f>[1]Results!E324</f>
        <v>CF_toe_cfut_0</v>
      </c>
      <c r="C616" s="6">
        <f>[1]Results!F324</f>
        <v>51.746791770000002</v>
      </c>
      <c r="D616" s="6">
        <f>[1]Results!G324</f>
        <v>51.721486599999999</v>
      </c>
      <c r="E616" s="6">
        <f>[1]Results!H324</f>
        <v>51.593889359999999</v>
      </c>
      <c r="F616" s="6">
        <f>[1]Results!I324</f>
        <v>51.525562700000002</v>
      </c>
      <c r="G616" s="6">
        <f>[1]Results!J324</f>
        <v>51.571415889999997</v>
      </c>
      <c r="H616" s="6">
        <f>[1]Results!K324</f>
        <v>51.747636589999999</v>
      </c>
      <c r="I616" s="6">
        <f>[1]Results!L324</f>
        <v>52.021276890000003</v>
      </c>
      <c r="J616" s="6">
        <f>[1]Results!M324</f>
        <v>52.398483800000001</v>
      </c>
      <c r="K616" s="6">
        <f>[1]Results!N324</f>
        <v>52.84949683</v>
      </c>
      <c r="L616" s="6">
        <f>[1]Results!O324</f>
        <v>53.343243379999997</v>
      </c>
      <c r="M616" s="6">
        <f>[1]Results!P324</f>
        <v>53.889483499999997</v>
      </c>
      <c r="N616" s="6">
        <f>[1]Results!Q324</f>
        <v>54.415818479999999</v>
      </c>
      <c r="O616" s="6">
        <f>[1]Results!R324</f>
        <v>54.950398989999997</v>
      </c>
      <c r="P616" s="6">
        <f>[1]Results!S324</f>
        <v>55.494231820000003</v>
      </c>
      <c r="Q616" s="6">
        <f>[1]Results!T324</f>
        <v>56.045339660000003</v>
      </c>
      <c r="R616" s="6">
        <f>[1]Results!U324</f>
        <v>56.601324050000002</v>
      </c>
      <c r="S616" s="6">
        <f>[1]Results!V324</f>
        <v>57.1596239</v>
      </c>
      <c r="T616" s="6">
        <f>[1]Results!W324</f>
        <v>57.71798235</v>
      </c>
      <c r="U616" s="6">
        <f>[1]Results!X324</f>
        <v>58.274888269999998</v>
      </c>
      <c r="V616" s="6">
        <f>[1]Results!Y324</f>
        <v>58.829933240000003</v>
      </c>
      <c r="W616" s="6">
        <f>[1]Results!Z324</f>
        <v>59.356838639999999</v>
      </c>
      <c r="X616" s="6">
        <f>[1]Results!AA324</f>
        <v>59.904935870000003</v>
      </c>
      <c r="Y616" s="6">
        <f>[1]Results!AB324</f>
        <v>60.455406369999999</v>
      </c>
      <c r="Z616" s="6">
        <f>[1]Results!AC324</f>
        <v>61.008580909999999</v>
      </c>
      <c r="AA616" s="6">
        <f>[1]Results!AD324</f>
        <v>61.567585190000003</v>
      </c>
      <c r="AB616" s="6">
        <f>[1]Results!AE324</f>
        <v>62.048822110000003</v>
      </c>
      <c r="AC616" s="6">
        <f>[1]Results!AF324</f>
        <v>62.57365282</v>
      </c>
      <c r="AD616" s="6">
        <f>[1]Results!AG324</f>
        <v>63.09736109</v>
      </c>
      <c r="AE616" s="6">
        <f>[1]Results!AH324</f>
        <v>63.614669630000002</v>
      </c>
      <c r="AF616" s="6">
        <f>[1]Results!AI324</f>
        <v>64.12942133</v>
      </c>
      <c r="AG616" s="6">
        <f>[1]Results!AJ324</f>
        <v>64.646416079999995</v>
      </c>
      <c r="AH616" s="6">
        <f>[1]Results!AK324</f>
        <v>65.16899454</v>
      </c>
      <c r="AI616" s="6">
        <f>[1]Results!AL324</f>
        <v>65.69841563</v>
      </c>
      <c r="AJ616" s="6">
        <f>[1]Results!AM324</f>
        <v>66.234155229999999</v>
      </c>
      <c r="AK616" s="6">
        <f>[1]Results!AN324</f>
        <v>66.774711049999993</v>
      </c>
      <c r="AL616" s="6">
        <f>[1]Results!AO324</f>
        <v>67.318496550000006</v>
      </c>
    </row>
    <row r="617" spans="1:38" x14ac:dyDescent="0.3">
      <c r="B617" s="6" t="str">
        <f>[1]Results!E327</f>
        <v>CF_toe_cfuh_0</v>
      </c>
      <c r="C617" s="6">
        <f>[1]Results!F327</f>
        <v>9.6669729550000003</v>
      </c>
      <c r="D617" s="6">
        <f>[1]Results!G327</f>
        <v>9.6870813140000003</v>
      </c>
      <c r="E617" s="6">
        <f>[1]Results!H327</f>
        <v>9.6715711429999995</v>
      </c>
      <c r="F617" s="6">
        <f>[1]Results!I327</f>
        <v>9.6420792629999994</v>
      </c>
      <c r="G617" s="6">
        <f>[1]Results!J327</f>
        <v>9.6145887119999998</v>
      </c>
      <c r="H617" s="6">
        <f>[1]Results!K327</f>
        <v>9.600226653</v>
      </c>
      <c r="I617" s="6">
        <f>[1]Results!L327</f>
        <v>9.5983323550000001</v>
      </c>
      <c r="J617" s="6">
        <f>[1]Results!M327</f>
        <v>9.6145899650000004</v>
      </c>
      <c r="K617" s="6">
        <f>[1]Results!N327</f>
        <v>9.6430831149999996</v>
      </c>
      <c r="L617" s="6">
        <f>[1]Results!O327</f>
        <v>9.6767986629999996</v>
      </c>
      <c r="M617" s="6">
        <f>[1]Results!P327</f>
        <v>9.7186999430000007</v>
      </c>
      <c r="N617" s="6">
        <f>[1]Results!Q327</f>
        <v>9.7502973429999997</v>
      </c>
      <c r="O617" s="6">
        <f>[1]Results!R327</f>
        <v>9.7790998130000002</v>
      </c>
      <c r="P617" s="6">
        <f>[1]Results!S327</f>
        <v>9.8059837259999991</v>
      </c>
      <c r="Q617" s="6">
        <f>[1]Results!T327</f>
        <v>9.8311737810000004</v>
      </c>
      <c r="R617" s="6">
        <f>[1]Results!U327</f>
        <v>9.8553913850000008</v>
      </c>
      <c r="S617" s="6">
        <f>[1]Results!V327</f>
        <v>9.8795607669999992</v>
      </c>
      <c r="T617" s="6">
        <f>[1]Results!W327</f>
        <v>9.9041470310000008</v>
      </c>
      <c r="U617" s="6">
        <f>[1]Results!X327</f>
        <v>9.9292194340000002</v>
      </c>
      <c r="V617" s="6">
        <f>[1]Results!Y327</f>
        <v>9.9547444830000007</v>
      </c>
      <c r="W617" s="6">
        <f>[1]Results!Z327</f>
        <v>9.9745287460000007</v>
      </c>
      <c r="X617" s="6">
        <f>[1]Results!AA327</f>
        <v>10.000424840000001</v>
      </c>
      <c r="Y617" s="6">
        <f>[1]Results!AB327</f>
        <v>10.02740541</v>
      </c>
      <c r="Z617" s="6">
        <f>[1]Results!AC327</f>
        <v>10.05534596</v>
      </c>
      <c r="AA617" s="6">
        <f>[1]Results!AD327</f>
        <v>10.08470333</v>
      </c>
      <c r="AB617" s="6">
        <f>[1]Results!AE327</f>
        <v>10.09704627</v>
      </c>
      <c r="AC617" s="6">
        <f>[1]Results!AF327</f>
        <v>10.12008309</v>
      </c>
      <c r="AD617" s="6">
        <f>[1]Results!AG327</f>
        <v>10.14360027</v>
      </c>
      <c r="AE617" s="6">
        <f>[1]Results!AH327</f>
        <v>10.16644104</v>
      </c>
      <c r="AF617" s="6">
        <f>[1]Results!AI327</f>
        <v>10.189128820000001</v>
      </c>
      <c r="AG617" s="6">
        <f>[1]Results!AJ327</f>
        <v>10.212494339999999</v>
      </c>
      <c r="AH617" s="6">
        <f>[1]Results!AK327</f>
        <v>10.23719494</v>
      </c>
      <c r="AI617" s="6">
        <f>[1]Results!AL327</f>
        <v>10.263512240000001</v>
      </c>
      <c r="AJ617" s="6">
        <f>[1]Results!AM327</f>
        <v>10.291350830000001</v>
      </c>
      <c r="AK617" s="6">
        <f>[1]Results!AN327</f>
        <v>10.320379689999999</v>
      </c>
      <c r="AL617" s="6">
        <f>[1]Results!AO327</f>
        <v>10.35022599</v>
      </c>
    </row>
    <row r="618" spans="1:38" x14ac:dyDescent="0.3">
      <c r="B618" s="6" t="str">
        <f>[1]Results!E329</f>
        <v>CF_toe_cgas_0</v>
      </c>
      <c r="C618" s="6">
        <f>[1]Results!F329</f>
        <v>28.024339489999999</v>
      </c>
      <c r="D618" s="6">
        <f>[1]Results!G329</f>
        <v>28.209844220000001</v>
      </c>
      <c r="E618" s="6">
        <f>[1]Results!H329</f>
        <v>28.31895471</v>
      </c>
      <c r="F618" s="6">
        <f>[1]Results!I329</f>
        <v>28.398028199999999</v>
      </c>
      <c r="G618" s="6">
        <f>[1]Results!J329</f>
        <v>28.495827219999999</v>
      </c>
      <c r="H618" s="6">
        <f>[1]Results!K329</f>
        <v>28.653233669999999</v>
      </c>
      <c r="I618" s="6">
        <f>[1]Results!L329</f>
        <v>28.865040100000002</v>
      </c>
      <c r="J618" s="6">
        <f>[1]Results!M329</f>
        <v>29.14449728</v>
      </c>
      <c r="K618" s="6">
        <f>[1]Results!N329</f>
        <v>29.468859470000002</v>
      </c>
      <c r="L618" s="6">
        <f>[1]Results!O329</f>
        <v>29.807321659999999</v>
      </c>
      <c r="M618" s="6">
        <f>[1]Results!P329</f>
        <v>30.163538460000002</v>
      </c>
      <c r="N618" s="6">
        <f>[1]Results!Q329</f>
        <v>30.483968170000001</v>
      </c>
      <c r="O618" s="6">
        <f>[1]Results!R329</f>
        <v>30.787782629999999</v>
      </c>
      <c r="P618" s="6">
        <f>[1]Results!S329</f>
        <v>31.08437035</v>
      </c>
      <c r="Q618" s="6">
        <f>[1]Results!T329</f>
        <v>31.37722393</v>
      </c>
      <c r="R618" s="6">
        <f>[1]Results!U329</f>
        <v>31.66929244</v>
      </c>
      <c r="S618" s="6">
        <f>[1]Results!V329</f>
        <v>31.962643289999999</v>
      </c>
      <c r="T618" s="6">
        <f>[1]Results!W329</f>
        <v>32.257274090000003</v>
      </c>
      <c r="U618" s="6">
        <f>[1]Results!X329</f>
        <v>32.552312200000003</v>
      </c>
      <c r="V618" s="6">
        <f>[1]Results!Y329</f>
        <v>32.847477169999998</v>
      </c>
      <c r="W618" s="6">
        <f>[1]Results!Z329</f>
        <v>33.121463089999999</v>
      </c>
      <c r="X618" s="6">
        <f>[1]Results!AA329</f>
        <v>33.412952160000003</v>
      </c>
      <c r="Y618" s="6">
        <f>[1]Results!AB329</f>
        <v>33.712574879999998</v>
      </c>
      <c r="Z618" s="6">
        <f>[1]Results!AC329</f>
        <v>34.019267669999998</v>
      </c>
      <c r="AA618" s="6">
        <f>[1]Results!AD329</f>
        <v>34.335746909999997</v>
      </c>
      <c r="AB618" s="6">
        <f>[1]Results!AE329</f>
        <v>34.593454530000002</v>
      </c>
      <c r="AC618" s="6">
        <f>[1]Results!AF329</f>
        <v>34.884605630000003</v>
      </c>
      <c r="AD618" s="6">
        <f>[1]Results!AG329</f>
        <v>35.181492290000001</v>
      </c>
      <c r="AE618" s="6">
        <f>[1]Results!AH329</f>
        <v>35.475998779999998</v>
      </c>
      <c r="AF618" s="6">
        <f>[1]Results!AI329</f>
        <v>35.771402010000003</v>
      </c>
      <c r="AG618" s="6">
        <f>[1]Results!AJ329</f>
        <v>36.073243759999997</v>
      </c>
      <c r="AH618" s="6">
        <f>[1]Results!AK329</f>
        <v>36.385500880000002</v>
      </c>
      <c r="AI618" s="6">
        <f>[1]Results!AL329</f>
        <v>36.709308</v>
      </c>
      <c r="AJ618" s="6">
        <f>[1]Results!AM329</f>
        <v>37.043243279999999</v>
      </c>
      <c r="AK618" s="6">
        <f>[1]Results!AN329</f>
        <v>37.384525580000002</v>
      </c>
      <c r="AL618" s="6">
        <f>[1]Results!AO329</f>
        <v>37.730418280000002</v>
      </c>
    </row>
    <row r="619" spans="1:38" x14ac:dyDescent="0.3">
      <c r="B619" s="6" t="str">
        <f>[1]Results!E335</f>
        <v>CF_toe_cele_0</v>
      </c>
      <c r="C619" s="6">
        <f>[1]Results!F335</f>
        <v>36.372254470000001</v>
      </c>
      <c r="D619" s="6">
        <f>[1]Results!G335</f>
        <v>36.562063559999999</v>
      </c>
      <c r="E619" s="6">
        <f>[1]Results!H335</f>
        <v>36.634840869999998</v>
      </c>
      <c r="F619" s="6">
        <f>[1]Results!I335</f>
        <v>36.685157590000003</v>
      </c>
      <c r="G619" s="6">
        <f>[1]Results!J335</f>
        <v>36.785797189999997</v>
      </c>
      <c r="H619" s="6">
        <f>[1]Results!K335</f>
        <v>36.991993000000001</v>
      </c>
      <c r="I619" s="6">
        <f>[1]Results!L335</f>
        <v>37.310266230000003</v>
      </c>
      <c r="J619" s="6">
        <f>[1]Results!M335</f>
        <v>37.724954410000002</v>
      </c>
      <c r="K619" s="6">
        <f>[1]Results!N335</f>
        <v>38.192803359999999</v>
      </c>
      <c r="L619" s="6">
        <f>[1]Results!O335</f>
        <v>38.664385000000003</v>
      </c>
      <c r="M619" s="6">
        <f>[1]Results!P335</f>
        <v>39.112940029999997</v>
      </c>
      <c r="N619" s="6">
        <f>[1]Results!Q335</f>
        <v>39.532724350000002</v>
      </c>
      <c r="O619" s="6">
        <f>[1]Results!R335</f>
        <v>39.921353430000003</v>
      </c>
      <c r="P619" s="6">
        <f>[1]Results!S335</f>
        <v>40.293508799999998</v>
      </c>
      <c r="Q619" s="6">
        <f>[1]Results!T335</f>
        <v>40.658779240000001</v>
      </c>
      <c r="R619" s="6">
        <f>[1]Results!U335</f>
        <v>41.022470249999998</v>
      </c>
      <c r="S619" s="6">
        <f>[1]Results!V335</f>
        <v>41.386124690000003</v>
      </c>
      <c r="T619" s="6">
        <f>[1]Results!W335</f>
        <v>41.748578479999999</v>
      </c>
      <c r="U619" s="6">
        <f>[1]Results!X335</f>
        <v>42.108446280000003</v>
      </c>
      <c r="V619" s="6">
        <f>[1]Results!Y335</f>
        <v>42.466051970000002</v>
      </c>
      <c r="W619" s="6">
        <f>[1]Results!Z335</f>
        <v>42.81364774</v>
      </c>
      <c r="X619" s="6">
        <f>[1]Results!AA335</f>
        <v>43.160171990000002</v>
      </c>
      <c r="Y619" s="6">
        <f>[1]Results!AB335</f>
        <v>43.517682620000002</v>
      </c>
      <c r="Z619" s="6">
        <f>[1]Results!AC335</f>
        <v>43.889517560000002</v>
      </c>
      <c r="AA619" s="6">
        <f>[1]Results!AD335</f>
        <v>44.279682200000003</v>
      </c>
      <c r="AB619" s="6">
        <f>[1]Results!AE335</f>
        <v>44.650007219999999</v>
      </c>
      <c r="AC619" s="6">
        <f>[1]Results!AF335</f>
        <v>45.022543130000003</v>
      </c>
      <c r="AD619" s="6">
        <f>[1]Results!AG335</f>
        <v>45.39523569</v>
      </c>
      <c r="AE619" s="6">
        <f>[1]Results!AH335</f>
        <v>45.765498460000003</v>
      </c>
      <c r="AF619" s="6">
        <f>[1]Results!AI335</f>
        <v>46.140260439999999</v>
      </c>
      <c r="AG619" s="6">
        <f>[1]Results!AJ335</f>
        <v>46.528540020000001</v>
      </c>
      <c r="AH619" s="6">
        <f>[1]Results!AK335</f>
        <v>46.936447780000002</v>
      </c>
      <c r="AI619" s="6">
        <f>[1]Results!AL335</f>
        <v>47.365256209999998</v>
      </c>
      <c r="AJ619" s="6">
        <f>[1]Results!AM335</f>
        <v>47.812010200000003</v>
      </c>
      <c r="AK619" s="6">
        <f>[1]Results!AN335</f>
        <v>48.271584470000001</v>
      </c>
      <c r="AL619" s="6">
        <f>[1]Results!AO335</f>
        <v>48.739317960000001</v>
      </c>
    </row>
    <row r="620" spans="1:38" x14ac:dyDescent="0.3">
      <c r="B620" s="6" t="s">
        <v>49</v>
      </c>
      <c r="C620" s="6">
        <f>SUM(C621:C623)</f>
        <v>17.354691969000001</v>
      </c>
      <c r="D620" s="6">
        <f t="shared" ref="D620:AL620" si="117">SUM(D621:D623)</f>
        <v>17.450971182</v>
      </c>
      <c r="E620" s="6">
        <f t="shared" si="117"/>
        <v>17.497191243</v>
      </c>
      <c r="F620" s="6">
        <f t="shared" si="117"/>
        <v>17.527034857</v>
      </c>
      <c r="G620" s="6">
        <f t="shared" si="117"/>
        <v>17.571685037000002</v>
      </c>
      <c r="H620" s="6">
        <f t="shared" si="117"/>
        <v>17.658057238000001</v>
      </c>
      <c r="I620" s="6">
        <f t="shared" si="117"/>
        <v>17.787278659000002</v>
      </c>
      <c r="J620" s="6">
        <f t="shared" si="117"/>
        <v>17.963882914000003</v>
      </c>
      <c r="K620" s="6">
        <f t="shared" si="117"/>
        <v>18.171379562000002</v>
      </c>
      <c r="L620" s="6">
        <f t="shared" si="117"/>
        <v>18.387953249999999</v>
      </c>
      <c r="M620" s="6">
        <f t="shared" si="117"/>
        <v>18.607592347999997</v>
      </c>
      <c r="N620" s="6">
        <f t="shared" si="117"/>
        <v>18.809201557999998</v>
      </c>
      <c r="O620" s="6">
        <f t="shared" si="117"/>
        <v>18.998612541</v>
      </c>
      <c r="P620" s="6">
        <f t="shared" si="117"/>
        <v>19.181869471999999</v>
      </c>
      <c r="Q620" s="6">
        <f t="shared" si="117"/>
        <v>19.362446611000003</v>
      </c>
      <c r="R620" s="6">
        <f t="shared" si="117"/>
        <v>19.542175135999997</v>
      </c>
      <c r="S620" s="6">
        <f t="shared" si="117"/>
        <v>19.721446714000002</v>
      </c>
      <c r="T620" s="6">
        <f t="shared" si="117"/>
        <v>19.899695516000001</v>
      </c>
      <c r="U620" s="6">
        <f t="shared" si="117"/>
        <v>20.076362383000003</v>
      </c>
      <c r="V620" s="6">
        <f t="shared" si="117"/>
        <v>20.251584355000002</v>
      </c>
      <c r="W620" s="6">
        <f t="shared" si="117"/>
        <v>20.416710371000001</v>
      </c>
      <c r="X620" s="6">
        <f t="shared" si="117"/>
        <v>20.586716902999996</v>
      </c>
      <c r="Y620" s="6">
        <f t="shared" si="117"/>
        <v>20.761117047999999</v>
      </c>
      <c r="Z620" s="6">
        <f t="shared" si="117"/>
        <v>20.940424712000002</v>
      </c>
      <c r="AA620" s="6">
        <f t="shared" si="117"/>
        <v>21.12663538</v>
      </c>
      <c r="AB620" s="6">
        <f t="shared" si="117"/>
        <v>21.287835016999999</v>
      </c>
      <c r="AC620" s="6">
        <f t="shared" si="117"/>
        <v>21.461580261000002</v>
      </c>
      <c r="AD620" s="6">
        <f t="shared" si="117"/>
        <v>21.636631047000002</v>
      </c>
      <c r="AE620" s="6">
        <f t="shared" si="117"/>
        <v>21.809518713999999</v>
      </c>
      <c r="AF620" s="6">
        <f t="shared" si="117"/>
        <v>21.982855512999997</v>
      </c>
      <c r="AG620" s="6">
        <f t="shared" si="117"/>
        <v>22.16062209</v>
      </c>
      <c r="AH620" s="6">
        <f t="shared" si="117"/>
        <v>22.345735281</v>
      </c>
      <c r="AI620" s="6">
        <f t="shared" si="117"/>
        <v>22.539107608999998</v>
      </c>
      <c r="AJ620" s="6">
        <f t="shared" si="117"/>
        <v>22.739795631</v>
      </c>
      <c r="AK620" s="6">
        <f t="shared" si="117"/>
        <v>22.945831616</v>
      </c>
      <c r="AL620" s="6">
        <f t="shared" si="117"/>
        <v>23.155235437999998</v>
      </c>
    </row>
    <row r="621" spans="1:38" x14ac:dyDescent="0.3">
      <c r="B621" s="6" t="str">
        <f>[1]Results!E345</f>
        <v>CF_toe_chea_0</v>
      </c>
      <c r="C621" s="6">
        <f>[1]Results!F345</f>
        <v>2.7624646830000001</v>
      </c>
      <c r="D621" s="6">
        <f>[1]Results!G345</f>
        <v>2.7843034169999998</v>
      </c>
      <c r="E621" s="6">
        <f>[1]Results!H345</f>
        <v>2.8016115410000002</v>
      </c>
      <c r="F621" s="6">
        <f>[1]Results!I345</f>
        <v>2.8191399810000002</v>
      </c>
      <c r="G621" s="6">
        <f>[1]Results!J345</f>
        <v>2.8401739130000001</v>
      </c>
      <c r="H621" s="6">
        <f>[1]Results!K345</f>
        <v>2.8673336470000002</v>
      </c>
      <c r="I621" s="6">
        <f>[1]Results!L345</f>
        <v>2.9005056360000001</v>
      </c>
      <c r="J621" s="6">
        <f>[1]Results!M345</f>
        <v>2.9385807509999999</v>
      </c>
      <c r="K621" s="6">
        <f>[1]Results!N345</f>
        <v>2.9796789119999998</v>
      </c>
      <c r="L621" s="6">
        <f>[1]Results!O345</f>
        <v>3.0213413220000001</v>
      </c>
      <c r="M621" s="6">
        <f>[1]Results!P345</f>
        <v>3.0629032669999998</v>
      </c>
      <c r="N621" s="6">
        <f>[1]Results!Q345</f>
        <v>3.104070025</v>
      </c>
      <c r="O621" s="6">
        <f>[1]Results!R345</f>
        <v>3.1432375079999999</v>
      </c>
      <c r="P621" s="6">
        <f>[1]Results!S345</f>
        <v>3.1813739870000002</v>
      </c>
      <c r="Q621" s="6">
        <f>[1]Results!T345</f>
        <v>3.2191113950000001</v>
      </c>
      <c r="R621" s="6">
        <f>[1]Results!U345</f>
        <v>3.2567696100000001</v>
      </c>
      <c r="S621" s="6">
        <f>[1]Results!V345</f>
        <v>3.294417991</v>
      </c>
      <c r="T621" s="6">
        <f>[1]Results!W345</f>
        <v>3.3319846160000002</v>
      </c>
      <c r="U621" s="6">
        <f>[1]Results!X345</f>
        <v>3.3693961570000002</v>
      </c>
      <c r="V621" s="6">
        <f>[1]Results!Y345</f>
        <v>3.4066749930000002</v>
      </c>
      <c r="W621" s="6">
        <f>[1]Results!Z345</f>
        <v>3.4428738879999998</v>
      </c>
      <c r="X621" s="6">
        <f>[1]Results!AA345</f>
        <v>3.4784998329999999</v>
      </c>
      <c r="Y621" s="6">
        <f>[1]Results!AB345</f>
        <v>3.5151617650000002</v>
      </c>
      <c r="Z621" s="6">
        <f>[1]Results!AC345</f>
        <v>3.5529147110000001</v>
      </c>
      <c r="AA621" s="6">
        <f>[1]Results!AD345</f>
        <v>3.5918252979999998</v>
      </c>
      <c r="AB621" s="6">
        <f>[1]Results!AE345</f>
        <v>3.6282691709999999</v>
      </c>
      <c r="AC621" s="6">
        <f>[1]Results!AF345</f>
        <v>3.6627390480000002</v>
      </c>
      <c r="AD621" s="6">
        <f>[1]Results!AG345</f>
        <v>3.697206027</v>
      </c>
      <c r="AE621" s="6">
        <f>[1]Results!AH345</f>
        <v>3.7317158269999999</v>
      </c>
      <c r="AF621" s="6">
        <f>[1]Results!AI345</f>
        <v>3.7665761099999999</v>
      </c>
      <c r="AG621" s="6">
        <f>[1]Results!AJ345</f>
        <v>3.802223541</v>
      </c>
      <c r="AH621" s="6">
        <f>[1]Results!AK345</f>
        <v>3.8389727659999999</v>
      </c>
      <c r="AI621" s="6">
        <f>[1]Results!AL345</f>
        <v>3.876895669</v>
      </c>
      <c r="AJ621" s="6">
        <f>[1]Results!AM345</f>
        <v>3.915838463</v>
      </c>
      <c r="AK621" s="6">
        <f>[1]Results!AN345</f>
        <v>3.9555289820000001</v>
      </c>
      <c r="AL621" s="6">
        <f>[1]Results!AO345</f>
        <v>3.9957064020000002</v>
      </c>
    </row>
    <row r="622" spans="1:38" x14ac:dyDescent="0.3">
      <c r="B622" s="6" t="str">
        <f>[1]Results!E347</f>
        <v>CF_toe_cbio_0</v>
      </c>
      <c r="C622" s="6">
        <f>[1]Results!F347</f>
        <v>8.0993422390000003</v>
      </c>
      <c r="D622" s="6">
        <f>[1]Results!G347</f>
        <v>8.1152645509999992</v>
      </c>
      <c r="E622" s="6">
        <f>[1]Results!H347</f>
        <v>8.107284538</v>
      </c>
      <c r="F622" s="6">
        <f>[1]Results!I347</f>
        <v>8.095267733</v>
      </c>
      <c r="G622" s="6">
        <f>[1]Results!J347</f>
        <v>8.0874274410000009</v>
      </c>
      <c r="H622" s="6">
        <f>[1]Results!K347</f>
        <v>8.0870769889999998</v>
      </c>
      <c r="I622" s="6">
        <f>[1]Results!L347</f>
        <v>8.0909718670000004</v>
      </c>
      <c r="J622" s="6">
        <f>[1]Results!M347</f>
        <v>8.1000040080000009</v>
      </c>
      <c r="K622" s="6">
        <f>[1]Results!N347</f>
        <v>8.1121155720000004</v>
      </c>
      <c r="L622" s="6">
        <f>[1]Results!O347</f>
        <v>8.1250515679999999</v>
      </c>
      <c r="M622" s="6">
        <f>[1]Results!P347</f>
        <v>8.1424081089999998</v>
      </c>
      <c r="N622" s="6">
        <f>[1]Results!Q347</f>
        <v>8.1565304469999997</v>
      </c>
      <c r="O622" s="6">
        <f>[1]Results!R347</f>
        <v>8.1694608689999999</v>
      </c>
      <c r="P622" s="6">
        <f>[1]Results!S347</f>
        <v>8.1822269359999993</v>
      </c>
      <c r="Q622" s="6">
        <f>[1]Results!T347</f>
        <v>8.1949286620000006</v>
      </c>
      <c r="R622" s="6">
        <f>[1]Results!U347</f>
        <v>8.2076017619999995</v>
      </c>
      <c r="S622" s="6">
        <f>[1]Results!V347</f>
        <v>8.2203660700000007</v>
      </c>
      <c r="T622" s="6">
        <f>[1]Results!W347</f>
        <v>8.2332801240000002</v>
      </c>
      <c r="U622" s="6">
        <f>[1]Results!X347</f>
        <v>8.246430814</v>
      </c>
      <c r="V622" s="6">
        <f>[1]Results!Y347</f>
        <v>8.2599421310000007</v>
      </c>
      <c r="W622" s="6">
        <f>[1]Results!Z347</f>
        <v>8.2704030819999996</v>
      </c>
      <c r="X622" s="6">
        <f>[1]Results!AA347</f>
        <v>8.2835136649999992</v>
      </c>
      <c r="Y622" s="6">
        <f>[1]Results!AB347</f>
        <v>8.2982917349999994</v>
      </c>
      <c r="Z622" s="6">
        <f>[1]Results!AC347</f>
        <v>8.3142067520000005</v>
      </c>
      <c r="AA622" s="6">
        <f>[1]Results!AD347</f>
        <v>8.3312037720000003</v>
      </c>
      <c r="AB622" s="6">
        <f>[1]Results!AE347</f>
        <v>8.3384288430000009</v>
      </c>
      <c r="AC622" s="6">
        <f>[1]Results!AF347</f>
        <v>8.3486693780000003</v>
      </c>
      <c r="AD622" s="6">
        <f>[1]Results!AG347</f>
        <v>8.360113449</v>
      </c>
      <c r="AE622" s="6">
        <f>[1]Results!AH347</f>
        <v>8.3719766599999996</v>
      </c>
      <c r="AF622" s="6">
        <f>[1]Results!AI347</f>
        <v>8.3844173140000002</v>
      </c>
      <c r="AG622" s="6">
        <f>[1]Results!AJ347</f>
        <v>8.3977382279999997</v>
      </c>
      <c r="AH622" s="6">
        <f>[1]Results!AK347</f>
        <v>8.4121049150000005</v>
      </c>
      <c r="AI622" s="6">
        <f>[1]Results!AL347</f>
        <v>8.4275013399999992</v>
      </c>
      <c r="AJ622" s="6">
        <f>[1]Results!AM347</f>
        <v>8.4437873280000009</v>
      </c>
      <c r="AK622" s="6">
        <f>[1]Results!AN347</f>
        <v>8.4607896539999992</v>
      </c>
      <c r="AL622" s="6">
        <f>[1]Results!AO347</f>
        <v>8.4783800159999991</v>
      </c>
    </row>
    <row r="623" spans="1:38" x14ac:dyDescent="0.3">
      <c r="B623" s="6" t="str">
        <f>[1]Results!E350</f>
        <v>CF_toe_cote_0</v>
      </c>
      <c r="C623" s="6">
        <f>[1]Results!F350</f>
        <v>6.4928850469999997</v>
      </c>
      <c r="D623" s="6">
        <f>[1]Results!G350</f>
        <v>6.5514032139999996</v>
      </c>
      <c r="E623" s="6">
        <f>[1]Results!H350</f>
        <v>6.5882951639999998</v>
      </c>
      <c r="F623" s="6">
        <f>[1]Results!I350</f>
        <v>6.6126271430000001</v>
      </c>
      <c r="G623" s="6">
        <f>[1]Results!J350</f>
        <v>6.6440836829999999</v>
      </c>
      <c r="H623" s="6">
        <f>[1]Results!K350</f>
        <v>6.7036466020000001</v>
      </c>
      <c r="I623" s="6">
        <f>[1]Results!L350</f>
        <v>6.7958011559999996</v>
      </c>
      <c r="J623" s="6">
        <f>[1]Results!M350</f>
        <v>6.9252981550000001</v>
      </c>
      <c r="K623" s="6">
        <f>[1]Results!N350</f>
        <v>7.079585078</v>
      </c>
      <c r="L623" s="6">
        <f>[1]Results!O350</f>
        <v>7.2415603600000003</v>
      </c>
      <c r="M623" s="6">
        <f>[1]Results!P350</f>
        <v>7.4022809719999998</v>
      </c>
      <c r="N623" s="6">
        <f>[1]Results!Q350</f>
        <v>7.5486010859999997</v>
      </c>
      <c r="O623" s="6">
        <f>[1]Results!R350</f>
        <v>7.6859141639999997</v>
      </c>
      <c r="P623" s="6">
        <f>[1]Results!S350</f>
        <v>7.8182685489999999</v>
      </c>
      <c r="Q623" s="6">
        <f>[1]Results!T350</f>
        <v>7.948406554</v>
      </c>
      <c r="R623" s="6">
        <f>[1]Results!U350</f>
        <v>8.0778037640000004</v>
      </c>
      <c r="S623" s="6">
        <f>[1]Results!V350</f>
        <v>8.2066626530000004</v>
      </c>
      <c r="T623" s="6">
        <f>[1]Results!W350</f>
        <v>8.3344307759999996</v>
      </c>
      <c r="U623" s="6">
        <f>[1]Results!X350</f>
        <v>8.4605354120000005</v>
      </c>
      <c r="V623" s="6">
        <f>[1]Results!Y350</f>
        <v>8.5849672310000003</v>
      </c>
      <c r="W623" s="6">
        <f>[1]Results!Z350</f>
        <v>8.7034334009999998</v>
      </c>
      <c r="X623" s="6">
        <f>[1]Results!AA350</f>
        <v>8.8247034049999993</v>
      </c>
      <c r="Y623" s="6">
        <f>[1]Results!AB350</f>
        <v>8.9476635479999995</v>
      </c>
      <c r="Z623" s="6">
        <f>[1]Results!AC350</f>
        <v>9.0733032490000003</v>
      </c>
      <c r="AA623" s="6">
        <f>[1]Results!AD350</f>
        <v>9.2036063099999996</v>
      </c>
      <c r="AB623" s="6">
        <f>[1]Results!AE350</f>
        <v>9.3211370030000005</v>
      </c>
      <c r="AC623" s="6">
        <f>[1]Results!AF350</f>
        <v>9.4501718350000008</v>
      </c>
      <c r="AD623" s="6">
        <f>[1]Results!AG350</f>
        <v>9.5793115709999999</v>
      </c>
      <c r="AE623" s="6">
        <f>[1]Results!AH350</f>
        <v>9.7058262269999993</v>
      </c>
      <c r="AF623" s="6">
        <f>[1]Results!AI350</f>
        <v>9.8318620889999995</v>
      </c>
      <c r="AG623" s="6">
        <f>[1]Results!AJ350</f>
        <v>9.9606603210000006</v>
      </c>
      <c r="AH623" s="6">
        <f>[1]Results!AK350</f>
        <v>10.0946576</v>
      </c>
      <c r="AI623" s="6">
        <f>[1]Results!AL350</f>
        <v>10.2347106</v>
      </c>
      <c r="AJ623" s="6">
        <f>[1]Results!AM350</f>
        <v>10.380169840000001</v>
      </c>
      <c r="AK623" s="6">
        <f>[1]Results!AN350</f>
        <v>10.52951298</v>
      </c>
      <c r="AL623" s="6">
        <f>[1]Results!AO350</f>
        <v>10.681149019999999</v>
      </c>
    </row>
    <row r="625" spans="1:38" x14ac:dyDescent="0.3">
      <c r="C625" s="2">
        <v>42005</v>
      </c>
      <c r="D625" s="2">
        <v>42370</v>
      </c>
      <c r="E625" s="2">
        <v>42736</v>
      </c>
      <c r="F625" s="2">
        <v>43101</v>
      </c>
      <c r="G625" s="2">
        <v>43466</v>
      </c>
      <c r="H625" s="2">
        <v>43831</v>
      </c>
      <c r="I625" s="2">
        <v>44197</v>
      </c>
      <c r="J625" s="2">
        <v>44562</v>
      </c>
      <c r="K625" s="2">
        <v>44927</v>
      </c>
      <c r="L625" s="2">
        <v>45292</v>
      </c>
      <c r="M625" s="2">
        <v>45658</v>
      </c>
      <c r="N625" s="2">
        <v>46023</v>
      </c>
      <c r="O625" s="2">
        <v>46388</v>
      </c>
      <c r="P625" s="2">
        <v>46753</v>
      </c>
      <c r="Q625" s="2">
        <v>47119</v>
      </c>
      <c r="R625" s="2">
        <v>47484</v>
      </c>
      <c r="S625" s="2">
        <v>47849</v>
      </c>
      <c r="T625" s="2">
        <v>48214</v>
      </c>
      <c r="U625" s="2">
        <v>48580</v>
      </c>
      <c r="V625" s="2">
        <v>48945</v>
      </c>
      <c r="W625" s="2">
        <v>49310</v>
      </c>
      <c r="X625" s="2">
        <v>49675</v>
      </c>
      <c r="Y625" s="2">
        <v>50041</v>
      </c>
      <c r="Z625" s="2">
        <v>50406</v>
      </c>
      <c r="AA625" s="2">
        <v>50771</v>
      </c>
      <c r="AB625" s="2">
        <v>51136</v>
      </c>
      <c r="AC625" s="2">
        <v>51502</v>
      </c>
      <c r="AD625" s="2">
        <v>51867</v>
      </c>
      <c r="AE625" s="2">
        <v>52232</v>
      </c>
      <c r="AF625" s="2">
        <v>52597</v>
      </c>
      <c r="AG625" s="2">
        <v>52963</v>
      </c>
      <c r="AH625" s="2">
        <v>53328</v>
      </c>
      <c r="AI625" s="2">
        <v>53693</v>
      </c>
      <c r="AJ625" s="2">
        <v>54058</v>
      </c>
      <c r="AK625" s="2">
        <v>54424</v>
      </c>
      <c r="AL625" s="2">
        <v>54789</v>
      </c>
    </row>
    <row r="626" spans="1:38" x14ac:dyDescent="0.3">
      <c r="A626" s="12" t="s">
        <v>67</v>
      </c>
      <c r="B626" t="s">
        <v>51</v>
      </c>
      <c r="C626" s="4">
        <f>C599/C612-1</f>
        <v>0</v>
      </c>
      <c r="D626" s="4">
        <f t="shared" ref="D626:AL626" si="118">D599/D612-1</f>
        <v>0</v>
      </c>
      <c r="E626" s="4">
        <f t="shared" si="118"/>
        <v>0</v>
      </c>
      <c r="F626" s="4">
        <f t="shared" si="118"/>
        <v>0</v>
      </c>
      <c r="G626" s="4">
        <f t="shared" si="118"/>
        <v>0</v>
      </c>
      <c r="H626" s="4">
        <f t="shared" si="118"/>
        <v>0</v>
      </c>
      <c r="I626" s="4">
        <f t="shared" si="118"/>
        <v>1.0623811738642797E-2</v>
      </c>
      <c r="J626" s="4">
        <f t="shared" si="118"/>
        <v>1.2528705902756787E-2</v>
      </c>
      <c r="K626" s="4">
        <f t="shared" si="118"/>
        <v>1.0640013639689361E-2</v>
      </c>
      <c r="L626" s="4">
        <f t="shared" si="118"/>
        <v>5.8973429809232591E-3</v>
      </c>
      <c r="M626" s="4">
        <f t="shared" si="118"/>
        <v>-5.1063808069962136E-4</v>
      </c>
      <c r="N626" s="4">
        <f t="shared" si="118"/>
        <v>-7.0414691398242857E-3</v>
      </c>
      <c r="O626" s="4">
        <f t="shared" si="118"/>
        <v>-1.2536731688460478E-2</v>
      </c>
      <c r="P626" s="4">
        <f t="shared" si="118"/>
        <v>-1.6309977704377143E-2</v>
      </c>
      <c r="Q626" s="4">
        <f t="shared" si="118"/>
        <v>-1.8248873702431667E-2</v>
      </c>
      <c r="R626" s="4">
        <f t="shared" si="118"/>
        <v>-1.870581032003038E-2</v>
      </c>
      <c r="S626" s="4">
        <f t="shared" si="118"/>
        <v>-1.8291160280438756E-2</v>
      </c>
      <c r="T626" s="4">
        <f t="shared" si="118"/>
        <v>-1.7574640529966712E-2</v>
      </c>
      <c r="U626" s="4">
        <f t="shared" si="118"/>
        <v>-1.6934082726085542E-2</v>
      </c>
      <c r="V626" s="4">
        <f t="shared" si="118"/>
        <v>-1.6516040928666542E-2</v>
      </c>
      <c r="W626" s="4">
        <f t="shared" si="118"/>
        <v>-1.6303999875863506E-2</v>
      </c>
      <c r="X626" s="4">
        <f t="shared" si="118"/>
        <v>-1.6146275739044258E-2</v>
      </c>
      <c r="Y626" s="4">
        <f t="shared" si="118"/>
        <v>-1.5949119877190943E-2</v>
      </c>
      <c r="Z626" s="4">
        <f t="shared" si="118"/>
        <v>-1.5667384579021504E-2</v>
      </c>
      <c r="AA626" s="4">
        <f t="shared" si="118"/>
        <v>-1.5318849094363873E-2</v>
      </c>
      <c r="AB626" s="4">
        <f t="shared" si="118"/>
        <v>-1.4992024269919968E-2</v>
      </c>
      <c r="AC626" s="4">
        <f t="shared" si="118"/>
        <v>-1.4702062166917607E-2</v>
      </c>
      <c r="AD626" s="4">
        <f t="shared" si="118"/>
        <v>-1.4493661501086885E-2</v>
      </c>
      <c r="AE626" s="4">
        <f t="shared" si="118"/>
        <v>-1.4364210962044988E-2</v>
      </c>
      <c r="AF626" s="4">
        <f t="shared" si="118"/>
        <v>-1.4290072475077298E-2</v>
      </c>
      <c r="AG626" s="4">
        <f t="shared" si="118"/>
        <v>-1.4237831940471124E-2</v>
      </c>
      <c r="AH626" s="4">
        <f t="shared" si="118"/>
        <v>-1.4178695054991364E-2</v>
      </c>
      <c r="AI626" s="4">
        <f t="shared" si="118"/>
        <v>-1.409813597226095E-2</v>
      </c>
      <c r="AJ626" s="4">
        <f t="shared" si="118"/>
        <v>-1.3997966781197024E-2</v>
      </c>
      <c r="AK626" s="4">
        <f t="shared" si="118"/>
        <v>-1.3888361593740517E-2</v>
      </c>
      <c r="AL626" s="4">
        <f t="shared" si="118"/>
        <v>-1.3782070504253952E-2</v>
      </c>
    </row>
    <row r="627" spans="1:38" x14ac:dyDescent="0.3">
      <c r="A627" t="s">
        <v>62</v>
      </c>
      <c r="B627" t="s">
        <v>50</v>
      </c>
      <c r="C627" s="4">
        <f>(C600-C613)/C$612</f>
        <v>0</v>
      </c>
      <c r="D627" s="4">
        <f t="shared" ref="D627:AL627" si="119">(D600-D613)/D$612</f>
        <v>0</v>
      </c>
      <c r="E627" s="4">
        <f t="shared" si="119"/>
        <v>0</v>
      </c>
      <c r="F627" s="4">
        <f t="shared" si="119"/>
        <v>0</v>
      </c>
      <c r="G627" s="4">
        <f t="shared" si="119"/>
        <v>0</v>
      </c>
      <c r="H627" s="4">
        <f t="shared" si="119"/>
        <v>0</v>
      </c>
      <c r="I627" s="4">
        <f t="shared" si="119"/>
        <v>6.6379360862328974E-5</v>
      </c>
      <c r="J627" s="4">
        <f t="shared" si="119"/>
        <v>-1.6709265778791434E-4</v>
      </c>
      <c r="K627" s="4">
        <f t="shared" si="119"/>
        <v>-4.8366285329262318E-4</v>
      </c>
      <c r="L627" s="4">
        <f t="shared" si="119"/>
        <v>-7.9892925029788201E-4</v>
      </c>
      <c r="M627" s="4">
        <f t="shared" si="119"/>
        <v>-1.0589161636411521E-3</v>
      </c>
      <c r="N627" s="4">
        <f t="shared" si="119"/>
        <v>-1.2323464246761324E-3</v>
      </c>
      <c r="O627" s="4">
        <f t="shared" si="119"/>
        <v>-1.313878401180861E-3</v>
      </c>
      <c r="P627" s="4">
        <f t="shared" si="119"/>
        <v>-1.320259381816321E-3</v>
      </c>
      <c r="Q627" s="4">
        <f t="shared" si="119"/>
        <v>-1.2807362709857299E-3</v>
      </c>
      <c r="R627" s="4">
        <f t="shared" si="119"/>
        <v>-1.2239209183143606E-3</v>
      </c>
      <c r="S627" s="4">
        <f t="shared" si="119"/>
        <v>-1.1711296945793926E-3</v>
      </c>
      <c r="T627" s="4">
        <f t="shared" si="119"/>
        <v>-1.133672325843889E-3</v>
      </c>
      <c r="U627" s="4">
        <f t="shared" si="119"/>
        <v>-1.1127206892433091E-3</v>
      </c>
      <c r="V627" s="4">
        <f t="shared" si="119"/>
        <v>-1.1028075781283632E-3</v>
      </c>
      <c r="W627" s="4">
        <f t="shared" si="119"/>
        <v>-1.0964144726557446E-3</v>
      </c>
      <c r="X627" s="4">
        <f t="shared" si="119"/>
        <v>-1.0887575265670047E-3</v>
      </c>
      <c r="Y627" s="4">
        <f t="shared" si="119"/>
        <v>-1.0774834646491225E-3</v>
      </c>
      <c r="Z627" s="4">
        <f t="shared" si="119"/>
        <v>-1.0637802146150478E-3</v>
      </c>
      <c r="AA627" s="4">
        <f t="shared" si="119"/>
        <v>-1.0502984570188883E-3</v>
      </c>
      <c r="AB627" s="4">
        <f t="shared" si="119"/>
        <v>-1.0388230109550224E-3</v>
      </c>
      <c r="AC627" s="4">
        <f t="shared" si="119"/>
        <v>-1.0314632079956006E-3</v>
      </c>
      <c r="AD627" s="4">
        <f t="shared" si="119"/>
        <v>-1.0272954025402137E-3</v>
      </c>
      <c r="AE627" s="4">
        <f t="shared" si="119"/>
        <v>-1.0249806504776067E-3</v>
      </c>
      <c r="AF627" s="4">
        <f t="shared" si="119"/>
        <v>-1.0231811284300092E-3</v>
      </c>
      <c r="AG627" s="4">
        <f t="shared" si="119"/>
        <v>-1.0210054670204039E-3</v>
      </c>
      <c r="AH627" s="4">
        <f t="shared" si="119"/>
        <v>-1.0182150281790171E-3</v>
      </c>
      <c r="AI627" s="4">
        <f t="shared" si="119"/>
        <v>-1.0151215506537534E-3</v>
      </c>
      <c r="AJ627" s="4">
        <f t="shared" si="119"/>
        <v>-1.0122959374019227E-3</v>
      </c>
      <c r="AK627" s="4">
        <f t="shared" si="119"/>
        <v>-1.0102247789695387E-3</v>
      </c>
      <c r="AL627" s="4">
        <f t="shared" si="119"/>
        <v>-1.0091019358468231E-3</v>
      </c>
    </row>
    <row r="628" spans="1:38" x14ac:dyDescent="0.3">
      <c r="B628" t="s">
        <v>48</v>
      </c>
      <c r="C628" s="4">
        <f>(C601-C614)/C$612</f>
        <v>0</v>
      </c>
      <c r="D628" s="4">
        <f t="shared" ref="D628:AL628" si="120">(D601-D614)/D$612</f>
        <v>0</v>
      </c>
      <c r="E628" s="4">
        <f t="shared" si="120"/>
        <v>0</v>
      </c>
      <c r="F628" s="4">
        <f t="shared" si="120"/>
        <v>0</v>
      </c>
      <c r="G628" s="4">
        <f t="shared" si="120"/>
        <v>0</v>
      </c>
      <c r="H628" s="4">
        <f t="shared" si="120"/>
        <v>0</v>
      </c>
      <c r="I628" s="4">
        <f t="shared" si="120"/>
        <v>3.2818415348036369E-3</v>
      </c>
      <c r="J628" s="4">
        <f t="shared" si="120"/>
        <v>4.0189331493694583E-3</v>
      </c>
      <c r="K628" s="4">
        <f t="shared" si="120"/>
        <v>3.9083228929292432E-3</v>
      </c>
      <c r="L628" s="4">
        <f t="shared" si="120"/>
        <v>3.1920520207293687E-3</v>
      </c>
      <c r="M628" s="4">
        <f t="shared" si="120"/>
        <v>2.0931584635585721E-3</v>
      </c>
      <c r="N628" s="4">
        <f t="shared" si="120"/>
        <v>8.982654571823641E-4</v>
      </c>
      <c r="O628" s="4">
        <f t="shared" si="120"/>
        <v>-1.7284724743565943E-4</v>
      </c>
      <c r="P628" s="4">
        <f t="shared" si="120"/>
        <v>-9.7413047655924435E-4</v>
      </c>
      <c r="Q628" s="4">
        <f t="shared" si="120"/>
        <v>-1.4630342398914108E-3</v>
      </c>
      <c r="R628" s="4">
        <f t="shared" si="120"/>
        <v>-1.6834389823067973E-3</v>
      </c>
      <c r="S628" s="4">
        <f t="shared" si="120"/>
        <v>-1.7313386941480761E-3</v>
      </c>
      <c r="T628" s="4">
        <f t="shared" si="120"/>
        <v>-1.7023859315673541E-3</v>
      </c>
      <c r="U628" s="4">
        <f t="shared" si="120"/>
        <v>-1.6640181717562843E-3</v>
      </c>
      <c r="V628" s="4">
        <f t="shared" si="120"/>
        <v>-1.6451092590448984E-3</v>
      </c>
      <c r="W628" s="4">
        <f t="shared" si="120"/>
        <v>-1.6452812068432825E-3</v>
      </c>
      <c r="X628" s="4">
        <f t="shared" si="120"/>
        <v>-1.6379943994331366E-3</v>
      </c>
      <c r="Y628" s="4">
        <f t="shared" si="120"/>
        <v>-1.6062743208899986E-3</v>
      </c>
      <c r="Z628" s="4">
        <f t="shared" si="120"/>
        <v>-1.5414214162891837E-3</v>
      </c>
      <c r="AA628" s="4">
        <f t="shared" si="120"/>
        <v>-1.4467070555255999E-3</v>
      </c>
      <c r="AB628" s="4">
        <f t="shared" si="120"/>
        <v>-1.3382121291575491E-3</v>
      </c>
      <c r="AC628" s="4">
        <f t="shared" si="120"/>
        <v>-1.2209643956088644E-3</v>
      </c>
      <c r="AD628" s="4">
        <f t="shared" si="120"/>
        <v>-1.103826472379547E-3</v>
      </c>
      <c r="AE628" s="4">
        <f t="shared" si="120"/>
        <v>-9.8850980227956401E-4</v>
      </c>
      <c r="AF628" s="4">
        <f t="shared" si="120"/>
        <v>-8.7324732723156515E-4</v>
      </c>
      <c r="AG628" s="4">
        <f t="shared" si="120"/>
        <v>-7.5390185113961014E-4</v>
      </c>
      <c r="AH628" s="4">
        <f t="shared" si="120"/>
        <v>-6.2626554844928098E-4</v>
      </c>
      <c r="AI628" s="4">
        <f t="shared" si="120"/>
        <v>-4.885917764361617E-4</v>
      </c>
      <c r="AJ628" s="4">
        <f t="shared" si="120"/>
        <v>-3.4147180651572853E-4</v>
      </c>
      <c r="AK628" s="4">
        <f t="shared" si="120"/>
        <v>-1.8671608792118863E-4</v>
      </c>
      <c r="AL628" s="4">
        <f t="shared" si="120"/>
        <v>-2.6282785457751839E-5</v>
      </c>
    </row>
    <row r="629" spans="1:38" x14ac:dyDescent="0.3">
      <c r="B629" t="s">
        <v>81</v>
      </c>
      <c r="C629" s="4">
        <f>(C605-C618)/C$612</f>
        <v>0</v>
      </c>
      <c r="D629" s="4">
        <f t="shared" ref="D629:AL629" si="121">(D605-D618)/D$612</f>
        <v>0</v>
      </c>
      <c r="E629" s="4">
        <f t="shared" si="121"/>
        <v>0</v>
      </c>
      <c r="F629" s="4">
        <f t="shared" si="121"/>
        <v>0</v>
      </c>
      <c r="G629" s="4">
        <f t="shared" si="121"/>
        <v>0</v>
      </c>
      <c r="H629" s="4">
        <f t="shared" si="121"/>
        <v>0</v>
      </c>
      <c r="I629" s="4">
        <f t="shared" si="121"/>
        <v>2.1106208970288406E-3</v>
      </c>
      <c r="J629" s="4">
        <f t="shared" si="121"/>
        <v>2.5852098705758139E-3</v>
      </c>
      <c r="K629" s="4">
        <f t="shared" si="121"/>
        <v>2.223133288974815E-3</v>
      </c>
      <c r="L629" s="4">
        <f t="shared" si="121"/>
        <v>1.1875057005772134E-3</v>
      </c>
      <c r="M629" s="4">
        <f t="shared" si="121"/>
        <v>-2.5163288981239104E-4</v>
      </c>
      <c r="N629" s="4">
        <f t="shared" si="121"/>
        <v>-1.7413713015927488E-3</v>
      </c>
      <c r="O629" s="4">
        <f t="shared" si="121"/>
        <v>-3.0039526861174431E-3</v>
      </c>
      <c r="P629" s="4">
        <f t="shared" si="121"/>
        <v>-3.8700745526599532E-3</v>
      </c>
      <c r="Q629" s="4">
        <f t="shared" si="121"/>
        <v>-4.3026227046962162E-3</v>
      </c>
      <c r="R629" s="4">
        <f t="shared" si="121"/>
        <v>-4.3811390173662127E-3</v>
      </c>
      <c r="S629" s="4">
        <f t="shared" si="121"/>
        <v>-4.2488784680538546E-3</v>
      </c>
      <c r="T629" s="4">
        <f t="shared" si="121"/>
        <v>-4.0424742755536215E-3</v>
      </c>
      <c r="U629" s="4">
        <f t="shared" si="121"/>
        <v>-3.8525649035900666E-3</v>
      </c>
      <c r="V629" s="4">
        <f t="shared" si="121"/>
        <v>-3.7157467170974641E-3</v>
      </c>
      <c r="W629" s="4">
        <f t="shared" si="121"/>
        <v>-3.6307813365689017E-3</v>
      </c>
      <c r="X629" s="4">
        <f t="shared" si="121"/>
        <v>-3.566838342024258E-3</v>
      </c>
      <c r="Y629" s="4">
        <f t="shared" si="121"/>
        <v>-3.5029060650029918E-3</v>
      </c>
      <c r="Z629" s="4">
        <f t="shared" si="121"/>
        <v>-3.4271880943447654E-3</v>
      </c>
      <c r="AA629" s="4">
        <f t="shared" si="121"/>
        <v>-3.3423285494268489E-3</v>
      </c>
      <c r="AB629" s="4">
        <f t="shared" si="121"/>
        <v>-3.2661532214207359E-3</v>
      </c>
      <c r="AC629" s="4">
        <f t="shared" si="121"/>
        <v>-3.2021009964653233E-3</v>
      </c>
      <c r="AD629" s="4">
        <f t="shared" si="121"/>
        <v>-3.1605979650523456E-3</v>
      </c>
      <c r="AE629" s="4">
        <f t="shared" si="121"/>
        <v>-3.1413192818502997E-3</v>
      </c>
      <c r="AF629" s="4">
        <f t="shared" si="121"/>
        <v>-3.1381534761377714E-3</v>
      </c>
      <c r="AG629" s="4">
        <f t="shared" si="121"/>
        <v>-3.142823448825174E-3</v>
      </c>
      <c r="AH629" s="4">
        <f t="shared" si="121"/>
        <v>-3.1481354273509223E-3</v>
      </c>
      <c r="AI629" s="4">
        <f t="shared" si="121"/>
        <v>-3.1500152158840445E-3</v>
      </c>
      <c r="AJ629" s="4">
        <f t="shared" si="121"/>
        <v>-3.1479147822835903E-3</v>
      </c>
      <c r="AK629" s="4">
        <f t="shared" si="121"/>
        <v>-3.1438477421390078E-3</v>
      </c>
      <c r="AL629" s="4">
        <f t="shared" si="121"/>
        <v>-3.1407386666425399E-3</v>
      </c>
    </row>
    <row r="630" spans="1:38" x14ac:dyDescent="0.3">
      <c r="B630" t="s">
        <v>11</v>
      </c>
      <c r="C630" s="4">
        <f>(C606-C619)/C$612</f>
        <v>0</v>
      </c>
      <c r="D630" s="4">
        <f t="shared" ref="D630:AL630" si="122">(D606-D619)/D$612</f>
        <v>0</v>
      </c>
      <c r="E630" s="4">
        <f t="shared" si="122"/>
        <v>0</v>
      </c>
      <c r="F630" s="4">
        <f t="shared" si="122"/>
        <v>0</v>
      </c>
      <c r="G630" s="4">
        <f t="shared" si="122"/>
        <v>0</v>
      </c>
      <c r="H630" s="4">
        <f t="shared" si="122"/>
        <v>0</v>
      </c>
      <c r="I630" s="4">
        <f t="shared" si="122"/>
        <v>3.5860676727211549E-3</v>
      </c>
      <c r="J630" s="4">
        <f t="shared" si="122"/>
        <v>4.1916515507262478E-3</v>
      </c>
      <c r="K630" s="4">
        <f t="shared" si="122"/>
        <v>3.349578029465514E-3</v>
      </c>
      <c r="L630" s="4">
        <f t="shared" si="122"/>
        <v>1.4086508890194152E-3</v>
      </c>
      <c r="M630" s="4">
        <f t="shared" si="122"/>
        <v>-1.1580593746425324E-3</v>
      </c>
      <c r="N630" s="4">
        <f t="shared" si="122"/>
        <v>-3.7296851478036998E-3</v>
      </c>
      <c r="O630" s="4">
        <f t="shared" si="122"/>
        <v>-5.8515876443939073E-3</v>
      </c>
      <c r="P630" s="4">
        <f t="shared" si="122"/>
        <v>-7.2648175575803437E-3</v>
      </c>
      <c r="Q630" s="4">
        <f t="shared" si="122"/>
        <v>-7.9396755616650671E-3</v>
      </c>
      <c r="R630" s="4">
        <f t="shared" si="122"/>
        <v>-8.029689905548627E-3</v>
      </c>
      <c r="S630" s="4">
        <f t="shared" si="122"/>
        <v>-7.791875328848407E-3</v>
      </c>
      <c r="T630" s="4">
        <f t="shared" si="122"/>
        <v>-7.4565084832209499E-3</v>
      </c>
      <c r="U630" s="4">
        <f t="shared" si="122"/>
        <v>-7.172991581956778E-3</v>
      </c>
      <c r="V630" s="4">
        <f t="shared" si="122"/>
        <v>-6.9960791051289998E-3</v>
      </c>
      <c r="W630" s="4">
        <f t="shared" si="122"/>
        <v>-6.9147010407220044E-3</v>
      </c>
      <c r="X630" s="4">
        <f t="shared" si="122"/>
        <v>-6.8642218030843761E-3</v>
      </c>
      <c r="Y630" s="4">
        <f t="shared" si="122"/>
        <v>-6.8056405122372751E-3</v>
      </c>
      <c r="Z630" s="4">
        <f t="shared" si="122"/>
        <v>-6.7215280863612238E-3</v>
      </c>
      <c r="AA630" s="4">
        <f t="shared" si="122"/>
        <v>-6.6190880914563125E-3</v>
      </c>
      <c r="AB630" s="4">
        <f t="shared" si="122"/>
        <v>-6.5349570354749087E-3</v>
      </c>
      <c r="AC630" s="4">
        <f t="shared" si="122"/>
        <v>-6.474460277924453E-3</v>
      </c>
      <c r="AD630" s="4">
        <f t="shared" si="122"/>
        <v>-6.4547586229954552E-3</v>
      </c>
      <c r="AE630" s="4">
        <f t="shared" si="122"/>
        <v>-6.4730181899097829E-3</v>
      </c>
      <c r="AF630" s="4">
        <f t="shared" si="122"/>
        <v>-6.5191064430073584E-3</v>
      </c>
      <c r="AG630" s="4">
        <f t="shared" si="122"/>
        <v>-6.5788699365630816E-3</v>
      </c>
      <c r="AH630" s="4">
        <f t="shared" si="122"/>
        <v>-6.6403165022814493E-3</v>
      </c>
      <c r="AI630" s="4">
        <f t="shared" si="122"/>
        <v>-6.6972682150371948E-3</v>
      </c>
      <c r="AJ630" s="4">
        <f t="shared" si="122"/>
        <v>-6.7511289088426968E-3</v>
      </c>
      <c r="AK630" s="4">
        <f t="shared" si="122"/>
        <v>-6.806062101752379E-3</v>
      </c>
      <c r="AL630" s="4">
        <f t="shared" si="122"/>
        <v>-6.8673362428513596E-3</v>
      </c>
    </row>
    <row r="631" spans="1:38" x14ac:dyDescent="0.3">
      <c r="B631" t="s">
        <v>49</v>
      </c>
      <c r="C631" s="4">
        <f>(C607-C620)/C$612</f>
        <v>0</v>
      </c>
      <c r="D631" s="4">
        <f t="shared" ref="D631:AL631" si="123">(D607-D620)/D$612</f>
        <v>0</v>
      </c>
      <c r="E631" s="4">
        <f t="shared" si="123"/>
        <v>0</v>
      </c>
      <c r="F631" s="4">
        <f t="shared" si="123"/>
        <v>0</v>
      </c>
      <c r="G631" s="4">
        <f t="shared" si="123"/>
        <v>0</v>
      </c>
      <c r="H631" s="4">
        <f t="shared" si="123"/>
        <v>0</v>
      </c>
      <c r="I631" s="4">
        <f t="shared" si="123"/>
        <v>1.5789025509163634E-3</v>
      </c>
      <c r="J631" s="4">
        <f t="shared" si="123"/>
        <v>1.9000038683184635E-3</v>
      </c>
      <c r="K631" s="4">
        <f t="shared" si="123"/>
        <v>1.6426423955529532E-3</v>
      </c>
      <c r="L631" s="4">
        <f t="shared" si="123"/>
        <v>9.0806362089515123E-4</v>
      </c>
      <c r="M631" s="4">
        <f t="shared" si="123"/>
        <v>-1.3518801092140246E-4</v>
      </c>
      <c r="N631" s="4">
        <f t="shared" si="123"/>
        <v>-1.2363319864211232E-3</v>
      </c>
      <c r="O631" s="4">
        <f t="shared" si="123"/>
        <v>-2.1944654848153932E-3</v>
      </c>
      <c r="P631" s="4">
        <f t="shared" si="123"/>
        <v>-2.8806957117201116E-3</v>
      </c>
      <c r="Q631" s="4">
        <f t="shared" si="123"/>
        <v>-3.2628048001619452E-3</v>
      </c>
      <c r="R631" s="4">
        <f t="shared" si="123"/>
        <v>-3.3876217914160706E-3</v>
      </c>
      <c r="S631" s="4">
        <f t="shared" si="123"/>
        <v>-3.3479380129942467E-3</v>
      </c>
      <c r="T631" s="4">
        <f t="shared" si="123"/>
        <v>-3.2395997280250822E-3</v>
      </c>
      <c r="U631" s="4">
        <f t="shared" si="123"/>
        <v>-3.131787752506316E-3</v>
      </c>
      <c r="V631" s="4">
        <f t="shared" si="123"/>
        <v>-3.0562981782813223E-3</v>
      </c>
      <c r="W631" s="4">
        <f t="shared" si="123"/>
        <v>-3.0168220164486807E-3</v>
      </c>
      <c r="X631" s="4">
        <f t="shared" si="123"/>
        <v>-2.9884635281791109E-3</v>
      </c>
      <c r="Y631" s="4">
        <f t="shared" si="123"/>
        <v>-2.9568156972672628E-3</v>
      </c>
      <c r="Z631" s="4">
        <f t="shared" si="123"/>
        <v>-2.9134667729031759E-3</v>
      </c>
      <c r="AA631" s="4">
        <f t="shared" si="123"/>
        <v>-2.8604269082832521E-3</v>
      </c>
      <c r="AB631" s="4">
        <f t="shared" si="123"/>
        <v>-2.8138788513065011E-3</v>
      </c>
      <c r="AC631" s="4">
        <f t="shared" si="123"/>
        <v>-2.7730731871498807E-3</v>
      </c>
      <c r="AD631" s="4">
        <f t="shared" si="123"/>
        <v>-2.7471828628273512E-3</v>
      </c>
      <c r="AE631" s="4">
        <f t="shared" si="123"/>
        <v>-2.7363830375278634E-3</v>
      </c>
      <c r="AF631" s="4">
        <f t="shared" si="123"/>
        <v>-2.7363837083652647E-3</v>
      </c>
      <c r="AG631" s="4">
        <f t="shared" si="123"/>
        <v>-2.7412314701287382E-3</v>
      </c>
      <c r="AH631" s="4">
        <f t="shared" si="123"/>
        <v>-2.7457624305393421E-3</v>
      </c>
      <c r="AI631" s="4">
        <f t="shared" si="123"/>
        <v>-2.7471395708667107E-3</v>
      </c>
      <c r="AJ631" s="4">
        <f t="shared" si="123"/>
        <v>-2.7451552603049855E-3</v>
      </c>
      <c r="AK631" s="4">
        <f t="shared" si="123"/>
        <v>-2.7415109480256926E-3</v>
      </c>
      <c r="AL631" s="4">
        <f t="shared" si="123"/>
        <v>-2.7386108139272258E-3</v>
      </c>
    </row>
    <row r="633" spans="1:38" x14ac:dyDescent="0.3">
      <c r="A633" s="12" t="s">
        <v>68</v>
      </c>
      <c r="B633" s="3" t="str">
        <f>[1]Results!E205</f>
        <v>YG_toe_2</v>
      </c>
      <c r="C633" s="3">
        <f>[1]Results!F205</f>
        <v>142.11554810000001</v>
      </c>
      <c r="D633" s="3">
        <f>[1]Results!G205</f>
        <v>144.95668660000001</v>
      </c>
      <c r="E633" s="3">
        <f>[1]Results!H205</f>
        <v>147.1024171</v>
      </c>
      <c r="F633" s="3">
        <f>[1]Results!I205</f>
        <v>148.9867888</v>
      </c>
      <c r="G633" s="3">
        <f>[1]Results!J205</f>
        <v>150.84384990000001</v>
      </c>
      <c r="H633" s="3">
        <f>[1]Results!K205</f>
        <v>152.81956629999999</v>
      </c>
      <c r="I633" s="3">
        <f>[1]Results!L205</f>
        <v>156.115015</v>
      </c>
      <c r="J633" s="3">
        <f>[1]Results!M205</f>
        <v>158.47250360000001</v>
      </c>
      <c r="K633" s="3">
        <f>[1]Results!N205</f>
        <v>160.42475020000001</v>
      </c>
      <c r="L633" s="3">
        <f>[1]Results!O205</f>
        <v>161.99650389999999</v>
      </c>
      <c r="M633" s="3">
        <f>[1]Results!P205</f>
        <v>163.39539669999999</v>
      </c>
      <c r="N633" s="3">
        <f>[1]Results!Q205</f>
        <v>164.6126821</v>
      </c>
      <c r="O633" s="3">
        <f>[1]Results!R205</f>
        <v>165.8911114</v>
      </c>
      <c r="P633" s="3">
        <f>[1]Results!S205</f>
        <v>167.3507324</v>
      </c>
      <c r="Q633" s="3">
        <f>[1]Results!T205</f>
        <v>169.02514389999999</v>
      </c>
      <c r="R633" s="3">
        <f>[1]Results!U205</f>
        <v>170.87957539999999</v>
      </c>
      <c r="S633" s="3">
        <f>[1]Results!V205</f>
        <v>172.83803349999999</v>
      </c>
      <c r="T633" s="3">
        <f>[1]Results!W205</f>
        <v>174.82604789999999</v>
      </c>
      <c r="U633" s="3">
        <f>[1]Results!X205</f>
        <v>176.7950448</v>
      </c>
      <c r="V633" s="3">
        <f>[1]Results!Y205</f>
        <v>178.73078649999999</v>
      </c>
      <c r="W633" s="3">
        <f>[1]Results!Z205</f>
        <v>180.5476476</v>
      </c>
      <c r="X633" s="3">
        <f>[1]Results!AA205</f>
        <v>182.43471719999999</v>
      </c>
      <c r="Y633" s="3">
        <f>[1]Results!AB205</f>
        <v>184.36185979999999</v>
      </c>
      <c r="Z633" s="3">
        <f>[1]Results!AC205</f>
        <v>186.34132310000001</v>
      </c>
      <c r="AA633" s="3">
        <f>[1]Results!AD205</f>
        <v>188.37870140000001</v>
      </c>
      <c r="AB633" s="3">
        <f>[1]Results!AE205</f>
        <v>190.16224750000001</v>
      </c>
      <c r="AC633" s="3">
        <f>[1]Results!AF205</f>
        <v>192.06134370000001</v>
      </c>
      <c r="AD633" s="3">
        <f>[1]Results!AG205</f>
        <v>193.9583767</v>
      </c>
      <c r="AE633" s="3">
        <f>[1]Results!AH205</f>
        <v>195.84903180000001</v>
      </c>
      <c r="AF633" s="3">
        <f>[1]Results!AI205</f>
        <v>197.75201770000001</v>
      </c>
      <c r="AG633" s="3">
        <f>[1]Results!AJ205</f>
        <v>199.6906141</v>
      </c>
      <c r="AH633" s="3">
        <f>[1]Results!AK205</f>
        <v>201.68102569999999</v>
      </c>
      <c r="AI633" s="3">
        <f>[1]Results!AL205</f>
        <v>203.72769389999999</v>
      </c>
      <c r="AJ633" s="3">
        <f>[1]Results!AM205</f>
        <v>205.82434029999999</v>
      </c>
      <c r="AK633" s="3">
        <f>[1]Results!AN205</f>
        <v>207.9596253</v>
      </c>
      <c r="AL633" s="3">
        <f>[1]Results!AO205</f>
        <v>210.12285840000001</v>
      </c>
    </row>
    <row r="634" spans="1:38" x14ac:dyDescent="0.3">
      <c r="A634" t="s">
        <v>27</v>
      </c>
      <c r="B634" s="3" t="str">
        <f>[1]Results!E206</f>
        <v>YG_toe_ccoa_2</v>
      </c>
      <c r="C634" s="3">
        <f>[1]Results!F206</f>
        <v>2.258438698</v>
      </c>
      <c r="D634" s="3">
        <f>[1]Results!G206</f>
        <v>1.6403650430000001</v>
      </c>
      <c r="E634" s="3">
        <f>[1]Results!H206</f>
        <v>1.127676369</v>
      </c>
      <c r="F634" s="3">
        <f>[1]Results!I206</f>
        <v>0.71262856939999997</v>
      </c>
      <c r="G634" s="3">
        <f>[1]Results!J206</f>
        <v>0.37780183000000001</v>
      </c>
      <c r="H634" s="3">
        <f>[1]Results!K206</f>
        <v>0.107022664</v>
      </c>
      <c r="I634" s="3">
        <f>[1]Results!L206</f>
        <v>-9.6262503700000002E-2</v>
      </c>
      <c r="J634" s="3">
        <f>[1]Results!M206</f>
        <v>-0.25818777040000002</v>
      </c>
      <c r="K634" s="3">
        <f>[1]Results!N206</f>
        <v>-0.39048634180000003</v>
      </c>
      <c r="L634" s="3">
        <f>[1]Results!O206</f>
        <v>-0.50120233839999995</v>
      </c>
      <c r="M634" s="3">
        <f>[1]Results!P206</f>
        <v>-0.60368286930000004</v>
      </c>
      <c r="N634" s="3">
        <f>[1]Results!Q206</f>
        <v>-0.68542120039999999</v>
      </c>
      <c r="O634" s="3">
        <f>[1]Results!R206</f>
        <v>-0.75726089230000004</v>
      </c>
      <c r="P634" s="3">
        <f>[1]Results!S206</f>
        <v>-0.82127457000000004</v>
      </c>
      <c r="Q634" s="3">
        <f>[1]Results!T206</f>
        <v>-0.87758957189999998</v>
      </c>
      <c r="R634" s="3">
        <f>[1]Results!U206</f>
        <v>-0.92652526690000003</v>
      </c>
      <c r="S634" s="3">
        <f>[1]Results!V206</f>
        <v>-0.96897934350000003</v>
      </c>
      <c r="T634" s="3">
        <f>[1]Results!W206</f>
        <v>-1.0062915290000001</v>
      </c>
      <c r="U634" s="3">
        <f>[1]Results!X206</f>
        <v>-1.0399403199999999</v>
      </c>
      <c r="V634" s="3">
        <f>[1]Results!Y206</f>
        <v>-1.071232516</v>
      </c>
      <c r="W634" s="3">
        <f>[1]Results!Z206</f>
        <v>-1.0959308640000001</v>
      </c>
      <c r="X634" s="3">
        <f>[1]Results!AA206</f>
        <v>-1.1260453180000001</v>
      </c>
      <c r="Y634" s="3">
        <f>[1]Results!AB206</f>
        <v>-1.155968544</v>
      </c>
      <c r="Z634" s="3">
        <f>[1]Results!AC206</f>
        <v>-1.184750658</v>
      </c>
      <c r="AA634" s="3">
        <f>[1]Results!AD206</f>
        <v>-1.2125629149999999</v>
      </c>
      <c r="AB634" s="3">
        <f>[1]Results!AE206</f>
        <v>-1.2245224400000001</v>
      </c>
      <c r="AC634" s="3">
        <f>[1]Results!AF206</f>
        <v>-1.2480788199999999</v>
      </c>
      <c r="AD634" s="3">
        <f>[1]Results!AG206</f>
        <v>-1.2739357899999999</v>
      </c>
      <c r="AE634" s="3">
        <f>[1]Results!AH206</f>
        <v>-1.2999522130000001</v>
      </c>
      <c r="AF634" s="3">
        <f>[1]Results!AI206</f>
        <v>-1.3260503729999999</v>
      </c>
      <c r="AG634" s="3">
        <f>[1]Results!AJ206</f>
        <v>-1.352321409</v>
      </c>
      <c r="AH634" s="3">
        <f>[1]Results!AK206</f>
        <v>-1.3787316140000001</v>
      </c>
      <c r="AI634" s="3">
        <f>[1]Results!AL206</f>
        <v>-1.405195017</v>
      </c>
      <c r="AJ634" s="3">
        <f>[1]Results!AM206</f>
        <v>-1.4316682940000001</v>
      </c>
      <c r="AK634" s="3">
        <f>[1]Results!AN206</f>
        <v>-1.458191158</v>
      </c>
      <c r="AL634" s="3">
        <f>[1]Results!AO206</f>
        <v>-1.4848716900000001</v>
      </c>
    </row>
    <row r="635" spans="1:38" x14ac:dyDescent="0.3">
      <c r="B635" s="3" t="s">
        <v>48</v>
      </c>
      <c r="C635" s="3">
        <f>SUM(C636:C638)</f>
        <v>60.623223767999995</v>
      </c>
      <c r="D635" s="3">
        <f t="shared" ref="D635:AL635" si="124">SUM(D636:D638)</f>
        <v>61.873900846799998</v>
      </c>
      <c r="E635" s="3">
        <f t="shared" si="124"/>
        <v>62.927283986200003</v>
      </c>
      <c r="F635" s="3">
        <f t="shared" si="124"/>
        <v>63.883618316300002</v>
      </c>
      <c r="G635" s="3">
        <f t="shared" si="124"/>
        <v>64.812923609799995</v>
      </c>
      <c r="H635" s="3">
        <f t="shared" si="124"/>
        <v>65.756482329500002</v>
      </c>
      <c r="I635" s="3">
        <f t="shared" si="124"/>
        <v>67.025402144099999</v>
      </c>
      <c r="J635" s="3">
        <f t="shared" si="124"/>
        <v>68.066504290400005</v>
      </c>
      <c r="K635" s="3">
        <f t="shared" si="124"/>
        <v>69.030258359399994</v>
      </c>
      <c r="L635" s="3">
        <f t="shared" si="124"/>
        <v>69.924328559900005</v>
      </c>
      <c r="M635" s="3">
        <f t="shared" si="124"/>
        <v>70.837874474799989</v>
      </c>
      <c r="N635" s="3">
        <f t="shared" si="124"/>
        <v>71.652486380799999</v>
      </c>
      <c r="O635" s="3">
        <f t="shared" si="124"/>
        <v>72.472374481299994</v>
      </c>
      <c r="P635" s="3">
        <f t="shared" si="124"/>
        <v>73.322178276300008</v>
      </c>
      <c r="Q635" s="3">
        <f t="shared" si="124"/>
        <v>74.210580376299987</v>
      </c>
      <c r="R635" s="3">
        <f t="shared" si="124"/>
        <v>75.134530146100005</v>
      </c>
      <c r="S635" s="3">
        <f t="shared" si="124"/>
        <v>76.083491601700004</v>
      </c>
      <c r="T635" s="3">
        <f t="shared" si="124"/>
        <v>77.045648434200004</v>
      </c>
      <c r="U635" s="3">
        <f t="shared" si="124"/>
        <v>78.012281725199998</v>
      </c>
      <c r="V635" s="3">
        <f t="shared" si="124"/>
        <v>78.980003182800004</v>
      </c>
      <c r="W635" s="3">
        <f t="shared" si="124"/>
        <v>79.891073120599998</v>
      </c>
      <c r="X635" s="3">
        <f t="shared" si="124"/>
        <v>80.863173773499994</v>
      </c>
      <c r="Y635" s="3">
        <f t="shared" si="124"/>
        <v>81.847919795199999</v>
      </c>
      <c r="Z635" s="3">
        <f t="shared" si="124"/>
        <v>82.847371906500001</v>
      </c>
      <c r="AA635" s="3">
        <f t="shared" si="124"/>
        <v>83.864214442999995</v>
      </c>
      <c r="AB635" s="3">
        <f t="shared" si="124"/>
        <v>84.7220621986</v>
      </c>
      <c r="AC635" s="3">
        <f t="shared" si="124"/>
        <v>85.679634437700003</v>
      </c>
      <c r="AD635" s="3">
        <f t="shared" si="124"/>
        <v>86.645013255799995</v>
      </c>
      <c r="AE635" s="3">
        <f t="shared" si="124"/>
        <v>87.613721440299997</v>
      </c>
      <c r="AF635" s="3">
        <f t="shared" si="124"/>
        <v>88.589218281599997</v>
      </c>
      <c r="AG635" s="3">
        <f t="shared" si="124"/>
        <v>89.576287222900007</v>
      </c>
      <c r="AH635" s="3">
        <f t="shared" si="124"/>
        <v>90.578591825400011</v>
      </c>
      <c r="AI635" s="3">
        <f t="shared" si="124"/>
        <v>91.597698756399993</v>
      </c>
      <c r="AJ635" s="3">
        <f t="shared" si="124"/>
        <v>92.633228221399989</v>
      </c>
      <c r="AK635" s="3">
        <f t="shared" si="124"/>
        <v>93.683680904799985</v>
      </c>
      <c r="AL635" s="3">
        <f t="shared" si="124"/>
        <v>94.747413111399993</v>
      </c>
    </row>
    <row r="636" spans="1:38" x14ac:dyDescent="0.3">
      <c r="B636" s="3" t="str">
        <f>[1]Results!E209</f>
        <v>YG_toe_ccoi_2</v>
      </c>
      <c r="C636" s="3">
        <f>[1]Results!F209</f>
        <v>1.2014640089999999</v>
      </c>
      <c r="D636" s="3">
        <f>[1]Results!G209</f>
        <v>0.96355642880000003</v>
      </c>
      <c r="E636" s="3">
        <f>[1]Results!H209</f>
        <v>0.77322868119999999</v>
      </c>
      <c r="F636" s="3">
        <f>[1]Results!I209</f>
        <v>0.62097772529999995</v>
      </c>
      <c r="G636" s="3">
        <f>[1]Results!J209</f>
        <v>0.49920051580000002</v>
      </c>
      <c r="H636" s="3">
        <f>[1]Results!K209</f>
        <v>0.40181043350000001</v>
      </c>
      <c r="I636" s="3">
        <f>[1]Results!L209</f>
        <v>0.3239906581</v>
      </c>
      <c r="J636" s="3">
        <f>[1]Results!M209</f>
        <v>0.26174917339999998</v>
      </c>
      <c r="K636" s="3">
        <f>[1]Results!N209</f>
        <v>0.21197333439999999</v>
      </c>
      <c r="L636" s="3">
        <f>[1]Results!O209</f>
        <v>0.1721668979</v>
      </c>
      <c r="M636" s="3">
        <f>[1]Results!P209</f>
        <v>0.14034410980000001</v>
      </c>
      <c r="N636" s="3">
        <f>[1]Results!Q209</f>
        <v>0.11490059480000001</v>
      </c>
      <c r="O636" s="3">
        <f>[1]Results!R209</f>
        <v>9.45699183E-2</v>
      </c>
      <c r="P636" s="3">
        <f>[1]Results!S209</f>
        <v>7.8335646300000006E-2</v>
      </c>
      <c r="Q636" s="3">
        <f>[1]Results!T209</f>
        <v>6.5381290300000006E-2</v>
      </c>
      <c r="R636" s="3">
        <f>[1]Results!U209</f>
        <v>5.5051683099999998E-2</v>
      </c>
      <c r="S636" s="3">
        <f>[1]Results!V209</f>
        <v>4.6821170699999998E-2</v>
      </c>
      <c r="T636" s="3">
        <f>[1]Results!W209</f>
        <v>4.0268388199999998E-2</v>
      </c>
      <c r="U636" s="3">
        <f>[1]Results!X209</f>
        <v>3.5056180200000002E-2</v>
      </c>
      <c r="V636" s="3">
        <f>[1]Results!Y209</f>
        <v>3.09155318E-2</v>
      </c>
      <c r="W636" s="3">
        <f>[1]Results!Z209</f>
        <v>2.7625219600000001E-2</v>
      </c>
      <c r="X636" s="3">
        <f>[1]Results!AA209</f>
        <v>2.5026225499999999E-2</v>
      </c>
      <c r="Y636" s="3">
        <f>[1]Results!AB209</f>
        <v>2.2979113200000002E-2</v>
      </c>
      <c r="Z636" s="3">
        <f>[1]Results!AC209</f>
        <v>2.13736985E-2</v>
      </c>
      <c r="AA636" s="3">
        <f>[1]Results!AD209</f>
        <v>2.0122534000000001E-2</v>
      </c>
      <c r="AB636" s="3">
        <f>[1]Results!AE209</f>
        <v>1.91339606E-2</v>
      </c>
      <c r="AC636" s="3">
        <f>[1]Results!AF209</f>
        <v>1.8377814700000002E-2</v>
      </c>
      <c r="AD636" s="3">
        <f>[1]Results!AG209</f>
        <v>1.7803669800000001E-2</v>
      </c>
      <c r="AE636" s="3">
        <f>[1]Results!AH209</f>
        <v>1.73732963E-2</v>
      </c>
      <c r="AF636" s="3">
        <f>[1]Results!AI209</f>
        <v>1.7058420599999999E-2</v>
      </c>
      <c r="AG636" s="3">
        <f>[1]Results!AJ209</f>
        <v>1.6837086899999999E-2</v>
      </c>
      <c r="AH636" s="3">
        <f>[1]Results!AK209</f>
        <v>1.6691736400000001E-2</v>
      </c>
      <c r="AI636" s="3">
        <f>[1]Results!AL209</f>
        <v>1.6608008399999999E-2</v>
      </c>
      <c r="AJ636" s="3">
        <f>[1]Results!AM209</f>
        <v>1.6574028399999999E-2</v>
      </c>
      <c r="AK636" s="3">
        <f>[1]Results!AN209</f>
        <v>1.6580005799999999E-2</v>
      </c>
      <c r="AL636" s="3">
        <f>[1]Results!AO209</f>
        <v>1.6617990400000001E-2</v>
      </c>
    </row>
    <row r="637" spans="1:38" x14ac:dyDescent="0.3">
      <c r="B637" s="3" t="str">
        <f>[1]Results!E212</f>
        <v>YG_toe_cfut_2</v>
      </c>
      <c r="C637" s="3">
        <f>[1]Results!F212</f>
        <v>54.406557329999998</v>
      </c>
      <c r="D637" s="3">
        <f>[1]Results!G212</f>
        <v>55.990435140000002</v>
      </c>
      <c r="E637" s="3">
        <f>[1]Results!H212</f>
        <v>57.324036960000001</v>
      </c>
      <c r="F637" s="3">
        <f>[1]Results!I212</f>
        <v>58.511681580000001</v>
      </c>
      <c r="G637" s="3">
        <f>[1]Results!J212</f>
        <v>59.626734200000001</v>
      </c>
      <c r="H637" s="3">
        <f>[1]Results!K212</f>
        <v>60.713749370000002</v>
      </c>
      <c r="I637" s="3">
        <f>[1]Results!L212</f>
        <v>62.039150720000002</v>
      </c>
      <c r="J637" s="3">
        <f>[1]Results!M212</f>
        <v>63.140472320000001</v>
      </c>
      <c r="K637" s="3">
        <f>[1]Results!N212</f>
        <v>64.15662777</v>
      </c>
      <c r="L637" s="3">
        <f>[1]Results!O212</f>
        <v>65.098937980000002</v>
      </c>
      <c r="M637" s="3">
        <f>[1]Results!P212</f>
        <v>66.054023689999994</v>
      </c>
      <c r="N637" s="3">
        <f>[1]Results!Q212</f>
        <v>66.909743309999996</v>
      </c>
      <c r="O637" s="3">
        <f>[1]Results!R212</f>
        <v>67.763118750000004</v>
      </c>
      <c r="P637" s="3">
        <f>[1]Results!S212</f>
        <v>68.635751170000006</v>
      </c>
      <c r="Q637" s="3">
        <f>[1]Results!T212</f>
        <v>69.535474649999998</v>
      </c>
      <c r="R637" s="3">
        <f>[1]Results!U212</f>
        <v>70.460423259999999</v>
      </c>
      <c r="S637" s="3">
        <f>[1]Results!V212</f>
        <v>71.402934819999999</v>
      </c>
      <c r="T637" s="3">
        <f>[1]Results!W212</f>
        <v>72.354155489999997</v>
      </c>
      <c r="U637" s="3">
        <f>[1]Results!X212</f>
        <v>73.307755610000001</v>
      </c>
      <c r="V637" s="3">
        <f>[1]Results!Y212</f>
        <v>74.26176538</v>
      </c>
      <c r="W637" s="3">
        <f>[1]Results!Z212</f>
        <v>75.162048769999998</v>
      </c>
      <c r="X637" s="3">
        <f>[1]Results!AA212</f>
        <v>76.12012532</v>
      </c>
      <c r="Y637" s="3">
        <f>[1]Results!AB212</f>
        <v>77.089923940000006</v>
      </c>
      <c r="Z637" s="3">
        <f>[1]Results!AC212</f>
        <v>78.073279790000001</v>
      </c>
      <c r="AA637" s="3">
        <f>[1]Results!AD212</f>
        <v>79.07257577</v>
      </c>
      <c r="AB637" s="3">
        <f>[1]Results!AE212</f>
        <v>79.920946639999997</v>
      </c>
      <c r="AC637" s="3">
        <f>[1]Results!AF212</f>
        <v>80.863112970000003</v>
      </c>
      <c r="AD637" s="3">
        <f>[1]Results!AG212</f>
        <v>81.812816609999999</v>
      </c>
      <c r="AE637" s="3">
        <f>[1]Results!AH212</f>
        <v>82.766210130000005</v>
      </c>
      <c r="AF637" s="3">
        <f>[1]Results!AI212</f>
        <v>83.726448270000006</v>
      </c>
      <c r="AG637" s="3">
        <f>[1]Results!AJ212</f>
        <v>84.697756100000007</v>
      </c>
      <c r="AH637" s="3">
        <f>[1]Results!AK212</f>
        <v>85.683307420000006</v>
      </c>
      <c r="AI637" s="3">
        <f>[1]Results!AL212</f>
        <v>86.684489709999994</v>
      </c>
      <c r="AJ637" s="3">
        <f>[1]Results!AM212</f>
        <v>87.701037869999993</v>
      </c>
      <c r="AK637" s="3">
        <f>[1]Results!AN212</f>
        <v>88.731731389999993</v>
      </c>
      <c r="AL637" s="3">
        <f>[1]Results!AO212</f>
        <v>89.775235730000006</v>
      </c>
    </row>
    <row r="638" spans="1:38" x14ac:dyDescent="0.3">
      <c r="B638" s="3" t="str">
        <f>[1]Results!E215</f>
        <v>YG_toe_cfuh_2</v>
      </c>
      <c r="C638" s="3">
        <f>[1]Results!F215</f>
        <v>5.0152024290000004</v>
      </c>
      <c r="D638" s="3">
        <f>[1]Results!G215</f>
        <v>4.9199092780000004</v>
      </c>
      <c r="E638" s="3">
        <f>[1]Results!H215</f>
        <v>4.830018345</v>
      </c>
      <c r="F638" s="3">
        <f>[1]Results!I215</f>
        <v>4.750959011</v>
      </c>
      <c r="G638" s="3">
        <f>[1]Results!J215</f>
        <v>4.6869888939999997</v>
      </c>
      <c r="H638" s="3">
        <f>[1]Results!K215</f>
        <v>4.6409225259999998</v>
      </c>
      <c r="I638" s="3">
        <f>[1]Results!L215</f>
        <v>4.6622607660000002</v>
      </c>
      <c r="J638" s="3">
        <f>[1]Results!M215</f>
        <v>4.6642827970000003</v>
      </c>
      <c r="K638" s="3">
        <f>[1]Results!N215</f>
        <v>4.6616572549999997</v>
      </c>
      <c r="L638" s="3">
        <f>[1]Results!O215</f>
        <v>4.6532236820000001</v>
      </c>
      <c r="M638" s="3">
        <f>[1]Results!P215</f>
        <v>4.6435066750000003</v>
      </c>
      <c r="N638" s="3">
        <f>[1]Results!Q215</f>
        <v>4.6278424759999996</v>
      </c>
      <c r="O638" s="3">
        <f>[1]Results!R215</f>
        <v>4.6146858130000004</v>
      </c>
      <c r="P638" s="3">
        <f>[1]Results!S215</f>
        <v>4.6080914599999998</v>
      </c>
      <c r="Q638" s="3">
        <f>[1]Results!T215</f>
        <v>4.6097244359999996</v>
      </c>
      <c r="R638" s="3">
        <f>[1]Results!U215</f>
        <v>4.6190552030000003</v>
      </c>
      <c r="S638" s="3">
        <f>[1]Results!V215</f>
        <v>4.6337356109999996</v>
      </c>
      <c r="T638" s="3">
        <f>[1]Results!W215</f>
        <v>4.6512245559999998</v>
      </c>
      <c r="U638" s="3">
        <f>[1]Results!X215</f>
        <v>4.6694699350000004</v>
      </c>
      <c r="V638" s="3">
        <f>[1]Results!Y215</f>
        <v>4.6873222710000002</v>
      </c>
      <c r="W638" s="3">
        <f>[1]Results!Z215</f>
        <v>4.7013991309999996</v>
      </c>
      <c r="X638" s="3">
        <f>[1]Results!AA215</f>
        <v>4.7180222279999997</v>
      </c>
      <c r="Y638" s="3">
        <f>[1]Results!AB215</f>
        <v>4.735016742</v>
      </c>
      <c r="Z638" s="3">
        <f>[1]Results!AC215</f>
        <v>4.7527184179999997</v>
      </c>
      <c r="AA638" s="3">
        <f>[1]Results!AD215</f>
        <v>4.771516139</v>
      </c>
      <c r="AB638" s="3">
        <f>[1]Results!AE215</f>
        <v>4.7819815979999998</v>
      </c>
      <c r="AC638" s="3">
        <f>[1]Results!AF215</f>
        <v>4.7981436530000003</v>
      </c>
      <c r="AD638" s="3">
        <f>[1]Results!AG215</f>
        <v>4.8143929759999997</v>
      </c>
      <c r="AE638" s="3">
        <f>[1]Results!AH215</f>
        <v>4.8301380140000001</v>
      </c>
      <c r="AF638" s="3">
        <f>[1]Results!AI215</f>
        <v>4.8457115909999997</v>
      </c>
      <c r="AG638" s="3">
        <f>[1]Results!AJ215</f>
        <v>4.8616940360000003</v>
      </c>
      <c r="AH638" s="3">
        <f>[1]Results!AK215</f>
        <v>4.8785926689999997</v>
      </c>
      <c r="AI638" s="3">
        <f>[1]Results!AL215</f>
        <v>4.896601038</v>
      </c>
      <c r="AJ638" s="3">
        <f>[1]Results!AM215</f>
        <v>4.9156163230000001</v>
      </c>
      <c r="AK638" s="3">
        <f>[1]Results!AN215</f>
        <v>4.935369509</v>
      </c>
      <c r="AL638" s="3">
        <f>[1]Results!AO215</f>
        <v>4.9555593910000004</v>
      </c>
    </row>
    <row r="639" spans="1:38" x14ac:dyDescent="0.3">
      <c r="B639" s="3" t="str">
        <f>[1]Results!E217</f>
        <v>YG_toe_cgas_2</v>
      </c>
      <c r="C639" s="3">
        <f>[1]Results!F217</f>
        <v>2.4446408150000001</v>
      </c>
      <c r="D639" s="3">
        <f>[1]Results!G217</f>
        <v>4.3483940480000003</v>
      </c>
      <c r="E639" s="3">
        <f>[1]Results!H217</f>
        <v>5.7526324439999996</v>
      </c>
      <c r="F639" s="3">
        <f>[1]Results!I217</f>
        <v>6.8742791829999996</v>
      </c>
      <c r="G639" s="3">
        <f>[1]Results!J217</f>
        <v>7.7948839689999998</v>
      </c>
      <c r="H639" s="3">
        <f>[1]Results!K217</f>
        <v>8.5676773419999996</v>
      </c>
      <c r="I639" s="3">
        <f>[1]Results!L217</f>
        <v>9.3810646559999995</v>
      </c>
      <c r="J639" s="3">
        <f>[1]Results!M217</f>
        <v>9.9672143179999999</v>
      </c>
      <c r="K639" s="3">
        <f>[1]Results!N217</f>
        <v>10.43495034</v>
      </c>
      <c r="L639" s="3">
        <f>[1]Results!O217</f>
        <v>10.7912493</v>
      </c>
      <c r="M639" s="3">
        <f>[1]Results!P217</f>
        <v>11.05670052</v>
      </c>
      <c r="N639" s="3">
        <f>[1]Results!Q217</f>
        <v>11.26957384</v>
      </c>
      <c r="O639" s="3">
        <f>[1]Results!R217</f>
        <v>11.449639980000001</v>
      </c>
      <c r="P639" s="3">
        <f>[1]Results!S217</f>
        <v>11.617545209999999</v>
      </c>
      <c r="Q639" s="3">
        <f>[1]Results!T217</f>
        <v>11.78416517</v>
      </c>
      <c r="R639" s="3">
        <f>[1]Results!U217</f>
        <v>11.951479600000001</v>
      </c>
      <c r="S639" s="3">
        <f>[1]Results!V217</f>
        <v>12.115464279999999</v>
      </c>
      <c r="T639" s="3">
        <f>[1]Results!W217</f>
        <v>12.27092796</v>
      </c>
      <c r="U639" s="3">
        <f>[1]Results!X217</f>
        <v>12.41480977</v>
      </c>
      <c r="V639" s="3">
        <f>[1]Results!Y217</f>
        <v>12.547222489999999</v>
      </c>
      <c r="W639" s="3">
        <f>[1]Results!Z217</f>
        <v>12.66915897</v>
      </c>
      <c r="X639" s="3">
        <f>[1]Results!AA217</f>
        <v>12.78220205</v>
      </c>
      <c r="Y639" s="3">
        <f>[1]Results!AB217</f>
        <v>12.894219359999999</v>
      </c>
      <c r="Z639" s="3">
        <f>[1]Results!AC217</f>
        <v>13.007895599999999</v>
      </c>
      <c r="AA639" s="3">
        <f>[1]Results!AD217</f>
        <v>13.124211669999999</v>
      </c>
      <c r="AB639" s="3">
        <f>[1]Results!AE217</f>
        <v>13.23652717</v>
      </c>
      <c r="AC639" s="3">
        <f>[1]Results!AF217</f>
        <v>13.33945621</v>
      </c>
      <c r="AD639" s="3">
        <f>[1]Results!AG217</f>
        <v>13.43678158</v>
      </c>
      <c r="AE639" s="3">
        <f>[1]Results!AH217</f>
        <v>13.530645659999999</v>
      </c>
      <c r="AF639" s="3">
        <f>[1]Results!AI217</f>
        <v>13.623773870000001</v>
      </c>
      <c r="AG639" s="3">
        <f>[1]Results!AJ217</f>
        <v>13.71884195</v>
      </c>
      <c r="AH639" s="3">
        <f>[1]Results!AK217</f>
        <v>13.81766605</v>
      </c>
      <c r="AI639" s="3">
        <f>[1]Results!AL217</f>
        <v>13.920777340000001</v>
      </c>
      <c r="AJ639" s="3">
        <f>[1]Results!AM217</f>
        <v>14.02753352</v>
      </c>
      <c r="AK639" s="3">
        <f>[1]Results!AN217</f>
        <v>14.13668137</v>
      </c>
      <c r="AL639" s="3">
        <f>[1]Results!AO217</f>
        <v>14.247003469999999</v>
      </c>
    </row>
    <row r="640" spans="1:38" x14ac:dyDescent="0.3">
      <c r="B640" s="3" t="str">
        <f>[1]Results!E223</f>
        <v>YG_toe_cele_2</v>
      </c>
      <c r="C640" s="3">
        <f>[1]Results!F223</f>
        <v>49.422621919999997</v>
      </c>
      <c r="D640" s="3">
        <f>[1]Results!G223</f>
        <v>49.876907989999999</v>
      </c>
      <c r="E640" s="3">
        <f>[1]Results!H223</f>
        <v>50.195983159999997</v>
      </c>
      <c r="F640" s="3">
        <f>[1]Results!I223</f>
        <v>50.48931735</v>
      </c>
      <c r="G640" s="3">
        <f>[1]Results!J223</f>
        <v>50.841016779999997</v>
      </c>
      <c r="H640" s="3">
        <f>[1]Results!K223</f>
        <v>51.307993660000001</v>
      </c>
      <c r="I640" s="3">
        <f>[1]Results!L223</f>
        <v>52.437435929999999</v>
      </c>
      <c r="J640" s="3">
        <f>[1]Results!M223</f>
        <v>53.132168929999999</v>
      </c>
      <c r="K640" s="3">
        <f>[1]Results!N223</f>
        <v>53.614875329999997</v>
      </c>
      <c r="L640" s="3">
        <f>[1]Results!O223</f>
        <v>53.906811050000002</v>
      </c>
      <c r="M640" s="3">
        <f>[1]Results!P223</f>
        <v>54.089113759999996</v>
      </c>
      <c r="N640" s="3">
        <f>[1]Results!Q223</f>
        <v>54.239592459999997</v>
      </c>
      <c r="O640" s="3">
        <f>[1]Results!R223</f>
        <v>54.450584730000003</v>
      </c>
      <c r="P640" s="3">
        <f>[1]Results!S223</f>
        <v>54.780117859999997</v>
      </c>
      <c r="Q640" s="3">
        <f>[1]Results!T223</f>
        <v>55.237581480000003</v>
      </c>
      <c r="R640" s="3">
        <f>[1]Results!U223</f>
        <v>55.79536015</v>
      </c>
      <c r="S640" s="3">
        <f>[1]Results!V223</f>
        <v>56.405237890000002</v>
      </c>
      <c r="T640" s="3">
        <f>[1]Results!W223</f>
        <v>57.023950419999998</v>
      </c>
      <c r="U640" s="3">
        <f>[1]Results!X223</f>
        <v>57.625135970000002</v>
      </c>
      <c r="V640" s="3">
        <f>[1]Results!Y223</f>
        <v>58.202669389999997</v>
      </c>
      <c r="W640" s="3">
        <f>[1]Results!Z223</f>
        <v>58.741796299999997</v>
      </c>
      <c r="X640" s="3">
        <f>[1]Results!AA223</f>
        <v>59.288601649999997</v>
      </c>
      <c r="Y640" s="3">
        <f>[1]Results!AB223</f>
        <v>59.854657420000002</v>
      </c>
      <c r="Z640" s="3">
        <f>[1]Results!AC223</f>
        <v>60.446223959999998</v>
      </c>
      <c r="AA640" s="3">
        <f>[1]Results!AD223</f>
        <v>61.064855340000001</v>
      </c>
      <c r="AB640" s="3">
        <f>[1]Results!AE223</f>
        <v>61.627041259999999</v>
      </c>
      <c r="AC640" s="3">
        <f>[1]Results!AF223</f>
        <v>62.203025799999999</v>
      </c>
      <c r="AD640" s="3">
        <f>[1]Results!AG223</f>
        <v>62.774009309999997</v>
      </c>
      <c r="AE640" s="3">
        <f>[1]Results!AH223</f>
        <v>63.339129229999998</v>
      </c>
      <c r="AF640" s="3">
        <f>[1]Results!AI223</f>
        <v>63.908615740000002</v>
      </c>
      <c r="AG640" s="3">
        <f>[1]Results!AJ223</f>
        <v>64.494833420000006</v>
      </c>
      <c r="AH640" s="3">
        <f>[1]Results!AK223</f>
        <v>65.105823670000007</v>
      </c>
      <c r="AI640" s="3">
        <f>[1]Results!AL223</f>
        <v>65.742967350000001</v>
      </c>
      <c r="AJ640" s="3">
        <f>[1]Results!AM223</f>
        <v>66.401758650000005</v>
      </c>
      <c r="AK640" s="3">
        <f>[1]Results!AN223</f>
        <v>67.075350799999995</v>
      </c>
      <c r="AL640" s="3">
        <f>[1]Results!AO223</f>
        <v>67.757746209999993</v>
      </c>
    </row>
    <row r="641" spans="1:38" x14ac:dyDescent="0.3">
      <c r="B641" s="3" t="s">
        <v>49</v>
      </c>
      <c r="C641" s="3">
        <f>SUM(C642:C644)</f>
        <v>27.366622892000002</v>
      </c>
      <c r="D641" s="3">
        <f t="shared" ref="D641:AL641" si="125">SUM(D642:D644)</f>
        <v>27.217118671000001</v>
      </c>
      <c r="E641" s="3">
        <f t="shared" si="125"/>
        <v>27.098841185000001</v>
      </c>
      <c r="F641" s="3">
        <f t="shared" si="125"/>
        <v>27.026945398999999</v>
      </c>
      <c r="G641" s="3">
        <f t="shared" si="125"/>
        <v>27.017223712</v>
      </c>
      <c r="H641" s="3">
        <f t="shared" si="125"/>
        <v>27.080390303999998</v>
      </c>
      <c r="I641" s="3">
        <f t="shared" si="125"/>
        <v>27.367374816999998</v>
      </c>
      <c r="J641" s="3">
        <f t="shared" si="125"/>
        <v>27.564803857000001</v>
      </c>
      <c r="K641" s="3">
        <f t="shared" si="125"/>
        <v>27.735152505000002</v>
      </c>
      <c r="L641" s="3">
        <f t="shared" si="125"/>
        <v>27.875317338999999</v>
      </c>
      <c r="M641" s="3">
        <f t="shared" si="125"/>
        <v>28.015390781000001</v>
      </c>
      <c r="N641" s="3">
        <f t="shared" si="125"/>
        <v>28.136450658999998</v>
      </c>
      <c r="O641" s="3">
        <f t="shared" si="125"/>
        <v>28.275773101999999</v>
      </c>
      <c r="P641" s="3">
        <f t="shared" si="125"/>
        <v>28.452165614000002</v>
      </c>
      <c r="Q641" s="3">
        <f t="shared" si="125"/>
        <v>28.670406446999998</v>
      </c>
      <c r="R641" s="3">
        <f t="shared" si="125"/>
        <v>28.924730814</v>
      </c>
      <c r="S641" s="3">
        <f t="shared" si="125"/>
        <v>29.202819025</v>
      </c>
      <c r="T641" s="3">
        <f t="shared" si="125"/>
        <v>29.491812593999999</v>
      </c>
      <c r="U641" s="3">
        <f t="shared" si="125"/>
        <v>29.782757627000002</v>
      </c>
      <c r="V641" s="3">
        <f t="shared" si="125"/>
        <v>30.072123983000001</v>
      </c>
      <c r="W641" s="3">
        <f t="shared" si="125"/>
        <v>30.341550071</v>
      </c>
      <c r="X641" s="3">
        <f t="shared" si="125"/>
        <v>30.626785034999997</v>
      </c>
      <c r="Y641" s="3">
        <f t="shared" si="125"/>
        <v>30.921031759000002</v>
      </c>
      <c r="Z641" s="3">
        <f t="shared" si="125"/>
        <v>31.224582294000001</v>
      </c>
      <c r="AA641" s="3">
        <f t="shared" si="125"/>
        <v>31.537982868</v>
      </c>
      <c r="AB641" s="3">
        <f t="shared" si="125"/>
        <v>31.801139358</v>
      </c>
      <c r="AC641" s="3">
        <f t="shared" si="125"/>
        <v>32.087306077000001</v>
      </c>
      <c r="AD641" s="3">
        <f t="shared" si="125"/>
        <v>32.376508346999998</v>
      </c>
      <c r="AE641" s="3">
        <f t="shared" si="125"/>
        <v>32.665487708000001</v>
      </c>
      <c r="AF641" s="3">
        <f t="shared" si="125"/>
        <v>32.956460172</v>
      </c>
      <c r="AG641" s="3">
        <f t="shared" si="125"/>
        <v>33.252972942</v>
      </c>
      <c r="AH641" s="3">
        <f t="shared" si="125"/>
        <v>33.557675799000002</v>
      </c>
      <c r="AI641" s="3">
        <f t="shared" si="125"/>
        <v>33.871445434000002</v>
      </c>
      <c r="AJ641" s="3">
        <f t="shared" si="125"/>
        <v>34.193488230999996</v>
      </c>
      <c r="AK641" s="3">
        <f t="shared" si="125"/>
        <v>34.522103384999994</v>
      </c>
      <c r="AL641" s="3">
        <f t="shared" si="125"/>
        <v>34.855567284000003</v>
      </c>
    </row>
    <row r="642" spans="1:38" x14ac:dyDescent="0.3">
      <c r="B642" s="3" t="str">
        <f>[1]Results!E233</f>
        <v>YG_toe_chea_2</v>
      </c>
      <c r="C642" s="3">
        <f>[1]Results!F233</f>
        <v>3.5774869819999999</v>
      </c>
      <c r="D642" s="3">
        <f>[1]Results!G233</f>
        <v>3.609670151</v>
      </c>
      <c r="E642" s="3">
        <f>[1]Results!H233</f>
        <v>3.6357885250000002</v>
      </c>
      <c r="F642" s="3">
        <f>[1]Results!I233</f>
        <v>3.6616245589999998</v>
      </c>
      <c r="G642" s="3">
        <f>[1]Results!J233</f>
        <v>3.6913392420000002</v>
      </c>
      <c r="H642" s="3">
        <f>[1]Results!K233</f>
        <v>3.7280975139999999</v>
      </c>
      <c r="I642" s="3">
        <f>[1]Results!L233</f>
        <v>3.8072131069999999</v>
      </c>
      <c r="J642" s="3">
        <f>[1]Results!M233</f>
        <v>3.864235517</v>
      </c>
      <c r="K642" s="3">
        <f>[1]Results!N233</f>
        <v>3.9104685250000002</v>
      </c>
      <c r="L642" s="3">
        <f>[1]Results!O233</f>
        <v>3.9456950289999999</v>
      </c>
      <c r="M642" s="3">
        <f>[1]Results!P233</f>
        <v>3.9741684610000001</v>
      </c>
      <c r="N642" s="3">
        <f>[1]Results!Q233</f>
        <v>4.0002293489999996</v>
      </c>
      <c r="O642" s="3">
        <f>[1]Results!R233</f>
        <v>4.0273460419999996</v>
      </c>
      <c r="P642" s="3">
        <f>[1]Results!S233</f>
        <v>4.0597132739999999</v>
      </c>
      <c r="Q642" s="3">
        <f>[1]Results!T233</f>
        <v>4.0989143669999999</v>
      </c>
      <c r="R642" s="3">
        <f>[1]Results!U233</f>
        <v>4.1442281239999996</v>
      </c>
      <c r="S642" s="3">
        <f>[1]Results!V233</f>
        <v>4.193550675</v>
      </c>
      <c r="T642" s="3">
        <f>[1]Results!W233</f>
        <v>4.2443448139999997</v>
      </c>
      <c r="U642" s="3">
        <f>[1]Results!X233</f>
        <v>4.2948310569999997</v>
      </c>
      <c r="V642" s="3">
        <f>[1]Results!Y233</f>
        <v>4.3443475329999997</v>
      </c>
      <c r="W642" s="3">
        <f>[1]Results!Z233</f>
        <v>4.3914927610000003</v>
      </c>
      <c r="X642" s="3">
        <f>[1]Results!AA233</f>
        <v>4.4382772749999999</v>
      </c>
      <c r="Y642" s="3">
        <f>[1]Results!AB233</f>
        <v>4.4865861990000004</v>
      </c>
      <c r="Z642" s="3">
        <f>[1]Results!AC233</f>
        <v>4.5366185640000003</v>
      </c>
      <c r="AA642" s="3">
        <f>[1]Results!AD233</f>
        <v>4.5883686279999996</v>
      </c>
      <c r="AB642" s="3">
        <f>[1]Results!AE233</f>
        <v>4.6361447980000001</v>
      </c>
      <c r="AC642" s="3">
        <f>[1]Results!AF233</f>
        <v>4.6822329370000002</v>
      </c>
      <c r="AD642" s="3">
        <f>[1]Results!AG233</f>
        <v>4.728046977</v>
      </c>
      <c r="AE642" s="3">
        <f>[1]Results!AH233</f>
        <v>4.773542408</v>
      </c>
      <c r="AF642" s="3">
        <f>[1]Results!AI233</f>
        <v>4.8191789419999997</v>
      </c>
      <c r="AG642" s="3">
        <f>[1]Results!AJ233</f>
        <v>4.8656263720000004</v>
      </c>
      <c r="AH642" s="3">
        <f>[1]Results!AK233</f>
        <v>4.9133988190000002</v>
      </c>
      <c r="AI642" s="3">
        <f>[1]Results!AL233</f>
        <v>4.9626694540000003</v>
      </c>
      <c r="AJ642" s="3">
        <f>[1]Results!AM233</f>
        <v>5.013278691</v>
      </c>
      <c r="AK642" s="3">
        <f>[1]Results!AN233</f>
        <v>5.0648747949999997</v>
      </c>
      <c r="AL642" s="3">
        <f>[1]Results!AO233</f>
        <v>5.1170896739999998</v>
      </c>
    </row>
    <row r="643" spans="1:38" x14ac:dyDescent="0.3">
      <c r="B643" s="3" t="str">
        <f>[1]Results!E235</f>
        <v>YG_toe_cbio_2</v>
      </c>
      <c r="C643" s="3">
        <f>[1]Results!F235</f>
        <v>11.16214102</v>
      </c>
      <c r="D643" s="3">
        <f>[1]Results!G235</f>
        <v>11.20912118</v>
      </c>
      <c r="E643" s="3">
        <f>[1]Results!H235</f>
        <v>11.228091470000001</v>
      </c>
      <c r="F643" s="3">
        <f>[1]Results!I235</f>
        <v>11.241853770000001</v>
      </c>
      <c r="G643" s="3">
        <f>[1]Results!J235</f>
        <v>11.26221934</v>
      </c>
      <c r="H643" s="3">
        <f>[1]Results!K235</f>
        <v>11.29511301</v>
      </c>
      <c r="I643" s="3">
        <f>[1]Results!L235</f>
        <v>11.375641099999999</v>
      </c>
      <c r="J643" s="3">
        <f>[1]Results!M235</f>
        <v>11.410680060000001</v>
      </c>
      <c r="K643" s="3">
        <f>[1]Results!N235</f>
        <v>11.43299247</v>
      </c>
      <c r="L643" s="3">
        <f>[1]Results!O235</f>
        <v>11.44675934</v>
      </c>
      <c r="M643" s="3">
        <f>[1]Results!P235</f>
        <v>11.46228346</v>
      </c>
      <c r="N643" s="3">
        <f>[1]Results!Q235</f>
        <v>11.47460658</v>
      </c>
      <c r="O643" s="3">
        <f>[1]Results!R235</f>
        <v>11.49230719</v>
      </c>
      <c r="P643" s="3">
        <f>[1]Results!S235</f>
        <v>11.52037415</v>
      </c>
      <c r="Q643" s="3">
        <f>[1]Results!T235</f>
        <v>11.55946239</v>
      </c>
      <c r="R643" s="3">
        <f>[1]Results!U235</f>
        <v>11.607359300000001</v>
      </c>
      <c r="S643" s="3">
        <f>[1]Results!V235</f>
        <v>11.659939100000001</v>
      </c>
      <c r="T643" s="3">
        <f>[1]Results!W235</f>
        <v>11.71356855</v>
      </c>
      <c r="U643" s="3">
        <f>[1]Results!X235</f>
        <v>11.76618951</v>
      </c>
      <c r="V643" s="3">
        <f>[1]Results!Y235</f>
        <v>11.817406099999999</v>
      </c>
      <c r="W643" s="3">
        <f>[1]Results!Z235</f>
        <v>11.86236652</v>
      </c>
      <c r="X643" s="3">
        <f>[1]Results!AA235</f>
        <v>11.91077802</v>
      </c>
      <c r="Y643" s="3">
        <f>[1]Results!AB235</f>
        <v>11.962199050000001</v>
      </c>
      <c r="Z643" s="3">
        <f>[1]Results!AC235</f>
        <v>12.01637843</v>
      </c>
      <c r="AA643" s="3">
        <f>[1]Results!AD235</f>
        <v>12.073197029999999</v>
      </c>
      <c r="AB643" s="3">
        <f>[1]Results!AE235</f>
        <v>12.115234320000001</v>
      </c>
      <c r="AC643" s="3">
        <f>[1]Results!AF235</f>
        <v>12.16100325</v>
      </c>
      <c r="AD643" s="3">
        <f>[1]Results!AG235</f>
        <v>12.207883410000001</v>
      </c>
      <c r="AE643" s="3">
        <f>[1]Results!AH235</f>
        <v>12.255025529999999</v>
      </c>
      <c r="AF643" s="3">
        <f>[1]Results!AI235</f>
        <v>12.303035169999999</v>
      </c>
      <c r="AG643" s="3">
        <f>[1]Results!AJ235</f>
        <v>12.35282671</v>
      </c>
      <c r="AH643" s="3">
        <f>[1]Results!AK235</f>
        <v>12.404999030000001</v>
      </c>
      <c r="AI643" s="3">
        <f>[1]Results!AL235</f>
        <v>12.45963978</v>
      </c>
      <c r="AJ643" s="3">
        <f>[1]Results!AM235</f>
        <v>12.516402019999999</v>
      </c>
      <c r="AK643" s="3">
        <f>[1]Results!AN235</f>
        <v>12.57475741</v>
      </c>
      <c r="AL643" s="3">
        <f>[1]Results!AO235</f>
        <v>12.63423907</v>
      </c>
    </row>
    <row r="644" spans="1:38" x14ac:dyDescent="0.3">
      <c r="B644" s="3" t="str">
        <f>[1]Results!E238</f>
        <v>YG_toe_cote_2</v>
      </c>
      <c r="C644" s="3">
        <f>[1]Results!F238</f>
        <v>12.626994890000001</v>
      </c>
      <c r="D644" s="3">
        <f>[1]Results!G238</f>
        <v>12.39832734</v>
      </c>
      <c r="E644" s="3">
        <f>[1]Results!H238</f>
        <v>12.23496119</v>
      </c>
      <c r="F644" s="3">
        <f>[1]Results!I238</f>
        <v>12.12346707</v>
      </c>
      <c r="G644" s="3">
        <f>[1]Results!J238</f>
        <v>12.06366513</v>
      </c>
      <c r="H644" s="3">
        <f>[1]Results!K238</f>
        <v>12.05717978</v>
      </c>
      <c r="I644" s="3">
        <f>[1]Results!L238</f>
        <v>12.18452061</v>
      </c>
      <c r="J644" s="3">
        <f>[1]Results!M238</f>
        <v>12.28988828</v>
      </c>
      <c r="K644" s="3">
        <f>[1]Results!N238</f>
        <v>12.391691509999999</v>
      </c>
      <c r="L644" s="3">
        <f>[1]Results!O238</f>
        <v>12.482862969999999</v>
      </c>
      <c r="M644" s="3">
        <f>[1]Results!P238</f>
        <v>12.578938859999999</v>
      </c>
      <c r="N644" s="3">
        <f>[1]Results!Q238</f>
        <v>12.66161473</v>
      </c>
      <c r="O644" s="3">
        <f>[1]Results!R238</f>
        <v>12.756119869999999</v>
      </c>
      <c r="P644" s="3">
        <f>[1]Results!S238</f>
        <v>12.87207819</v>
      </c>
      <c r="Q644" s="3">
        <f>[1]Results!T238</f>
        <v>13.01202969</v>
      </c>
      <c r="R644" s="3">
        <f>[1]Results!U238</f>
        <v>13.17314339</v>
      </c>
      <c r="S644" s="3">
        <f>[1]Results!V238</f>
        <v>13.34932925</v>
      </c>
      <c r="T644" s="3">
        <f>[1]Results!W238</f>
        <v>13.533899229999999</v>
      </c>
      <c r="U644" s="3">
        <f>[1]Results!X238</f>
        <v>13.721737060000001</v>
      </c>
      <c r="V644" s="3">
        <f>[1]Results!Y238</f>
        <v>13.910370350000001</v>
      </c>
      <c r="W644" s="3">
        <f>[1]Results!Z238</f>
        <v>14.08769079</v>
      </c>
      <c r="X644" s="3">
        <f>[1]Results!AA238</f>
        <v>14.27772974</v>
      </c>
      <c r="Y644" s="3">
        <f>[1]Results!AB238</f>
        <v>14.47224651</v>
      </c>
      <c r="Z644" s="3">
        <f>[1]Results!AC238</f>
        <v>14.6715853</v>
      </c>
      <c r="AA644" s="3">
        <f>[1]Results!AD238</f>
        <v>14.87641721</v>
      </c>
      <c r="AB644" s="3">
        <f>[1]Results!AE238</f>
        <v>15.049760239999999</v>
      </c>
      <c r="AC644" s="3">
        <f>[1]Results!AF238</f>
        <v>15.24406989</v>
      </c>
      <c r="AD644" s="3">
        <f>[1]Results!AG238</f>
        <v>15.440577960000001</v>
      </c>
      <c r="AE644" s="3">
        <f>[1]Results!AH238</f>
        <v>15.63691977</v>
      </c>
      <c r="AF644" s="3">
        <f>[1]Results!AI238</f>
        <v>15.83424606</v>
      </c>
      <c r="AG644" s="3">
        <f>[1]Results!AJ238</f>
        <v>16.03451986</v>
      </c>
      <c r="AH644" s="3">
        <f>[1]Results!AK238</f>
        <v>16.239277950000002</v>
      </c>
      <c r="AI644" s="3">
        <f>[1]Results!AL238</f>
        <v>16.449136200000002</v>
      </c>
      <c r="AJ644" s="3">
        <f>[1]Results!AM238</f>
        <v>16.663807519999999</v>
      </c>
      <c r="AK644" s="3">
        <f>[1]Results!AN238</f>
        <v>16.88247118</v>
      </c>
      <c r="AL644" s="3">
        <f>[1]Results!AO238</f>
        <v>17.104238540000001</v>
      </c>
    </row>
    <row r="645" spans="1:38" x14ac:dyDescent="0.3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</row>
    <row r="646" spans="1:38" x14ac:dyDescent="0.3">
      <c r="A646" s="12" t="s">
        <v>68</v>
      </c>
      <c r="B646" s="3" t="str">
        <f>[1]Results!E241</f>
        <v>YG_toe_0</v>
      </c>
      <c r="C646" s="3">
        <f>[1]Results!F241</f>
        <v>142.11554810000001</v>
      </c>
      <c r="D646" s="3">
        <f>[1]Results!G241</f>
        <v>144.95668660000001</v>
      </c>
      <c r="E646" s="3">
        <f>[1]Results!H241</f>
        <v>147.1024171</v>
      </c>
      <c r="F646" s="3">
        <f>[1]Results!I241</f>
        <v>148.9867888</v>
      </c>
      <c r="G646" s="3">
        <f>[1]Results!J241</f>
        <v>150.84384990000001</v>
      </c>
      <c r="H646" s="3">
        <f>[1]Results!K241</f>
        <v>152.81956629999999</v>
      </c>
      <c r="I646" s="3">
        <f>[1]Results!L241</f>
        <v>154.8814332</v>
      </c>
      <c r="J646" s="3">
        <f>[1]Results!M241</f>
        <v>157.0704887</v>
      </c>
      <c r="K646" s="3">
        <f>[1]Results!N241</f>
        <v>159.31165730000001</v>
      </c>
      <c r="L646" s="3">
        <f>[1]Results!O241</f>
        <v>161.5174542</v>
      </c>
      <c r="M646" s="3">
        <f>[1]Results!P241</f>
        <v>163.75034410000001</v>
      </c>
      <c r="N646" s="3">
        <f>[1]Results!Q241</f>
        <v>165.80775689999999</v>
      </c>
      <c r="O646" s="3">
        <f>[1]Results!R241</f>
        <v>167.7869336</v>
      </c>
      <c r="P646" s="3">
        <f>[1]Results!S241</f>
        <v>169.72259729999999</v>
      </c>
      <c r="Q646" s="3">
        <f>[1]Results!T241</f>
        <v>171.6364111</v>
      </c>
      <c r="R646" s="3">
        <f>[1]Results!U241</f>
        <v>173.54212369999999</v>
      </c>
      <c r="S646" s="3">
        <f>[1]Results!V241</f>
        <v>175.44635779999999</v>
      </c>
      <c r="T646" s="3">
        <f>[1]Results!W241</f>
        <v>177.34977760000001</v>
      </c>
      <c r="U646" s="3">
        <f>[1]Results!X241</f>
        <v>179.25211909999999</v>
      </c>
      <c r="V646" s="3">
        <f>[1]Results!Y241</f>
        <v>181.1561232</v>
      </c>
      <c r="W646" s="3">
        <f>[1]Results!Z241</f>
        <v>182.97022519999999</v>
      </c>
      <c r="X646" s="3">
        <f>[1]Results!AA241</f>
        <v>184.86313290000001</v>
      </c>
      <c r="Y646" s="3">
        <f>[1]Results!AB241</f>
        <v>186.79040839999999</v>
      </c>
      <c r="Z646" s="3">
        <f>[1]Results!AC241</f>
        <v>188.75815080000001</v>
      </c>
      <c r="AA646" s="3">
        <f>[1]Results!AD241</f>
        <v>190.7749239</v>
      </c>
      <c r="AB646" s="3">
        <f>[1]Results!AE241</f>
        <v>192.5383913</v>
      </c>
      <c r="AC646" s="3">
        <f>[1]Results!AF241</f>
        <v>194.42539650000001</v>
      </c>
      <c r="AD646" s="3">
        <f>[1]Results!AG241</f>
        <v>196.32300960000001</v>
      </c>
      <c r="AE646" s="3">
        <f>[1]Results!AH241</f>
        <v>198.2259191</v>
      </c>
      <c r="AF646" s="3">
        <f>[1]Results!AI241</f>
        <v>200.14949469999999</v>
      </c>
      <c r="AG646" s="3">
        <f>[1]Results!AJ241</f>
        <v>202.1123364</v>
      </c>
      <c r="AH646" s="3">
        <f>[1]Results!AK241</f>
        <v>204.1266272</v>
      </c>
      <c r="AI646" s="3">
        <f>[1]Results!AL241</f>
        <v>206.19479469999999</v>
      </c>
      <c r="AJ646" s="3">
        <f>[1]Results!AM241</f>
        <v>208.31104239999999</v>
      </c>
      <c r="AK646" s="3">
        <f>[1]Results!AN241</f>
        <v>210.46559540000001</v>
      </c>
      <c r="AL646" s="3">
        <f>[1]Results!AO241</f>
        <v>212.64970299999999</v>
      </c>
    </row>
    <row r="647" spans="1:38" x14ac:dyDescent="0.3">
      <c r="A647" t="s">
        <v>26</v>
      </c>
      <c r="B647" s="3" t="str">
        <f>[1]Results!E242</f>
        <v>YG_toe_ccoa_0</v>
      </c>
      <c r="C647" s="3">
        <f>[1]Results!F242</f>
        <v>2.258438698</v>
      </c>
      <c r="D647" s="3">
        <f>[1]Results!G242</f>
        <v>1.6403650430000001</v>
      </c>
      <c r="E647" s="3">
        <f>[1]Results!H242</f>
        <v>1.127676369</v>
      </c>
      <c r="F647" s="3">
        <f>[1]Results!I242</f>
        <v>0.71262856939999997</v>
      </c>
      <c r="G647" s="3">
        <f>[1]Results!J242</f>
        <v>0.37780183000000001</v>
      </c>
      <c r="H647" s="3">
        <f>[1]Results!K242</f>
        <v>0.107022664</v>
      </c>
      <c r="I647" s="3">
        <f>[1]Results!L242</f>
        <v>-0.107650492</v>
      </c>
      <c r="J647" s="3">
        <f>[1]Results!M242</f>
        <v>-0.28213580230000002</v>
      </c>
      <c r="K647" s="3">
        <f>[1]Results!N242</f>
        <v>-0.4246085879</v>
      </c>
      <c r="L647" s="3">
        <f>[1]Results!O242</f>
        <v>-0.5413849194</v>
      </c>
      <c r="M647" s="3">
        <f>[1]Results!P242</f>
        <v>-0.64531066940000004</v>
      </c>
      <c r="N647" s="3">
        <f>[1]Results!Q242</f>
        <v>-0.72467561570000005</v>
      </c>
      <c r="O647" s="3">
        <f>[1]Results!R242</f>
        <v>-0.79172606069999996</v>
      </c>
      <c r="P647" s="3">
        <f>[1]Results!S242</f>
        <v>-0.85024591410000006</v>
      </c>
      <c r="Q647" s="3">
        <f>[1]Results!T242</f>
        <v>-0.90181276580000003</v>
      </c>
      <c r="R647" s="3">
        <f>[1]Results!U242</f>
        <v>-0.94753061689999996</v>
      </c>
      <c r="S647" s="3">
        <f>[1]Results!V242</f>
        <v>-0.98841032660000006</v>
      </c>
      <c r="T647" s="3">
        <f>[1]Results!W242</f>
        <v>-1.025448307</v>
      </c>
      <c r="U647" s="3">
        <f>[1]Results!X242</f>
        <v>-1.0595561179999999</v>
      </c>
      <c r="V647" s="3">
        <f>[1]Results!Y242</f>
        <v>-1.091501877</v>
      </c>
      <c r="W647" s="3">
        <f>[1]Results!Z242</f>
        <v>-1.1166592740000001</v>
      </c>
      <c r="X647" s="3">
        <f>[1]Results!AA242</f>
        <v>-1.1470463769999999</v>
      </c>
      <c r="Y647" s="3">
        <f>[1]Results!AB242</f>
        <v>-1.1770880349999999</v>
      </c>
      <c r="Z647" s="3">
        <f>[1]Results!AC242</f>
        <v>-1.205976771</v>
      </c>
      <c r="AA647" s="3">
        <f>[1]Results!AD242</f>
        <v>-1.2340032160000001</v>
      </c>
      <c r="AB647" s="3">
        <f>[1]Results!AE242</f>
        <v>-1.246208945</v>
      </c>
      <c r="AC647" s="3">
        <f>[1]Results!AF242</f>
        <v>-1.2701830940000001</v>
      </c>
      <c r="AD647" s="3">
        <f>[1]Results!AG242</f>
        <v>-1.2964985339999999</v>
      </c>
      <c r="AE647" s="3">
        <f>[1]Results!AH242</f>
        <v>-1.3229422790000001</v>
      </c>
      <c r="AF647" s="3">
        <f>[1]Results!AI242</f>
        <v>-1.3494073040000001</v>
      </c>
      <c r="AG647" s="3">
        <f>[1]Results!AJ242</f>
        <v>-1.375995028</v>
      </c>
      <c r="AH647" s="3">
        <f>[1]Results!AK242</f>
        <v>-1.402708877</v>
      </c>
      <c r="AI647" s="3">
        <f>[1]Results!AL242</f>
        <v>-1.4295057799999999</v>
      </c>
      <c r="AJ647" s="3">
        <f>[1]Results!AM242</f>
        <v>-1.456373028</v>
      </c>
      <c r="AK647" s="3">
        <f>[1]Results!AN242</f>
        <v>-1.4833596929999999</v>
      </c>
      <c r="AL647" s="3">
        <f>[1]Results!AO242</f>
        <v>-1.5105622350000001</v>
      </c>
    </row>
    <row r="648" spans="1:38" x14ac:dyDescent="0.3">
      <c r="B648" s="3" t="s">
        <v>48</v>
      </c>
      <c r="C648" s="3">
        <f>SUM(C649:C651)</f>
        <v>60.623223767999995</v>
      </c>
      <c r="D648" s="3">
        <f t="shared" ref="D648:AL648" si="126">SUM(D649:D651)</f>
        <v>61.873900846799998</v>
      </c>
      <c r="E648" s="3">
        <f t="shared" si="126"/>
        <v>62.927283986200003</v>
      </c>
      <c r="F648" s="3">
        <f t="shared" si="126"/>
        <v>63.883618316300002</v>
      </c>
      <c r="G648" s="3">
        <f t="shared" si="126"/>
        <v>64.812923609799995</v>
      </c>
      <c r="H648" s="3">
        <f t="shared" si="126"/>
        <v>65.756482329500002</v>
      </c>
      <c r="I648" s="3">
        <f t="shared" si="126"/>
        <v>66.682895461200005</v>
      </c>
      <c r="J648" s="3">
        <f t="shared" si="126"/>
        <v>67.641492689100005</v>
      </c>
      <c r="K648" s="3">
        <f t="shared" si="126"/>
        <v>68.619776640300003</v>
      </c>
      <c r="L648" s="3">
        <f t="shared" si="126"/>
        <v>69.600450371099996</v>
      </c>
      <c r="M648" s="3">
        <f t="shared" si="126"/>
        <v>70.647628095399995</v>
      </c>
      <c r="N648" s="3">
        <f t="shared" si="126"/>
        <v>71.608910801299999</v>
      </c>
      <c r="O648" s="3">
        <f t="shared" si="126"/>
        <v>72.560800135600005</v>
      </c>
      <c r="P648" s="3">
        <f t="shared" si="126"/>
        <v>73.5094183633</v>
      </c>
      <c r="Q648" s="3">
        <f t="shared" si="126"/>
        <v>74.457645574200001</v>
      </c>
      <c r="R648" s="3">
        <f t="shared" si="126"/>
        <v>75.407422513700013</v>
      </c>
      <c r="S648" s="3">
        <f t="shared" si="126"/>
        <v>76.359878752599997</v>
      </c>
      <c r="T648" s="3">
        <f t="shared" si="126"/>
        <v>77.315503284200005</v>
      </c>
      <c r="U648" s="3">
        <f t="shared" si="126"/>
        <v>78.274685378100003</v>
      </c>
      <c r="V648" s="3">
        <f t="shared" si="126"/>
        <v>79.238274525200012</v>
      </c>
      <c r="W648" s="3">
        <f t="shared" si="126"/>
        <v>80.148685308799998</v>
      </c>
      <c r="X648" s="3">
        <f t="shared" si="126"/>
        <v>81.120480143000009</v>
      </c>
      <c r="Y648" s="3">
        <f t="shared" si="126"/>
        <v>82.102812997299992</v>
      </c>
      <c r="Z648" s="3">
        <f t="shared" si="126"/>
        <v>83.096336684000008</v>
      </c>
      <c r="AA648" s="3">
        <f t="shared" si="126"/>
        <v>84.10391631040001</v>
      </c>
      <c r="AB648" s="3">
        <f t="shared" si="126"/>
        <v>84.950763837899999</v>
      </c>
      <c r="AC648" s="3">
        <f t="shared" si="126"/>
        <v>85.89667966670001</v>
      </c>
      <c r="AD648" s="3">
        <f t="shared" si="126"/>
        <v>86.850750426600001</v>
      </c>
      <c r="AE648" s="3">
        <f t="shared" si="126"/>
        <v>87.808654130899995</v>
      </c>
      <c r="AF648" s="3">
        <f t="shared" si="126"/>
        <v>88.773534605199998</v>
      </c>
      <c r="AG648" s="3">
        <f t="shared" si="126"/>
        <v>89.749551202500001</v>
      </c>
      <c r="AH648" s="3">
        <f t="shared" si="126"/>
        <v>90.739744266499997</v>
      </c>
      <c r="AI648" s="3">
        <f t="shared" si="126"/>
        <v>91.745365792899989</v>
      </c>
      <c r="AJ648" s="3">
        <f t="shared" si="126"/>
        <v>92.766064617799998</v>
      </c>
      <c r="AK648" s="3">
        <f t="shared" si="126"/>
        <v>93.800578303000009</v>
      </c>
      <c r="AL648" s="3">
        <f t="shared" si="126"/>
        <v>94.8475562199</v>
      </c>
    </row>
    <row r="649" spans="1:38" x14ac:dyDescent="0.3">
      <c r="B649" s="3" t="str">
        <f>[1]Results!E245</f>
        <v>YG_toe_ccoi_0</v>
      </c>
      <c r="C649" s="3">
        <f>[1]Results!F245</f>
        <v>1.2014640089999999</v>
      </c>
      <c r="D649" s="3">
        <f>[1]Results!G245</f>
        <v>0.96355642880000003</v>
      </c>
      <c r="E649" s="3">
        <f>[1]Results!H245</f>
        <v>0.77322868119999999</v>
      </c>
      <c r="F649" s="3">
        <f>[1]Results!I245</f>
        <v>0.62097772529999995</v>
      </c>
      <c r="G649" s="3">
        <f>[1]Results!J245</f>
        <v>0.49920051580000002</v>
      </c>
      <c r="H649" s="3">
        <f>[1]Results!K245</f>
        <v>0.40181043350000001</v>
      </c>
      <c r="I649" s="3">
        <f>[1]Results!L245</f>
        <v>0.32392831319999998</v>
      </c>
      <c r="J649" s="3">
        <f>[1]Results!M245</f>
        <v>0.26165821810000001</v>
      </c>
      <c r="K649" s="3">
        <f>[1]Results!N245</f>
        <v>0.21187784430000001</v>
      </c>
      <c r="L649" s="3">
        <f>[1]Results!O245</f>
        <v>0.1720866221</v>
      </c>
      <c r="M649" s="3">
        <f>[1]Results!P245</f>
        <v>0.1402925454</v>
      </c>
      <c r="N649" s="3">
        <f>[1]Results!Q245</f>
        <v>0.11488113630000001</v>
      </c>
      <c r="O649" s="3">
        <f>[1]Results!R245</f>
        <v>9.4579265600000004E-2</v>
      </c>
      <c r="P649" s="3">
        <f>[1]Results!S245</f>
        <v>7.8366686300000002E-2</v>
      </c>
      <c r="Q649" s="3">
        <f>[1]Results!T245</f>
        <v>6.5425998200000002E-2</v>
      </c>
      <c r="R649" s="3">
        <f>[1]Results!U245</f>
        <v>5.5103028700000001E-2</v>
      </c>
      <c r="S649" s="3">
        <f>[1]Results!V245</f>
        <v>4.6874297600000003E-2</v>
      </c>
      <c r="T649" s="3">
        <f>[1]Results!W245</f>
        <v>4.0320897199999997E-2</v>
      </c>
      <c r="U649" s="3">
        <f>[1]Results!X245</f>
        <v>3.5107683100000002E-2</v>
      </c>
      <c r="V649" s="3">
        <f>[1]Results!Y245</f>
        <v>3.09666592E-2</v>
      </c>
      <c r="W649" s="3">
        <f>[1]Results!Z245</f>
        <v>2.76766388E-2</v>
      </c>
      <c r="X649" s="3">
        <f>[1]Results!AA245</f>
        <v>2.5077876999999998E-2</v>
      </c>
      <c r="Y649" s="3">
        <f>[1]Results!AB245</f>
        <v>2.3030312300000001E-2</v>
      </c>
      <c r="Z649" s="3">
        <f>[1]Results!AC245</f>
        <v>2.1423431999999999E-2</v>
      </c>
      <c r="AA649" s="3">
        <f>[1]Results!AD245</f>
        <v>2.01698604E-2</v>
      </c>
      <c r="AB649" s="3">
        <f>[1]Results!AE245</f>
        <v>1.9178324900000002E-2</v>
      </c>
      <c r="AC649" s="3">
        <f>[1]Results!AF245</f>
        <v>1.8419062699999999E-2</v>
      </c>
      <c r="AD649" s="3">
        <f>[1]Results!AG245</f>
        <v>1.78419106E-2</v>
      </c>
      <c r="AE649" s="3">
        <f>[1]Results!AH245</f>
        <v>1.7408686900000001E-2</v>
      </c>
      <c r="AF649" s="3">
        <f>[1]Results!AI245</f>
        <v>1.7091024199999999E-2</v>
      </c>
      <c r="AG649" s="3">
        <f>[1]Results!AJ245</f>
        <v>1.68667955E-2</v>
      </c>
      <c r="AH649" s="3">
        <f>[1]Results!AK245</f>
        <v>1.67182765E-2</v>
      </c>
      <c r="AI649" s="3">
        <f>[1]Results!AL245</f>
        <v>1.6631020900000001E-2</v>
      </c>
      <c r="AJ649" s="3">
        <f>[1]Results!AM245</f>
        <v>1.65931538E-2</v>
      </c>
      <c r="AK649" s="3">
        <f>[1]Results!AN245</f>
        <v>1.6594935000000002E-2</v>
      </c>
      <c r="AL649" s="3">
        <f>[1]Results!AO245</f>
        <v>1.6628477900000001E-2</v>
      </c>
    </row>
    <row r="650" spans="1:38" x14ac:dyDescent="0.3">
      <c r="B650" s="3" t="str">
        <f>[1]Results!E248</f>
        <v>YG_toe_cfut_0</v>
      </c>
      <c r="C650" s="3">
        <f>[1]Results!F248</f>
        <v>54.406557329999998</v>
      </c>
      <c r="D650" s="3">
        <f>[1]Results!G248</f>
        <v>55.990435140000002</v>
      </c>
      <c r="E650" s="3">
        <f>[1]Results!H248</f>
        <v>57.324036960000001</v>
      </c>
      <c r="F650" s="3">
        <f>[1]Results!I248</f>
        <v>58.511681580000001</v>
      </c>
      <c r="G650" s="3">
        <f>[1]Results!J248</f>
        <v>59.626734200000001</v>
      </c>
      <c r="H650" s="3">
        <f>[1]Results!K248</f>
        <v>60.713749370000002</v>
      </c>
      <c r="I650" s="3">
        <f>[1]Results!L248</f>
        <v>61.74877438</v>
      </c>
      <c r="J650" s="3">
        <f>[1]Results!M248</f>
        <v>62.783960149999999</v>
      </c>
      <c r="K650" s="3">
        <f>[1]Results!N248</f>
        <v>63.814447710000003</v>
      </c>
      <c r="L650" s="3">
        <f>[1]Results!O248</f>
        <v>64.830282409999995</v>
      </c>
      <c r="M650" s="3">
        <f>[1]Results!P248</f>
        <v>65.897257229999994</v>
      </c>
      <c r="N650" s="3">
        <f>[1]Results!Q248</f>
        <v>66.874534339999997</v>
      </c>
      <c r="O650" s="3">
        <f>[1]Results!R248</f>
        <v>67.836536519999996</v>
      </c>
      <c r="P650" s="3">
        <f>[1]Results!S248</f>
        <v>68.790390369999997</v>
      </c>
      <c r="Q650" s="3">
        <f>[1]Results!T248</f>
        <v>69.739958900000005</v>
      </c>
      <c r="R650" s="3">
        <f>[1]Results!U248</f>
        <v>70.687749530000005</v>
      </c>
      <c r="S650" s="3">
        <f>[1]Results!V248</f>
        <v>71.635229609999996</v>
      </c>
      <c r="T650" s="3">
        <f>[1]Results!W248</f>
        <v>72.583296180000005</v>
      </c>
      <c r="U650" s="3">
        <f>[1]Results!X248</f>
        <v>73.532798200000002</v>
      </c>
      <c r="V650" s="3">
        <f>[1]Results!Y248</f>
        <v>74.484977060000006</v>
      </c>
      <c r="W650" s="3">
        <f>[1]Results!Z248</f>
        <v>75.385626979999998</v>
      </c>
      <c r="X650" s="3">
        <f>[1]Results!AA248</f>
        <v>76.34356975</v>
      </c>
      <c r="Y650" s="3">
        <f>[1]Results!AB248</f>
        <v>77.310733429999999</v>
      </c>
      <c r="Z650" s="3">
        <f>[1]Results!AC248</f>
        <v>78.287921370000007</v>
      </c>
      <c r="AA650" s="3">
        <f>[1]Results!AD248</f>
        <v>79.277845990000003</v>
      </c>
      <c r="AB650" s="3">
        <f>[1]Results!AE248</f>
        <v>80.115126950000004</v>
      </c>
      <c r="AC650" s="3">
        <f>[1]Results!AF248</f>
        <v>81.045502600000006</v>
      </c>
      <c r="AD650" s="3">
        <f>[1]Results!AG248</f>
        <v>81.983605069999996</v>
      </c>
      <c r="AE650" s="3">
        <f>[1]Results!AH248</f>
        <v>82.925735979999999</v>
      </c>
      <c r="AF650" s="3">
        <f>[1]Results!AI248</f>
        <v>83.874757819999999</v>
      </c>
      <c r="AG650" s="3">
        <f>[1]Results!AJ248</f>
        <v>84.834381750000006</v>
      </c>
      <c r="AH650" s="3">
        <f>[1]Results!AK248</f>
        <v>85.807299689999994</v>
      </c>
      <c r="AI650" s="3">
        <f>[1]Results!AL248</f>
        <v>86.794628399999993</v>
      </c>
      <c r="AJ650" s="3">
        <f>[1]Results!AM248</f>
        <v>87.7960937</v>
      </c>
      <c r="AK650" s="3">
        <f>[1]Results!AN248</f>
        <v>88.810640590000006</v>
      </c>
      <c r="AL650" s="3">
        <f>[1]Results!AO248</f>
        <v>89.837145050000004</v>
      </c>
    </row>
    <row r="651" spans="1:38" x14ac:dyDescent="0.3">
      <c r="B651" s="3" t="str">
        <f>[1]Results!E251</f>
        <v>YG_toe_cfuh_0</v>
      </c>
      <c r="C651" s="3">
        <f>[1]Results!F251</f>
        <v>5.0152024290000004</v>
      </c>
      <c r="D651" s="3">
        <f>[1]Results!G251</f>
        <v>4.9199092780000004</v>
      </c>
      <c r="E651" s="3">
        <f>[1]Results!H251</f>
        <v>4.830018345</v>
      </c>
      <c r="F651" s="3">
        <f>[1]Results!I251</f>
        <v>4.750959011</v>
      </c>
      <c r="G651" s="3">
        <f>[1]Results!J251</f>
        <v>4.6869888939999997</v>
      </c>
      <c r="H651" s="3">
        <f>[1]Results!K251</f>
        <v>4.6409225259999998</v>
      </c>
      <c r="I651" s="3">
        <f>[1]Results!L251</f>
        <v>4.6101927680000001</v>
      </c>
      <c r="J651" s="3">
        <f>[1]Results!M251</f>
        <v>4.5958743210000002</v>
      </c>
      <c r="K651" s="3">
        <f>[1]Results!N251</f>
        <v>4.593451086</v>
      </c>
      <c r="L651" s="3">
        <f>[1]Results!O251</f>
        <v>4.5980813390000002</v>
      </c>
      <c r="M651" s="3">
        <f>[1]Results!P251</f>
        <v>4.6100783200000004</v>
      </c>
      <c r="N651" s="3">
        <f>[1]Results!Q251</f>
        <v>4.6194953249999999</v>
      </c>
      <c r="O651" s="3">
        <f>[1]Results!R251</f>
        <v>4.6296843499999998</v>
      </c>
      <c r="P651" s="3">
        <f>[1]Results!S251</f>
        <v>4.6406613070000002</v>
      </c>
      <c r="Q651" s="3">
        <f>[1]Results!T251</f>
        <v>4.652260676</v>
      </c>
      <c r="R651" s="3">
        <f>[1]Results!U251</f>
        <v>4.6645699550000002</v>
      </c>
      <c r="S651" s="3">
        <f>[1]Results!V251</f>
        <v>4.6777748450000001</v>
      </c>
      <c r="T651" s="3">
        <f>[1]Results!W251</f>
        <v>4.6918862069999996</v>
      </c>
      <c r="U651" s="3">
        <f>[1]Results!X251</f>
        <v>4.7067794950000001</v>
      </c>
      <c r="V651" s="3">
        <f>[1]Results!Y251</f>
        <v>4.7223308060000004</v>
      </c>
      <c r="W651" s="3">
        <f>[1]Results!Z251</f>
        <v>4.7353816899999996</v>
      </c>
      <c r="X651" s="3">
        <f>[1]Results!AA251</f>
        <v>4.7518325160000003</v>
      </c>
      <c r="Y651" s="3">
        <f>[1]Results!AB251</f>
        <v>4.7690492549999997</v>
      </c>
      <c r="Z651" s="3">
        <f>[1]Results!AC251</f>
        <v>4.7869918819999997</v>
      </c>
      <c r="AA651" s="3">
        <f>[1]Results!AD251</f>
        <v>4.8059004600000002</v>
      </c>
      <c r="AB651" s="3">
        <f>[1]Results!AE251</f>
        <v>4.8164585630000003</v>
      </c>
      <c r="AC651" s="3">
        <f>[1]Results!AF251</f>
        <v>4.8327580040000004</v>
      </c>
      <c r="AD651" s="3">
        <f>[1]Results!AG251</f>
        <v>4.8493034460000004</v>
      </c>
      <c r="AE651" s="3">
        <f>[1]Results!AH251</f>
        <v>4.8655094639999996</v>
      </c>
      <c r="AF651" s="3">
        <f>[1]Results!AI251</f>
        <v>4.881685761</v>
      </c>
      <c r="AG651" s="3">
        <f>[1]Results!AJ251</f>
        <v>4.8983026570000003</v>
      </c>
      <c r="AH651" s="3">
        <f>[1]Results!AK251</f>
        <v>4.9157263000000002</v>
      </c>
      <c r="AI651" s="3">
        <f>[1]Results!AL251</f>
        <v>4.9341063719999996</v>
      </c>
      <c r="AJ651" s="3">
        <f>[1]Results!AM251</f>
        <v>4.9533777639999998</v>
      </c>
      <c r="AK651" s="3">
        <f>[1]Results!AN251</f>
        <v>4.9733427780000001</v>
      </c>
      <c r="AL651" s="3">
        <f>[1]Results!AO251</f>
        <v>4.9937826919999999</v>
      </c>
    </row>
    <row r="652" spans="1:38" x14ac:dyDescent="0.3">
      <c r="B652" s="3" t="str">
        <f>[1]Results!E253</f>
        <v>YG_toe_cgas_0</v>
      </c>
      <c r="C652" s="3">
        <f>[1]Results!F253</f>
        <v>2.4446408150000001</v>
      </c>
      <c r="D652" s="3">
        <f>[1]Results!G253</f>
        <v>4.3483940480000003</v>
      </c>
      <c r="E652" s="3">
        <f>[1]Results!H253</f>
        <v>5.7526324439999996</v>
      </c>
      <c r="F652" s="3">
        <f>[1]Results!I253</f>
        <v>6.8742791829999996</v>
      </c>
      <c r="G652" s="3">
        <f>[1]Results!J253</f>
        <v>7.7948839689999998</v>
      </c>
      <c r="H652" s="3">
        <f>[1]Results!K253</f>
        <v>8.5676773419999996</v>
      </c>
      <c r="I652" s="3">
        <f>[1]Results!L253</f>
        <v>9.2271725379999996</v>
      </c>
      <c r="J652" s="3">
        <f>[1]Results!M253</f>
        <v>9.7938350100000005</v>
      </c>
      <c r="K652" s="3">
        <f>[1]Results!N253</f>
        <v>10.28028245</v>
      </c>
      <c r="L652" s="3">
        <f>[1]Results!O253</f>
        <v>10.694292219999999</v>
      </c>
      <c r="M652" s="3">
        <f>[1]Results!P253</f>
        <v>11.043615470000001</v>
      </c>
      <c r="N652" s="3">
        <f>[1]Results!Q253</f>
        <v>11.34540548</v>
      </c>
      <c r="O652" s="3">
        <f>[1]Results!R253</f>
        <v>11.60240258</v>
      </c>
      <c r="P652" s="3">
        <f>[1]Results!S253</f>
        <v>11.824030929999999</v>
      </c>
      <c r="Q652" s="3">
        <f>[1]Results!T253</f>
        <v>12.01802897</v>
      </c>
      <c r="R652" s="3">
        <f>[1]Results!U253</f>
        <v>12.19130112</v>
      </c>
      <c r="S652" s="3">
        <f>[1]Results!V253</f>
        <v>12.34925363</v>
      </c>
      <c r="T652" s="3">
        <f>[1]Results!W253</f>
        <v>12.49513477</v>
      </c>
      <c r="U652" s="3">
        <f>[1]Results!X253</f>
        <v>12.63104139</v>
      </c>
      <c r="V652" s="3">
        <f>[1]Results!Y253</f>
        <v>12.758826320000001</v>
      </c>
      <c r="W652" s="3">
        <f>[1]Results!Z253</f>
        <v>12.878959849999999</v>
      </c>
      <c r="X652" s="3">
        <f>[1]Results!AA253</f>
        <v>12.99103828</v>
      </c>
      <c r="Y652" s="3">
        <f>[1]Results!AB253</f>
        <v>13.10167378</v>
      </c>
      <c r="Z652" s="3">
        <f>[1]Results!AC253</f>
        <v>13.212937119999999</v>
      </c>
      <c r="AA652" s="3">
        <f>[1]Results!AD253</f>
        <v>13.32619352</v>
      </c>
      <c r="AB652" s="3">
        <f>[1]Results!AE253</f>
        <v>13.435909860000001</v>
      </c>
      <c r="AC652" s="3">
        <f>[1]Results!AF253</f>
        <v>13.53737653</v>
      </c>
      <c r="AD652" s="3">
        <f>[1]Results!AG253</f>
        <v>13.635014050000001</v>
      </c>
      <c r="AE652" s="3">
        <f>[1]Results!AH253</f>
        <v>13.730846270000001</v>
      </c>
      <c r="AF652" s="3">
        <f>[1]Results!AI253</f>
        <v>13.827164290000001</v>
      </c>
      <c r="AG652" s="3">
        <f>[1]Results!AJ253</f>
        <v>13.92606236</v>
      </c>
      <c r="AH652" s="3">
        <f>[1]Results!AK253</f>
        <v>14.0288536</v>
      </c>
      <c r="AI652" s="3">
        <f>[1]Results!AL253</f>
        <v>14.135788809999999</v>
      </c>
      <c r="AJ652" s="3">
        <f>[1]Results!AM253</f>
        <v>14.24621425</v>
      </c>
      <c r="AK652" s="3">
        <f>[1]Results!AN253</f>
        <v>14.359039810000001</v>
      </c>
      <c r="AL652" s="3">
        <f>[1]Results!AO253</f>
        <v>14.47328014</v>
      </c>
    </row>
    <row r="653" spans="1:38" x14ac:dyDescent="0.3">
      <c r="B653" s="3" t="str">
        <f>[1]Results!E259</f>
        <v>YG_toe_cele_0</v>
      </c>
      <c r="C653" s="3">
        <f>[1]Results!F259</f>
        <v>49.422621919999997</v>
      </c>
      <c r="D653" s="3">
        <f>[1]Results!G259</f>
        <v>49.876907989999999</v>
      </c>
      <c r="E653" s="3">
        <f>[1]Results!H259</f>
        <v>50.195983159999997</v>
      </c>
      <c r="F653" s="3">
        <f>[1]Results!I259</f>
        <v>50.48931735</v>
      </c>
      <c r="G653" s="3">
        <f>[1]Results!J259</f>
        <v>50.841016779999997</v>
      </c>
      <c r="H653" s="3">
        <f>[1]Results!K259</f>
        <v>51.307993660000001</v>
      </c>
      <c r="I653" s="3">
        <f>[1]Results!L259</f>
        <v>51.88016588</v>
      </c>
      <c r="J653" s="3">
        <f>[1]Results!M259</f>
        <v>52.541652470000002</v>
      </c>
      <c r="K653" s="3">
        <f>[1]Results!N259</f>
        <v>53.24231837</v>
      </c>
      <c r="L653" s="3">
        <f>[1]Results!O259</f>
        <v>53.930089789999997</v>
      </c>
      <c r="M653" s="3">
        <f>[1]Results!P259</f>
        <v>54.598392740000001</v>
      </c>
      <c r="N653" s="3">
        <f>[1]Results!Q259</f>
        <v>55.214920759999998</v>
      </c>
      <c r="O653" s="3">
        <f>[1]Results!R259</f>
        <v>55.795608389999998</v>
      </c>
      <c r="P653" s="3">
        <f>[1]Results!S259</f>
        <v>56.359120679999997</v>
      </c>
      <c r="Q653" s="3">
        <f>[1]Results!T259</f>
        <v>56.916743420000003</v>
      </c>
      <c r="R653" s="3">
        <f>[1]Results!U259</f>
        <v>57.474262690000003</v>
      </c>
      <c r="S653" s="3">
        <f>[1]Results!V259</f>
        <v>58.033242710000003</v>
      </c>
      <c r="T653" s="3">
        <f>[1]Results!W259</f>
        <v>58.59252884</v>
      </c>
      <c r="U653" s="3">
        <f>[1]Results!X259</f>
        <v>59.151034559999999</v>
      </c>
      <c r="V653" s="3">
        <f>[1]Results!Y259</f>
        <v>59.709715379999999</v>
      </c>
      <c r="W653" s="3">
        <f>[1]Results!Z259</f>
        <v>60.248188390000003</v>
      </c>
      <c r="X653" s="3">
        <f>[1]Results!AA259</f>
        <v>60.800225449999999</v>
      </c>
      <c r="Y653" s="3">
        <f>[1]Results!AB259</f>
        <v>61.369006349999999</v>
      </c>
      <c r="Z653" s="3">
        <f>[1]Results!AC259</f>
        <v>61.957798590000003</v>
      </c>
      <c r="AA653" s="3">
        <f>[1]Results!AD259</f>
        <v>62.570280910000001</v>
      </c>
      <c r="AB653" s="3">
        <f>[1]Results!AE259</f>
        <v>63.128073759999999</v>
      </c>
      <c r="AC653" s="3">
        <f>[1]Results!AF259</f>
        <v>63.706180949999997</v>
      </c>
      <c r="AD653" s="3">
        <f>[1]Results!AG259</f>
        <v>64.28788385</v>
      </c>
      <c r="AE653" s="3">
        <f>[1]Results!AH259</f>
        <v>64.871298379999999</v>
      </c>
      <c r="AF653" s="3">
        <f>[1]Results!AI259</f>
        <v>65.464583730000001</v>
      </c>
      <c r="AG653" s="3">
        <f>[1]Results!AJ259</f>
        <v>66.077396210000003</v>
      </c>
      <c r="AH653" s="3">
        <f>[1]Results!AK259</f>
        <v>66.715576679999998</v>
      </c>
      <c r="AI653" s="3">
        <f>[1]Results!AL259</f>
        <v>67.379480220000005</v>
      </c>
      <c r="AJ653" s="3">
        <f>[1]Results!AM259</f>
        <v>68.065080969999997</v>
      </c>
      <c r="AK653" s="3">
        <f>[1]Results!AN259</f>
        <v>68.766459749999996</v>
      </c>
      <c r="AL653" s="3">
        <f>[1]Results!AO259</f>
        <v>69.478684279999996</v>
      </c>
    </row>
    <row r="654" spans="1:38" x14ac:dyDescent="0.3">
      <c r="B654" s="3" t="s">
        <v>49</v>
      </c>
      <c r="C654" s="3">
        <f>SUM(C655:C657)</f>
        <v>27.366622892000002</v>
      </c>
      <c r="D654" s="3">
        <f t="shared" ref="D654:AL654" si="127">SUM(D655:D657)</f>
        <v>27.217118671000001</v>
      </c>
      <c r="E654" s="3">
        <f t="shared" si="127"/>
        <v>27.098841185000001</v>
      </c>
      <c r="F654" s="3">
        <f t="shared" si="127"/>
        <v>27.026945398999999</v>
      </c>
      <c r="G654" s="3">
        <f t="shared" si="127"/>
        <v>27.017223712</v>
      </c>
      <c r="H654" s="3">
        <f t="shared" si="127"/>
        <v>27.080390303999998</v>
      </c>
      <c r="I654" s="3">
        <f t="shared" si="127"/>
        <v>27.198849848999998</v>
      </c>
      <c r="J654" s="3">
        <f t="shared" si="127"/>
        <v>27.375644313999999</v>
      </c>
      <c r="K654" s="3">
        <f t="shared" si="127"/>
        <v>27.593888442000001</v>
      </c>
      <c r="L654" s="3">
        <f t="shared" si="127"/>
        <v>27.834006768999998</v>
      </c>
      <c r="M654" s="3">
        <f t="shared" si="127"/>
        <v>28.106018479999999</v>
      </c>
      <c r="N654" s="3">
        <f t="shared" si="127"/>
        <v>28.363195481999998</v>
      </c>
      <c r="O654" s="3">
        <f t="shared" si="127"/>
        <v>28.619848578999999</v>
      </c>
      <c r="P654" s="3">
        <f t="shared" si="127"/>
        <v>28.880273275</v>
      </c>
      <c r="Q654" s="3">
        <f t="shared" si="127"/>
        <v>29.145805887999998</v>
      </c>
      <c r="R654" s="3">
        <f t="shared" si="127"/>
        <v>29.416667945999997</v>
      </c>
      <c r="S654" s="3">
        <f t="shared" si="127"/>
        <v>29.69239301</v>
      </c>
      <c r="T654" s="3">
        <f t="shared" si="127"/>
        <v>29.972059008999999</v>
      </c>
      <c r="U654" s="3">
        <f t="shared" si="127"/>
        <v>30.254913895000001</v>
      </c>
      <c r="V654" s="3">
        <f t="shared" si="127"/>
        <v>30.540808890999998</v>
      </c>
      <c r="W654" s="3">
        <f t="shared" si="127"/>
        <v>30.811050899999998</v>
      </c>
      <c r="X654" s="3">
        <f t="shared" si="127"/>
        <v>31.098435399</v>
      </c>
      <c r="Y654" s="3">
        <f t="shared" si="127"/>
        <v>31.394003264000002</v>
      </c>
      <c r="Z654" s="3">
        <f t="shared" si="127"/>
        <v>31.697055134999999</v>
      </c>
      <c r="AA654" s="3">
        <f t="shared" si="127"/>
        <v>32.008536421000002</v>
      </c>
      <c r="AB654" s="3">
        <f t="shared" si="127"/>
        <v>32.26985277</v>
      </c>
      <c r="AC654" s="3">
        <f t="shared" si="127"/>
        <v>32.555342472999996</v>
      </c>
      <c r="AD654" s="3">
        <f t="shared" si="127"/>
        <v>32.845859813000004</v>
      </c>
      <c r="AE654" s="3">
        <f t="shared" si="127"/>
        <v>33.138062554000001</v>
      </c>
      <c r="AF654" s="3">
        <f t="shared" si="127"/>
        <v>33.433619360999998</v>
      </c>
      <c r="AG654" s="3">
        <f t="shared" si="127"/>
        <v>33.735321635000005</v>
      </c>
      <c r="AH654" s="3">
        <f t="shared" si="127"/>
        <v>34.045161505999999</v>
      </c>
      <c r="AI654" s="3">
        <f t="shared" si="127"/>
        <v>34.363665609999998</v>
      </c>
      <c r="AJ654" s="3">
        <f t="shared" si="127"/>
        <v>34.690055586</v>
      </c>
      <c r="AK654" s="3">
        <f t="shared" si="127"/>
        <v>35.022877230000006</v>
      </c>
      <c r="AL654" s="3">
        <f t="shared" si="127"/>
        <v>35.360744608000005</v>
      </c>
    </row>
    <row r="655" spans="1:38" x14ac:dyDescent="0.3">
      <c r="B655" s="3" t="str">
        <f>[1]Results!E269</f>
        <v>YG_toe_chea_0</v>
      </c>
      <c r="C655" s="3">
        <f>[1]Results!F269</f>
        <v>3.5774869819999999</v>
      </c>
      <c r="D655" s="3">
        <f>[1]Results!G269</f>
        <v>3.609670151</v>
      </c>
      <c r="E655" s="3">
        <f>[1]Results!H269</f>
        <v>3.6357885250000002</v>
      </c>
      <c r="F655" s="3">
        <f>[1]Results!I269</f>
        <v>3.6616245589999998</v>
      </c>
      <c r="G655" s="3">
        <f>[1]Results!J269</f>
        <v>3.6913392420000002</v>
      </c>
      <c r="H655" s="3">
        <f>[1]Results!K269</f>
        <v>3.7280975139999999</v>
      </c>
      <c r="I655" s="3">
        <f>[1]Results!L269</f>
        <v>3.771492979</v>
      </c>
      <c r="J655" s="3">
        <f>[1]Results!M269</f>
        <v>3.8206362139999999</v>
      </c>
      <c r="K655" s="3">
        <f>[1]Results!N269</f>
        <v>3.8733916420000001</v>
      </c>
      <c r="L655" s="3">
        <f>[1]Results!O269</f>
        <v>3.9269248189999999</v>
      </c>
      <c r="M655" s="3">
        <f>[1]Results!P269</f>
        <v>3.980998</v>
      </c>
      <c r="N655" s="3">
        <f>[1]Results!Q269</f>
        <v>4.0341070920000002</v>
      </c>
      <c r="O655" s="3">
        <f>[1]Results!R269</f>
        <v>4.0849831090000004</v>
      </c>
      <c r="P655" s="3">
        <f>[1]Results!S269</f>
        <v>4.1347629650000002</v>
      </c>
      <c r="Q655" s="3">
        <f>[1]Results!T269</f>
        <v>4.1841514880000004</v>
      </c>
      <c r="R655" s="3">
        <f>[1]Results!U269</f>
        <v>4.2335021660000001</v>
      </c>
      <c r="S655" s="3">
        <f>[1]Results!V269</f>
        <v>4.2828915299999997</v>
      </c>
      <c r="T655" s="3">
        <f>[1]Results!W269</f>
        <v>4.3322389990000003</v>
      </c>
      <c r="U655" s="3">
        <f>[1]Results!X269</f>
        <v>4.3814627249999996</v>
      </c>
      <c r="V655" s="3">
        <f>[1]Results!Y269</f>
        <v>4.4305895609999997</v>
      </c>
      <c r="W655" s="3">
        <f>[1]Results!Z269</f>
        <v>4.4781274900000003</v>
      </c>
      <c r="X655" s="3">
        <f>[1]Results!AA269</f>
        <v>4.5254930990000002</v>
      </c>
      <c r="Y655" s="3">
        <f>[1]Results!AB269</f>
        <v>4.5741158640000004</v>
      </c>
      <c r="Z655" s="3">
        <f>[1]Results!AC269</f>
        <v>4.6240245949999998</v>
      </c>
      <c r="AA655" s="3">
        <f>[1]Results!AD269</f>
        <v>4.6753098609999997</v>
      </c>
      <c r="AB655" s="3">
        <f>[1]Results!AE269</f>
        <v>4.7226409399999998</v>
      </c>
      <c r="AC655" s="3">
        <f>[1]Results!AF269</f>
        <v>4.7684825530000001</v>
      </c>
      <c r="AD655" s="3">
        <f>[1]Results!AG269</f>
        <v>4.8144585429999998</v>
      </c>
      <c r="AE655" s="3">
        <f>[1]Results!AH269</f>
        <v>4.8605270840000001</v>
      </c>
      <c r="AF655" s="3">
        <f>[1]Results!AI269</f>
        <v>4.9070356410000002</v>
      </c>
      <c r="AG655" s="3">
        <f>[1]Results!AJ269</f>
        <v>4.9544910849999999</v>
      </c>
      <c r="AH655" s="3">
        <f>[1]Results!AK269</f>
        <v>5.0032612360000002</v>
      </c>
      <c r="AI655" s="3">
        <f>[1]Results!AL269</f>
        <v>5.0534361099999998</v>
      </c>
      <c r="AJ655" s="3">
        <f>[1]Results!AM269</f>
        <v>5.1048472560000002</v>
      </c>
      <c r="AK655" s="3">
        <f>[1]Results!AN269</f>
        <v>5.1571895899999998</v>
      </c>
      <c r="AL655" s="3">
        <f>[1]Results!AO269</f>
        <v>5.2101689279999999</v>
      </c>
    </row>
    <row r="656" spans="1:38" x14ac:dyDescent="0.3">
      <c r="B656" s="3" t="str">
        <f>[1]Results!E271</f>
        <v>YG_toe_cbio_0</v>
      </c>
      <c r="C656" s="3">
        <f>[1]Results!F271</f>
        <v>11.16214102</v>
      </c>
      <c r="D656" s="3">
        <f>[1]Results!G271</f>
        <v>11.20912118</v>
      </c>
      <c r="E656" s="3">
        <f>[1]Results!H271</f>
        <v>11.228091470000001</v>
      </c>
      <c r="F656" s="3">
        <f>[1]Results!I271</f>
        <v>11.241853770000001</v>
      </c>
      <c r="G656" s="3">
        <f>[1]Results!J271</f>
        <v>11.26221934</v>
      </c>
      <c r="H656" s="3">
        <f>[1]Results!K271</f>
        <v>11.29511301</v>
      </c>
      <c r="I656" s="3">
        <f>[1]Results!L271</f>
        <v>11.336266220000001</v>
      </c>
      <c r="J656" s="3">
        <f>[1]Results!M271</f>
        <v>11.38647853</v>
      </c>
      <c r="K656" s="3">
        <f>[1]Results!N271</f>
        <v>11.44182451</v>
      </c>
      <c r="L656" s="3">
        <f>[1]Results!O271</f>
        <v>11.497834320000001</v>
      </c>
      <c r="M656" s="3">
        <f>[1]Results!P271</f>
        <v>11.559149010000001</v>
      </c>
      <c r="N656" s="3">
        <f>[1]Results!Q271</f>
        <v>11.61438089</v>
      </c>
      <c r="O656" s="3">
        <f>[1]Results!R271</f>
        <v>11.6665955</v>
      </c>
      <c r="P656" s="3">
        <f>[1]Results!S271</f>
        <v>11.71777857</v>
      </c>
      <c r="Q656" s="3">
        <f>[1]Results!T271</f>
        <v>11.768580399999999</v>
      </c>
      <c r="R656" s="3">
        <f>[1]Results!U271</f>
        <v>11.81931185</v>
      </c>
      <c r="S656" s="3">
        <f>[1]Results!V271</f>
        <v>11.87019046</v>
      </c>
      <c r="T656" s="3">
        <f>[1]Results!W271</f>
        <v>11.92126405</v>
      </c>
      <c r="U656" s="3">
        <f>[1]Results!X271</f>
        <v>11.97260056</v>
      </c>
      <c r="V656" s="3">
        <f>[1]Results!Y271</f>
        <v>12.02437967</v>
      </c>
      <c r="W656" s="3">
        <f>[1]Results!Z271</f>
        <v>12.07130995</v>
      </c>
      <c r="X656" s="3">
        <f>[1]Results!AA271</f>
        <v>12.12210234</v>
      </c>
      <c r="Y656" s="3">
        <f>[1]Results!AB271</f>
        <v>12.175631470000001</v>
      </c>
      <c r="Z656" s="3">
        <f>[1]Results!AC271</f>
        <v>12.23140164</v>
      </c>
      <c r="AA656" s="3">
        <f>[1]Results!AD271</f>
        <v>12.28945643</v>
      </c>
      <c r="AB656" s="3">
        <f>[1]Results!AE271</f>
        <v>12.33273501</v>
      </c>
      <c r="AC656" s="3">
        <f>[1]Results!AF271</f>
        <v>12.38021623</v>
      </c>
      <c r="AD656" s="3">
        <f>[1]Results!AG271</f>
        <v>12.429376059999999</v>
      </c>
      <c r="AE656" s="3">
        <f>[1]Results!AH271</f>
        <v>12.47925532</v>
      </c>
      <c r="AF656" s="3">
        <f>[1]Results!AI271</f>
        <v>12.530266709999999</v>
      </c>
      <c r="AG656" s="3">
        <f>[1]Results!AJ271</f>
        <v>12.583109520000001</v>
      </c>
      <c r="AH656" s="3">
        <f>[1]Results!AK271</f>
        <v>12.63822661</v>
      </c>
      <c r="AI656" s="3">
        <f>[1]Results!AL271</f>
        <v>12.695654579999999</v>
      </c>
      <c r="AJ656" s="3">
        <f>[1]Results!AM271</f>
        <v>12.75510676</v>
      </c>
      <c r="AK656" s="3">
        <f>[1]Results!AN271</f>
        <v>12.816162540000001</v>
      </c>
      <c r="AL656" s="3">
        <f>[1]Results!AO271</f>
        <v>12.87846993</v>
      </c>
    </row>
    <row r="657" spans="1:38" x14ac:dyDescent="0.3">
      <c r="B657" s="3" t="str">
        <f>[1]Results!E274</f>
        <v>YG_toe_cote_0</v>
      </c>
      <c r="C657" s="3">
        <f>[1]Results!F274</f>
        <v>12.626994890000001</v>
      </c>
      <c r="D657" s="3">
        <f>[1]Results!G274</f>
        <v>12.39832734</v>
      </c>
      <c r="E657" s="3">
        <f>[1]Results!H274</f>
        <v>12.23496119</v>
      </c>
      <c r="F657" s="3">
        <f>[1]Results!I274</f>
        <v>12.12346707</v>
      </c>
      <c r="G657" s="3">
        <f>[1]Results!J274</f>
        <v>12.06366513</v>
      </c>
      <c r="H657" s="3">
        <f>[1]Results!K274</f>
        <v>12.05717978</v>
      </c>
      <c r="I657" s="3">
        <f>[1]Results!L274</f>
        <v>12.09109065</v>
      </c>
      <c r="J657" s="3">
        <f>[1]Results!M274</f>
        <v>12.16852957</v>
      </c>
      <c r="K657" s="3">
        <f>[1]Results!N274</f>
        <v>12.278672289999999</v>
      </c>
      <c r="L657" s="3">
        <f>[1]Results!O274</f>
        <v>12.409247629999999</v>
      </c>
      <c r="M657" s="3">
        <f>[1]Results!P274</f>
        <v>12.565871469999999</v>
      </c>
      <c r="N657" s="3">
        <f>[1]Results!Q274</f>
        <v>12.714707499999999</v>
      </c>
      <c r="O657" s="3">
        <f>[1]Results!R274</f>
        <v>12.86826997</v>
      </c>
      <c r="P657" s="3">
        <f>[1]Results!S274</f>
        <v>13.02773174</v>
      </c>
      <c r="Q657" s="3">
        <f>[1]Results!T274</f>
        <v>13.193073999999999</v>
      </c>
      <c r="R657" s="3">
        <f>[1]Results!U274</f>
        <v>13.363853929999999</v>
      </c>
      <c r="S657" s="3">
        <f>[1]Results!V274</f>
        <v>13.53931102</v>
      </c>
      <c r="T657" s="3">
        <f>[1]Results!W274</f>
        <v>13.71855596</v>
      </c>
      <c r="U657" s="3">
        <f>[1]Results!X274</f>
        <v>13.900850610000001</v>
      </c>
      <c r="V657" s="3">
        <f>[1]Results!Y274</f>
        <v>14.08583966</v>
      </c>
      <c r="W657" s="3">
        <f>[1]Results!Z274</f>
        <v>14.26161346</v>
      </c>
      <c r="X657" s="3">
        <f>[1]Results!AA274</f>
        <v>14.45083996</v>
      </c>
      <c r="Y657" s="3">
        <f>[1]Results!AB274</f>
        <v>14.64425593</v>
      </c>
      <c r="Z657" s="3">
        <f>[1]Results!AC274</f>
        <v>14.8416289</v>
      </c>
      <c r="AA657" s="3">
        <f>[1]Results!AD274</f>
        <v>15.04377013</v>
      </c>
      <c r="AB657" s="3">
        <f>[1]Results!AE274</f>
        <v>15.21447682</v>
      </c>
      <c r="AC657" s="3">
        <f>[1]Results!AF274</f>
        <v>15.406643689999999</v>
      </c>
      <c r="AD657" s="3">
        <f>[1]Results!AG274</f>
        <v>15.602025210000001</v>
      </c>
      <c r="AE657" s="3">
        <f>[1]Results!AH274</f>
        <v>15.79828015</v>
      </c>
      <c r="AF657" s="3">
        <f>[1]Results!AI274</f>
        <v>15.99631701</v>
      </c>
      <c r="AG657" s="3">
        <f>[1]Results!AJ274</f>
        <v>16.19772103</v>
      </c>
      <c r="AH657" s="3">
        <f>[1]Results!AK274</f>
        <v>16.403673659999999</v>
      </c>
      <c r="AI657" s="3">
        <f>[1]Results!AL274</f>
        <v>16.614574919999999</v>
      </c>
      <c r="AJ657" s="3">
        <f>[1]Results!AM274</f>
        <v>16.83010157</v>
      </c>
      <c r="AK657" s="3">
        <f>[1]Results!AN274</f>
        <v>17.0495251</v>
      </c>
      <c r="AL657" s="3">
        <f>[1]Results!AO274</f>
        <v>17.272105750000001</v>
      </c>
    </row>
    <row r="658" spans="1:38" x14ac:dyDescent="0.3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</row>
    <row r="659" spans="1:38" x14ac:dyDescent="0.3">
      <c r="A659" s="12" t="s">
        <v>68</v>
      </c>
      <c r="C659" s="2">
        <v>42005</v>
      </c>
      <c r="D659" s="2">
        <v>42370</v>
      </c>
      <c r="E659" s="2">
        <v>42736</v>
      </c>
      <c r="F659" s="2">
        <v>43101</v>
      </c>
      <c r="G659" s="2">
        <v>43466</v>
      </c>
      <c r="H659" s="2">
        <v>43831</v>
      </c>
      <c r="I659" s="2">
        <v>44197</v>
      </c>
      <c r="J659" s="2">
        <v>44562</v>
      </c>
      <c r="K659" s="2">
        <v>44927</v>
      </c>
      <c r="L659" s="2">
        <v>45292</v>
      </c>
      <c r="M659" s="2">
        <v>45658</v>
      </c>
      <c r="N659" s="2">
        <v>46023</v>
      </c>
      <c r="O659" s="2">
        <v>46388</v>
      </c>
      <c r="P659" s="2">
        <v>46753</v>
      </c>
      <c r="Q659" s="2">
        <v>47119</v>
      </c>
      <c r="R659" s="2">
        <v>47484</v>
      </c>
      <c r="S659" s="2">
        <v>47849</v>
      </c>
      <c r="T659" s="2">
        <v>48214</v>
      </c>
      <c r="U659" s="2">
        <v>48580</v>
      </c>
      <c r="V659" s="2">
        <v>48945</v>
      </c>
      <c r="W659" s="2">
        <v>49310</v>
      </c>
      <c r="X659" s="2">
        <v>49675</v>
      </c>
      <c r="Y659" s="2">
        <v>50041</v>
      </c>
      <c r="Z659" s="2">
        <v>50406</v>
      </c>
      <c r="AA659" s="2">
        <v>50771</v>
      </c>
      <c r="AB659" s="2">
        <v>51136</v>
      </c>
      <c r="AC659" s="2">
        <v>51502</v>
      </c>
      <c r="AD659" s="2">
        <v>51867</v>
      </c>
      <c r="AE659" s="2">
        <v>52232</v>
      </c>
      <c r="AF659" s="2">
        <v>52597</v>
      </c>
      <c r="AG659" s="2">
        <v>52963</v>
      </c>
      <c r="AH659" s="2">
        <v>53328</v>
      </c>
      <c r="AI659" s="2">
        <v>53693</v>
      </c>
      <c r="AJ659" s="2">
        <v>54058</v>
      </c>
      <c r="AK659" s="2">
        <v>54424</v>
      </c>
      <c r="AL659" s="2">
        <v>54789</v>
      </c>
    </row>
    <row r="660" spans="1:38" x14ac:dyDescent="0.3">
      <c r="A660" t="s">
        <v>69</v>
      </c>
      <c r="B660" t="s">
        <v>92</v>
      </c>
      <c r="C660" s="4">
        <f>C633/C646-1</f>
        <v>0</v>
      </c>
      <c r="D660" s="4">
        <f t="shared" ref="D660" si="128">D633/D646-1</f>
        <v>0</v>
      </c>
      <c r="E660" s="4">
        <f t="shared" ref="E660:AL660" si="129">E633/E646-1</f>
        <v>0</v>
      </c>
      <c r="F660" s="4">
        <f t="shared" si="129"/>
        <v>0</v>
      </c>
      <c r="G660" s="4">
        <f t="shared" si="129"/>
        <v>0</v>
      </c>
      <c r="H660" s="4">
        <f t="shared" si="129"/>
        <v>0</v>
      </c>
      <c r="I660" s="4">
        <f t="shared" si="129"/>
        <v>7.9646848205947585E-3</v>
      </c>
      <c r="J660" s="4">
        <f t="shared" si="129"/>
        <v>8.9260236700339224E-3</v>
      </c>
      <c r="K660" s="4">
        <f t="shared" si="129"/>
        <v>6.9868892136619731E-3</v>
      </c>
      <c r="L660" s="4">
        <f t="shared" si="129"/>
        <v>2.9659314677334958E-3</v>
      </c>
      <c r="M660" s="4">
        <f t="shared" si="129"/>
        <v>-2.167613154957726E-3</v>
      </c>
      <c r="N660" s="4">
        <f t="shared" si="129"/>
        <v>-7.207592831261489E-3</v>
      </c>
      <c r="O660" s="4">
        <f t="shared" si="129"/>
        <v>-1.129898591817402E-2</v>
      </c>
      <c r="P660" s="4">
        <f t="shared" si="129"/>
        <v>-1.3974950523574114E-2</v>
      </c>
      <c r="Q660" s="4">
        <f t="shared" si="129"/>
        <v>-1.5213946640253551E-2</v>
      </c>
      <c r="R660" s="4">
        <f t="shared" si="129"/>
        <v>-1.5342374768921863E-2</v>
      </c>
      <c r="S660" s="4">
        <f t="shared" si="129"/>
        <v>-1.4866790811202568E-2</v>
      </c>
      <c r="T660" s="4">
        <f t="shared" si="129"/>
        <v>-1.4230238876826284E-2</v>
      </c>
      <c r="U660" s="4">
        <f t="shared" si="129"/>
        <v>-1.3707365426621543E-2</v>
      </c>
      <c r="V660" s="4">
        <f t="shared" si="129"/>
        <v>-1.3388102246604028E-2</v>
      </c>
      <c r="W660" s="4">
        <f t="shared" si="129"/>
        <v>-1.3240283206472081E-2</v>
      </c>
      <c r="X660" s="4">
        <f t="shared" si="129"/>
        <v>-1.3136289869725704E-2</v>
      </c>
      <c r="Y660" s="4">
        <f t="shared" si="129"/>
        <v>-1.3001463087973009E-2</v>
      </c>
      <c r="Z660" s="4">
        <f t="shared" si="129"/>
        <v>-1.2803832257081038E-2</v>
      </c>
      <c r="AA660" s="4">
        <f t="shared" si="129"/>
        <v>-1.2560468907622524E-2</v>
      </c>
      <c r="AB660" s="4">
        <f t="shared" si="129"/>
        <v>-1.2341142896003743E-2</v>
      </c>
      <c r="AC660" s="4">
        <f t="shared" si="129"/>
        <v>-1.2159176951967776E-2</v>
      </c>
      <c r="AD660" s="4">
        <f t="shared" si="129"/>
        <v>-1.2044603965769674E-2</v>
      </c>
      <c r="AE660" s="4">
        <f t="shared" si="129"/>
        <v>-1.1990799744007852E-2</v>
      </c>
      <c r="AF660" s="4">
        <f t="shared" si="129"/>
        <v>-1.197843143992694E-2</v>
      </c>
      <c r="AG660" s="4">
        <f t="shared" si="129"/>
        <v>-1.1982060784291648E-2</v>
      </c>
      <c r="AH660" s="4">
        <f t="shared" si="129"/>
        <v>-1.1980805902425673E-2</v>
      </c>
      <c r="AI660" s="4">
        <f t="shared" si="129"/>
        <v>-1.1964903399183657E-2</v>
      </c>
      <c r="AJ660" s="4">
        <f t="shared" si="129"/>
        <v>-1.1937447344846142E-2</v>
      </c>
      <c r="AK660" s="4">
        <f t="shared" si="129"/>
        <v>-1.1906792154020684E-2</v>
      </c>
      <c r="AL660" s="4">
        <f t="shared" si="129"/>
        <v>-1.1882662257938659E-2</v>
      </c>
    </row>
    <row r="661" spans="1:38" x14ac:dyDescent="0.3">
      <c r="B661" t="s">
        <v>50</v>
      </c>
      <c r="C661" s="4">
        <f>(C634-C647)/C$646</f>
        <v>0</v>
      </c>
      <c r="D661" s="4">
        <f>(D634-D647)/D$646</f>
        <v>0</v>
      </c>
      <c r="E661" s="4">
        <f t="shared" ref="E661:AL661" si="130">(E634-E647)/E$646</f>
        <v>0</v>
      </c>
      <c r="F661" s="4">
        <f t="shared" si="130"/>
        <v>0</v>
      </c>
      <c r="G661" s="4">
        <f t="shared" si="130"/>
        <v>0</v>
      </c>
      <c r="H661" s="4">
        <f t="shared" si="130"/>
        <v>0</v>
      </c>
      <c r="I661" s="4">
        <f t="shared" si="130"/>
        <v>7.3527136627762031E-5</v>
      </c>
      <c r="J661" s="4">
        <f t="shared" si="130"/>
        <v>1.524667816227403E-4</v>
      </c>
      <c r="K661" s="4">
        <f t="shared" si="130"/>
        <v>2.1418549450994868E-4</v>
      </c>
      <c r="L661" s="4">
        <f t="shared" si="130"/>
        <v>2.4878166387048002E-4</v>
      </c>
      <c r="M661" s="4">
        <f t="shared" si="130"/>
        <v>2.5421503892888612E-4</v>
      </c>
      <c r="N661" s="4">
        <f t="shared" si="130"/>
        <v>2.3674655537180161E-4</v>
      </c>
      <c r="O661" s="4">
        <f t="shared" si="130"/>
        <v>2.0541032403729388E-4</v>
      </c>
      <c r="P661" s="4">
        <f t="shared" si="130"/>
        <v>1.706982132072287E-4</v>
      </c>
      <c r="Q661" s="4">
        <f t="shared" si="130"/>
        <v>1.4113085763537065E-4</v>
      </c>
      <c r="R661" s="4">
        <f t="shared" si="130"/>
        <v>1.2103891292878032E-4</v>
      </c>
      <c r="S661" s="4">
        <f t="shared" si="130"/>
        <v>1.107517040744178E-4</v>
      </c>
      <c r="T661" s="4">
        <f t="shared" si="130"/>
        <v>1.0801692711003393E-4</v>
      </c>
      <c r="U661" s="4">
        <f t="shared" si="130"/>
        <v>1.0943133112449782E-4</v>
      </c>
      <c r="V661" s="4">
        <f t="shared" si="130"/>
        <v>1.1188890909098449E-4</v>
      </c>
      <c r="W661" s="4">
        <f t="shared" si="130"/>
        <v>1.1328843246130536E-4</v>
      </c>
      <c r="X661" s="4">
        <f t="shared" si="130"/>
        <v>1.1360328406508262E-4</v>
      </c>
      <c r="Y661" s="4">
        <f t="shared" si="130"/>
        <v>1.1306517920756299E-4</v>
      </c>
      <c r="Z661" s="4">
        <f t="shared" si="130"/>
        <v>1.1245137182176713E-4</v>
      </c>
      <c r="AA661" s="4">
        <f t="shared" si="130"/>
        <v>1.1238532067893102E-4</v>
      </c>
      <c r="AB661" s="4">
        <f t="shared" si="130"/>
        <v>1.1263470549210884E-4</v>
      </c>
      <c r="AC661" s="4">
        <f t="shared" si="130"/>
        <v>1.1369026062395169E-4</v>
      </c>
      <c r="AD661" s="4">
        <f t="shared" si="130"/>
        <v>1.1492664077415419E-4</v>
      </c>
      <c r="AE661" s="4">
        <f t="shared" si="130"/>
        <v>1.1597911163374182E-4</v>
      </c>
      <c r="AF661" s="4">
        <f t="shared" si="130"/>
        <v>1.1669742676597493E-4</v>
      </c>
      <c r="AG661" s="4">
        <f t="shared" si="130"/>
        <v>1.1713099468182674E-4</v>
      </c>
      <c r="AH661" s="4">
        <f t="shared" si="130"/>
        <v>1.174626913151677E-4</v>
      </c>
      <c r="AI661" s="4">
        <f t="shared" si="130"/>
        <v>1.1790192393251479E-4</v>
      </c>
      <c r="AJ661" s="4">
        <f t="shared" si="130"/>
        <v>1.1859541249168053E-4</v>
      </c>
      <c r="AK661" s="4">
        <f t="shared" si="130"/>
        <v>1.1958503218621515E-4</v>
      </c>
      <c r="AL661" s="4">
        <f t="shared" si="130"/>
        <v>1.2081157244785811E-4</v>
      </c>
    </row>
    <row r="662" spans="1:38" x14ac:dyDescent="0.3">
      <c r="B662" t="s">
        <v>48</v>
      </c>
      <c r="C662" s="4">
        <f>(C635-C648)/C$647</f>
        <v>0</v>
      </c>
      <c r="D662" s="4">
        <f>(D635-D648)/D$646</f>
        <v>0</v>
      </c>
      <c r="E662" s="4">
        <f t="shared" ref="E662:AL662" si="131">(E635-E648)/E$646</f>
        <v>0</v>
      </c>
      <c r="F662" s="4">
        <f t="shared" si="131"/>
        <v>0</v>
      </c>
      <c r="G662" s="4">
        <f t="shared" si="131"/>
        <v>0</v>
      </c>
      <c r="H662" s="4">
        <f t="shared" si="131"/>
        <v>0</v>
      </c>
      <c r="I662" s="4">
        <f t="shared" si="131"/>
        <v>2.2114121481411663E-3</v>
      </c>
      <c r="J662" s="4">
        <f t="shared" si="131"/>
        <v>2.7058654036007952E-3</v>
      </c>
      <c r="K662" s="4">
        <f t="shared" si="131"/>
        <v>2.5765956243052088E-3</v>
      </c>
      <c r="L662" s="4">
        <f t="shared" si="131"/>
        <v>2.0052209862035397E-3</v>
      </c>
      <c r="M662" s="4">
        <f t="shared" si="131"/>
        <v>1.16180750914217E-3</v>
      </c>
      <c r="N662" s="4">
        <f t="shared" si="131"/>
        <v>2.6280784635595401E-4</v>
      </c>
      <c r="O662" s="4">
        <f t="shared" si="131"/>
        <v>-5.27011564028074E-4</v>
      </c>
      <c r="P662" s="4">
        <f t="shared" si="131"/>
        <v>-1.1032124771754963E-3</v>
      </c>
      <c r="Q662" s="4">
        <f t="shared" si="131"/>
        <v>-1.4394684456322437E-3</v>
      </c>
      <c r="R662" s="4">
        <f t="shared" si="131"/>
        <v>-1.5724848917473971E-3</v>
      </c>
      <c r="S662" s="4">
        <f t="shared" si="131"/>
        <v>-1.575337068068749E-3</v>
      </c>
      <c r="T662" s="4">
        <f t="shared" si="131"/>
        <v>-1.5215967770122623E-3</v>
      </c>
      <c r="U662" s="4">
        <f t="shared" si="131"/>
        <v>-1.4638803391418603E-3</v>
      </c>
      <c r="V662" s="4">
        <f t="shared" si="131"/>
        <v>-1.4256837574011829E-3</v>
      </c>
      <c r="W662" s="4">
        <f t="shared" si="131"/>
        <v>-1.4079459536020702E-3</v>
      </c>
      <c r="X662" s="4">
        <f t="shared" si="131"/>
        <v>-1.3918749804981499E-3</v>
      </c>
      <c r="Y662" s="4">
        <f t="shared" si="131"/>
        <v>-1.3645947042106943E-3</v>
      </c>
      <c r="Z662" s="4">
        <f t="shared" si="131"/>
        <v>-1.3189617319561415E-3</v>
      </c>
      <c r="AA662" s="4">
        <f t="shared" si="131"/>
        <v>-1.2564642275819306E-3</v>
      </c>
      <c r="AB662" s="4">
        <f t="shared" si="131"/>
        <v>-1.1878235699167741E-3</v>
      </c>
      <c r="AC662" s="4">
        <f t="shared" si="131"/>
        <v>-1.1163419641014188E-3</v>
      </c>
      <c r="AD662" s="4">
        <f t="shared" si="131"/>
        <v>-1.0479524087328692E-3</v>
      </c>
      <c r="AE662" s="4">
        <f t="shared" si="131"/>
        <v>-9.8338648893669424E-4</v>
      </c>
      <c r="AF662" s="4">
        <f t="shared" si="131"/>
        <v>-9.208932746808526E-4</v>
      </c>
      <c r="AG662" s="4">
        <f t="shared" si="131"/>
        <v>-8.5726572997052539E-4</v>
      </c>
      <c r="AH662" s="4">
        <f t="shared" si="131"/>
        <v>-7.8947290370938081E-4</v>
      </c>
      <c r="AI662" s="4">
        <f t="shared" si="131"/>
        <v>-7.161530760989484E-4</v>
      </c>
      <c r="AJ662" s="4">
        <f t="shared" si="131"/>
        <v>-6.3768293254918207E-4</v>
      </c>
      <c r="AK662" s="4">
        <f t="shared" si="131"/>
        <v>-5.5542283753244668E-4</v>
      </c>
      <c r="AL662" s="4">
        <f t="shared" si="131"/>
        <v>-4.7092992412976195E-4</v>
      </c>
    </row>
    <row r="663" spans="1:38" x14ac:dyDescent="0.3">
      <c r="B663" t="s">
        <v>81</v>
      </c>
      <c r="C663" s="4">
        <f>(C639-C652)/C$646</f>
        <v>0</v>
      </c>
      <c r="D663" s="4">
        <f>(D639-D652)/D$646</f>
        <v>0</v>
      </c>
      <c r="E663" s="4">
        <f t="shared" ref="E663:AL663" si="132">(E639-E652)/E$646</f>
        <v>0</v>
      </c>
      <c r="F663" s="4">
        <f t="shared" si="132"/>
        <v>0</v>
      </c>
      <c r="G663" s="4">
        <f t="shared" si="132"/>
        <v>0</v>
      </c>
      <c r="H663" s="4">
        <f t="shared" si="132"/>
        <v>0</v>
      </c>
      <c r="I663" s="4">
        <f t="shared" si="132"/>
        <v>9.9361243514112783E-4</v>
      </c>
      <c r="J663" s="4">
        <f t="shared" si="132"/>
        <v>1.1038312125656452E-3</v>
      </c>
      <c r="K663" s="4">
        <f t="shared" si="132"/>
        <v>9.708510514628906E-4</v>
      </c>
      <c r="L663" s="4">
        <f t="shared" si="132"/>
        <v>6.0028856002115611E-4</v>
      </c>
      <c r="M663" s="4">
        <f t="shared" si="132"/>
        <v>7.9908534372350319E-5</v>
      </c>
      <c r="N663" s="4">
        <f t="shared" si="132"/>
        <v>-4.5734675758104138E-4</v>
      </c>
      <c r="O663" s="4">
        <f t="shared" si="132"/>
        <v>-9.1045587831160586E-4</v>
      </c>
      <c r="P663" s="4">
        <f t="shared" si="132"/>
        <v>-1.2166071182319804E-3</v>
      </c>
      <c r="Q663" s="4">
        <f t="shared" si="132"/>
        <v>-1.3625535426963955E-3</v>
      </c>
      <c r="R663" s="4">
        <f t="shared" si="132"/>
        <v>-1.3819210857104406E-3</v>
      </c>
      <c r="S663" s="4">
        <f t="shared" si="132"/>
        <v>-1.3325403441347492E-3</v>
      </c>
      <c r="T663" s="4">
        <f t="shared" si="132"/>
        <v>-1.2642068855912682E-3</v>
      </c>
      <c r="U663" s="4">
        <f t="shared" si="132"/>
        <v>-1.2062988213789006E-3</v>
      </c>
      <c r="V663" s="4">
        <f t="shared" si="132"/>
        <v>-1.1680744004793396E-3</v>
      </c>
      <c r="W663" s="4">
        <f t="shared" si="132"/>
        <v>-1.1466394588008602E-3</v>
      </c>
      <c r="X663" s="4">
        <f t="shared" si="132"/>
        <v>-1.129680248970828E-3</v>
      </c>
      <c r="Y663" s="4">
        <f t="shared" si="132"/>
        <v>-1.1106267274481813E-3</v>
      </c>
      <c r="Z663" s="4">
        <f t="shared" si="132"/>
        <v>-1.0862657804761667E-3</v>
      </c>
      <c r="AA663" s="4">
        <f t="shared" si="132"/>
        <v>-1.0587442304832234E-3</v>
      </c>
      <c r="AB663" s="4">
        <f t="shared" si="132"/>
        <v>-1.0355477089726791E-3</v>
      </c>
      <c r="AC663" s="4">
        <f t="shared" si="132"/>
        <v>-1.0179756531961076E-3</v>
      </c>
      <c r="AD663" s="4">
        <f t="shared" si="132"/>
        <v>-1.0097261161791024E-3</v>
      </c>
      <c r="AE663" s="4">
        <f t="shared" si="132"/>
        <v>-1.009961819871826E-3</v>
      </c>
      <c r="AF663" s="4">
        <f t="shared" si="132"/>
        <v>-1.016192523018145E-3</v>
      </c>
      <c r="AG663" s="4">
        <f t="shared" si="132"/>
        <v>-1.0252734379849547E-3</v>
      </c>
      <c r="AH663" s="4">
        <f t="shared" si="132"/>
        <v>-1.0345908953518436E-3</v>
      </c>
      <c r="AI663" s="4">
        <f t="shared" si="132"/>
        <v>-1.0427589615578136E-3</v>
      </c>
      <c r="AJ663" s="4">
        <f t="shared" si="132"/>
        <v>-1.0497798267462325E-3</v>
      </c>
      <c r="AK663" s="4">
        <f t="shared" si="132"/>
        <v>-1.0565073097928324E-3</v>
      </c>
      <c r="AL663" s="4">
        <f t="shared" si="132"/>
        <v>-1.0640817589103368E-3</v>
      </c>
    </row>
    <row r="664" spans="1:38" x14ac:dyDescent="0.3">
      <c r="B664" t="s">
        <v>11</v>
      </c>
      <c r="C664" s="4">
        <f>(C640-C653)/C$647</f>
        <v>0</v>
      </c>
      <c r="D664" s="4">
        <f>(D640-D653)/D$646</f>
        <v>0</v>
      </c>
      <c r="E664" s="4">
        <f t="shared" ref="E664:AL664" si="133">(E640-E653)/E$646</f>
        <v>0</v>
      </c>
      <c r="F664" s="4">
        <f t="shared" si="133"/>
        <v>0</v>
      </c>
      <c r="G664" s="4">
        <f t="shared" si="133"/>
        <v>0</v>
      </c>
      <c r="H664" s="4">
        <f t="shared" si="133"/>
        <v>0</v>
      </c>
      <c r="I664" s="4">
        <f t="shared" si="133"/>
        <v>3.5980429576758306E-3</v>
      </c>
      <c r="J664" s="4">
        <f t="shared" si="133"/>
        <v>3.7595633965834623E-3</v>
      </c>
      <c r="K664" s="4">
        <f t="shared" si="133"/>
        <v>2.3385417383389251E-3</v>
      </c>
      <c r="L664" s="4">
        <f t="shared" si="133"/>
        <v>-1.4412522854136817E-4</v>
      </c>
      <c r="M664" s="4">
        <f t="shared" si="133"/>
        <v>-3.1100941057503697E-3</v>
      </c>
      <c r="N664" s="4">
        <f t="shared" si="133"/>
        <v>-5.8822839065860444E-3</v>
      </c>
      <c r="O664" s="4">
        <f t="shared" si="133"/>
        <v>-8.0162598549330388E-3</v>
      </c>
      <c r="P664" s="4">
        <f t="shared" si="133"/>
        <v>-9.3034330437977552E-3</v>
      </c>
      <c r="Q664" s="4">
        <f t="shared" si="133"/>
        <v>-9.783250122968809E-3</v>
      </c>
      <c r="R664" s="4">
        <f t="shared" si="133"/>
        <v>-9.6743228917856271E-3</v>
      </c>
      <c r="S664" s="4">
        <f t="shared" si="133"/>
        <v>-9.2792169664521872E-3</v>
      </c>
      <c r="T664" s="4">
        <f t="shared" si="133"/>
        <v>-8.8445468679290932E-3</v>
      </c>
      <c r="U664" s="4">
        <f t="shared" si="133"/>
        <v>-8.5125832690922821E-3</v>
      </c>
      <c r="V664" s="4">
        <f t="shared" si="133"/>
        <v>-8.3190452708915216E-3</v>
      </c>
      <c r="W664" s="4">
        <f t="shared" si="133"/>
        <v>-8.2329903040421343E-3</v>
      </c>
      <c r="X664" s="4">
        <f t="shared" si="133"/>
        <v>-8.1769889771245042E-3</v>
      </c>
      <c r="Y664" s="4">
        <f t="shared" si="133"/>
        <v>-8.1072092671756104E-3</v>
      </c>
      <c r="Z664" s="4">
        <f t="shared" si="133"/>
        <v>-8.0079966009076065E-3</v>
      </c>
      <c r="AA664" s="4">
        <f t="shared" si="133"/>
        <v>-7.8911082191761781E-3</v>
      </c>
      <c r="AB664" s="4">
        <f t="shared" si="133"/>
        <v>-7.7960166274641607E-3</v>
      </c>
      <c r="AC664" s="4">
        <f t="shared" si="133"/>
        <v>-7.7312695617930641E-3</v>
      </c>
      <c r="AD664" s="4">
        <f t="shared" si="133"/>
        <v>-7.7111416694582054E-3</v>
      </c>
      <c r="AE664" s="4">
        <f t="shared" si="133"/>
        <v>-7.7294087319986675E-3</v>
      </c>
      <c r="AF664" s="4">
        <f t="shared" si="133"/>
        <v>-7.7740290692824782E-3</v>
      </c>
      <c r="AG664" s="4">
        <f t="shared" si="133"/>
        <v>-7.8301147677989884E-3</v>
      </c>
      <c r="AH664" s="4">
        <f t="shared" si="133"/>
        <v>-7.8860510854509014E-3</v>
      </c>
      <c r="AI664" s="4">
        <f t="shared" si="133"/>
        <v>-7.9367322166450614E-3</v>
      </c>
      <c r="AJ664" s="4">
        <f t="shared" si="133"/>
        <v>-7.9848014816519958E-3</v>
      </c>
      <c r="AK664" s="4">
        <f t="shared" si="133"/>
        <v>-8.0350850065825062E-3</v>
      </c>
      <c r="AL664" s="4">
        <f t="shared" si="133"/>
        <v>-8.0928308185786776E-3</v>
      </c>
    </row>
    <row r="665" spans="1:38" x14ac:dyDescent="0.3">
      <c r="B665" t="s">
        <v>49</v>
      </c>
      <c r="C665" s="4">
        <f>(C641-C654)/C$648</f>
        <v>0</v>
      </c>
      <c r="D665" s="4">
        <f>(D641-D654)/D$646</f>
        <v>0</v>
      </c>
      <c r="E665" s="4">
        <f t="shared" ref="E665:AL665" si="134">(E641-E654)/E$646</f>
        <v>0</v>
      </c>
      <c r="F665" s="4">
        <f t="shared" si="134"/>
        <v>0</v>
      </c>
      <c r="G665" s="4">
        <f t="shared" si="134"/>
        <v>0</v>
      </c>
      <c r="H665" s="4">
        <f t="shared" si="134"/>
        <v>0</v>
      </c>
      <c r="I665" s="4">
        <f t="shared" si="134"/>
        <v>1.0880901894959984E-3</v>
      </c>
      <c r="J665" s="4">
        <f t="shared" si="134"/>
        <v>1.2042971570636132E-3</v>
      </c>
      <c r="K665" s="4">
        <f t="shared" si="134"/>
        <v>8.8671516820634615E-4</v>
      </c>
      <c r="L665" s="4">
        <f t="shared" si="134"/>
        <v>2.5576536111600171E-4</v>
      </c>
      <c r="M665" s="4">
        <f t="shared" si="134"/>
        <v>-5.5345043394017994E-4</v>
      </c>
      <c r="N665" s="4">
        <f t="shared" si="134"/>
        <v>-1.3675163770338701E-3</v>
      </c>
      <c r="O665" s="4">
        <f t="shared" si="134"/>
        <v>-2.0506690814212514E-3</v>
      </c>
      <c r="P665" s="4">
        <f t="shared" si="134"/>
        <v>-2.5223963562334582E-3</v>
      </c>
      <c r="Q665" s="4">
        <f t="shared" si="134"/>
        <v>-2.7698052991973823E-3</v>
      </c>
      <c r="R665" s="4">
        <f t="shared" si="134"/>
        <v>-2.8346842916962458E-3</v>
      </c>
      <c r="S665" s="4">
        <f t="shared" si="134"/>
        <v>-2.7904482665755278E-3</v>
      </c>
      <c r="T665" s="4">
        <f t="shared" si="134"/>
        <v>-2.7079053692593965E-3</v>
      </c>
      <c r="U665" s="4">
        <f t="shared" si="134"/>
        <v>-2.6340345116734475E-3</v>
      </c>
      <c r="V665" s="4">
        <f t="shared" si="134"/>
        <v>-2.5871877788119758E-3</v>
      </c>
      <c r="W665" s="4">
        <f t="shared" si="134"/>
        <v>-2.5659957978780342E-3</v>
      </c>
      <c r="X665" s="4">
        <f t="shared" si="134"/>
        <v>-2.5513489715395924E-3</v>
      </c>
      <c r="Y665" s="4">
        <f t="shared" si="134"/>
        <v>-2.5320973868591871E-3</v>
      </c>
      <c r="Z665" s="4">
        <f t="shared" si="134"/>
        <v>-2.5030592798114988E-3</v>
      </c>
      <c r="AA665" s="4">
        <f t="shared" si="134"/>
        <v>-2.4665377575862945E-3</v>
      </c>
      <c r="AB665" s="4">
        <f t="shared" si="134"/>
        <v>-2.4343893642992105E-3</v>
      </c>
      <c r="AC665" s="4">
        <f t="shared" si="134"/>
        <v>-2.4072801415117345E-3</v>
      </c>
      <c r="AD665" s="4">
        <f t="shared" si="134"/>
        <v>-2.3907104264359554E-3</v>
      </c>
      <c r="AE665" s="4">
        <f t="shared" si="134"/>
        <v>-2.3840214647288301E-3</v>
      </c>
      <c r="AF665" s="4">
        <f t="shared" si="134"/>
        <v>-2.3840139577429482E-3</v>
      </c>
      <c r="AG665" s="4">
        <f t="shared" si="134"/>
        <v>-2.3865376136436856E-3</v>
      </c>
      <c r="AH665" s="4">
        <f t="shared" si="134"/>
        <v>-2.3881534402778667E-3</v>
      </c>
      <c r="AI665" s="4">
        <f t="shared" si="134"/>
        <v>-2.3871610178915759E-3</v>
      </c>
      <c r="AJ665" s="4">
        <f t="shared" si="134"/>
        <v>-2.3837783598936249E-3</v>
      </c>
      <c r="AK665" s="4">
        <f t="shared" si="134"/>
        <v>-2.3793620237467649E-3</v>
      </c>
      <c r="AL665" s="4">
        <f t="shared" si="134"/>
        <v>-2.3756314580886187E-3</v>
      </c>
    </row>
    <row r="667" spans="1:38" x14ac:dyDescent="0.3">
      <c r="B667" s="6" t="str">
        <f>[1]Macro!A100</f>
        <v>y_toe_2</v>
      </c>
      <c r="C667" s="6">
        <f>[1]Macro!B100</f>
        <v>136.4561362</v>
      </c>
      <c r="D667" s="6">
        <f>[1]Macro!C100</f>
        <v>138.7981724</v>
      </c>
      <c r="E667" s="6">
        <f>[1]Macro!D100</f>
        <v>140.57108500000001</v>
      </c>
      <c r="F667" s="6">
        <f>[1]Macro!E100</f>
        <v>142.15085780000001</v>
      </c>
      <c r="G667" s="6">
        <f>[1]Macro!F100</f>
        <v>143.74577450000001</v>
      </c>
      <c r="H667" s="6">
        <f>[1]Macro!G100</f>
        <v>145.48493680000001</v>
      </c>
      <c r="I667" s="6">
        <f>[1]Macro!H100</f>
        <v>148.48297700000001</v>
      </c>
      <c r="J667" s="6">
        <f>[1]Macro!I100</f>
        <v>150.62865909999999</v>
      </c>
      <c r="K667" s="6">
        <f>[1]Macro!J100</f>
        <v>152.4117066</v>
      </c>
      <c r="L667" s="6">
        <f>[1]Macro!K100</f>
        <v>153.85366920000001</v>
      </c>
      <c r="M667" s="6">
        <f>[1]Macro!L100</f>
        <v>155.149473</v>
      </c>
      <c r="N667" s="6">
        <f>[1]Macro!M100</f>
        <v>156.28060579999999</v>
      </c>
      <c r="O667" s="6">
        <f>[1]Macro!N100</f>
        <v>157.47631050000001</v>
      </c>
      <c r="P667" s="6">
        <f>[1]Macro!O100</f>
        <v>158.8475104</v>
      </c>
      <c r="Q667" s="6">
        <f>[1]Macro!P100</f>
        <v>160.42447110000001</v>
      </c>
      <c r="R667" s="6">
        <f>[1]Macro!Q100</f>
        <v>162.17381180000001</v>
      </c>
      <c r="S667" s="6">
        <f>[1]Macro!R100</f>
        <v>164.0238086</v>
      </c>
      <c r="T667" s="6">
        <f>[1]Macro!S100</f>
        <v>165.90428080000001</v>
      </c>
      <c r="U667" s="6">
        <f>[1]Macro!T100</f>
        <v>167.76929390000001</v>
      </c>
      <c r="V667" s="6">
        <f>[1]Macro!U100</f>
        <v>169.60507820000001</v>
      </c>
      <c r="W667" s="6">
        <f>[1]Macro!V100</f>
        <v>171.32860460000001</v>
      </c>
      <c r="X667" s="6">
        <f>[1]Macro!W100</f>
        <v>173.12191429999999</v>
      </c>
      <c r="Y667" s="6">
        <f>[1]Macro!X100</f>
        <v>174.9538302</v>
      </c>
      <c r="Z667" s="6">
        <f>[1]Macro!Y100</f>
        <v>176.83555050000001</v>
      </c>
      <c r="AA667" s="6">
        <f>[1]Macro!Z100</f>
        <v>178.77228030000001</v>
      </c>
      <c r="AB667" s="6">
        <f>[1]Macro!AA100</f>
        <v>180.4648473</v>
      </c>
      <c r="AC667" s="6">
        <f>[1]Macro!AB100</f>
        <v>182.2711687</v>
      </c>
      <c r="AD667" s="6">
        <f>[1]Macro!AC100</f>
        <v>184.0767304</v>
      </c>
      <c r="AE667" s="6">
        <f>[1]Macro!AD100</f>
        <v>185.87693400000001</v>
      </c>
      <c r="AF667" s="6">
        <f>[1]Macro!AE100</f>
        <v>187.6891214</v>
      </c>
      <c r="AG667" s="6">
        <f>[1]Macro!AF100</f>
        <v>189.5350339</v>
      </c>
      <c r="AH667" s="6">
        <f>[1]Macro!AG100</f>
        <v>191.42983889999999</v>
      </c>
      <c r="AI667" s="6">
        <f>[1]Macro!AH100</f>
        <v>193.37771739999999</v>
      </c>
      <c r="AJ667" s="6">
        <f>[1]Macro!AI100</f>
        <v>195.3728308</v>
      </c>
      <c r="AK667" s="6">
        <f>[1]Macro!AJ100</f>
        <v>197.4046027</v>
      </c>
      <c r="AL667" s="6">
        <f>[1]Macro!AK100</f>
        <v>199.46305100000001</v>
      </c>
    </row>
    <row r="668" spans="1:38" x14ac:dyDescent="0.3">
      <c r="B668" s="6" t="str">
        <f>[1]Macro!A101</f>
        <v>m_toe_2</v>
      </c>
      <c r="C668" s="6">
        <f>[1]Macro!B101</f>
        <v>152.7936014</v>
      </c>
      <c r="D668" s="6">
        <f>[1]Macro!C101</f>
        <v>153.2497161</v>
      </c>
      <c r="E668" s="6">
        <f>[1]Macro!D101</f>
        <v>153.75154240000001</v>
      </c>
      <c r="F668" s="6">
        <f>[1]Macro!E101</f>
        <v>154.3134791</v>
      </c>
      <c r="G668" s="6">
        <f>[1]Macro!F101</f>
        <v>155.06737770000001</v>
      </c>
      <c r="H668" s="6">
        <f>[1]Macro!G101</f>
        <v>156.10721140000001</v>
      </c>
      <c r="I668" s="6">
        <f>[1]Macro!H101</f>
        <v>158.26969819999999</v>
      </c>
      <c r="J668" s="6">
        <f>[1]Macro!I101</f>
        <v>159.99861960000001</v>
      </c>
      <c r="K668" s="6">
        <f>[1]Macro!J101</f>
        <v>161.56432459999999</v>
      </c>
      <c r="L668" s="6">
        <f>[1]Macro!K101</f>
        <v>162.97056850000001</v>
      </c>
      <c r="M668" s="6">
        <f>[1]Macro!L101</f>
        <v>164.42743949999999</v>
      </c>
      <c r="N668" s="6">
        <f>[1]Macro!M101</f>
        <v>165.69898699999999</v>
      </c>
      <c r="O668" s="6">
        <f>[1]Macro!N101</f>
        <v>167.04174520000001</v>
      </c>
      <c r="P668" s="6">
        <f>[1]Macro!O101</f>
        <v>168.5490126</v>
      </c>
      <c r="Q668" s="6">
        <f>[1]Macro!P101</f>
        <v>170.2387607</v>
      </c>
      <c r="R668" s="6">
        <f>[1]Macro!Q101</f>
        <v>172.08346750000001</v>
      </c>
      <c r="S668" s="6">
        <f>[1]Macro!R101</f>
        <v>174.03018030000001</v>
      </c>
      <c r="T668" s="6">
        <f>[1]Macro!S101</f>
        <v>176.02521039999999</v>
      </c>
      <c r="U668" s="6">
        <f>[1]Macro!T101</f>
        <v>178.03091950000001</v>
      </c>
      <c r="V668" s="6">
        <f>[1]Macro!U101</f>
        <v>180.03263340000001</v>
      </c>
      <c r="W668" s="6">
        <f>[1]Macro!V101</f>
        <v>181.89739950000001</v>
      </c>
      <c r="X668" s="6">
        <f>[1]Macro!W101</f>
        <v>183.89696359999999</v>
      </c>
      <c r="Y668" s="6">
        <f>[1]Macro!X101</f>
        <v>185.94180019999999</v>
      </c>
      <c r="Z668" s="6">
        <f>[1]Macro!Y101</f>
        <v>188.0259915</v>
      </c>
      <c r="AA668" s="6">
        <f>[1]Macro!Z101</f>
        <v>190.15569550000001</v>
      </c>
      <c r="AB668" s="6">
        <f>[1]Macro!AA101</f>
        <v>191.91370620000001</v>
      </c>
      <c r="AC668" s="6">
        <f>[1]Macro!AB101</f>
        <v>193.89602060000001</v>
      </c>
      <c r="AD668" s="6">
        <f>[1]Macro!AC101</f>
        <v>195.91376650000001</v>
      </c>
      <c r="AE668" s="6">
        <f>[1]Macro!AD101</f>
        <v>197.92924450000001</v>
      </c>
      <c r="AF668" s="6">
        <f>[1]Macro!AE101</f>
        <v>199.9515389</v>
      </c>
      <c r="AG668" s="6">
        <f>[1]Macro!AF101</f>
        <v>201.99866800000001</v>
      </c>
      <c r="AH668" s="6">
        <f>[1]Macro!AG101</f>
        <v>204.08437140000001</v>
      </c>
      <c r="AI668" s="6">
        <f>[1]Macro!AH101</f>
        <v>206.21384180000001</v>
      </c>
      <c r="AJ668" s="6">
        <f>[1]Macro!AI101</f>
        <v>208.3844847</v>
      </c>
      <c r="AK668" s="6">
        <f>[1]Macro!AJ101</f>
        <v>210.58946700000001</v>
      </c>
      <c r="AL668" s="6">
        <f>[1]Macro!AK101</f>
        <v>212.82171600000001</v>
      </c>
    </row>
    <row r="669" spans="1:38" x14ac:dyDescent="0.3">
      <c r="B669" s="6" t="str">
        <f>[1]Macro!A102</f>
        <v>ci_toe_2</v>
      </c>
      <c r="C669" s="6">
        <f>[1]Macro!B102</f>
        <v>172.37207649999999</v>
      </c>
      <c r="D669" s="6">
        <f>[1]Macro!C102</f>
        <v>174.6298046</v>
      </c>
      <c r="E669" s="6">
        <f>[1]Macro!D102</f>
        <v>176.5279189</v>
      </c>
      <c r="F669" s="6">
        <f>[1]Macro!E102</f>
        <v>178.2284751</v>
      </c>
      <c r="G669" s="6">
        <f>[1]Macro!F102</f>
        <v>180.00866060000001</v>
      </c>
      <c r="H669" s="6">
        <f>[1]Macro!G102</f>
        <v>182.10570530000001</v>
      </c>
      <c r="I669" s="6">
        <f>[1]Macro!H102</f>
        <v>186.5973401</v>
      </c>
      <c r="J669" s="6">
        <f>[1]Macro!I102</f>
        <v>189.8130108</v>
      </c>
      <c r="K669" s="6">
        <f>[1]Macro!J102</f>
        <v>192.42579929999999</v>
      </c>
      <c r="L669" s="6">
        <f>[1]Macro!K102</f>
        <v>194.44952839999999</v>
      </c>
      <c r="M669" s="6">
        <f>[1]Macro!L102</f>
        <v>196.1885671</v>
      </c>
      <c r="N669" s="6">
        <f>[1]Macro!M102</f>
        <v>197.60244539999999</v>
      </c>
      <c r="O669" s="6">
        <f>[1]Macro!N102</f>
        <v>199.11887519999999</v>
      </c>
      <c r="P669" s="6">
        <f>[1]Macro!O102</f>
        <v>200.9620591</v>
      </c>
      <c r="Q669" s="6">
        <f>[1]Macro!P102</f>
        <v>203.19656430000001</v>
      </c>
      <c r="R669" s="6">
        <f>[1]Macro!Q102</f>
        <v>205.76926850000001</v>
      </c>
      <c r="S669" s="6">
        <f>[1]Macro!R102</f>
        <v>208.55844519999999</v>
      </c>
      <c r="T669" s="6">
        <f>[1]Macro!S102</f>
        <v>211.43233509999999</v>
      </c>
      <c r="U669" s="6">
        <f>[1]Macro!T102</f>
        <v>214.29469409999999</v>
      </c>
      <c r="V669" s="6">
        <f>[1]Macro!U102</f>
        <v>217.1058597</v>
      </c>
      <c r="W669" s="6">
        <f>[1]Macro!V102</f>
        <v>219.72094720000001</v>
      </c>
      <c r="X669" s="6">
        <f>[1]Macro!W102</f>
        <v>222.45021919999999</v>
      </c>
      <c r="Y669" s="6">
        <f>[1]Macro!X102</f>
        <v>225.2353234</v>
      </c>
      <c r="Z669" s="6">
        <f>[1]Macro!Y102</f>
        <v>228.08734770000001</v>
      </c>
      <c r="AA669" s="6">
        <f>[1]Macro!Z102</f>
        <v>231.0219893</v>
      </c>
      <c r="AB669" s="6">
        <f>[1]Macro!AA102</f>
        <v>233.5470881</v>
      </c>
      <c r="AC669" s="6">
        <f>[1]Macro!AB102</f>
        <v>236.3110111</v>
      </c>
      <c r="AD669" s="6">
        <f>[1]Macro!AC102</f>
        <v>239.09400539999999</v>
      </c>
      <c r="AE669" s="6">
        <f>[1]Macro!AD102</f>
        <v>241.85134919999999</v>
      </c>
      <c r="AF669" s="6">
        <f>[1]Macro!AE102</f>
        <v>244.6097283</v>
      </c>
      <c r="AG669" s="6">
        <f>[1]Macro!AF102</f>
        <v>247.41055919999999</v>
      </c>
      <c r="AH669" s="6">
        <f>[1]Macro!AG102</f>
        <v>250.28481110000001</v>
      </c>
      <c r="AI669" s="6">
        <f>[1]Macro!AH102</f>
        <v>253.2434791</v>
      </c>
      <c r="AJ669" s="6">
        <f>[1]Macro!AI102</f>
        <v>256.27884749999998</v>
      </c>
      <c r="AK669" s="6">
        <f>[1]Macro!AJ102</f>
        <v>259.37273290000002</v>
      </c>
      <c r="AL669" s="6">
        <f>[1]Macro!AK102</f>
        <v>262.50636429999997</v>
      </c>
    </row>
    <row r="670" spans="1:38" x14ac:dyDescent="0.3">
      <c r="B670" s="6" t="str">
        <f>[1]Macro!A103</f>
        <v>ch_toe_2</v>
      </c>
      <c r="C670" s="6">
        <f>[1]Macro!B103</f>
        <v>73.965462770000002</v>
      </c>
      <c r="D670" s="6">
        <f>[1]Macro!C103</f>
        <v>73.842180020000001</v>
      </c>
      <c r="E670" s="6">
        <f>[1]Macro!D103</f>
        <v>73.490459200000004</v>
      </c>
      <c r="F670" s="6">
        <f>[1]Macro!E103</f>
        <v>73.177508209999999</v>
      </c>
      <c r="G670" s="6">
        <f>[1]Macro!F103</f>
        <v>72.968287029999999</v>
      </c>
      <c r="H670" s="6">
        <f>[1]Macro!G103</f>
        <v>72.855573890000002</v>
      </c>
      <c r="I670" s="6">
        <f>[1]Macro!H103</f>
        <v>72.821308139999999</v>
      </c>
      <c r="J670" s="6">
        <f>[1]Macro!I103</f>
        <v>72.793937959999994</v>
      </c>
      <c r="K670" s="6">
        <f>[1]Macro!J103</f>
        <v>72.844391569999999</v>
      </c>
      <c r="L670" s="6">
        <f>[1]Macro!K103</f>
        <v>72.966365550000006</v>
      </c>
      <c r="M670" s="6">
        <f>[1]Macro!L103</f>
        <v>73.16795132</v>
      </c>
      <c r="N670" s="6">
        <f>[1]Macro!M103</f>
        <v>73.387464539999996</v>
      </c>
      <c r="O670" s="6">
        <f>[1]Macro!N103</f>
        <v>73.609132290000005</v>
      </c>
      <c r="P670" s="6">
        <f>[1]Macro!O103</f>
        <v>73.821218950000002</v>
      </c>
      <c r="Q670" s="6">
        <f>[1]Macro!P103</f>
        <v>74.016816640000002</v>
      </c>
      <c r="R670" s="6">
        <f>[1]Macro!Q103</f>
        <v>74.195477249999996</v>
      </c>
      <c r="S670" s="6">
        <f>[1]Macro!R103</f>
        <v>74.357614190000007</v>
      </c>
      <c r="T670" s="6">
        <f>[1]Macro!S103</f>
        <v>74.510472210000003</v>
      </c>
      <c r="U670" s="6">
        <f>[1]Macro!T103</f>
        <v>74.663460819999997</v>
      </c>
      <c r="V670" s="6">
        <f>[1]Macro!U103</f>
        <v>74.823816820000005</v>
      </c>
      <c r="W670" s="6">
        <f>[1]Macro!V103</f>
        <v>74.976433479999997</v>
      </c>
      <c r="X670" s="6">
        <f>[1]Macro!W103</f>
        <v>75.146036859999995</v>
      </c>
      <c r="Y670" s="6">
        <f>[1]Macro!X103</f>
        <v>75.327335980000001</v>
      </c>
      <c r="Z670" s="6">
        <f>[1]Macro!Y103</f>
        <v>75.515145759999996</v>
      </c>
      <c r="AA670" s="6">
        <f>[1]Macro!Z103</f>
        <v>75.706235969999994</v>
      </c>
      <c r="AB670" s="6">
        <f>[1]Macro!AA103</f>
        <v>75.848342740000007</v>
      </c>
      <c r="AC670" s="6">
        <f>[1]Macro!AB103</f>
        <v>75.989549679999996</v>
      </c>
      <c r="AD670" s="6">
        <f>[1]Macro!AC103</f>
        <v>76.133143649999994</v>
      </c>
      <c r="AE670" s="6">
        <f>[1]Macro!AD103</f>
        <v>76.279919359999994</v>
      </c>
      <c r="AF670" s="6">
        <f>[1]Macro!AE103</f>
        <v>76.42883114</v>
      </c>
      <c r="AG670" s="6">
        <f>[1]Macro!AF103</f>
        <v>76.578431539999997</v>
      </c>
      <c r="AH670" s="6">
        <f>[1]Macro!AG103</f>
        <v>76.727544750000007</v>
      </c>
      <c r="AI670" s="6">
        <f>[1]Macro!AH103</f>
        <v>76.875574659999998</v>
      </c>
      <c r="AJ670" s="6">
        <f>[1]Macro!AI103</f>
        <v>77.022485639999999</v>
      </c>
      <c r="AK670" s="6">
        <f>[1]Macro!AJ103</f>
        <v>77.169151290000002</v>
      </c>
      <c r="AL670" s="6">
        <f>[1]Macro!AK103</f>
        <v>77.316849129999994</v>
      </c>
    </row>
    <row r="671" spans="1:38" x14ac:dyDescent="0.3">
      <c r="B671" s="6" t="str">
        <f>[1]Macro!A104</f>
        <v>x_toe_2</v>
      </c>
      <c r="C671" s="6">
        <f>[1]Macro!B104</f>
        <v>42.9121983</v>
      </c>
      <c r="D671" s="6">
        <f>[1]Macro!C104</f>
        <v>43.575903940000003</v>
      </c>
      <c r="E671" s="6">
        <f>[1]Macro!D104</f>
        <v>44.304249200000001</v>
      </c>
      <c r="F671" s="6">
        <f>[1]Macro!E104</f>
        <v>45.058353590000003</v>
      </c>
      <c r="G671" s="6">
        <f>[1]Macro!F104</f>
        <v>45.836204479999999</v>
      </c>
      <c r="H671" s="6">
        <f>[1]Macro!G104</f>
        <v>46.630868960000001</v>
      </c>
      <c r="I671" s="6">
        <f>[1]Macro!H104</f>
        <v>47.33402693</v>
      </c>
      <c r="J671" s="6">
        <f>[1]Macro!I104</f>
        <v>48.020329940000003</v>
      </c>
      <c r="K671" s="6">
        <f>[1]Macro!J104</f>
        <v>48.705840289999998</v>
      </c>
      <c r="L671" s="6">
        <f>[1]Macro!K104</f>
        <v>49.40834375</v>
      </c>
      <c r="M671" s="6">
        <f>[1]Macro!L104</f>
        <v>50.220394059999997</v>
      </c>
      <c r="N671" s="6">
        <f>[1]Macro!M104</f>
        <v>50.989682850000001</v>
      </c>
      <c r="O671" s="6">
        <f>[1]Macro!N104</f>
        <v>51.790048140000003</v>
      </c>
      <c r="P671" s="6">
        <f>[1]Macro!O104</f>
        <v>52.613244909999999</v>
      </c>
      <c r="Q671" s="6">
        <f>[1]Macro!P104</f>
        <v>53.449850859999998</v>
      </c>
      <c r="R671" s="6">
        <f>[1]Macro!Q104</f>
        <v>54.29253353</v>
      </c>
      <c r="S671" s="6">
        <f>[1]Macro!R104</f>
        <v>55.137929530000001</v>
      </c>
      <c r="T671" s="6">
        <f>[1]Macro!S104</f>
        <v>55.986683900000003</v>
      </c>
      <c r="U671" s="6">
        <f>[1]Macro!T104</f>
        <v>56.842058489999999</v>
      </c>
      <c r="V671" s="6">
        <f>[1]Macro!U104</f>
        <v>57.70803506</v>
      </c>
      <c r="W671" s="6">
        <f>[1]Macro!V104</f>
        <v>58.528623459999999</v>
      </c>
      <c r="X671" s="6">
        <f>[1]Macro!W104</f>
        <v>59.42262186</v>
      </c>
      <c r="Y671" s="6">
        <f>[1]Macro!X104</f>
        <v>60.332970940000003</v>
      </c>
      <c r="Z671" s="6">
        <f>[1]Macro!Y104</f>
        <v>61.259048479999997</v>
      </c>
      <c r="AA671" s="6">
        <f>[1]Macro!Z104</f>
        <v>62.199750469999998</v>
      </c>
      <c r="AB671" s="6">
        <f>[1]Macro!AA104</f>
        <v>62.983122659999999</v>
      </c>
      <c r="AC671" s="6">
        <f>[1]Macro!AB104</f>
        <v>63.86662845</v>
      </c>
      <c r="AD671" s="6">
        <f>[1]Macro!AC104</f>
        <v>64.763347789999997</v>
      </c>
      <c r="AE671" s="6">
        <f>[1]Macro!AD104</f>
        <v>65.674909929999998</v>
      </c>
      <c r="AF671" s="6">
        <f>[1]Macro!AE104</f>
        <v>66.602100910000004</v>
      </c>
      <c r="AG671" s="6">
        <f>[1]Macro!AF104</f>
        <v>67.544711140000004</v>
      </c>
      <c r="AH671" s="6">
        <f>[1]Macro!AG104</f>
        <v>68.501854350000002</v>
      </c>
      <c r="AI671" s="6">
        <f>[1]Macro!AH104</f>
        <v>69.472505369999993</v>
      </c>
      <c r="AJ671" s="6">
        <f>[1]Macro!AI104</f>
        <v>70.455982320000004</v>
      </c>
      <c r="AK671" s="6">
        <f>[1]Macro!AJ104</f>
        <v>71.452185540000002</v>
      </c>
      <c r="AL671" s="6">
        <f>[1]Macro!AK104</f>
        <v>72.461553550000005</v>
      </c>
    </row>
    <row r="672" spans="1:38" x14ac:dyDescent="0.3"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</row>
    <row r="673" spans="2:38" x14ac:dyDescent="0.3">
      <c r="B673" s="6" t="str">
        <f>[1]Macro!A105</f>
        <v>y_toe_0</v>
      </c>
      <c r="C673" s="6">
        <f>[1]Macro!B105</f>
        <v>136.4561362</v>
      </c>
      <c r="D673" s="6">
        <f>[1]Macro!C105</f>
        <v>138.7981724</v>
      </c>
      <c r="E673" s="6">
        <f>[1]Macro!D105</f>
        <v>140.57108500000001</v>
      </c>
      <c r="F673" s="6">
        <f>[1]Macro!E105</f>
        <v>142.15085780000001</v>
      </c>
      <c r="G673" s="6">
        <f>[1]Macro!F105</f>
        <v>143.74577450000001</v>
      </c>
      <c r="H673" s="6">
        <f>[1]Macro!G105</f>
        <v>145.48493680000001</v>
      </c>
      <c r="I673" s="6">
        <f>[1]Macro!H105</f>
        <v>147.32974659999999</v>
      </c>
      <c r="J673" s="6">
        <f>[1]Macro!I105</f>
        <v>149.3160834</v>
      </c>
      <c r="K673" s="6">
        <f>[1]Macro!J105</f>
        <v>151.36953249999999</v>
      </c>
      <c r="L673" s="6">
        <f>[1]Macro!K105</f>
        <v>153.4046677</v>
      </c>
      <c r="M673" s="6">
        <f>[1]Macro!L105</f>
        <v>155.48049760000001</v>
      </c>
      <c r="N673" s="6">
        <f>[1]Macro!M105</f>
        <v>157.3974911</v>
      </c>
      <c r="O673" s="6">
        <f>[1]Macro!N105</f>
        <v>159.2489243</v>
      </c>
      <c r="P673" s="6">
        <f>[1]Macro!O105</f>
        <v>161.06598690000001</v>
      </c>
      <c r="Q673" s="6">
        <f>[1]Macro!P105</f>
        <v>162.867773</v>
      </c>
      <c r="R673" s="6">
        <f>[1]Macro!Q105</f>
        <v>164.66605569999999</v>
      </c>
      <c r="S673" s="6">
        <f>[1]Macro!R105</f>
        <v>166.46612490000001</v>
      </c>
      <c r="T673" s="6">
        <f>[1]Macro!S105</f>
        <v>168.26798249999999</v>
      </c>
      <c r="U673" s="6">
        <f>[1]Macro!T105</f>
        <v>170.0709512</v>
      </c>
      <c r="V673" s="6">
        <f>[1]Macro!U105</f>
        <v>171.87726480000001</v>
      </c>
      <c r="W673" s="6">
        <f>[1]Macro!V105</f>
        <v>173.5984259</v>
      </c>
      <c r="X673" s="6">
        <f>[1]Macro!W105</f>
        <v>175.3974231</v>
      </c>
      <c r="Y673" s="6">
        <f>[1]Macro!X105</f>
        <v>177.2296699</v>
      </c>
      <c r="Z673" s="6">
        <f>[1]Macro!Y105</f>
        <v>179.1005821</v>
      </c>
      <c r="AA673" s="6">
        <f>[1]Macro!Z105</f>
        <v>181.01810090000001</v>
      </c>
      <c r="AB673" s="6">
        <f>[1]Macro!AA105</f>
        <v>182.6918297</v>
      </c>
      <c r="AC673" s="6">
        <f>[1]Macro!AB105</f>
        <v>184.4866581</v>
      </c>
      <c r="AD673" s="6">
        <f>[1]Macro!AC105</f>
        <v>186.2924423</v>
      </c>
      <c r="AE673" s="6">
        <f>[1]Macro!AD105</f>
        <v>188.10367099999999</v>
      </c>
      <c r="AF673" s="6">
        <f>[1]Macro!AE105</f>
        <v>189.9345883</v>
      </c>
      <c r="AG673" s="6">
        <f>[1]Macro!AF105</f>
        <v>191.80257879999999</v>
      </c>
      <c r="AH673" s="6">
        <f>[1]Macro!AG105</f>
        <v>193.71906129999999</v>
      </c>
      <c r="AI673" s="6">
        <f>[1]Macro!AH105</f>
        <v>195.68634280000001</v>
      </c>
      <c r="AJ673" s="6">
        <f>[1]Macro!AI105</f>
        <v>197.69904009999999</v>
      </c>
      <c r="AK673" s="6">
        <f>[1]Macro!AJ105</f>
        <v>199.74803990000001</v>
      </c>
      <c r="AL673" s="6">
        <f>[1]Macro!AK105</f>
        <v>201.8251707</v>
      </c>
    </row>
    <row r="674" spans="2:38" x14ac:dyDescent="0.3">
      <c r="B674" s="6" t="str">
        <f>[1]Macro!A106</f>
        <v>m_toe_0</v>
      </c>
      <c r="C674" s="6">
        <f>[1]Macro!B106</f>
        <v>152.7936014</v>
      </c>
      <c r="D674" s="6">
        <f>[1]Macro!C106</f>
        <v>153.2497161</v>
      </c>
      <c r="E674" s="6">
        <f>[1]Macro!D106</f>
        <v>153.75154240000001</v>
      </c>
      <c r="F674" s="6">
        <f>[1]Macro!E106</f>
        <v>154.3134791</v>
      </c>
      <c r="G674" s="6">
        <f>[1]Macro!F106</f>
        <v>155.06737770000001</v>
      </c>
      <c r="H674" s="6">
        <f>[1]Macro!G106</f>
        <v>156.10721140000001</v>
      </c>
      <c r="I674" s="6">
        <f>[1]Macro!H106</f>
        <v>157.33242759999999</v>
      </c>
      <c r="J674" s="6">
        <f>[1]Macro!I106</f>
        <v>158.82641129999999</v>
      </c>
      <c r="K674" s="6">
        <f>[1]Macro!J106</f>
        <v>160.51668530000001</v>
      </c>
      <c r="L674" s="6">
        <f>[1]Macro!K106</f>
        <v>162.30971389999999</v>
      </c>
      <c r="M674" s="6">
        <f>[1]Macro!L106</f>
        <v>164.3137978</v>
      </c>
      <c r="N674" s="6">
        <f>[1]Macro!M106</f>
        <v>166.1619331</v>
      </c>
      <c r="O674" s="6">
        <f>[1]Macro!N106</f>
        <v>168.0060895</v>
      </c>
      <c r="P674" s="6">
        <f>[1]Macro!O106</f>
        <v>169.8740081</v>
      </c>
      <c r="Q674" s="6">
        <f>[1]Macro!P106</f>
        <v>171.76769519999999</v>
      </c>
      <c r="R674" s="6">
        <f>[1]Macro!Q106</f>
        <v>173.68520789999999</v>
      </c>
      <c r="S674" s="6">
        <f>[1]Macro!R106</f>
        <v>175.6235978</v>
      </c>
      <c r="T674" s="6">
        <f>[1]Macro!S106</f>
        <v>177.5789618</v>
      </c>
      <c r="U674" s="6">
        <f>[1]Macro!T106</f>
        <v>179.54803039999999</v>
      </c>
      <c r="V674" s="6">
        <f>[1]Macro!U106</f>
        <v>181.5301456</v>
      </c>
      <c r="W674" s="6">
        <f>[1]Macro!V106</f>
        <v>183.39039500000001</v>
      </c>
      <c r="X674" s="6">
        <f>[1]Macro!W106</f>
        <v>185.38819140000001</v>
      </c>
      <c r="Y674" s="6">
        <f>[1]Macro!X106</f>
        <v>187.42427749999999</v>
      </c>
      <c r="Z674" s="6">
        <f>[1]Macro!Y106</f>
        <v>189.48817600000001</v>
      </c>
      <c r="AA674" s="6">
        <f>[1]Macro!Z106</f>
        <v>191.5878774</v>
      </c>
      <c r="AB674" s="6">
        <f>[1]Macro!AA106</f>
        <v>193.3123751</v>
      </c>
      <c r="AC674" s="6">
        <f>[1]Macro!AB106</f>
        <v>195.26336570000001</v>
      </c>
      <c r="AD674" s="6">
        <f>[1]Macro!AC106</f>
        <v>197.2555854</v>
      </c>
      <c r="AE674" s="6">
        <f>[1]Macro!AD106</f>
        <v>199.25146240000001</v>
      </c>
      <c r="AF674" s="6">
        <f>[1]Macro!AE106</f>
        <v>201.2582141</v>
      </c>
      <c r="AG674" s="6">
        <f>[1]Macro!AF106</f>
        <v>203.29087720000001</v>
      </c>
      <c r="AH674" s="6">
        <f>[1]Macro!AG106</f>
        <v>205.36037529999999</v>
      </c>
      <c r="AI674" s="6">
        <f>[1]Macro!AH106</f>
        <v>207.47036320000001</v>
      </c>
      <c r="AJ674" s="6">
        <f>[1]Macro!AI106</f>
        <v>209.6181704</v>
      </c>
      <c r="AK674" s="6">
        <f>[1]Macro!AJ106</f>
        <v>211.79778210000001</v>
      </c>
      <c r="AL674" s="6">
        <f>[1]Macro!AK106</f>
        <v>214.0032214</v>
      </c>
    </row>
    <row r="675" spans="2:38" x14ac:dyDescent="0.3">
      <c r="B675" s="6" t="str">
        <f>[1]Macro!A107</f>
        <v>ci_toe_0</v>
      </c>
      <c r="C675" s="6">
        <f>[1]Macro!B107</f>
        <v>172.37207649999999</v>
      </c>
      <c r="D675" s="6">
        <f>[1]Macro!C107</f>
        <v>174.6298046</v>
      </c>
      <c r="E675" s="6">
        <f>[1]Macro!D107</f>
        <v>176.5279189</v>
      </c>
      <c r="F675" s="6">
        <f>[1]Macro!E107</f>
        <v>178.2284751</v>
      </c>
      <c r="G675" s="6">
        <f>[1]Macro!F107</f>
        <v>180.00866060000001</v>
      </c>
      <c r="H675" s="6">
        <f>[1]Macro!G107</f>
        <v>182.10570530000001</v>
      </c>
      <c r="I675" s="6">
        <f>[1]Macro!H107</f>
        <v>184.47450269999999</v>
      </c>
      <c r="J675" s="6">
        <f>[1]Macro!I107</f>
        <v>187.2133714</v>
      </c>
      <c r="K675" s="6">
        <f>[1]Macro!J107</f>
        <v>190.1872568</v>
      </c>
      <c r="L675" s="6">
        <f>[1]Macro!K107</f>
        <v>193.21604980000001</v>
      </c>
      <c r="M675" s="6">
        <f>[1]Macro!L107</f>
        <v>196.35357239999999</v>
      </c>
      <c r="N675" s="6">
        <f>[1]Macro!M107</f>
        <v>199.2218226</v>
      </c>
      <c r="O675" s="6">
        <f>[1]Macro!N107</f>
        <v>201.98593650000001</v>
      </c>
      <c r="P675" s="6">
        <f>[1]Macro!O107</f>
        <v>204.70883330000001</v>
      </c>
      <c r="Q675" s="6">
        <f>[1]Macro!P107</f>
        <v>207.42045379999999</v>
      </c>
      <c r="R675" s="6">
        <f>[1]Macro!Q107</f>
        <v>210.13514599999999</v>
      </c>
      <c r="S675" s="6">
        <f>[1]Macro!R107</f>
        <v>212.8554297</v>
      </c>
      <c r="T675" s="6">
        <f>[1]Macro!S107</f>
        <v>215.57733300000001</v>
      </c>
      <c r="U675" s="6">
        <f>[1]Macro!T107</f>
        <v>218.297279</v>
      </c>
      <c r="V675" s="6">
        <f>[1]Macro!U107</f>
        <v>221.01746610000001</v>
      </c>
      <c r="W675" s="6">
        <f>[1]Macro!V107</f>
        <v>223.59259729999999</v>
      </c>
      <c r="X675" s="6">
        <f>[1]Macro!W107</f>
        <v>226.30288530000001</v>
      </c>
      <c r="Y675" s="6">
        <f>[1]Macro!X107</f>
        <v>229.06547749999999</v>
      </c>
      <c r="Z675" s="6">
        <f>[1]Macro!Y107</f>
        <v>231.8780659</v>
      </c>
      <c r="AA675" s="6">
        <f>[1]Macro!Z107</f>
        <v>234.75863720000001</v>
      </c>
      <c r="AB675" s="6">
        <f>[1]Macro!AA107</f>
        <v>237.2286264</v>
      </c>
      <c r="AC675" s="6">
        <f>[1]Macro!AB107</f>
        <v>239.94842389999999</v>
      </c>
      <c r="AD675" s="6">
        <f>[1]Macro!AC107</f>
        <v>242.7071564</v>
      </c>
      <c r="AE675" s="6">
        <f>[1]Macro!AD107</f>
        <v>245.45983219999999</v>
      </c>
      <c r="AF675" s="6">
        <f>[1]Macro!AE107</f>
        <v>248.2277139</v>
      </c>
      <c r="AG675" s="6">
        <f>[1]Macro!AF107</f>
        <v>251.0443702</v>
      </c>
      <c r="AH675" s="6">
        <f>[1]Macro!AG107</f>
        <v>253.93373339999999</v>
      </c>
      <c r="AI675" s="6">
        <f>[1]Macro!AH107</f>
        <v>256.90290169999997</v>
      </c>
      <c r="AJ675" s="6">
        <f>[1]Macro!AI107</f>
        <v>259.94400830000001</v>
      </c>
      <c r="AK675" s="6">
        <f>[1]Macro!AJ107</f>
        <v>263.0412705</v>
      </c>
      <c r="AL675" s="6">
        <f>[1]Macro!AK107</f>
        <v>266.17924399999998</v>
      </c>
    </row>
    <row r="676" spans="2:38" x14ac:dyDescent="0.3">
      <c r="B676" s="6" t="str">
        <f>[1]Macro!A108</f>
        <v>ch_toe_0</v>
      </c>
      <c r="C676" s="6">
        <f>[1]Macro!B108</f>
        <v>73.965462770000002</v>
      </c>
      <c r="D676" s="6">
        <f>[1]Macro!C108</f>
        <v>73.842180020000001</v>
      </c>
      <c r="E676" s="6">
        <f>[1]Macro!D108</f>
        <v>73.490459200000004</v>
      </c>
      <c r="F676" s="6">
        <f>[1]Macro!E108</f>
        <v>73.177508209999999</v>
      </c>
      <c r="G676" s="6">
        <f>[1]Macro!F108</f>
        <v>72.968287029999999</v>
      </c>
      <c r="H676" s="6">
        <f>[1]Macro!G108</f>
        <v>72.855573890000002</v>
      </c>
      <c r="I676" s="6">
        <f>[1]Macro!H108</f>
        <v>72.799636480000004</v>
      </c>
      <c r="J676" s="6">
        <f>[1]Macro!I108</f>
        <v>72.78482151</v>
      </c>
      <c r="K676" s="6">
        <f>[1]Macro!J108</f>
        <v>72.802000120000002</v>
      </c>
      <c r="L676" s="6">
        <f>[1]Macro!K108</f>
        <v>72.850342130000001</v>
      </c>
      <c r="M676" s="6">
        <f>[1]Macro!L108</f>
        <v>72.958415200000005</v>
      </c>
      <c r="N676" s="6">
        <f>[1]Macro!M108</f>
        <v>73.090435780000007</v>
      </c>
      <c r="O676" s="6">
        <f>[1]Macro!N108</f>
        <v>73.245755160000002</v>
      </c>
      <c r="P676" s="6">
        <f>[1]Macro!O108</f>
        <v>73.418847330000006</v>
      </c>
      <c r="Q676" s="6">
        <f>[1]Macro!P108</f>
        <v>73.6005045</v>
      </c>
      <c r="R676" s="6">
        <f>[1]Macro!Q108</f>
        <v>73.786387340000005</v>
      </c>
      <c r="S676" s="6">
        <f>[1]Macro!R108</f>
        <v>73.976500340000001</v>
      </c>
      <c r="T676" s="6">
        <f>[1]Macro!S108</f>
        <v>74.170801679999997</v>
      </c>
      <c r="U676" s="6">
        <f>[1]Macro!T108</f>
        <v>74.368490789999996</v>
      </c>
      <c r="V676" s="6">
        <f>[1]Macro!U108</f>
        <v>74.568359819999998</v>
      </c>
      <c r="W676" s="6">
        <f>[1]Macro!V108</f>
        <v>74.751074619999997</v>
      </c>
      <c r="X676" s="6">
        <f>[1]Macro!W108</f>
        <v>74.941112320000002</v>
      </c>
      <c r="Y676" s="6">
        <f>[1]Macro!X108</f>
        <v>75.134776810000005</v>
      </c>
      <c r="Z676" s="6">
        <f>[1]Macro!Y108</f>
        <v>75.329407799999998</v>
      </c>
      <c r="AA676" s="6">
        <f>[1]Macro!Z108</f>
        <v>75.523452989999996</v>
      </c>
      <c r="AB676" s="6">
        <f>[1]Macro!AA108</f>
        <v>75.666081309999996</v>
      </c>
      <c r="AC676" s="6">
        <f>[1]Macro!AB108</f>
        <v>75.805707200000001</v>
      </c>
      <c r="AD676" s="6">
        <f>[1]Macro!AC108</f>
        <v>75.945248620000001</v>
      </c>
      <c r="AE676" s="6">
        <f>[1]Macro!AD108</f>
        <v>76.085341349999993</v>
      </c>
      <c r="AF676" s="6">
        <f>[1]Macro!AE108</f>
        <v>76.225605580000007</v>
      </c>
      <c r="AG676" s="6">
        <f>[1]Macro!AF108</f>
        <v>76.365103869999999</v>
      </c>
      <c r="AH676" s="6">
        <f>[1]Macro!AG108</f>
        <v>76.502965799999998</v>
      </c>
      <c r="AI676" s="6">
        <f>[1]Macro!AH108</f>
        <v>76.638844770000006</v>
      </c>
      <c r="AJ676" s="6">
        <f>[1]Macro!AI108</f>
        <v>76.773040510000001</v>
      </c>
      <c r="AK676" s="6">
        <f>[1]Macro!AJ108</f>
        <v>76.906221869999996</v>
      </c>
      <c r="AL676" s="6">
        <f>[1]Macro!AK108</f>
        <v>77.039284159999994</v>
      </c>
    </row>
    <row r="677" spans="2:38" x14ac:dyDescent="0.3">
      <c r="B677" s="6" t="str">
        <f>[1]Macro!A109</f>
        <v>x_toe_0</v>
      </c>
      <c r="C677" s="6">
        <f>[1]Macro!B109</f>
        <v>42.9121983</v>
      </c>
      <c r="D677" s="6">
        <f>[1]Macro!C109</f>
        <v>43.575903940000003</v>
      </c>
      <c r="E677" s="6">
        <f>[1]Macro!D109</f>
        <v>44.304249200000001</v>
      </c>
      <c r="F677" s="6">
        <f>[1]Macro!E109</f>
        <v>45.058353590000003</v>
      </c>
      <c r="G677" s="6">
        <f>[1]Macro!F109</f>
        <v>45.836204479999999</v>
      </c>
      <c r="H677" s="6">
        <f>[1]Macro!G109</f>
        <v>46.630868960000001</v>
      </c>
      <c r="I677" s="6">
        <f>[1]Macro!H109</f>
        <v>47.388035039999998</v>
      </c>
      <c r="J677" s="6">
        <f>[1]Macro!I109</f>
        <v>48.144301779999999</v>
      </c>
      <c r="K677" s="6">
        <f>[1]Macro!J109</f>
        <v>48.896960890000003</v>
      </c>
      <c r="L677" s="6">
        <f>[1]Macro!K109</f>
        <v>49.647989629999998</v>
      </c>
      <c r="M677" s="6">
        <f>[1]Macro!L109</f>
        <v>50.48230787</v>
      </c>
      <c r="N677" s="6">
        <f>[1]Macro!M109</f>
        <v>51.247165789999997</v>
      </c>
      <c r="O677" s="6">
        <f>[1]Macro!N109</f>
        <v>52.023322200000003</v>
      </c>
      <c r="P677" s="6">
        <f>[1]Macro!O109</f>
        <v>52.812314399999998</v>
      </c>
      <c r="Q677" s="6">
        <f>[1]Macro!P109</f>
        <v>53.614509929999997</v>
      </c>
      <c r="R677" s="6">
        <f>[1]Macro!Q109</f>
        <v>54.429730190000001</v>
      </c>
      <c r="S677" s="6">
        <f>[1]Macro!R109</f>
        <v>55.257792680000001</v>
      </c>
      <c r="T677" s="6">
        <f>[1]Macro!S109</f>
        <v>56.098809639999999</v>
      </c>
      <c r="U677" s="6">
        <f>[1]Macro!T109</f>
        <v>56.953211899999999</v>
      </c>
      <c r="V677" s="6">
        <f>[1]Macro!U109</f>
        <v>57.8215845</v>
      </c>
      <c r="W677" s="6">
        <f>[1]Macro!V109</f>
        <v>58.645148980000002</v>
      </c>
      <c r="X677" s="6">
        <f>[1]Macro!W109</f>
        <v>59.541616830000002</v>
      </c>
      <c r="Y677" s="6">
        <f>[1]Macro!X109</f>
        <v>60.453693199999996</v>
      </c>
      <c r="Z677" s="6">
        <f>[1]Macro!Y109</f>
        <v>61.381284489999999</v>
      </c>
      <c r="AA677" s="6">
        <f>[1]Macro!Z109</f>
        <v>62.323888150000002</v>
      </c>
      <c r="AB677" s="6">
        <f>[1]Macro!AA109</f>
        <v>63.10949711</v>
      </c>
      <c r="AC677" s="6">
        <f>[1]Macro!AB109</f>
        <v>63.995892699999999</v>
      </c>
      <c r="AD677" s="6">
        <f>[1]Macro!AC109</f>
        <v>64.895622709999998</v>
      </c>
      <c r="AE677" s="6">
        <f>[1]Macro!AD109</f>
        <v>65.809959840000005</v>
      </c>
      <c r="AF677" s="6">
        <f>[1]Macro!AE109</f>
        <v>66.739482980000005</v>
      </c>
      <c r="AG677" s="6">
        <f>[1]Macro!AF109</f>
        <v>67.683981970000005</v>
      </c>
      <c r="AH677" s="6">
        <f>[1]Macro!AG109</f>
        <v>68.642737429999997</v>
      </c>
      <c r="AI677" s="6">
        <f>[1]Macro!AH109</f>
        <v>69.614959510000006</v>
      </c>
      <c r="AJ677" s="6">
        <f>[1]Macro!AI109</f>
        <v>70.600161670000006</v>
      </c>
      <c r="AK677" s="6">
        <f>[1]Macro!AJ109</f>
        <v>71.598329629999995</v>
      </c>
      <c r="AL677" s="6">
        <f>[1]Macro!AK109</f>
        <v>72.609863880000006</v>
      </c>
    </row>
    <row r="679" spans="2:38" x14ac:dyDescent="0.3">
      <c r="C679" s="2">
        <v>42005</v>
      </c>
      <c r="D679" s="2">
        <v>42370</v>
      </c>
      <c r="E679" s="2">
        <v>42736</v>
      </c>
      <c r="F679" s="2">
        <v>43101</v>
      </c>
      <c r="G679" s="2">
        <v>43466</v>
      </c>
      <c r="H679" s="2">
        <v>43831</v>
      </c>
      <c r="I679" s="2">
        <v>44197</v>
      </c>
      <c r="J679" s="2">
        <v>44562</v>
      </c>
      <c r="K679" s="2">
        <v>44927</v>
      </c>
      <c r="L679" s="2">
        <v>45292</v>
      </c>
      <c r="M679" s="2">
        <v>45658</v>
      </c>
      <c r="N679" s="2">
        <v>46023</v>
      </c>
      <c r="O679" s="2">
        <v>46388</v>
      </c>
      <c r="P679" s="2">
        <v>46753</v>
      </c>
      <c r="Q679" s="2">
        <v>47119</v>
      </c>
      <c r="R679" s="2">
        <v>47484</v>
      </c>
      <c r="S679" s="2">
        <v>47849</v>
      </c>
      <c r="T679" s="2">
        <v>48214</v>
      </c>
      <c r="U679" s="2">
        <v>48580</v>
      </c>
      <c r="V679" s="2">
        <v>48945</v>
      </c>
      <c r="W679" s="2">
        <v>49310</v>
      </c>
      <c r="X679" s="2">
        <v>49675</v>
      </c>
      <c r="Y679" s="2">
        <v>50041</v>
      </c>
      <c r="Z679" s="2">
        <v>50406</v>
      </c>
      <c r="AA679" s="2">
        <v>50771</v>
      </c>
      <c r="AB679" s="2">
        <v>51136</v>
      </c>
      <c r="AC679" s="2">
        <v>51502</v>
      </c>
      <c r="AD679" s="2">
        <v>51867</v>
      </c>
      <c r="AE679" s="2">
        <v>52232</v>
      </c>
      <c r="AF679" s="2">
        <v>52597</v>
      </c>
      <c r="AG679" s="2">
        <v>52963</v>
      </c>
      <c r="AH679" s="2">
        <v>53328</v>
      </c>
      <c r="AI679" s="2">
        <v>53693</v>
      </c>
      <c r="AJ679" s="2">
        <v>54058</v>
      </c>
      <c r="AK679" s="2">
        <v>54424</v>
      </c>
      <c r="AL679" s="2">
        <v>54789</v>
      </c>
    </row>
    <row r="680" spans="2:38" x14ac:dyDescent="0.3">
      <c r="B680" t="s">
        <v>93</v>
      </c>
      <c r="C680" s="9">
        <f>C667/C673-1</f>
        <v>0</v>
      </c>
      <c r="D680" s="9">
        <f t="shared" ref="D680:AL680" si="135">D667/D673-1</f>
        <v>0</v>
      </c>
      <c r="E680" s="9">
        <f t="shared" si="135"/>
        <v>0</v>
      </c>
      <c r="F680" s="9">
        <f t="shared" si="135"/>
        <v>0</v>
      </c>
      <c r="G680" s="9">
        <f t="shared" si="135"/>
        <v>0</v>
      </c>
      <c r="H680" s="9">
        <f t="shared" si="135"/>
        <v>0</v>
      </c>
      <c r="I680" s="9">
        <f t="shared" si="135"/>
        <v>7.8275462125854123E-3</v>
      </c>
      <c r="J680" s="9">
        <f t="shared" si="135"/>
        <v>8.7905848459992608E-3</v>
      </c>
      <c r="K680" s="9">
        <f t="shared" si="135"/>
        <v>6.8849661010879082E-3</v>
      </c>
      <c r="L680" s="9">
        <f t="shared" si="135"/>
        <v>2.926908983487353E-3</v>
      </c>
      <c r="M680" s="9">
        <f t="shared" si="135"/>
        <v>-2.1290425816080649E-3</v>
      </c>
      <c r="N680" s="9">
        <f t="shared" si="135"/>
        <v>-7.0959536406486334E-3</v>
      </c>
      <c r="O680" s="9">
        <f t="shared" si="135"/>
        <v>-1.1131088060982175E-2</v>
      </c>
      <c r="P680" s="9">
        <f t="shared" si="135"/>
        <v>-1.3773711897207552E-2</v>
      </c>
      <c r="Q680" s="9">
        <f t="shared" si="135"/>
        <v>-1.5001751758464743E-2</v>
      </c>
      <c r="R680" s="9">
        <f t="shared" si="135"/>
        <v>-1.5135140569228933E-2</v>
      </c>
      <c r="S680" s="9">
        <f t="shared" si="135"/>
        <v>-1.4671551352968493E-2</v>
      </c>
      <c r="T680" s="9">
        <f t="shared" si="135"/>
        <v>-1.404724573791083E-2</v>
      </c>
      <c r="U680" s="9">
        <f t="shared" si="135"/>
        <v>-1.353351224156607E-2</v>
      </c>
      <c r="V680" s="9">
        <f t="shared" si="135"/>
        <v>-1.3219820565820384E-2</v>
      </c>
      <c r="W680" s="9">
        <f t="shared" si="135"/>
        <v>-1.3075126045828944E-2</v>
      </c>
      <c r="X680" s="9">
        <f t="shared" si="135"/>
        <v>-1.2973444876112405E-2</v>
      </c>
      <c r="Y680" s="9">
        <f t="shared" si="135"/>
        <v>-1.2841189070002312E-2</v>
      </c>
      <c r="Z680" s="9">
        <f t="shared" si="135"/>
        <v>-1.2646701498353119E-2</v>
      </c>
      <c r="AA680" s="9">
        <f t="shared" si="135"/>
        <v>-1.2406607896304545E-2</v>
      </c>
      <c r="AB680" s="9">
        <f t="shared" si="135"/>
        <v>-1.2189830293215298E-2</v>
      </c>
      <c r="AC680" s="9">
        <f t="shared" si="135"/>
        <v>-1.2008941041140808E-2</v>
      </c>
      <c r="AD680" s="9">
        <f t="shared" si="135"/>
        <v>-1.1893729410836107E-2</v>
      </c>
      <c r="AE680" s="9">
        <f t="shared" si="135"/>
        <v>-1.1837817880757773E-2</v>
      </c>
      <c r="AF680" s="9">
        <f t="shared" si="135"/>
        <v>-1.1822316936045851E-2</v>
      </c>
      <c r="AG680" s="9">
        <f t="shared" si="135"/>
        <v>-1.1822285780445307E-2</v>
      </c>
      <c r="AH680" s="9">
        <f t="shared" si="135"/>
        <v>-1.1817228437086214E-2</v>
      </c>
      <c r="AI680" s="9">
        <f t="shared" si="135"/>
        <v>-1.1797580592323387E-2</v>
      </c>
      <c r="AJ680" s="9">
        <f t="shared" si="135"/>
        <v>-1.1766416765722987E-2</v>
      </c>
      <c r="AK680" s="9">
        <f t="shared" si="135"/>
        <v>-1.1731965936552902E-2</v>
      </c>
      <c r="AL680" s="9">
        <f t="shared" si="135"/>
        <v>-1.1703791414159781E-2</v>
      </c>
    </row>
    <row r="681" spans="2:38" x14ac:dyDescent="0.3">
      <c r="B681" t="s">
        <v>94</v>
      </c>
      <c r="C681" s="9">
        <f>(C670-C676)/C673</f>
        <v>0</v>
      </c>
      <c r="D681" s="9">
        <f t="shared" ref="D681:AL681" si="136">(D670-D676)/D673</f>
        <v>0</v>
      </c>
      <c r="E681" s="9">
        <f t="shared" si="136"/>
        <v>0</v>
      </c>
      <c r="F681" s="9">
        <f t="shared" si="136"/>
        <v>0</v>
      </c>
      <c r="G681" s="9">
        <f t="shared" si="136"/>
        <v>0</v>
      </c>
      <c r="H681" s="9">
        <f t="shared" si="136"/>
        <v>0</v>
      </c>
      <c r="I681" s="9">
        <f t="shared" si="136"/>
        <v>1.4709629589490885E-4</v>
      </c>
      <c r="J681" s="9">
        <f t="shared" si="136"/>
        <v>6.1054708859269421E-5</v>
      </c>
      <c r="K681" s="9">
        <f t="shared" si="136"/>
        <v>2.800527246128389E-4</v>
      </c>
      <c r="L681" s="9">
        <f t="shared" si="136"/>
        <v>7.5632261872827459E-4</v>
      </c>
      <c r="M681" s="9">
        <f t="shared" si="136"/>
        <v>1.3476681849775329E-3</v>
      </c>
      <c r="N681" s="9">
        <f t="shared" si="136"/>
        <v>1.8871251245756943E-3</v>
      </c>
      <c r="O681" s="9">
        <f t="shared" si="136"/>
        <v>2.2818184273286392E-3</v>
      </c>
      <c r="P681" s="9">
        <f t="shared" si="136"/>
        <v>2.4981787138572873E-3</v>
      </c>
      <c r="Q681" s="9">
        <f t="shared" si="136"/>
        <v>2.5561357678784142E-3</v>
      </c>
      <c r="R681" s="9">
        <f t="shared" si="136"/>
        <v>2.4843608979454755E-3</v>
      </c>
      <c r="S681" s="9">
        <f t="shared" si="136"/>
        <v>2.2894378674877505E-3</v>
      </c>
      <c r="T681" s="9">
        <f t="shared" si="136"/>
        <v>2.0186284101909079E-3</v>
      </c>
      <c r="U681" s="9">
        <f t="shared" si="136"/>
        <v>1.734393956867584E-3</v>
      </c>
      <c r="V681" s="9">
        <f t="shared" si="136"/>
        <v>1.4862756880455485E-3</v>
      </c>
      <c r="W681" s="9">
        <f t="shared" si="136"/>
        <v>1.2981618861556742E-3</v>
      </c>
      <c r="X681" s="9">
        <f t="shared" si="136"/>
        <v>1.168344074719723E-3</v>
      </c>
      <c r="Y681" s="9">
        <f t="shared" si="136"/>
        <v>1.0864951117306998E-3</v>
      </c>
      <c r="Z681" s="9">
        <f t="shared" si="136"/>
        <v>1.0370594993169334E-3</v>
      </c>
      <c r="AA681" s="9">
        <f t="shared" si="136"/>
        <v>1.0097497382373594E-3</v>
      </c>
      <c r="AB681" s="9">
        <f t="shared" si="136"/>
        <v>9.9764412179408567E-4</v>
      </c>
      <c r="AC681" s="9">
        <f t="shared" si="136"/>
        <v>9.9650826728263885E-4</v>
      </c>
      <c r="AD681" s="9">
        <f t="shared" si="136"/>
        <v>1.0086025373880283E-3</v>
      </c>
      <c r="AE681" s="9">
        <f t="shared" si="136"/>
        <v>1.0344189933433078E-3</v>
      </c>
      <c r="AF681" s="9">
        <f t="shared" si="136"/>
        <v>1.0699765736138583E-3</v>
      </c>
      <c r="AG681" s="9">
        <f t="shared" si="136"/>
        <v>1.1122252439704852E-3</v>
      </c>
      <c r="AH681" s="9">
        <f t="shared" si="136"/>
        <v>1.1593022828673423E-3</v>
      </c>
      <c r="AI681" s="9">
        <f t="shared" si="136"/>
        <v>1.2097415006725361E-3</v>
      </c>
      <c r="AJ681" s="9">
        <f t="shared" si="136"/>
        <v>1.2617417356898843E-3</v>
      </c>
      <c r="AK681" s="9">
        <f t="shared" si="136"/>
        <v>1.3163053821786516E-3</v>
      </c>
      <c r="AL681" s="9">
        <f t="shared" si="136"/>
        <v>1.3752742982320206E-3</v>
      </c>
    </row>
    <row r="682" spans="2:38" x14ac:dyDescent="0.3">
      <c r="B682" t="s">
        <v>95</v>
      </c>
      <c r="C682" s="9">
        <f>(C669-C675)/C673</f>
        <v>0</v>
      </c>
      <c r="D682" s="9">
        <f t="shared" ref="D682:AL682" si="137">(D669-D675)/D673</f>
        <v>0</v>
      </c>
      <c r="E682" s="9">
        <f t="shared" si="137"/>
        <v>0</v>
      </c>
      <c r="F682" s="9">
        <f t="shared" si="137"/>
        <v>0</v>
      </c>
      <c r="G682" s="9">
        <f t="shared" si="137"/>
        <v>0</v>
      </c>
      <c r="H682" s="9">
        <f t="shared" si="137"/>
        <v>0</v>
      </c>
      <c r="I682" s="9">
        <f t="shared" si="137"/>
        <v>1.4408749414084779E-2</v>
      </c>
      <c r="J682" s="9">
        <f t="shared" si="137"/>
        <v>1.7410310669855145E-2</v>
      </c>
      <c r="K682" s="9">
        <f t="shared" si="137"/>
        <v>1.4788593602877079E-2</v>
      </c>
      <c r="L682" s="9">
        <f t="shared" si="137"/>
        <v>8.0406849315184416E-3</v>
      </c>
      <c r="M682" s="9">
        <f t="shared" si="137"/>
        <v>-1.0612604316748084E-3</v>
      </c>
      <c r="N682" s="9">
        <f t="shared" si="137"/>
        <v>-1.0288456243379106E-2</v>
      </c>
      <c r="O682" s="9">
        <f t="shared" si="137"/>
        <v>-1.8003646257596838E-2</v>
      </c>
      <c r="P682" s="9">
        <f t="shared" si="137"/>
        <v>-2.3262355212998756E-2</v>
      </c>
      <c r="Q682" s="9">
        <f t="shared" si="137"/>
        <v>-2.5934470780784754E-2</v>
      </c>
      <c r="R682" s="9">
        <f t="shared" si="137"/>
        <v>-2.6513524487123442E-2</v>
      </c>
      <c r="S682" s="9">
        <f t="shared" si="137"/>
        <v>-2.581296646738971E-2</v>
      </c>
      <c r="T682" s="9">
        <f t="shared" si="137"/>
        <v>-2.4633313114097756E-2</v>
      </c>
      <c r="U682" s="9">
        <f t="shared" si="137"/>
        <v>-2.3534794576958985E-2</v>
      </c>
      <c r="V682" s="9">
        <f t="shared" si="137"/>
        <v>-2.2758137351974028E-2</v>
      </c>
      <c r="W682" s="9">
        <f t="shared" si="137"/>
        <v>-2.2302334136544623E-2</v>
      </c>
      <c r="X682" s="9">
        <f t="shared" si="137"/>
        <v>-2.1965351781727642E-2</v>
      </c>
      <c r="Y682" s="9">
        <f t="shared" si="137"/>
        <v>-2.1611246594100818E-2</v>
      </c>
      <c r="Z682" s="9">
        <f t="shared" si="137"/>
        <v>-2.1165303627452513E-2</v>
      </c>
      <c r="AA682" s="9">
        <f t="shared" si="137"/>
        <v>-2.064239919335055E-2</v>
      </c>
      <c r="AB682" s="9">
        <f t="shared" si="137"/>
        <v>-2.0151630787460441E-2</v>
      </c>
      <c r="AC682" s="9">
        <f t="shared" si="137"/>
        <v>-1.9716400293989567E-2</v>
      </c>
      <c r="AD682" s="9">
        <f t="shared" si="137"/>
        <v>-1.939504874911405E-2</v>
      </c>
      <c r="AE682" s="9">
        <f t="shared" si="137"/>
        <v>-1.9183479943886937E-2</v>
      </c>
      <c r="AF682" s="9">
        <f t="shared" si="137"/>
        <v>-1.9048587370960685E-2</v>
      </c>
      <c r="AG682" s="9">
        <f t="shared" si="137"/>
        <v>-1.8945579474137962E-2</v>
      </c>
      <c r="AH682" s="9">
        <f t="shared" si="137"/>
        <v>-1.8836155180150985E-2</v>
      </c>
      <c r="AI682" s="9">
        <f t="shared" si="137"/>
        <v>-1.8700449646299848E-2</v>
      </c>
      <c r="AJ682" s="9">
        <f t="shared" si="137"/>
        <v>-1.8539092542614849E-2</v>
      </c>
      <c r="AK682" s="9">
        <f t="shared" si="137"/>
        <v>-1.8365825275865343E-2</v>
      </c>
      <c r="AL682" s="9">
        <f t="shared" si="137"/>
        <v>-1.8198323267911449E-2</v>
      </c>
    </row>
    <row r="683" spans="2:38" x14ac:dyDescent="0.3">
      <c r="B683" t="s">
        <v>79</v>
      </c>
      <c r="C683" s="9">
        <f>(C671-C668-(C677-C674))/C673</f>
        <v>0</v>
      </c>
      <c r="D683" s="9">
        <f t="shared" ref="D683:AL683" si="138">(D671-D668-(D677-D674))/D673</f>
        <v>0</v>
      </c>
      <c r="E683" s="9">
        <f t="shared" si="138"/>
        <v>0</v>
      </c>
      <c r="F683" s="9">
        <f t="shared" si="138"/>
        <v>0</v>
      </c>
      <c r="G683" s="9">
        <f t="shared" si="138"/>
        <v>0</v>
      </c>
      <c r="H683" s="9">
        <f t="shared" si="138"/>
        <v>0</v>
      </c>
      <c r="I683" s="9">
        <f t="shared" si="138"/>
        <v>-6.7282998367691306E-3</v>
      </c>
      <c r="J683" s="9">
        <f t="shared" si="138"/>
        <v>-8.6807804657433058E-3</v>
      </c>
      <c r="K683" s="9">
        <f t="shared" si="138"/>
        <v>-8.1836805567196361E-3</v>
      </c>
      <c r="L683" s="9">
        <f t="shared" si="138"/>
        <v>-5.8700983060114495E-3</v>
      </c>
      <c r="M683" s="9">
        <f t="shared" si="138"/>
        <v>-2.4154509137614059E-3</v>
      </c>
      <c r="N683" s="9">
        <f t="shared" si="138"/>
        <v>1.3053776052217015E-3</v>
      </c>
      <c r="O683" s="9">
        <f t="shared" si="138"/>
        <v>4.5907389529538456E-3</v>
      </c>
      <c r="P683" s="9">
        <f t="shared" si="138"/>
        <v>6.9904641673294247E-3</v>
      </c>
      <c r="Q683" s="9">
        <f t="shared" si="138"/>
        <v>8.3765830702430752E-3</v>
      </c>
      <c r="R683" s="9">
        <f t="shared" si="138"/>
        <v>8.894023323593717E-3</v>
      </c>
      <c r="S683" s="9">
        <f t="shared" si="138"/>
        <v>8.8519772469335626E-3</v>
      </c>
      <c r="T683" s="9">
        <f t="shared" si="138"/>
        <v>8.5674389065668755E-3</v>
      </c>
      <c r="U683" s="9">
        <f t="shared" si="138"/>
        <v>8.2668879081331161E-3</v>
      </c>
      <c r="V683" s="9">
        <f t="shared" si="138"/>
        <v>8.0520408653837767E-3</v>
      </c>
      <c r="W683" s="9">
        <f t="shared" si="138"/>
        <v>7.9290464349769784E-3</v>
      </c>
      <c r="X683" s="9">
        <f t="shared" si="138"/>
        <v>7.8235632299891045E-3</v>
      </c>
      <c r="Y683" s="9">
        <f t="shared" si="138"/>
        <v>7.6835613403125301E-3</v>
      </c>
      <c r="Z683" s="9">
        <f t="shared" si="138"/>
        <v>7.481541792264291E-3</v>
      </c>
      <c r="AA683" s="9">
        <f t="shared" si="138"/>
        <v>7.2260410063776075E-3</v>
      </c>
      <c r="AB683" s="9">
        <f t="shared" si="138"/>
        <v>6.9641562629769622E-3</v>
      </c>
      <c r="AC683" s="9">
        <f t="shared" si="138"/>
        <v>6.7109506061348544E-3</v>
      </c>
      <c r="AD683" s="9">
        <f t="shared" si="138"/>
        <v>6.4927163177784294E-3</v>
      </c>
      <c r="AE683" s="9">
        <f t="shared" si="138"/>
        <v>6.3112430697855847E-3</v>
      </c>
      <c r="AF683" s="9">
        <f t="shared" si="138"/>
        <v>6.1562938086510248E-3</v>
      </c>
      <c r="AG683" s="9">
        <f t="shared" si="138"/>
        <v>6.0110681369004377E-3</v>
      </c>
      <c r="AH683" s="9">
        <f t="shared" si="138"/>
        <v>5.8596237891225473E-3</v>
      </c>
      <c r="AI683" s="9">
        <f t="shared" si="138"/>
        <v>5.6931272977931323E-3</v>
      </c>
      <c r="AJ683" s="9">
        <f t="shared" si="138"/>
        <v>5.5109339400378479E-3</v>
      </c>
      <c r="AK683" s="9">
        <f t="shared" si="138"/>
        <v>5.317554107323254E-3</v>
      </c>
      <c r="AL683" s="9">
        <f t="shared" si="138"/>
        <v>5.119257753710779E-3</v>
      </c>
    </row>
  </sheetData>
  <mergeCells count="2">
    <mergeCell ref="A61:A62"/>
    <mergeCell ref="A64:A65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24</vt:i4>
      </vt:variant>
    </vt:vector>
  </HeadingPairs>
  <TitlesOfParts>
    <vt:vector size="25" baseType="lpstr">
      <vt:lpstr>Données</vt:lpstr>
      <vt:lpstr>Gr Macro</vt:lpstr>
      <vt:lpstr>Gr inflation</vt:lpstr>
      <vt:lpstr>Gr émissions</vt:lpstr>
      <vt:lpstr>Gr conso éner</vt:lpstr>
      <vt:lpstr>GR macro ener</vt:lpstr>
      <vt:lpstr>Gr éner prim</vt:lpstr>
      <vt:lpstr>BUIL (class,base)</vt:lpstr>
      <vt:lpstr>BUIL (class,shock)</vt:lpstr>
      <vt:lpstr>Auto (class,base)</vt:lpstr>
      <vt:lpstr>Auto (class,shock)</vt:lpstr>
      <vt:lpstr>Auto (ener,base)</vt:lpstr>
      <vt:lpstr>Auto (ener,shock)</vt:lpstr>
      <vt:lpstr>Employment</vt:lpstr>
      <vt:lpstr>Investissement</vt:lpstr>
      <vt:lpstr>Investissement ctrb</vt:lpstr>
      <vt:lpstr>Firms' emissions</vt:lpstr>
      <vt:lpstr>Capital intensity</vt:lpstr>
      <vt:lpstr>Energy intensity</vt:lpstr>
      <vt:lpstr>Gr VA secteurs (% dev)</vt:lpstr>
      <vt:lpstr>Gr VA secteurs (% dev2)</vt:lpstr>
      <vt:lpstr>Gr VA secteurs (% share)</vt:lpstr>
      <vt:lpstr>Gr Y secteurs (% dev)</vt:lpstr>
      <vt:lpstr>Gr Y secteurs ctrb</vt:lpstr>
      <vt:lpstr>Gr Y secteurs (% share)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Florian Jacquetin</cp:lastModifiedBy>
  <dcterms:created xsi:type="dcterms:W3CDTF">2021-11-04T11:19:34Z</dcterms:created>
  <dcterms:modified xsi:type="dcterms:W3CDTF">2023-01-29T23:22:04Z</dcterms:modified>
</cp:coreProperties>
</file>