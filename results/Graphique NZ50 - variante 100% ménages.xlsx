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Gr VA secteurs (% dev)" sheetId="12" r:id="rId5"/>
    <sheet name="Gr VA secteurs (% share)" sheetId="13" r:id="rId6"/>
    <sheet name="Gr Y secteurs (% dev)" sheetId="14" r:id="rId7"/>
    <sheet name="Gr Y secteurs (% share)" sheetId="15" r:id="rId8"/>
  </sheets>
  <externalReferences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15" i="2" l="1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4" i="2"/>
  <c r="AL65" i="2" l="1"/>
  <c r="R65" i="2"/>
  <c r="F65" i="2" l="1"/>
  <c r="AJ65" i="2"/>
  <c r="AB65" i="2"/>
  <c r="V65" i="2"/>
  <c r="AH65" i="2"/>
  <c r="T65" i="2"/>
  <c r="Z65" i="2"/>
  <c r="J65" i="2"/>
  <c r="AK65" i="2"/>
  <c r="M65" i="2"/>
  <c r="AF65" i="2"/>
  <c r="X65" i="2"/>
  <c r="P65" i="2"/>
  <c r="H65" i="2"/>
  <c r="C65" i="2"/>
  <c r="L65" i="2"/>
  <c r="D65" i="2"/>
  <c r="AE65" i="2"/>
  <c r="W65" i="2"/>
  <c r="O65" i="2"/>
  <c r="G65" i="2"/>
  <c r="AD65" i="2"/>
  <c r="N65" i="2"/>
  <c r="K65" i="2"/>
  <c r="AI65" i="2"/>
  <c r="S65" i="2"/>
  <c r="AG65" i="2"/>
  <c r="Y65" i="2"/>
  <c r="Q65" i="2"/>
  <c r="I65" i="2"/>
  <c r="AA65" i="2"/>
  <c r="AC65" i="2"/>
  <c r="U65" i="2"/>
  <c r="E65" i="2"/>
  <c r="D59" i="2" l="1"/>
  <c r="E129" i="2"/>
  <c r="C127" i="2"/>
  <c r="E119" i="2"/>
  <c r="E131" i="2"/>
  <c r="D131" i="2"/>
  <c r="C131" i="2"/>
  <c r="E130" i="2"/>
  <c r="C130" i="2"/>
  <c r="D121" i="2"/>
  <c r="C129" i="2"/>
  <c r="E128" i="2"/>
  <c r="D128" i="2"/>
  <c r="C128" i="2"/>
  <c r="E127" i="2"/>
  <c r="D127" i="2"/>
  <c r="C119" i="2"/>
  <c r="E118" i="2"/>
  <c r="D118" i="2"/>
  <c r="C126" i="2"/>
  <c r="D130" i="2"/>
  <c r="E121" i="2"/>
  <c r="D120" i="2"/>
  <c r="D126" i="2"/>
  <c r="D119" i="2" l="1"/>
  <c r="C122" i="2"/>
  <c r="E126" i="2"/>
  <c r="D129" i="2"/>
  <c r="D122" i="2"/>
  <c r="C120" i="2"/>
  <c r="E122" i="2"/>
  <c r="C123" i="2"/>
  <c r="C118" i="2"/>
  <c r="E120" i="2"/>
  <c r="D123" i="2"/>
  <c r="C121" i="2"/>
  <c r="E123" i="2"/>
  <c r="D99" i="2" l="1"/>
  <c r="C98" i="2"/>
  <c r="C97" i="2"/>
  <c r="C96" i="2"/>
  <c r="D95" i="2"/>
  <c r="C95" i="2"/>
  <c r="C94" i="2"/>
  <c r="B60" i="2"/>
  <c r="B63" i="2" s="1"/>
  <c r="B59" i="2"/>
  <c r="B62" i="2" s="1"/>
  <c r="E59" i="2"/>
  <c r="F59" i="2"/>
  <c r="N59" i="2"/>
  <c r="U59" i="2"/>
  <c r="V59" i="2"/>
  <c r="AD59" i="2"/>
  <c r="AK59" i="2"/>
  <c r="AL59" i="2"/>
  <c r="K60" i="2"/>
  <c r="R60" i="2"/>
  <c r="S60" i="2"/>
  <c r="AA60" i="2"/>
  <c r="AH60" i="2"/>
  <c r="AI60" i="2"/>
  <c r="C91" i="2" l="1"/>
  <c r="D97" i="2"/>
  <c r="E99" i="2"/>
  <c r="C99" i="2"/>
  <c r="D98" i="2"/>
  <c r="D96" i="2"/>
  <c r="D94" i="2"/>
  <c r="E94" i="2"/>
  <c r="E97" i="2"/>
  <c r="E95" i="2"/>
  <c r="E98" i="2"/>
  <c r="C90" i="2"/>
  <c r="D86" i="2"/>
  <c r="E88" i="2"/>
  <c r="E87" i="2"/>
  <c r="E96" i="2"/>
  <c r="D90" i="2"/>
  <c r="D87" i="2"/>
  <c r="C86" i="2"/>
  <c r="D88" i="2"/>
  <c r="E90" i="2"/>
  <c r="C89" i="2"/>
  <c r="D91" i="2"/>
  <c r="E89" i="2"/>
  <c r="C87" i="2"/>
  <c r="D89" i="2"/>
  <c r="E91" i="2"/>
  <c r="E86" i="2"/>
  <c r="C88" i="2"/>
  <c r="AL60" i="2"/>
  <c r="AD60" i="2"/>
  <c r="V60" i="2"/>
  <c r="N60" i="2"/>
  <c r="F60" i="2"/>
  <c r="AG59" i="2"/>
  <c r="Y59" i="2"/>
  <c r="Q59" i="2"/>
  <c r="I59" i="2"/>
  <c r="AF60" i="2"/>
  <c r="X60" i="2"/>
  <c r="P60" i="2"/>
  <c r="H60" i="2"/>
  <c r="AI59" i="2"/>
  <c r="AA59" i="2"/>
  <c r="S59" i="2"/>
  <c r="K59" i="2"/>
  <c r="AK60" i="2"/>
  <c r="X59" i="2"/>
  <c r="AE60" i="2"/>
  <c r="W60" i="2"/>
  <c r="O60" i="2"/>
  <c r="G60" i="2"/>
  <c r="AH59" i="2"/>
  <c r="Z59" i="2"/>
  <c r="R59" i="2"/>
  <c r="J59" i="2"/>
  <c r="AB60" i="2"/>
  <c r="T60" i="2"/>
  <c r="L60" i="2"/>
  <c r="D60" i="2"/>
  <c r="AE59" i="2"/>
  <c r="O59" i="2"/>
  <c r="G59" i="2"/>
  <c r="Y60" i="2"/>
  <c r="I60" i="2"/>
  <c r="AB59" i="2"/>
  <c r="L59" i="2"/>
  <c r="H59" i="2"/>
  <c r="P59" i="2"/>
  <c r="AF59" i="2"/>
  <c r="E60" i="2"/>
  <c r="M60" i="2"/>
  <c r="U60" i="2"/>
  <c r="AC60" i="2"/>
  <c r="AG60" i="2"/>
  <c r="T59" i="2"/>
  <c r="AJ59" i="2"/>
  <c r="Q60" i="2"/>
  <c r="M59" i="2"/>
  <c r="AC59" i="2"/>
  <c r="J60" i="2"/>
  <c r="Z60" i="2"/>
  <c r="W59" i="2"/>
  <c r="AJ60" i="2"/>
</calcChain>
</file>

<file path=xl/sharedStrings.xml><?xml version="1.0" encoding="utf-8"?>
<sst xmlns="http://schemas.openxmlformats.org/spreadsheetml/2006/main" count="87" uniqueCount="29">
  <si>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</si>
  <si>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</si>
  <si>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</si>
  <si>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</si>
  <si>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</si>
  <si>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</si>
  <si>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</si>
  <si>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</si>
  <si>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</si>
  <si>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</si>
  <si>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</si>
  <si>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</si>
  <si>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</si>
  <si>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Valeur ajoutée sectorielle baseline</t>
  </si>
  <si>
    <t>Valeur ajoutée sectorielle shock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</si>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</sst>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Net Zero 2050</a:t>
            </a:r>
          </a:p>
          <a:p>
            <a:pPr>
              <a:defRPr sz="2400"/>
            </a:pPr>
            <a:r>
              <a:rPr lang="fr-FR" sz="1600" baseline="0"/>
              <a:t>(% deviation from baseline)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Données!$B$6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Données!$C$6:$AL$6</c:f>
              <c:numCache>
                <c:formatCode>#\ ##0.0</c:formatCode>
                <c:ptCount val="36"/>
                <c:pt idx="0">
                  <c:v>0</c:v>
                </c:pt>
                <c:pt idx="1">
                  <c:v>4.4686339460915783E-8</c:v>
                </c:pt>
                <c:pt idx="2">
                  <c:v>0</c:v>
                </c:pt>
                <c:pt idx="3">
                  <c:v>4.2917592833875703E-8</c:v>
                </c:pt>
                <c:pt idx="4">
                  <c:v>0</c:v>
                </c:pt>
                <c:pt idx="5">
                  <c:v>4.108183902620024E-8</c:v>
                </c:pt>
                <c:pt idx="6">
                  <c:v>4.0165916184363461E-8</c:v>
                </c:pt>
                <c:pt idx="7">
                  <c:v>-2.7663779635349887E-2</c:v>
                </c:pt>
                <c:pt idx="8">
                  <c:v>-5.3048200082430601E-2</c:v>
                </c:pt>
                <c:pt idx="9">
                  <c:v>4.7475781764043053E-2</c:v>
                </c:pt>
                <c:pt idx="10">
                  <c:v>0.33080674722842895</c:v>
                </c:pt>
                <c:pt idx="11">
                  <c:v>0.57876735854655326</c:v>
                </c:pt>
                <c:pt idx="12">
                  <c:v>0.88925923384701544</c:v>
                </c:pt>
                <c:pt idx="13">
                  <c:v>1.2412318893944936</c:v>
                </c:pt>
                <c:pt idx="14">
                  <c:v>1.598868964327719</c:v>
                </c:pt>
                <c:pt idx="15">
                  <c:v>1.937303654682206</c:v>
                </c:pt>
                <c:pt idx="16">
                  <c:v>2.241185170161073</c:v>
                </c:pt>
                <c:pt idx="17">
                  <c:v>2.4928310324874547</c:v>
                </c:pt>
                <c:pt idx="18">
                  <c:v>2.6975431483735326</c:v>
                </c:pt>
                <c:pt idx="19">
                  <c:v>2.862061846267149</c:v>
                </c:pt>
                <c:pt idx="20">
                  <c:v>2.9965597784062372</c:v>
                </c:pt>
                <c:pt idx="21">
                  <c:v>3.0838812205363415</c:v>
                </c:pt>
                <c:pt idx="22">
                  <c:v>3.1364440494750596</c:v>
                </c:pt>
                <c:pt idx="23">
                  <c:v>3.1611761721918175</c:v>
                </c:pt>
                <c:pt idx="24">
                  <c:v>3.1643218467383174</c:v>
                </c:pt>
                <c:pt idx="25">
                  <c:v>3.151177039719371</c:v>
                </c:pt>
                <c:pt idx="26">
                  <c:v>3.0953720975965404</c:v>
                </c:pt>
                <c:pt idx="27">
                  <c:v>3.0034026700158813</c:v>
                </c:pt>
                <c:pt idx="28">
                  <c:v>2.888657639231452</c:v>
                </c:pt>
                <c:pt idx="29">
                  <c:v>2.7632205920686506</c:v>
                </c:pt>
                <c:pt idx="30">
                  <c:v>2.6356781769679314</c:v>
                </c:pt>
                <c:pt idx="31">
                  <c:v>2.5004474373752381</c:v>
                </c:pt>
                <c:pt idx="32">
                  <c:v>2.3639061097984109</c:v>
                </c:pt>
                <c:pt idx="33">
                  <c:v>2.2323483972688041</c:v>
                </c:pt>
                <c:pt idx="34">
                  <c:v>2.111727387933541</c:v>
                </c:pt>
                <c:pt idx="35">
                  <c:v>2.0068288331829431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Données!$C$9:$AL$9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-5.5068732867233267E-2</c:v>
                </c:pt>
                <c:pt idx="8">
                  <c:v>-0.13964753338253894</c:v>
                </c:pt>
                <c:pt idx="9">
                  <c:v>-0.18535163517692191</c:v>
                </c:pt>
                <c:pt idx="10">
                  <c:v>-0.21594455440761243</c:v>
                </c:pt>
                <c:pt idx="11">
                  <c:v>-0.24192212541151881</c:v>
                </c:pt>
                <c:pt idx="12">
                  <c:v>-0.26320258133139401</c:v>
                </c:pt>
                <c:pt idx="13">
                  <c:v>-0.27571357636006605</c:v>
                </c:pt>
                <c:pt idx="14">
                  <c:v>-0.27596689437324651</c:v>
                </c:pt>
                <c:pt idx="15">
                  <c:v>-0.26496748515175361</c:v>
                </c:pt>
                <c:pt idx="16">
                  <c:v>-0.2531512157949849</c:v>
                </c:pt>
                <c:pt idx="17">
                  <c:v>-0.24425253063967908</c:v>
                </c:pt>
                <c:pt idx="18">
                  <c:v>-0.23859892984728215</c:v>
                </c:pt>
                <c:pt idx="19">
                  <c:v>-0.23411805261587437</c:v>
                </c:pt>
                <c:pt idx="20">
                  <c:v>-0.22868344095240034</c:v>
                </c:pt>
                <c:pt idx="21">
                  <c:v>-0.21934211892529817</c:v>
                </c:pt>
                <c:pt idx="22">
                  <c:v>-0.20428827355677143</c:v>
                </c:pt>
                <c:pt idx="23">
                  <c:v>-0.18208432646915096</c:v>
                </c:pt>
                <c:pt idx="24">
                  <c:v>-0.15186590685862525</c:v>
                </c:pt>
                <c:pt idx="25">
                  <c:v>-0.1135354965283427</c:v>
                </c:pt>
                <c:pt idx="26">
                  <c:v>-6.7425216425158044E-2</c:v>
                </c:pt>
                <c:pt idx="27">
                  <c:v>-1.6683061263176303E-2</c:v>
                </c:pt>
                <c:pt idx="28">
                  <c:v>3.7130839931094825E-2</c:v>
                </c:pt>
                <c:pt idx="29">
                  <c:v>9.3033183533476838E-2</c:v>
                </c:pt>
                <c:pt idx="30">
                  <c:v>0.15019549137157084</c:v>
                </c:pt>
                <c:pt idx="31">
                  <c:v>0.2073952855367327</c:v>
                </c:pt>
                <c:pt idx="32">
                  <c:v>0.26331490408498043</c:v>
                </c:pt>
                <c:pt idx="33">
                  <c:v>0.31718597192194026</c:v>
                </c:pt>
                <c:pt idx="34">
                  <c:v>0.36852438046732106</c:v>
                </c:pt>
                <c:pt idx="35">
                  <c:v>0.41704442156475569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Données!$B$11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Données!$C$11:$AL$11</c:f>
              <c:numCache>
                <c:formatCode>#\ ##0.0</c:formatCode>
                <c:ptCount val="36"/>
                <c:pt idx="0">
                  <c:v>-4.5500097444919102E-9</c:v>
                </c:pt>
                <c:pt idx="1">
                  <c:v>0</c:v>
                </c:pt>
                <c:pt idx="2">
                  <c:v>-8.7649548856275962E-9</c:v>
                </c:pt>
                <c:pt idx="3">
                  <c:v>-1.2875276850909565E-8</c:v>
                </c:pt>
                <c:pt idx="4">
                  <c:v>-2.1001999577460101E-8</c:v>
                </c:pt>
                <c:pt idx="5">
                  <c:v>-2.4649100546187302E-8</c:v>
                </c:pt>
                <c:pt idx="6">
                  <c:v>-3.2132736688233483E-8</c:v>
                </c:pt>
                <c:pt idx="7">
                  <c:v>-0.16163013228220155</c:v>
                </c:pt>
                <c:pt idx="8">
                  <c:v>-0.26947837727736307</c:v>
                </c:pt>
                <c:pt idx="9">
                  <c:v>-0.15069572329945113</c:v>
                </c:pt>
                <c:pt idx="10">
                  <c:v>-0.17168811779850074</c:v>
                </c:pt>
                <c:pt idx="11">
                  <c:v>-0.30302598940022457</c:v>
                </c:pt>
                <c:pt idx="12">
                  <c:v>-0.53761003734523927</c:v>
                </c:pt>
                <c:pt idx="13">
                  <c:v>-0.82153866527870434</c:v>
                </c:pt>
                <c:pt idx="14">
                  <c:v>-1.1094738648232618</c:v>
                </c:pt>
                <c:pt idx="15">
                  <c:v>-1.3895309042873691</c:v>
                </c:pt>
                <c:pt idx="16">
                  <c:v>-1.6712572888778019</c:v>
                </c:pt>
                <c:pt idx="17">
                  <c:v>-1.9335526377638608</c:v>
                </c:pt>
                <c:pt idx="18">
                  <c:v>-2.1772203853348815</c:v>
                </c:pt>
                <c:pt idx="19">
                  <c:v>-2.4018995651190398</c:v>
                </c:pt>
                <c:pt idx="20">
                  <c:v>-2.6126549533236907</c:v>
                </c:pt>
                <c:pt idx="21">
                  <c:v>-2.8013241172308341</c:v>
                </c:pt>
                <c:pt idx="22">
                  <c:v>-2.9650942133475722</c:v>
                </c:pt>
                <c:pt idx="23">
                  <c:v>-3.1052224495900353</c:v>
                </c:pt>
                <c:pt idx="24">
                  <c:v>-3.2238700017444435</c:v>
                </c:pt>
                <c:pt idx="25">
                  <c:v>-3.3237703987024343</c:v>
                </c:pt>
                <c:pt idx="26">
                  <c:v>-3.3900000929117753</c:v>
                </c:pt>
                <c:pt idx="27">
                  <c:v>-3.4198754281120243</c:v>
                </c:pt>
                <c:pt idx="28">
                  <c:v>-3.4196792685321444</c:v>
                </c:pt>
                <c:pt idx="29">
                  <c:v>-3.39624845397468</c:v>
                </c:pt>
                <c:pt idx="30">
                  <c:v>-3.3554211846814495</c:v>
                </c:pt>
                <c:pt idx="31">
                  <c:v>-3.2963710025808379</c:v>
                </c:pt>
                <c:pt idx="32">
                  <c:v>-3.2204336757303489</c:v>
                </c:pt>
                <c:pt idx="33">
                  <c:v>-3.1333447424751162</c:v>
                </c:pt>
                <c:pt idx="34">
                  <c:v>-3.0414735939083668</c:v>
                </c:pt>
                <c:pt idx="35">
                  <c:v>-2.9504875796223442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Données!$B$5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Données!$C$5:$AL$5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-5.6947668802820317E-9</c:v>
                      </c:pt>
                      <c:pt idx="6">
                        <c:v>-5.558631333002495E-9</c:v>
                      </c:pt>
                      <c:pt idx="7">
                        <c:v>-0.30535829167093187</c:v>
                      </c:pt>
                      <c:pt idx="8">
                        <c:v>-0.56937155320880839</c:v>
                      </c:pt>
                      <c:pt idx="9">
                        <c:v>-0.3528913923367627</c:v>
                      </c:pt>
                      <c:pt idx="10">
                        <c:v>-9.7681649662140213E-2</c:v>
                      </c:pt>
                      <c:pt idx="11">
                        <c:v>-2.0602001618275079E-2</c:v>
                      </c:pt>
                      <c:pt idx="12">
                        <c:v>-2.4478098761937517E-3</c:v>
                      </c:pt>
                      <c:pt idx="13">
                        <c:v>8.2889579964051663E-3</c:v>
                      </c:pt>
                      <c:pt idx="14">
                        <c:v>3.4552335618109886E-2</c:v>
                      </c:pt>
                      <c:pt idx="15">
                        <c:v>6.2901408390847457E-2</c:v>
                      </c:pt>
                      <c:pt idx="16">
                        <c:v>5.3481644482422652E-2</c:v>
                      </c:pt>
                      <c:pt idx="17">
                        <c:v>8.2790435733448575E-3</c:v>
                      </c:pt>
                      <c:pt idx="18">
                        <c:v>-6.9966169941027001E-2</c:v>
                      </c:pt>
                      <c:pt idx="19">
                        <c:v>-0.17418203488323014</c:v>
                      </c:pt>
                      <c:pt idx="20">
                        <c:v>-0.29344275582191548</c:v>
                      </c:pt>
                      <c:pt idx="21">
                        <c:v>-0.43188432442202718</c:v>
                      </c:pt>
                      <c:pt idx="22">
                        <c:v>-0.56986849608868795</c:v>
                      </c:pt>
                      <c:pt idx="23">
                        <c:v>-0.69968102269812871</c:v>
                      </c:pt>
                      <c:pt idx="24">
                        <c:v>-0.816260995070206</c:v>
                      </c:pt>
                      <c:pt idx="25">
                        <c:v>-0.91723651033421838</c:v>
                      </c:pt>
                      <c:pt idx="26">
                        <c:v>-1.013133230921115</c:v>
                      </c:pt>
                      <c:pt idx="27">
                        <c:v>-1.0972077958171456</c:v>
                      </c:pt>
                      <c:pt idx="28">
                        <c:v>-1.1648315351533212</c:v>
                      </c:pt>
                      <c:pt idx="29">
                        <c:v>-1.2128014967154988</c:v>
                      </c:pt>
                      <c:pt idx="30">
                        <c:v>-1.2402468404893674</c:v>
                      </c:pt>
                      <c:pt idx="31">
                        <c:v>-1.253618030853676</c:v>
                      </c:pt>
                      <c:pt idx="32">
                        <c:v>-1.2493253667000159</c:v>
                      </c:pt>
                      <c:pt idx="33">
                        <c:v>-1.2287082336369104</c:v>
                      </c:pt>
                      <c:pt idx="34">
                        <c:v>-1.1938500395910601</c:v>
                      </c:pt>
                      <c:pt idx="35">
                        <c:v>-1.1469280813031668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Données!$B$7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Données!$C$7:$AL$7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4.4686282237004683E-10</c:v>
                      </c:pt>
                      <c:pt idx="2">
                        <c:v>8.7649625384445173E-10</c:v>
                      </c:pt>
                      <c:pt idx="3">
                        <c:v>2.5750553701819134E-9</c:v>
                      </c:pt>
                      <c:pt idx="4">
                        <c:v>2.940280527633544E-9</c:v>
                      </c:pt>
                      <c:pt idx="5">
                        <c:v>3.6973649623642273E-9</c:v>
                      </c:pt>
                      <c:pt idx="6">
                        <c:v>3.6149327605280563E-9</c:v>
                      </c:pt>
                      <c:pt idx="7">
                        <c:v>-2.6218283559720463E-2</c:v>
                      </c:pt>
                      <c:pt idx="8">
                        <c:v>-6.3498085220942135E-2</c:v>
                      </c:pt>
                      <c:pt idx="9">
                        <c:v>-9.3468848066204105E-2</c:v>
                      </c:pt>
                      <c:pt idx="10">
                        <c:v>-0.11772209001004946</c:v>
                      </c:pt>
                      <c:pt idx="11">
                        <c:v>-8.9815517923321944E-2</c:v>
                      </c:pt>
                      <c:pt idx="12">
                        <c:v>-3.8993809699731666E-2</c:v>
                      </c:pt>
                      <c:pt idx="13">
                        <c:v>8.5706158527783551E-3</c:v>
                      </c:pt>
                      <c:pt idx="14">
                        <c:v>4.3158924159511711E-2</c:v>
                      </c:pt>
                      <c:pt idx="15">
                        <c:v>6.392550147041566E-2</c:v>
                      </c:pt>
                      <c:pt idx="16">
                        <c:v>6.6908129476624625E-2</c:v>
                      </c:pt>
                      <c:pt idx="17">
                        <c:v>5.8548053060442334E-2</c:v>
                      </c:pt>
                      <c:pt idx="18">
                        <c:v>4.6514514366109753E-2</c:v>
                      </c:pt>
                      <c:pt idx="19">
                        <c:v>3.727579428380276E-2</c:v>
                      </c:pt>
                      <c:pt idx="20">
                        <c:v>2.8941826187725148E-2</c:v>
                      </c:pt>
                      <c:pt idx="21">
                        <c:v>2.5935792919347118E-2</c:v>
                      </c:pt>
                      <c:pt idx="22">
                        <c:v>2.3877932681563581E-2</c:v>
                      </c:pt>
                      <c:pt idx="23">
                        <c:v>2.1273965329770241E-2</c:v>
                      </c:pt>
                      <c:pt idx="24">
                        <c:v>1.8183726402885361E-2</c:v>
                      </c:pt>
                      <c:pt idx="25">
                        <c:v>1.4756900244814491E-2</c:v>
                      </c:pt>
                      <c:pt idx="26">
                        <c:v>1.1781412185042797E-2</c:v>
                      </c:pt>
                      <c:pt idx="27">
                        <c:v>7.0828793620822126E-3</c:v>
                      </c:pt>
                      <c:pt idx="28">
                        <c:v>1.2475738737762739E-3</c:v>
                      </c:pt>
                      <c:pt idx="29">
                        <c:v>-4.7467775665011513E-3</c:v>
                      </c:pt>
                      <c:pt idx="30">
                        <c:v>-1.0470564701731581E-2</c:v>
                      </c:pt>
                      <c:pt idx="31">
                        <c:v>-1.5608426978146352E-2</c:v>
                      </c:pt>
                      <c:pt idx="32">
                        <c:v>-2.1319346497825166E-2</c:v>
                      </c:pt>
                      <c:pt idx="33">
                        <c:v>-2.7699788355274483E-2</c:v>
                      </c:pt>
                      <c:pt idx="34">
                        <c:v>-3.4370210490771297E-2</c:v>
                      </c:pt>
                      <c:pt idx="35">
                        <c:v>-4.1024170403523234E-2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Données!$C$8:$AL$8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Données!$B$10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Données!$C$10:$AL$10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Données!$B$4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Données!$C$4:$AL$4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-0.24436262122941033</c:v>
                </c:pt>
                <c:pt idx="8">
                  <c:v>-0.46217413376153926</c:v>
                </c:pt>
                <c:pt idx="9">
                  <c:v>-0.28857158046116105</c:v>
                </c:pt>
                <c:pt idx="10">
                  <c:v>-5.6825943301386239E-2</c:v>
                </c:pt>
                <c:pt idx="11">
                  <c:v>3.3819247326971613E-2</c:v>
                </c:pt>
                <c:pt idx="12">
                  <c:v>8.8446615170378884E-2</c:v>
                </c:pt>
                <c:pt idx="13">
                  <c:v>0.14397964081447334</c:v>
                </c:pt>
                <c:pt idx="14">
                  <c:v>0.21342817095029165</c:v>
                </c:pt>
                <c:pt idx="15">
                  <c:v>0.28280523492465459</c:v>
                </c:pt>
                <c:pt idx="16">
                  <c:v>0.31677668209286747</c:v>
                </c:pt>
                <c:pt idx="17">
                  <c:v>0.31502583789799754</c:v>
                </c:pt>
                <c:pt idx="18">
                  <c:v>0.28172383319136074</c:v>
                </c:pt>
                <c:pt idx="19">
                  <c:v>0.22604422535787982</c:v>
                </c:pt>
                <c:pt idx="20">
                  <c:v>0.15522139974248894</c:v>
                </c:pt>
                <c:pt idx="21">
                  <c:v>6.3214975175829302E-2</c:v>
                </c:pt>
                <c:pt idx="22">
                  <c:v>-3.2938392261749883E-2</c:v>
                </c:pt>
                <c:pt idx="23">
                  <c:v>-0.12613059206071364</c:v>
                </c:pt>
                <c:pt idx="24">
                  <c:v>-0.21141407920471922</c:v>
                </c:pt>
                <c:pt idx="25">
                  <c:v>-0.28612883006401413</c:v>
                </c:pt>
                <c:pt idx="26">
                  <c:v>-0.3620532310855018</c:v>
                </c:pt>
                <c:pt idx="27">
                  <c:v>-0.43315581935930991</c:v>
                </c:pt>
                <c:pt idx="28">
                  <c:v>-0.49389074723554804</c:v>
                </c:pt>
                <c:pt idx="29">
                  <c:v>-0.53999465269298774</c:v>
                </c:pt>
                <c:pt idx="30">
                  <c:v>-0.56954754137442665</c:v>
                </c:pt>
                <c:pt idx="31">
                  <c:v>-0.58852825527057062</c:v>
                </c:pt>
                <c:pt idx="32">
                  <c:v>-0.59321266184695354</c:v>
                </c:pt>
                <c:pt idx="33">
                  <c:v>-0.58381039646923094</c:v>
                </c:pt>
                <c:pt idx="34">
                  <c:v>-0.56122182550749633</c:v>
                </c:pt>
                <c:pt idx="35">
                  <c:v>-0.52661430280968036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Données!$B$59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Données!$C$59:$AL$59</c:f>
              <c:numCache>
                <c:formatCode>#\ ##0.0</c:formatCode>
                <c:ptCount val="36"/>
                <c:pt idx="1">
                  <c:v>2.0351069066590677</c:v>
                </c:pt>
                <c:pt idx="2">
                  <c:v>2.0769812701596058</c:v>
                </c:pt>
                <c:pt idx="3">
                  <c:v>2.2397174648101092</c:v>
                </c:pt>
                <c:pt idx="4">
                  <c:v>2.082959654603167</c:v>
                </c:pt>
                <c:pt idx="5">
                  <c:v>2.0778730970387516</c:v>
                </c:pt>
                <c:pt idx="6">
                  <c:v>2.094721956498824</c:v>
                </c:pt>
                <c:pt idx="7">
                  <c:v>2.1188435652875537</c:v>
                </c:pt>
                <c:pt idx="8">
                  <c:v>2.1408646989065083</c:v>
                </c:pt>
                <c:pt idx="9">
                  <c:v>2.1582610827105553</c:v>
                </c:pt>
                <c:pt idx="10">
                  <c:v>2.1513610403737671</c:v>
                </c:pt>
                <c:pt idx="11">
                  <c:v>2.0822473904509087</c:v>
                </c:pt>
                <c:pt idx="12">
                  <c:v>1.9593712663493079</c:v>
                </c:pt>
                <c:pt idx="13">
                  <c:v>1.8004960665815251</c:v>
                </c:pt>
                <c:pt idx="14">
                  <c:v>1.628504640441264</c:v>
                </c:pt>
                <c:pt idx="15">
                  <c:v>1.4570242323025173</c:v>
                </c:pt>
                <c:pt idx="16">
                  <c:v>1.2895934945500231</c:v>
                </c:pt>
                <c:pt idx="17">
                  <c:v>1.1338296100802614</c:v>
                </c:pt>
                <c:pt idx="18">
                  <c:v>1.0021042077731357</c:v>
                </c:pt>
                <c:pt idx="19">
                  <c:v>0.90057701042574045</c:v>
                </c:pt>
                <c:pt idx="20">
                  <c:v>0.83802361581415408</c:v>
                </c:pt>
                <c:pt idx="21">
                  <c:v>0.80566776712305277</c:v>
                </c:pt>
                <c:pt idx="22">
                  <c:v>0.80751837576555907</c:v>
                </c:pt>
                <c:pt idx="23">
                  <c:v>0.84521898113243399</c:v>
                </c:pt>
                <c:pt idx="24">
                  <c:v>0.92124841479415132</c:v>
                </c:pt>
                <c:pt idx="25">
                  <c:v>1.0455428608752815</c:v>
                </c:pt>
                <c:pt idx="26">
                  <c:v>1.1766026816582675</c:v>
                </c:pt>
                <c:pt idx="27">
                  <c:v>1.3215630285558388</c:v>
                </c:pt>
                <c:pt idx="28">
                  <c:v>1.4791659739906704</c:v>
                </c:pt>
                <c:pt idx="29">
                  <c:v>1.6378982895695282</c:v>
                </c:pt>
                <c:pt idx="30">
                  <c:v>1.7930464521466183</c:v>
                </c:pt>
                <c:pt idx="31">
                  <c:v>1.9385676011399733</c:v>
                </c:pt>
                <c:pt idx="32">
                  <c:v>2.0697284102566327</c:v>
                </c:pt>
                <c:pt idx="33">
                  <c:v>2.1828380820357651</c:v>
                </c:pt>
                <c:pt idx="34">
                  <c:v>2.2747872494529364</c:v>
                </c:pt>
                <c:pt idx="35">
                  <c:v>2.3431942506177972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Données!$B$60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Données!$C$60:$AL$60</c:f>
              <c:numCache>
                <c:formatCode>#\ ##0.0</c:formatCode>
                <c:ptCount val="36"/>
                <c:pt idx="1">
                  <c:v>2.0351070063945764</c:v>
                </c:pt>
                <c:pt idx="2">
                  <c:v>2.0769812681294075</c:v>
                </c:pt>
                <c:pt idx="3">
                  <c:v>2.2397174626654026</c:v>
                </c:pt>
                <c:pt idx="4">
                  <c:v>2.0829596526522831</c:v>
                </c:pt>
                <c:pt idx="5">
                  <c:v>2.0778731868809297</c:v>
                </c:pt>
                <c:pt idx="6">
                  <c:v>2.0947219527333028</c:v>
                </c:pt>
                <c:pt idx="7">
                  <c:v>2.665948796512807</c:v>
                </c:pt>
                <c:pt idx="8">
                  <c:v>3.01883946756345</c:v>
                </c:pt>
                <c:pt idx="9">
                  <c:v>3.5107019773073178</c:v>
                </c:pt>
                <c:pt idx="10">
                  <c:v>4.0909681563406464</c:v>
                </c:pt>
                <c:pt idx="11">
                  <c:v>3.5296531119593411</c:v>
                </c:pt>
                <c:pt idx="12">
                  <c:v>3.2676909931447007</c:v>
                </c:pt>
                <c:pt idx="13">
                  <c:v>3.0001058736483177</c:v>
                </c:pt>
                <c:pt idx="14">
                  <c:v>2.7405760351593367</c:v>
                </c:pt>
                <c:pt idx="15">
                  <c:v>2.4901292429477362</c:v>
                </c:pt>
                <c:pt idx="16">
                  <c:v>2.3170978946597032</c:v>
                </c:pt>
                <c:pt idx="17">
                  <c:v>2.1441175225217046</c:v>
                </c:pt>
                <c:pt idx="18">
                  <c:v>1.9629357939707992</c:v>
                </c:pt>
                <c:pt idx="19">
                  <c:v>1.7715327720045915</c:v>
                </c:pt>
                <c:pt idx="20">
                  <c:v>1.620543808497299</c:v>
                </c:pt>
                <c:pt idx="21">
                  <c:v>1.4195968983563789</c:v>
                </c:pt>
                <c:pt idx="22">
                  <c:v>1.295100795617854</c:v>
                </c:pt>
                <c:pt idx="23">
                  <c:v>1.2055169316318004</c:v>
                </c:pt>
                <c:pt idx="24">
                  <c:v>1.1563033445991966</c:v>
                </c:pt>
                <c:pt idx="25">
                  <c:v>1.1614317691884146</c:v>
                </c:pt>
                <c:pt idx="26">
                  <c:v>1.1577255936677133</c:v>
                </c:pt>
                <c:pt idx="27">
                  <c:v>1.2310772504176004</c:v>
                </c:pt>
                <c:pt idx="28">
                  <c:v>1.3271498985448549</c:v>
                </c:pt>
                <c:pt idx="29">
                  <c:v>1.4383793819533253</c:v>
                </c:pt>
                <c:pt idx="30">
                  <c:v>1.5609216408176474</c:v>
                </c:pt>
                <c:pt idx="31">
                  <c:v>1.6750027795996436</c:v>
                </c:pt>
                <c:pt idx="32">
                  <c:v>1.8118324598782598</c:v>
                </c:pt>
                <c:pt idx="33">
                  <c:v>1.9421118771977719</c:v>
                </c:pt>
                <c:pt idx="34">
                  <c:v>2.0605848417772687</c:v>
                </c:pt>
                <c:pt idx="35">
                  <c:v>2.1630575239154792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2"/>
          <c:order val="2"/>
          <c:tx>
            <c:strRef>
              <c:f>Données!$B$64</c:f>
              <c:strCache>
                <c:ptCount val="1"/>
                <c:pt idx="0">
                  <c:v>Households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#,##0</c:formatCode>
                <c:ptCount val="36"/>
                <c:pt idx="0">
                  <c:v>119.49049309999999</c:v>
                </c:pt>
                <c:pt idx="1">
                  <c:v>118.4245464</c:v>
                </c:pt>
                <c:pt idx="2">
                  <c:v>117.25546319999999</c:v>
                </c:pt>
                <c:pt idx="3">
                  <c:v>116.145245</c:v>
                </c:pt>
                <c:pt idx="4">
                  <c:v>115.6746773</c:v>
                </c:pt>
                <c:pt idx="5">
                  <c:v>115.5996868</c:v>
                </c:pt>
                <c:pt idx="6">
                  <c:v>115.7459937</c:v>
                </c:pt>
                <c:pt idx="7">
                  <c:v>115.48190219999999</c:v>
                </c:pt>
                <c:pt idx="8">
                  <c:v>114.66442960000001</c:v>
                </c:pt>
                <c:pt idx="9">
                  <c:v>113.5453419</c:v>
                </c:pt>
                <c:pt idx="10">
                  <c:v>111.93847150000001</c:v>
                </c:pt>
                <c:pt idx="11">
                  <c:v>111.3049656</c:v>
                </c:pt>
                <c:pt idx="12">
                  <c:v>111.1171464</c:v>
                </c:pt>
                <c:pt idx="13">
                  <c:v>111.1101513</c:v>
                </c:pt>
                <c:pt idx="14">
                  <c:v>111.1425844</c:v>
                </c:pt>
                <c:pt idx="15">
                  <c:v>111.1397625</c:v>
                </c:pt>
                <c:pt idx="16">
                  <c:v>110.4817862</c:v>
                </c:pt>
                <c:pt idx="17">
                  <c:v>109.64128890000001</c:v>
                </c:pt>
                <c:pt idx="18">
                  <c:v>108.2093249</c:v>
                </c:pt>
                <c:pt idx="19">
                  <c:v>105.2989697</c:v>
                </c:pt>
                <c:pt idx="20">
                  <c:v>102.0282141</c:v>
                </c:pt>
                <c:pt idx="21">
                  <c:v>98.518975310000002</c:v>
                </c:pt>
                <c:pt idx="22">
                  <c:v>94.783126240000001</c:v>
                </c:pt>
                <c:pt idx="23">
                  <c:v>90.863175130000002</c:v>
                </c:pt>
                <c:pt idx="24">
                  <c:v>86.819159929999998</c:v>
                </c:pt>
                <c:pt idx="25">
                  <c:v>82.67012235</c:v>
                </c:pt>
                <c:pt idx="26">
                  <c:v>78.552301349999993</c:v>
                </c:pt>
                <c:pt idx="27">
                  <c:v>74.509999739999998</c:v>
                </c:pt>
                <c:pt idx="28">
                  <c:v>70.56994847</c:v>
                </c:pt>
                <c:pt idx="29">
                  <c:v>66.770444819999994</c:v>
                </c:pt>
                <c:pt idx="30">
                  <c:v>63.147000519999999</c:v>
                </c:pt>
                <c:pt idx="31">
                  <c:v>59.749114179999999</c:v>
                </c:pt>
                <c:pt idx="32">
                  <c:v>56.585940209999997</c:v>
                </c:pt>
                <c:pt idx="33">
                  <c:v>53.667349440000002</c:v>
                </c:pt>
                <c:pt idx="34">
                  <c:v>51.000825759999998</c:v>
                </c:pt>
                <c:pt idx="35">
                  <c:v>48.589150660000001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ser>
          <c:idx val="3"/>
          <c:order val="3"/>
          <c:tx>
            <c:strRef>
              <c:f>Données!$B$65</c:f>
              <c:strCache>
                <c:ptCount val="1"/>
                <c:pt idx="0">
                  <c:v>Firms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Données!$C$65:$AL$65</c:f>
              <c:numCache>
                <c:formatCode>#,##0</c:formatCode>
                <c:ptCount val="36"/>
                <c:pt idx="0">
                  <c:v>228.5698813482</c:v>
                </c:pt>
                <c:pt idx="1">
                  <c:v>229.98143001240001</c:v>
                </c:pt>
                <c:pt idx="2">
                  <c:v>231.59276390230002</c:v>
                </c:pt>
                <c:pt idx="3">
                  <c:v>232.95027691949997</c:v>
                </c:pt>
                <c:pt idx="4">
                  <c:v>235.59578210820001</c:v>
                </c:pt>
                <c:pt idx="5">
                  <c:v>239.33044876349999</c:v>
                </c:pt>
                <c:pt idx="6">
                  <c:v>244.16785353099999</c:v>
                </c:pt>
                <c:pt idx="7">
                  <c:v>247.3341407126</c:v>
                </c:pt>
                <c:pt idx="8">
                  <c:v>248.82792060259999</c:v>
                </c:pt>
                <c:pt idx="9">
                  <c:v>249.8513315017</c:v>
                </c:pt>
                <c:pt idx="10">
                  <c:v>248.43875138210001</c:v>
                </c:pt>
                <c:pt idx="11">
                  <c:v>248.70245013740001</c:v>
                </c:pt>
                <c:pt idx="12">
                  <c:v>249.39603618000001</c:v>
                </c:pt>
                <c:pt idx="13">
                  <c:v>250.49108789550002</c:v>
                </c:pt>
                <c:pt idx="14">
                  <c:v>252.01949785010001</c:v>
                </c:pt>
                <c:pt idx="15">
                  <c:v>253.95718215260001</c:v>
                </c:pt>
                <c:pt idx="16">
                  <c:v>254.19694752539999</c:v>
                </c:pt>
                <c:pt idx="17">
                  <c:v>254.44842102920001</c:v>
                </c:pt>
                <c:pt idx="18">
                  <c:v>254.29692016389998</c:v>
                </c:pt>
                <c:pt idx="19">
                  <c:v>252.8529277138</c:v>
                </c:pt>
                <c:pt idx="20">
                  <c:v>251.39502571470001</c:v>
                </c:pt>
                <c:pt idx="21">
                  <c:v>250.19433613520002</c:v>
                </c:pt>
                <c:pt idx="22">
                  <c:v>249.35992652130003</c:v>
                </c:pt>
                <c:pt idx="23">
                  <c:v>249.0264865911</c:v>
                </c:pt>
                <c:pt idx="24">
                  <c:v>249.34733526050002</c:v>
                </c:pt>
                <c:pt idx="25">
                  <c:v>250.44718776640002</c:v>
                </c:pt>
                <c:pt idx="26">
                  <c:v>249.92398213480001</c:v>
                </c:pt>
                <c:pt idx="27">
                  <c:v>249.53043933079999</c:v>
                </c:pt>
                <c:pt idx="28">
                  <c:v>249.92829556660001</c:v>
                </c:pt>
                <c:pt idx="29">
                  <c:v>251.1949345946</c:v>
                </c:pt>
                <c:pt idx="30">
                  <c:v>253.19879137690003</c:v>
                </c:pt>
                <c:pt idx="31">
                  <c:v>255.83889367630002</c:v>
                </c:pt>
                <c:pt idx="32">
                  <c:v>258.96836901180001</c:v>
                </c:pt>
                <c:pt idx="33">
                  <c:v>262.44880044119998</c:v>
                </c:pt>
                <c:pt idx="34">
                  <c:v>266.1618360667</c:v>
                </c:pt>
                <c:pt idx="35">
                  <c:v>270.0128746318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260000"/>
        <c:axId val="698260984"/>
      </c:areaChart>
      <c:lineChart>
        <c:grouping val="standard"/>
        <c:varyColors val="0"/>
        <c:ser>
          <c:idx val="0"/>
          <c:order val="0"/>
          <c:tx>
            <c:strRef>
              <c:f>Données!$B$62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Données!$C$62:$AL$62</c:f>
              <c:numCache>
                <c:formatCode>#,##0</c:formatCode>
                <c:ptCount val="36"/>
                <c:pt idx="0">
                  <c:v>348.06035179999998</c:v>
                </c:pt>
                <c:pt idx="1">
                  <c:v>348.40595430000002</c:v>
                </c:pt>
                <c:pt idx="2">
                  <c:v>348.84820539999998</c:v>
                </c:pt>
                <c:pt idx="3">
                  <c:v>349.09550089999999</c:v>
                </c:pt>
                <c:pt idx="4">
                  <c:v>351.27043859999998</c:v>
                </c:pt>
                <c:pt idx="5">
                  <c:v>354.93011469999999</c:v>
                </c:pt>
                <c:pt idx="6">
                  <c:v>359.91382590000001</c:v>
                </c:pt>
                <c:pt idx="7">
                  <c:v>365.9466481</c:v>
                </c:pt>
                <c:pt idx="8">
                  <c:v>372.73322569999999</c:v>
                </c:pt>
                <c:pt idx="9">
                  <c:v>380.09761420000001</c:v>
                </c:pt>
                <c:pt idx="10">
                  <c:v>387.77010899999999</c:v>
                </c:pt>
                <c:pt idx="11">
                  <c:v>395.8555763</c:v>
                </c:pt>
                <c:pt idx="12">
                  <c:v>403.35205459999997</c:v>
                </c:pt>
                <c:pt idx="13">
                  <c:v>410.37041900000003</c:v>
                </c:pt>
                <c:pt idx="14">
                  <c:v>417.06547369999998</c:v>
                </c:pt>
                <c:pt idx="15">
                  <c:v>423.60929399999998</c:v>
                </c:pt>
                <c:pt idx="16">
                  <c:v>430.21343059999998</c:v>
                </c:pt>
                <c:pt idx="17">
                  <c:v>437.14605030000001</c:v>
                </c:pt>
                <c:pt idx="18">
                  <c:v>444.54048949999998</c:v>
                </c:pt>
                <c:pt idx="19">
                  <c:v>452.51809680000002</c:v>
                </c:pt>
                <c:pt idx="20">
                  <c:v>461.16061530000002</c:v>
                </c:pt>
                <c:pt idx="21">
                  <c:v>470.68547610000002</c:v>
                </c:pt>
                <c:pt idx="22">
                  <c:v>481.24626619999998</c:v>
                </c:pt>
                <c:pt idx="23">
                  <c:v>492.98746449999999</c:v>
                </c:pt>
                <c:pt idx="24">
                  <c:v>506.03204579999999</c:v>
                </c:pt>
                <c:pt idx="25">
                  <c:v>520.35877289999996</c:v>
                </c:pt>
                <c:pt idx="26">
                  <c:v>532.17556190000005</c:v>
                </c:pt>
                <c:pt idx="27">
                  <c:v>543.73546690000001</c:v>
                </c:pt>
                <c:pt idx="28">
                  <c:v>556.04277009999998</c:v>
                </c:pt>
                <c:pt idx="29">
                  <c:v>569.30712689999996</c:v>
                </c:pt>
                <c:pt idx="30">
                  <c:v>583.43526220000001</c:v>
                </c:pt>
                <c:pt idx="31">
                  <c:v>598.26351490000002</c:v>
                </c:pt>
                <c:pt idx="32">
                  <c:v>613.62866359999998</c:v>
                </c:pt>
                <c:pt idx="33">
                  <c:v>629.37060829999996</c:v>
                </c:pt>
                <c:pt idx="34">
                  <c:v>645.32935269999996</c:v>
                </c:pt>
                <c:pt idx="35">
                  <c:v>661.34198279999998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Données!$B$63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Données!$C$63:$AL$63</c:f>
              <c:numCache>
                <c:formatCode>#,##0</c:formatCode>
                <c:ptCount val="36"/>
                <c:pt idx="0">
                  <c:v>348.06037450000002</c:v>
                </c:pt>
                <c:pt idx="1">
                  <c:v>348.40597639999999</c:v>
                </c:pt>
                <c:pt idx="2">
                  <c:v>348.84822700000001</c:v>
                </c:pt>
                <c:pt idx="3">
                  <c:v>349.09552189999999</c:v>
                </c:pt>
                <c:pt idx="4">
                  <c:v>351.27045939999999</c:v>
                </c:pt>
                <c:pt idx="5">
                  <c:v>354.93013550000001</c:v>
                </c:pt>
                <c:pt idx="6">
                  <c:v>359.91384720000002</c:v>
                </c:pt>
                <c:pt idx="7">
                  <c:v>362.81604290000001</c:v>
                </c:pt>
                <c:pt idx="8">
                  <c:v>363.49235019999998</c:v>
                </c:pt>
                <c:pt idx="9">
                  <c:v>363.3966734</c:v>
                </c:pt>
                <c:pt idx="10">
                  <c:v>360.37722280000003</c:v>
                </c:pt>
                <c:pt idx="11">
                  <c:v>360.00741579999999</c:v>
                </c:pt>
                <c:pt idx="12">
                  <c:v>360.51318259999999</c:v>
                </c:pt>
                <c:pt idx="13">
                  <c:v>361.60123920000001</c:v>
                </c:pt>
                <c:pt idx="14">
                  <c:v>363.16208230000001</c:v>
                </c:pt>
                <c:pt idx="15">
                  <c:v>365.09694459999997</c:v>
                </c:pt>
                <c:pt idx="16">
                  <c:v>364.67873379999997</c:v>
                </c:pt>
                <c:pt idx="17">
                  <c:v>364.0897099</c:v>
                </c:pt>
                <c:pt idx="18">
                  <c:v>362.5062451</c:v>
                </c:pt>
                <c:pt idx="19">
                  <c:v>358.15189729999997</c:v>
                </c:pt>
                <c:pt idx="20">
                  <c:v>353.42323979999998</c:v>
                </c:pt>
                <c:pt idx="21">
                  <c:v>348.71331140000001</c:v>
                </c:pt>
                <c:pt idx="22">
                  <c:v>344.14305280000002</c:v>
                </c:pt>
                <c:pt idx="23">
                  <c:v>339.88966169999998</c:v>
                </c:pt>
                <c:pt idx="24">
                  <c:v>336.16649519999999</c:v>
                </c:pt>
                <c:pt idx="25">
                  <c:v>333.1173101</c:v>
                </c:pt>
                <c:pt idx="26">
                  <c:v>328.47628350000002</c:v>
                </c:pt>
                <c:pt idx="27">
                  <c:v>324.04043910000001</c:v>
                </c:pt>
                <c:pt idx="28">
                  <c:v>320.498244</c:v>
                </c:pt>
                <c:pt idx="29">
                  <c:v>317.96537940000002</c:v>
                </c:pt>
                <c:pt idx="30">
                  <c:v>316.34579189999999</c:v>
                </c:pt>
                <c:pt idx="31">
                  <c:v>315.58800789999998</c:v>
                </c:pt>
                <c:pt idx="32">
                  <c:v>315.55430919999998</c:v>
                </c:pt>
                <c:pt idx="33">
                  <c:v>316.11614989999998</c:v>
                </c:pt>
                <c:pt idx="34">
                  <c:v>317.16266189999999</c:v>
                </c:pt>
                <c:pt idx="35">
                  <c:v>318.60202529999998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Données!$B$86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Données!$C$86:$E$86</c:f>
              <c:numCache>
                <c:formatCode>#,##0</c:formatCode>
                <c:ptCount val="3"/>
                <c:pt idx="0">
                  <c:v>-2.2903069640453945E-2</c:v>
                </c:pt>
                <c:pt idx="1">
                  <c:v>-4.2915323289224691E-2</c:v>
                </c:pt>
                <c:pt idx="2">
                  <c:v>-5.620765984747484E-2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Données!$B$87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Données!$C$87:$E$87</c:f>
              <c:numCache>
                <c:formatCode>#,##0</c:formatCode>
                <c:ptCount val="3"/>
                <c:pt idx="0">
                  <c:v>-12.576397976827081</c:v>
                </c:pt>
                <c:pt idx="1">
                  <c:v>-26.218296136212221</c:v>
                </c:pt>
                <c:pt idx="2">
                  <c:v>-16.71457073373027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Données!$B$88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Données!$C$88:$E$88</c:f>
              <c:numCache>
                <c:formatCode>#,##0</c:formatCode>
                <c:ptCount val="3"/>
                <c:pt idx="0">
                  <c:v>-0.41969398698225885</c:v>
                </c:pt>
                <c:pt idx="1">
                  <c:v>-0.80299622556527439</c:v>
                </c:pt>
                <c:pt idx="2">
                  <c:v>-0.64399692117282181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Données!$B$89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Données!$C$89:$E$89</c:f>
              <c:numCache>
                <c:formatCode>#,##0</c:formatCode>
                <c:ptCount val="3"/>
                <c:pt idx="0">
                  <c:v>16.707643206562558</c:v>
                </c:pt>
                <c:pt idx="1">
                  <c:v>-3.0277213274031132</c:v>
                </c:pt>
                <c:pt idx="2">
                  <c:v>-15.68106987467695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Données!$B$90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Données!$C$90:$E$90</c:f>
              <c:numCache>
                <c:formatCode>#,##0</c:formatCode>
                <c:ptCount val="3"/>
                <c:pt idx="0">
                  <c:v>-7.306729541631328E-3</c:v>
                </c:pt>
                <c:pt idx="1">
                  <c:v>3.8314509961676797E-3</c:v>
                </c:pt>
                <c:pt idx="2">
                  <c:v>3.020841199358883E-2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Données!$B$91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Données!$C$91:$E$91</c:f>
              <c:numCache>
                <c:formatCode>#,##0</c:formatCode>
                <c:ptCount val="3"/>
                <c:pt idx="0">
                  <c:v>-26.804071309113976</c:v>
                </c:pt>
                <c:pt idx="1">
                  <c:v>15.275027927048942</c:v>
                </c:pt>
                <c:pt idx="2">
                  <c:v>53.406677017365077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Données!$B$94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Données!$C$94:$E$94</c:f>
              <c:numCache>
                <c:formatCode>0.0%</c:formatCode>
                <c:ptCount val="3"/>
                <c:pt idx="0">
                  <c:v>-1.2593619465001815E-2</c:v>
                </c:pt>
                <c:pt idx="1">
                  <c:v>-2.31412215292226E-2</c:v>
                </c:pt>
                <c:pt idx="2">
                  <c:v>-2.999988638492368E-2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Données!$B$95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Données!$C$95:$E$95</c:f>
              <c:numCache>
                <c:formatCode>0.0%</c:formatCode>
                <c:ptCount val="3"/>
                <c:pt idx="0">
                  <c:v>-1.2607413749249119E-2</c:v>
                </c:pt>
                <c:pt idx="1">
                  <c:v>-2.4625509379959443E-2</c:v>
                </c:pt>
                <c:pt idx="2">
                  <c:v>-1.494878725745008E-2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Données!$B$96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Données!$C$96:$E$96</c:f>
              <c:numCache>
                <c:formatCode>0.0%</c:formatCode>
                <c:ptCount val="3"/>
                <c:pt idx="0">
                  <c:v>-3.0153263910918549E-2</c:v>
                </c:pt>
                <c:pt idx="1">
                  <c:v>-6.0648532962686019E-2</c:v>
                </c:pt>
                <c:pt idx="2">
                  <c:v>-5.0748344217998786E-2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Données!$B$97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Données!$C$97:$E$97</c:f>
              <c:numCache>
                <c:formatCode>0.0%</c:formatCode>
                <c:ptCount val="3"/>
                <c:pt idx="0">
                  <c:v>5.2265253174803572E-3</c:v>
                </c:pt>
                <c:pt idx="1">
                  <c:v>-9.266845963835646E-4</c:v>
                </c:pt>
                <c:pt idx="2">
                  <c:v>-5.000476556698441E-3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Données!$B$98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Données!$C$98:$E$98</c:f>
              <c:numCache>
                <c:formatCode>0.0%</c:formatCode>
                <c:ptCount val="3"/>
                <c:pt idx="0">
                  <c:v>6.2552171844247217E-2</c:v>
                </c:pt>
                <c:pt idx="1">
                  <c:v>-3.5564046878984512E-2</c:v>
                </c:pt>
                <c:pt idx="2">
                  <c:v>-0.28269784175819013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Données!$B$99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Données!$C$99:$E$99</c:f>
              <c:numCache>
                <c:formatCode>0.0%</c:formatCode>
                <c:ptCount val="3"/>
                <c:pt idx="0">
                  <c:v>1.751677420313813E-2</c:v>
                </c:pt>
                <c:pt idx="1">
                  <c:v>-1.6694958118894654E-2</c:v>
                </c:pt>
                <c:pt idx="2">
                  <c:v>-4.3779882731115327E-2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#,##0</c:formatCode>
                <c:ptCount val="3"/>
                <c:pt idx="0">
                  <c:v>-3.904816018027133</c:v>
                </c:pt>
                <c:pt idx="1">
                  <c:v>-8.3948486780350553</c:v>
                </c:pt>
                <c:pt idx="2">
                  <c:v>-11.971577829491316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Données!$B$119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#,##0</c:formatCode>
                <c:ptCount val="3"/>
                <c:pt idx="0">
                  <c:v>-22.237406514439758</c:v>
                </c:pt>
                <c:pt idx="1">
                  <c:v>-43.51285017446326</c:v>
                </c:pt>
                <c:pt idx="2">
                  <c:v>-36.569831331397957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Données!$B$120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Données!$C$120:$E$120</c:f>
              <c:numCache>
                <c:formatCode>#,##0</c:formatCode>
                <c:ptCount val="3"/>
                <c:pt idx="0">
                  <c:v>-0.44499180423454643</c:v>
                </c:pt>
                <c:pt idx="1">
                  <c:v>-0.82880539568042644</c:v>
                </c:pt>
                <c:pt idx="2">
                  <c:v>-0.67020451460447772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Données!$B$121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Données!$C$121:$E$121</c:f>
              <c:numCache>
                <c:formatCode>#,##0</c:formatCode>
                <c:ptCount val="3"/>
                <c:pt idx="0">
                  <c:v>9.7883646994909412</c:v>
                </c:pt>
                <c:pt idx="1">
                  <c:v>-5.4963881165152841</c:v>
                </c:pt>
                <c:pt idx="2">
                  <c:v>-15.041188973470717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Données!$B$122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#,##0</c:formatCode>
                <c:ptCount val="3"/>
                <c:pt idx="0">
                  <c:v>-7.3658019021109467E-2</c:v>
                </c:pt>
                <c:pt idx="1">
                  <c:v>-9.4567459632070392E-3</c:v>
                </c:pt>
                <c:pt idx="2">
                  <c:v>0.22944245659667137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Données!$B$123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Données!$C$123:$E$123</c:f>
              <c:numCache>
                <c:formatCode>#,##0</c:formatCode>
                <c:ptCount val="3"/>
                <c:pt idx="0">
                  <c:v>5.2019526073841238</c:v>
                </c:pt>
                <c:pt idx="1">
                  <c:v>-0.48034943760686449</c:v>
                </c:pt>
                <c:pt idx="2">
                  <c:v>-6.6013078469419231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Données!$B$126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Données!$C$126:$E$126</c:f>
              <c:numCache>
                <c:formatCode>0.0%</c:formatCode>
                <c:ptCount val="3"/>
                <c:pt idx="0">
                  <c:v>-1.5506356386408293E-2</c:v>
                </c:pt>
                <c:pt idx="1">
                  <c:v>-2.9960337533760706E-2</c:v>
                </c:pt>
                <c:pt idx="2">
                  <c:v>-3.4989290057521827E-2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Données!$B$127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Données!$C$127:$E$127</c:f>
              <c:numCache>
                <c:formatCode>0.0%</c:formatCode>
                <c:ptCount val="3"/>
                <c:pt idx="0">
                  <c:v>-1.8723024370884356E-2</c:v>
                </c:pt>
                <c:pt idx="1">
                  <c:v>-3.4218165704015924E-2</c:v>
                </c:pt>
                <c:pt idx="2">
                  <c:v>-2.7651929348978976E-2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Données!$B$128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Données!$C$128:$E$128</c:f>
              <c:numCache>
                <c:formatCode>0.0%</c:formatCode>
                <c:ptCount val="3"/>
                <c:pt idx="0">
                  <c:v>-3.7185125775284211E-2</c:v>
                </c:pt>
                <c:pt idx="1">
                  <c:v>-7.167485763686765E-2</c:v>
                </c:pt>
                <c:pt idx="2">
                  <c:v>-5.992274559422639E-2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Données!$B$129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Données!$C$129:$E$129</c:f>
              <c:numCache>
                <c:formatCode>0.0%</c:formatCode>
                <c:ptCount val="3"/>
                <c:pt idx="0">
                  <c:v>4.495326322388582E-3</c:v>
                </c:pt>
                <c:pt idx="1">
                  <c:v>-2.4659268725216732E-3</c:v>
                </c:pt>
                <c:pt idx="2">
                  <c:v>-7.0775626469976594E-3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Données!$B$130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Données!$C$130:$E$130</c:f>
              <c:numCache>
                <c:formatCode>0.0%</c:formatCode>
                <c:ptCount val="3"/>
                <c:pt idx="0">
                  <c:v>-5.0460737918233911E-2</c:v>
                </c:pt>
                <c:pt idx="1">
                  <c:v>-6.4827195530337001E-3</c:v>
                </c:pt>
                <c:pt idx="2">
                  <c:v>0.15853845975751746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Données!$B$131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Données!$C$131:$E$131</c:f>
              <c:numCache>
                <c:formatCode>0.0%</c:formatCode>
                <c:ptCount val="3"/>
                <c:pt idx="0">
                  <c:v>2.2303640535468627E-2</c:v>
                </c:pt>
                <c:pt idx="1">
                  <c:v>-1.4673978295236534E-3</c:v>
                </c:pt>
                <c:pt idx="2">
                  <c:v>-2.3415444865198087E-2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38747700" cy="25292050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-12-05_14-53-43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 refreshError="1"/>
      <sheetData sheetId="1">
        <row r="4">
          <cell r="B4">
            <v>81780.489360000007</v>
          </cell>
          <cell r="C4">
            <v>83163.129109999994</v>
          </cell>
          <cell r="D4">
            <v>84774.93204</v>
          </cell>
          <cell r="E4">
            <v>86621.485010000004</v>
          </cell>
          <cell r="F4">
            <v>88620.410489999995</v>
          </cell>
          <cell r="G4">
            <v>90782.085919999998</v>
          </cell>
          <cell r="H4">
            <v>93081.647790000003</v>
          </cell>
          <cell r="I4">
            <v>95142.218169999993</v>
          </cell>
          <cell r="J4">
            <v>97276.919429999994</v>
          </cell>
          <cell r="K4">
            <v>99930.596869999994</v>
          </cell>
          <cell r="L4">
            <v>102640.2436</v>
          </cell>
          <cell r="M4">
            <v>104812.4589</v>
          </cell>
          <cell r="N4">
            <v>106646.20170000001</v>
          </cell>
          <cell r="O4">
            <v>108272.5693</v>
          </cell>
          <cell r="P4">
            <v>109788.9039</v>
          </cell>
          <cell r="Q4">
            <v>111243.35830000001</v>
          </cell>
          <cell r="R4">
            <v>112676.88219999999</v>
          </cell>
          <cell r="S4">
            <v>114113.6159</v>
          </cell>
          <cell r="T4">
            <v>115602.57640000001</v>
          </cell>
          <cell r="U4">
            <v>117187.1539</v>
          </cell>
          <cell r="V4">
            <v>118898.3618</v>
          </cell>
          <cell r="W4">
            <v>120777.49400000001</v>
          </cell>
          <cell r="X4">
            <v>122882.4047</v>
          </cell>
          <cell r="Y4">
            <v>125245.391</v>
          </cell>
          <cell r="Z4">
            <v>127876.9503</v>
          </cell>
          <cell r="AA4">
            <v>130732.80620000001</v>
          </cell>
          <cell r="AB4">
            <v>133793.79680000001</v>
          </cell>
          <cell r="AC4">
            <v>137117.2684</v>
          </cell>
          <cell r="AD4">
            <v>140726.08850000001</v>
          </cell>
          <cell r="AE4">
            <v>144605.0042</v>
          </cell>
          <cell r="AF4">
            <v>148715.1868</v>
          </cell>
          <cell r="AG4">
            <v>153005.8751</v>
          </cell>
          <cell r="AH4">
            <v>157450.40470000001</v>
          </cell>
          <cell r="AI4">
            <v>162014.80410000001</v>
          </cell>
          <cell r="AJ4">
            <v>166660.7795</v>
          </cell>
          <cell r="AK4">
            <v>171347.33970000001</v>
          </cell>
        </row>
        <row r="5">
          <cell r="B5">
            <v>81780.489360000007</v>
          </cell>
          <cell r="C5">
            <v>83163.129109999994</v>
          </cell>
          <cell r="D5">
            <v>84774.93204</v>
          </cell>
          <cell r="E5">
            <v>86621.485010000004</v>
          </cell>
          <cell r="F5">
            <v>88620.410480000006</v>
          </cell>
          <cell r="G5">
            <v>90782.085919999998</v>
          </cell>
          <cell r="H5">
            <v>93081.647800000006</v>
          </cell>
          <cell r="I5">
            <v>95498.600149999998</v>
          </cell>
          <cell r="J5">
            <v>98012.233139999997</v>
          </cell>
          <cell r="K5">
            <v>100606.0196</v>
          </cell>
          <cell r="L5">
            <v>103198.5886</v>
          </cell>
          <cell r="M5">
            <v>105468.245</v>
          </cell>
          <cell r="N5">
            <v>107472.2889</v>
          </cell>
          <cell r="O5">
            <v>109255.6241</v>
          </cell>
          <cell r="P5">
            <v>110880.61410000001</v>
          </cell>
          <cell r="Q5">
            <v>112412.746</v>
          </cell>
          <cell r="R5">
            <v>113919.4605</v>
          </cell>
          <cell r="S5">
            <v>115468.109</v>
          </cell>
          <cell r="T5">
            <v>117116.87609999999</v>
          </cell>
          <cell r="U5">
            <v>118906.7461</v>
          </cell>
          <cell r="V5">
            <v>120856.0885</v>
          </cell>
          <cell r="W5">
            <v>123017.69620000001</v>
          </cell>
          <cell r="X5">
            <v>125421.6024</v>
          </cell>
          <cell r="Y5">
            <v>128086.57640000001</v>
          </cell>
          <cell r="Z5">
            <v>131014.9004</v>
          </cell>
          <cell r="AA5">
            <v>134156.97260000001</v>
          </cell>
          <cell r="AB5">
            <v>137541.99410000001</v>
          </cell>
          <cell r="AC5">
            <v>141186.90030000001</v>
          </cell>
          <cell r="AD5">
            <v>145099.99100000001</v>
          </cell>
          <cell r="AE5">
            <v>149254.70629999999</v>
          </cell>
          <cell r="AF5">
            <v>153604.81779999999</v>
          </cell>
          <cell r="AG5">
            <v>158105.96720000001</v>
          </cell>
          <cell r="AH5">
            <v>162719.43830000001</v>
          </cell>
          <cell r="AI5">
            <v>167407.12609999999</v>
          </cell>
          <cell r="AJ5">
            <v>172130.2501</v>
          </cell>
          <cell r="AK5">
            <v>176849.1054</v>
          </cell>
        </row>
        <row r="6">
          <cell r="B6">
            <v>6533.6606039999997</v>
          </cell>
          <cell r="C6">
            <v>6484.8610900000003</v>
          </cell>
          <cell r="D6">
            <v>6440.2968520000004</v>
          </cell>
          <cell r="E6">
            <v>6395.2572810000001</v>
          </cell>
          <cell r="F6">
            <v>6381.8824679999998</v>
          </cell>
          <cell r="G6">
            <v>6386.7229029999999</v>
          </cell>
          <cell r="H6">
            <v>6434.4268089999996</v>
          </cell>
          <cell r="I6">
            <v>6422.1346999999996</v>
          </cell>
          <cell r="J6">
            <v>6393.2758679999997</v>
          </cell>
          <cell r="K6">
            <v>6352.0914000000002</v>
          </cell>
          <cell r="L6">
            <v>6303.4838479999999</v>
          </cell>
          <cell r="M6">
            <v>6308.4603479999996</v>
          </cell>
          <cell r="N6">
            <v>6336.1187529999997</v>
          </cell>
          <cell r="O6">
            <v>6375.6274869999997</v>
          </cell>
          <cell r="P6">
            <v>6422.8111639999997</v>
          </cell>
          <cell r="Q6">
            <v>6476.8515770000004</v>
          </cell>
          <cell r="R6">
            <v>6584.0323209999997</v>
          </cell>
          <cell r="S6">
            <v>6703.9065840000003</v>
          </cell>
          <cell r="T6">
            <v>6836.1348019999996</v>
          </cell>
          <cell r="U6">
            <v>6981.4740840000004</v>
          </cell>
          <cell r="V6">
            <v>7139.6501680000001</v>
          </cell>
          <cell r="W6">
            <v>7318.565732</v>
          </cell>
          <cell r="X6">
            <v>7518.1752660000002</v>
          </cell>
          <cell r="Y6">
            <v>7740.1885389999998</v>
          </cell>
          <cell r="Z6">
            <v>7986.9513690000003</v>
          </cell>
          <cell r="AA6">
            <v>8256.8291250000002</v>
          </cell>
          <cell r="AB6">
            <v>8381.3574270000008</v>
          </cell>
          <cell r="AC6">
            <v>8475.9377480000003</v>
          </cell>
          <cell r="AD6">
            <v>8576.8531609999991</v>
          </cell>
          <cell r="AE6">
            <v>8691.4908240000004</v>
          </cell>
          <cell r="AF6">
            <v>8818.3274469999997</v>
          </cell>
          <cell r="AG6">
            <v>8955.2844789999999</v>
          </cell>
          <cell r="AH6">
            <v>9099.4518779999999</v>
          </cell>
          <cell r="AI6">
            <v>9248.5925860000007</v>
          </cell>
          <cell r="AJ6">
            <v>9400.7199639999999</v>
          </cell>
          <cell r="AK6">
            <v>9553.9944529999993</v>
          </cell>
        </row>
        <row r="7">
          <cell r="B7">
            <v>6533.6606039999997</v>
          </cell>
          <cell r="C7">
            <v>6484.8610900000003</v>
          </cell>
          <cell r="D7">
            <v>6440.2968510000001</v>
          </cell>
          <cell r="E7">
            <v>6395.2572810000001</v>
          </cell>
          <cell r="F7">
            <v>6381.8824679999998</v>
          </cell>
          <cell r="G7">
            <v>6386.7229029999999</v>
          </cell>
          <cell r="H7">
            <v>6434.4268089999996</v>
          </cell>
          <cell r="I7">
            <v>6497.8778220000004</v>
          </cell>
          <cell r="J7">
            <v>6571.7002540000003</v>
          </cell>
          <cell r="K7">
            <v>6654.7182210000001</v>
          </cell>
          <cell r="L7">
            <v>6746.4688829999996</v>
          </cell>
          <cell r="M7">
            <v>6828.3371669999997</v>
          </cell>
          <cell r="N7">
            <v>6906.7066279999999</v>
          </cell>
          <cell r="O7">
            <v>6986.3530199999996</v>
          </cell>
          <cell r="P7">
            <v>7070.4623369999999</v>
          </cell>
          <cell r="Q7">
            <v>7161.6267150000003</v>
          </cell>
          <cell r="R7">
            <v>7282.6251750000001</v>
          </cell>
          <cell r="S7">
            <v>7418.6588140000003</v>
          </cell>
          <cell r="T7">
            <v>7568.7996039999998</v>
          </cell>
          <cell r="U7">
            <v>7733.866043</v>
          </cell>
          <cell r="V7">
            <v>7913.1976800000002</v>
          </cell>
          <cell r="W7">
            <v>8111.2653250000003</v>
          </cell>
          <cell r="X7">
            <v>8329.8295330000001</v>
          </cell>
          <cell r="Y7">
            <v>8571.0061110000006</v>
          </cell>
          <cell r="Z7">
            <v>8837.0436370000007</v>
          </cell>
          <cell r="AA7">
            <v>9125.4525450000001</v>
          </cell>
          <cell r="AB7">
            <v>9281.5027649999993</v>
          </cell>
          <cell r="AC7">
            <v>9405.9927580000003</v>
          </cell>
          <cell r="AD7">
            <v>9533.5986520000006</v>
          </cell>
          <cell r="AE7">
            <v>9671.8548879999998</v>
          </cell>
          <cell r="AF7">
            <v>9819.5978950000008</v>
          </cell>
          <cell r="AG7">
            <v>9973.9609149999997</v>
          </cell>
          <cell r="AH7">
            <v>10132.328649999999</v>
          </cell>
          <cell r="AI7">
            <v>10292.519630000001</v>
          </cell>
          <cell r="AJ7">
            <v>10452.717570000001</v>
          </cell>
          <cell r="AK7">
            <v>10611.33653</v>
          </cell>
        </row>
        <row r="8">
          <cell r="B8">
            <v>157771.33230000001</v>
          </cell>
          <cell r="C8">
            <v>160572.39379999999</v>
          </cell>
          <cell r="D8">
            <v>163787.4045</v>
          </cell>
          <cell r="E8">
            <v>167470.16810000001</v>
          </cell>
          <cell r="F8">
            <v>171410.26329999999</v>
          </cell>
          <cell r="G8">
            <v>175637.84969999999</v>
          </cell>
          <cell r="H8">
            <v>180099.1986</v>
          </cell>
          <cell r="I8">
            <v>184233.27429999999</v>
          </cell>
          <cell r="J8">
            <v>188553.27420000001</v>
          </cell>
          <cell r="K8">
            <v>193787.21669999999</v>
          </cell>
          <cell r="L8">
            <v>199336.5606</v>
          </cell>
          <cell r="M8">
            <v>203959.9921</v>
          </cell>
          <cell r="N8">
            <v>208031.6722</v>
          </cell>
          <cell r="O8">
            <v>211722.88219999999</v>
          </cell>
          <cell r="P8">
            <v>215151.59529999999</v>
          </cell>
          <cell r="Q8">
            <v>218383.19690000001</v>
          </cell>
          <cell r="R8">
            <v>221491.5595</v>
          </cell>
          <cell r="S8">
            <v>224534.7708</v>
          </cell>
          <cell r="T8">
            <v>227613.97339999999</v>
          </cell>
          <cell r="U8">
            <v>230816.02110000001</v>
          </cell>
          <cell r="V8">
            <v>234197.43890000001</v>
          </cell>
          <cell r="W8">
            <v>237826.70240000001</v>
          </cell>
          <cell r="X8">
            <v>241815.79509999999</v>
          </cell>
          <cell r="Y8">
            <v>246230.6502</v>
          </cell>
          <cell r="Z8">
            <v>251100.04759999999</v>
          </cell>
          <cell r="AA8">
            <v>256326.45970000001</v>
          </cell>
          <cell r="AB8">
            <v>261863.03289999999</v>
          </cell>
          <cell r="AC8">
            <v>267818.0626</v>
          </cell>
          <cell r="AD8">
            <v>274242.0589</v>
          </cell>
          <cell r="AE8">
            <v>281129.19319999998</v>
          </cell>
          <cell r="AF8">
            <v>288429.96799999999</v>
          </cell>
          <cell r="AG8">
            <v>296051.73330000002</v>
          </cell>
          <cell r="AH8">
            <v>303953.6349</v>
          </cell>
          <cell r="AI8">
            <v>312078.93650000001</v>
          </cell>
          <cell r="AJ8">
            <v>320362.5626</v>
          </cell>
          <cell r="AK8">
            <v>328733.73479999998</v>
          </cell>
        </row>
        <row r="9">
          <cell r="B9">
            <v>157771.33230000001</v>
          </cell>
          <cell r="C9">
            <v>160572.39379999999</v>
          </cell>
          <cell r="D9">
            <v>163787.4045</v>
          </cell>
          <cell r="E9">
            <v>167470.16810000001</v>
          </cell>
          <cell r="F9">
            <v>171410.26319999999</v>
          </cell>
          <cell r="G9">
            <v>175637.84959999999</v>
          </cell>
          <cell r="H9">
            <v>180099.1986</v>
          </cell>
          <cell r="I9">
            <v>184758.40030000001</v>
          </cell>
          <cell r="J9">
            <v>189577.83689999999</v>
          </cell>
          <cell r="K9">
            <v>194527.99720000001</v>
          </cell>
          <cell r="L9">
            <v>199494.75810000001</v>
          </cell>
          <cell r="M9">
            <v>203936.0203</v>
          </cell>
          <cell r="N9">
            <v>207916.65419999999</v>
          </cell>
          <cell r="O9">
            <v>211485.04879999999</v>
          </cell>
          <cell r="P9">
            <v>214729.35089999999</v>
          </cell>
          <cell r="Q9">
            <v>217754.84239999999</v>
          </cell>
          <cell r="R9">
            <v>220679.9431</v>
          </cell>
          <cell r="S9">
            <v>223629.5036</v>
          </cell>
          <cell r="T9">
            <v>226714.72339999999</v>
          </cell>
          <cell r="U9">
            <v>230018.65349999999</v>
          </cell>
          <cell r="V9">
            <v>233573.64259999999</v>
          </cell>
          <cell r="W9">
            <v>237496.2519</v>
          </cell>
          <cell r="X9">
            <v>241841.1617</v>
          </cell>
          <cell r="Y9">
            <v>246647.66320000001</v>
          </cell>
          <cell r="Z9">
            <v>251927.35190000001</v>
          </cell>
          <cell r="AA9">
            <v>257572.27239999999</v>
          </cell>
          <cell r="AB9">
            <v>263659.69</v>
          </cell>
          <cell r="AC9">
            <v>270212.66850000003</v>
          </cell>
          <cell r="AD9">
            <v>277250.8627</v>
          </cell>
          <cell r="AE9">
            <v>284741.4621</v>
          </cell>
          <cell r="AF9">
            <v>292615.90179999999</v>
          </cell>
          <cell r="AG9">
            <v>300801.65220000001</v>
          </cell>
          <cell r="AH9">
            <v>309229.41580000002</v>
          </cell>
          <cell r="AI9">
            <v>317827.25030000001</v>
          </cell>
          <cell r="AJ9">
            <v>326519.90909999999</v>
          </cell>
          <cell r="AK9">
            <v>335229.25799999997</v>
          </cell>
        </row>
        <row r="10">
          <cell r="B10">
            <v>125539.77310000001</v>
          </cell>
          <cell r="C10">
            <v>129975.63159999999</v>
          </cell>
          <cell r="D10">
            <v>134745.73879999999</v>
          </cell>
          <cell r="E10">
            <v>139427.10630000001</v>
          </cell>
          <cell r="F10">
            <v>144033.3144</v>
          </cell>
          <cell r="G10">
            <v>148579.0129</v>
          </cell>
          <cell r="H10">
            <v>153090.29120000001</v>
          </cell>
          <cell r="I10">
            <v>156455.01240000001</v>
          </cell>
          <cell r="J10">
            <v>159832.6453</v>
          </cell>
          <cell r="K10">
            <v>164891.693</v>
          </cell>
          <cell r="L10">
            <v>169329.43659999999</v>
          </cell>
          <cell r="M10">
            <v>172496.21410000001</v>
          </cell>
          <cell r="N10">
            <v>174818.59849999999</v>
          </cell>
          <cell r="O10">
            <v>176684.30559999999</v>
          </cell>
          <cell r="P10">
            <v>178515.30050000001</v>
          </cell>
          <cell r="Q10">
            <v>180517.56880000001</v>
          </cell>
          <cell r="R10">
            <v>182519.0166</v>
          </cell>
          <cell r="S10">
            <v>184834.84039999999</v>
          </cell>
          <cell r="T10">
            <v>187571.56159999999</v>
          </cell>
          <cell r="U10">
            <v>190788.27040000001</v>
          </cell>
          <cell r="V10">
            <v>194483.51490000001</v>
          </cell>
          <cell r="W10">
            <v>198752.6177</v>
          </cell>
          <cell r="X10">
            <v>203619.42430000001</v>
          </cell>
          <cell r="Y10">
            <v>209071.68429999999</v>
          </cell>
          <cell r="Z10">
            <v>215059.5968</v>
          </cell>
          <cell r="AA10">
            <v>221515.46520000001</v>
          </cell>
          <cell r="AB10">
            <v>228665.09400000001</v>
          </cell>
          <cell r="AC10">
            <v>236416.98240000001</v>
          </cell>
          <cell r="AD10">
            <v>244744.2352</v>
          </cell>
          <cell r="AE10">
            <v>253502.36840000001</v>
          </cell>
          <cell r="AF10">
            <v>262516.91119999997</v>
          </cell>
          <cell r="AG10">
            <v>271691.9621</v>
          </cell>
          <cell r="AH10">
            <v>280965.10769999999</v>
          </cell>
          <cell r="AI10">
            <v>290275.65470000001</v>
          </cell>
          <cell r="AJ10">
            <v>299570.44870000001</v>
          </cell>
          <cell r="AK10">
            <v>308800.07900000003</v>
          </cell>
        </row>
        <row r="11">
          <cell r="B11">
            <v>125539.77310000001</v>
          </cell>
          <cell r="C11">
            <v>129975.63159999999</v>
          </cell>
          <cell r="D11">
            <v>134745.73879999999</v>
          </cell>
          <cell r="E11">
            <v>139427.10630000001</v>
          </cell>
          <cell r="F11">
            <v>144033.31450000001</v>
          </cell>
          <cell r="G11">
            <v>148579.01300000001</v>
          </cell>
          <cell r="H11">
            <v>153090.29130000001</v>
          </cell>
          <cell r="I11">
            <v>157618.65479999999</v>
          </cell>
          <cell r="J11">
            <v>162208.78140000001</v>
          </cell>
          <cell r="K11">
            <v>166896.16209999999</v>
          </cell>
          <cell r="L11">
            <v>171402.1391</v>
          </cell>
          <cell r="M11">
            <v>174817.4719</v>
          </cell>
          <cell r="N11">
            <v>177625.2794</v>
          </cell>
          <cell r="O11">
            <v>180111.34229999999</v>
          </cell>
          <cell r="P11">
            <v>182540.4852</v>
          </cell>
          <cell r="Q11">
            <v>185108.83679999999</v>
          </cell>
          <cell r="R11">
            <v>187957.56210000001</v>
          </cell>
          <cell r="S11">
            <v>191197.01639999999</v>
          </cell>
          <cell r="T11">
            <v>194893.98939999999</v>
          </cell>
          <cell r="U11">
            <v>199060.2493</v>
          </cell>
          <cell r="V11">
            <v>203698.57060000001</v>
          </cell>
          <cell r="W11">
            <v>208830.11739999999</v>
          </cell>
          <cell r="X11">
            <v>214484.03479999999</v>
          </cell>
          <cell r="Y11">
            <v>220658.3026</v>
          </cell>
          <cell r="Z11">
            <v>227306.52220000001</v>
          </cell>
          <cell r="AA11">
            <v>234364.6496</v>
          </cell>
          <cell r="AB11">
            <v>241854.552</v>
          </cell>
          <cell r="AC11">
            <v>249824.23860000001</v>
          </cell>
          <cell r="AD11">
            <v>258272.68669999999</v>
          </cell>
          <cell r="AE11">
            <v>267076.60889999999</v>
          </cell>
          <cell r="AF11">
            <v>276081.87589999998</v>
          </cell>
          <cell r="AG11">
            <v>285185.18949999998</v>
          </cell>
          <cell r="AH11">
            <v>294332.59950000001</v>
          </cell>
          <cell r="AI11">
            <v>303487.67790000001</v>
          </cell>
          <cell r="AJ11">
            <v>312619.88900000002</v>
          </cell>
          <cell r="AK11">
            <v>321698.8616</v>
          </cell>
        </row>
        <row r="12">
          <cell r="B12">
            <v>22087.877519999998</v>
          </cell>
          <cell r="C12">
            <v>22481.906070000001</v>
          </cell>
          <cell r="D12">
            <v>22920.30976</v>
          </cell>
          <cell r="E12">
            <v>23389.83844</v>
          </cell>
          <cell r="F12">
            <v>23896.638360000001</v>
          </cell>
          <cell r="G12">
            <v>24446.473529999999</v>
          </cell>
          <cell r="H12">
            <v>25046.187859999998</v>
          </cell>
          <cell r="I12">
            <v>25558.889169999999</v>
          </cell>
          <cell r="J12">
            <v>26059.726610000002</v>
          </cell>
          <cell r="K12">
            <v>26634.113430000001</v>
          </cell>
          <cell r="L12">
            <v>27161.309069999999</v>
          </cell>
          <cell r="M12">
            <v>27600.031559999999</v>
          </cell>
          <cell r="N12">
            <v>27996.042389999999</v>
          </cell>
          <cell r="O12">
            <v>28383.297190000001</v>
          </cell>
          <cell r="P12">
            <v>28786.6522</v>
          </cell>
          <cell r="Q12">
            <v>29216.478289999999</v>
          </cell>
          <cell r="R12">
            <v>29678.872149999999</v>
          </cell>
          <cell r="S12">
            <v>30168.996770000002</v>
          </cell>
          <cell r="T12">
            <v>30693.958859999999</v>
          </cell>
          <cell r="U12">
            <v>31261.512610000002</v>
          </cell>
          <cell r="V12">
            <v>31876.29221</v>
          </cell>
          <cell r="W12">
            <v>32555.06079</v>
          </cell>
          <cell r="X12">
            <v>33310.760670000003</v>
          </cell>
          <cell r="Y12">
            <v>34149.700100000002</v>
          </cell>
          <cell r="Z12">
            <v>35073.340859999997</v>
          </cell>
          <cell r="AA12">
            <v>36075.186350000004</v>
          </cell>
          <cell r="AB12">
            <v>37107.670460000001</v>
          </cell>
          <cell r="AC12">
            <v>38186.835310000002</v>
          </cell>
          <cell r="AD12">
            <v>39320.892010000003</v>
          </cell>
          <cell r="AE12">
            <v>40507.083939999997</v>
          </cell>
          <cell r="AF12">
            <v>41735.861440000001</v>
          </cell>
          <cell r="AG12">
            <v>43001.464370000002</v>
          </cell>
          <cell r="AH12">
            <v>44297.574529999998</v>
          </cell>
          <cell r="AI12">
            <v>45615.420859999998</v>
          </cell>
          <cell r="AJ12">
            <v>46945.554640000002</v>
          </cell>
          <cell r="AK12">
            <v>48278.445019999999</v>
          </cell>
        </row>
        <row r="13">
          <cell r="B13">
            <v>22087.877519999998</v>
          </cell>
          <cell r="C13">
            <v>22481.906070000001</v>
          </cell>
          <cell r="D13">
            <v>22920.30976</v>
          </cell>
          <cell r="E13">
            <v>23389.838449999999</v>
          </cell>
          <cell r="F13">
            <v>23896.638370000001</v>
          </cell>
          <cell r="G13">
            <v>24446.473539999999</v>
          </cell>
          <cell r="H13">
            <v>25046.187870000002</v>
          </cell>
          <cell r="I13">
            <v>25690.388149999999</v>
          </cell>
          <cell r="J13">
            <v>26373.904600000002</v>
          </cell>
          <cell r="K13">
            <v>27093.38492</v>
          </cell>
          <cell r="L13">
            <v>27827.921180000001</v>
          </cell>
          <cell r="M13">
            <v>28500.6927</v>
          </cell>
          <cell r="N13">
            <v>29127.155060000001</v>
          </cell>
          <cell r="O13">
            <v>29721.899280000001</v>
          </cell>
          <cell r="P13">
            <v>30302.880700000002</v>
          </cell>
          <cell r="Q13">
            <v>30887.041209999999</v>
          </cell>
          <cell r="R13">
            <v>31490.500499999998</v>
          </cell>
          <cell r="S13">
            <v>32127.850709999999</v>
          </cell>
          <cell r="T13">
            <v>32811.349520000003</v>
          </cell>
          <cell r="U13">
            <v>33549.373599999999</v>
          </cell>
          <cell r="V13">
            <v>34346.893230000001</v>
          </cell>
          <cell r="W13">
            <v>35212.34244</v>
          </cell>
          <cell r="X13">
            <v>36153.49742</v>
          </cell>
          <cell r="Y13">
            <v>37175.660389999997</v>
          </cell>
          <cell r="Z13">
            <v>38280.587339999998</v>
          </cell>
          <cell r="AA13">
            <v>39462.626909999999</v>
          </cell>
          <cell r="AB13">
            <v>40675.910389999997</v>
          </cell>
          <cell r="AC13">
            <v>41927.86866</v>
          </cell>
          <cell r="AD13">
            <v>43229.786529999998</v>
          </cell>
          <cell r="AE13">
            <v>44581.118820000003</v>
          </cell>
          <cell r="AF13">
            <v>45973.752849999997</v>
          </cell>
          <cell r="AG13">
            <v>47398.693299999999</v>
          </cell>
          <cell r="AH13">
            <v>48848.028160000002</v>
          </cell>
          <cell r="AI13">
            <v>50314.117789999997</v>
          </cell>
          <cell r="AJ13">
            <v>51789.294979999999</v>
          </cell>
          <cell r="AK13">
            <v>53265.681799999998</v>
          </cell>
        </row>
        <row r="14">
          <cell r="B14">
            <v>16306.505520000001</v>
          </cell>
          <cell r="C14">
            <v>16665.778389999999</v>
          </cell>
          <cell r="D14">
            <v>17054.605090000001</v>
          </cell>
          <cell r="E14">
            <v>17467.714110000001</v>
          </cell>
          <cell r="F14">
            <v>17899.07475</v>
          </cell>
          <cell r="G14">
            <v>18351.699140000001</v>
          </cell>
          <cell r="H14">
            <v>18824.401160000001</v>
          </cell>
          <cell r="I14">
            <v>19228.724419999999</v>
          </cell>
          <cell r="J14">
            <v>19647.423269999999</v>
          </cell>
          <cell r="K14">
            <v>20205.280050000001</v>
          </cell>
          <cell r="L14">
            <v>20737.173879999998</v>
          </cell>
          <cell r="M14">
            <v>21128.731199999998</v>
          </cell>
          <cell r="N14">
            <v>21424.14143</v>
          </cell>
          <cell r="O14">
            <v>21663.366569999998</v>
          </cell>
          <cell r="P14">
            <v>21882.262050000001</v>
          </cell>
          <cell r="Q14">
            <v>22099.196449999999</v>
          </cell>
          <cell r="R14">
            <v>22315.56655</v>
          </cell>
          <cell r="S14">
            <v>22550.383829999999</v>
          </cell>
          <cell r="T14">
            <v>22815.16807</v>
          </cell>
          <cell r="U14">
            <v>23118.45018</v>
          </cell>
          <cell r="V14">
            <v>23464.082310000002</v>
          </cell>
          <cell r="W14">
            <v>23860.341530000002</v>
          </cell>
          <cell r="X14">
            <v>24316.985250000002</v>
          </cell>
          <cell r="Y14">
            <v>24837.65811</v>
          </cell>
          <cell r="Z14">
            <v>25421.163809999998</v>
          </cell>
          <cell r="AA14">
            <v>26059.914769999999</v>
          </cell>
          <cell r="AB14">
            <v>26753.85081</v>
          </cell>
          <cell r="AC14">
            <v>27510.349389999999</v>
          </cell>
          <cell r="AD14">
            <v>28329.764490000001</v>
          </cell>
          <cell r="AE14">
            <v>29201.364979999998</v>
          </cell>
          <cell r="AF14">
            <v>30110.043249999999</v>
          </cell>
          <cell r="AG14">
            <v>31043.92338</v>
          </cell>
          <cell r="AH14">
            <v>31996.058690000002</v>
          </cell>
          <cell r="AI14">
            <v>32958.242879999998</v>
          </cell>
          <cell r="AJ14">
            <v>33922.08221</v>
          </cell>
          <cell r="AK14">
            <v>34879.380109999998</v>
          </cell>
        </row>
        <row r="15">
          <cell r="B15">
            <v>16306.505520000001</v>
          </cell>
          <cell r="C15">
            <v>16665.778399999999</v>
          </cell>
          <cell r="D15">
            <v>17054.605100000001</v>
          </cell>
          <cell r="E15">
            <v>17467.714120000001</v>
          </cell>
          <cell r="F15">
            <v>17899.07476</v>
          </cell>
          <cell r="G15">
            <v>18351.69915</v>
          </cell>
          <cell r="H15">
            <v>18824.401170000001</v>
          </cell>
          <cell r="I15">
            <v>19314.812409999999</v>
          </cell>
          <cell r="J15">
            <v>19820.516250000001</v>
          </cell>
          <cell r="K15">
            <v>20339.8053</v>
          </cell>
          <cell r="L15">
            <v>20848.741989999999</v>
          </cell>
          <cell r="M15">
            <v>21267.415499999999</v>
          </cell>
          <cell r="N15">
            <v>21623.674739999999</v>
          </cell>
          <cell r="O15">
            <v>21936.496749999998</v>
          </cell>
          <cell r="P15">
            <v>22226.430420000001</v>
          </cell>
          <cell r="Q15">
            <v>22511.466680000001</v>
          </cell>
          <cell r="R15">
            <v>22807.001619999999</v>
          </cell>
          <cell r="S15">
            <v>23126.958360000001</v>
          </cell>
          <cell r="T15">
            <v>23482.343140000001</v>
          </cell>
          <cell r="U15">
            <v>23879.684740000001</v>
          </cell>
          <cell r="V15">
            <v>24322.756649999999</v>
          </cell>
          <cell r="W15">
            <v>24818.480869999999</v>
          </cell>
          <cell r="X15">
            <v>25372.51397</v>
          </cell>
          <cell r="Y15">
            <v>25987.374680000001</v>
          </cell>
          <cell r="Z15">
            <v>26661.564849999999</v>
          </cell>
          <cell r="AA15">
            <v>27387.632269999998</v>
          </cell>
          <cell r="AB15">
            <v>28164.321929999998</v>
          </cell>
          <cell r="AC15">
            <v>28996.006430000001</v>
          </cell>
          <cell r="AD15">
            <v>29883.565480000001</v>
          </cell>
          <cell r="AE15">
            <v>30817.126250000001</v>
          </cell>
          <cell r="AF15">
            <v>31782.581289999998</v>
          </cell>
          <cell r="AG15">
            <v>32768.224320000001</v>
          </cell>
          <cell r="AH15">
            <v>33765.398849999998</v>
          </cell>
          <cell r="AI15">
            <v>34766.598890000001</v>
          </cell>
          <cell r="AJ15">
            <v>35764.83438</v>
          </cell>
          <cell r="AK15">
            <v>36753.374259999997</v>
          </cell>
        </row>
        <row r="16">
          <cell r="B16">
            <v>86959.608989999993</v>
          </cell>
          <cell r="C16">
            <v>89244.591390000001</v>
          </cell>
          <cell r="D16">
            <v>91634.90092</v>
          </cell>
          <cell r="E16">
            <v>94106.535889999999</v>
          </cell>
          <cell r="F16">
            <v>96660.291819999999</v>
          </cell>
          <cell r="G16">
            <v>99320.329100000003</v>
          </cell>
          <cell r="H16">
            <v>102088.43769999999</v>
          </cell>
          <cell r="I16">
            <v>104168.4397</v>
          </cell>
          <cell r="J16">
            <v>106344.1924</v>
          </cell>
          <cell r="K16">
            <v>109406.6225</v>
          </cell>
          <cell r="L16">
            <v>112181.1498</v>
          </cell>
          <cell r="M16">
            <v>114059.1492</v>
          </cell>
          <cell r="N16">
            <v>115339.88740000001</v>
          </cell>
          <cell r="O16">
            <v>116296.73149999999</v>
          </cell>
          <cell r="P16">
            <v>117177.6465</v>
          </cell>
          <cell r="Q16">
            <v>118103.70170000001</v>
          </cell>
          <cell r="R16">
            <v>119170.9284</v>
          </cell>
          <cell r="S16">
            <v>120395.8232</v>
          </cell>
          <cell r="T16">
            <v>121831.1752</v>
          </cell>
          <cell r="U16">
            <v>123505.02830000001</v>
          </cell>
          <cell r="V16">
            <v>125443.83590000001</v>
          </cell>
          <cell r="W16">
            <v>127694.5148</v>
          </cell>
          <cell r="X16">
            <v>130311.3407</v>
          </cell>
          <cell r="Y16">
            <v>133312.00889999999</v>
          </cell>
          <cell r="Z16">
            <v>136684.5637</v>
          </cell>
          <cell r="AA16">
            <v>140399.58979999999</v>
          </cell>
          <cell r="AB16">
            <v>144451.01949999999</v>
          </cell>
          <cell r="AC16">
            <v>148910.19649999999</v>
          </cell>
          <cell r="AD16">
            <v>153770.70569999999</v>
          </cell>
          <cell r="AE16">
            <v>158953.10250000001</v>
          </cell>
          <cell r="AF16">
            <v>164355.3296</v>
          </cell>
          <cell r="AG16">
            <v>169910.33470000001</v>
          </cell>
          <cell r="AH16">
            <v>175577.38759999999</v>
          </cell>
          <cell r="AI16">
            <v>181306.78690000001</v>
          </cell>
          <cell r="AJ16">
            <v>187047.0716</v>
          </cell>
          <cell r="AK16">
            <v>192747.8512</v>
          </cell>
        </row>
        <row r="17">
          <cell r="B17">
            <v>86959.608989999993</v>
          </cell>
          <cell r="C17">
            <v>89244.591390000001</v>
          </cell>
          <cell r="D17">
            <v>91634.900930000003</v>
          </cell>
          <cell r="E17">
            <v>94106.535910000006</v>
          </cell>
          <cell r="F17">
            <v>96660.291849999994</v>
          </cell>
          <cell r="G17">
            <v>99320.329150000005</v>
          </cell>
          <cell r="H17">
            <v>102088.4378</v>
          </cell>
          <cell r="I17">
            <v>104959.5264</v>
          </cell>
          <cell r="J17">
            <v>107925.8652</v>
          </cell>
          <cell r="K17">
            <v>110981.0987</v>
          </cell>
          <cell r="L17">
            <v>113946.37609999999</v>
          </cell>
          <cell r="M17">
            <v>116280.59940000001</v>
          </cell>
          <cell r="N17">
            <v>118217.3333</v>
          </cell>
          <cell r="O17">
            <v>119895.62179999999</v>
          </cell>
          <cell r="P17">
            <v>121456.68240000001</v>
          </cell>
          <cell r="Q17">
            <v>123016.66499999999</v>
          </cell>
          <cell r="R17">
            <v>124669.34390000001</v>
          </cell>
          <cell r="S17">
            <v>126496.64109999999</v>
          </cell>
          <cell r="T17">
            <v>128560.04120000001</v>
          </cell>
          <cell r="U17">
            <v>130891.3072</v>
          </cell>
          <cell r="V17">
            <v>133514.83989999999</v>
          </cell>
          <cell r="W17">
            <v>136460.97399999999</v>
          </cell>
          <cell r="X17">
            <v>139764.34020000001</v>
          </cell>
          <cell r="Y17">
            <v>143438.00459999999</v>
          </cell>
          <cell r="Z17">
            <v>147468.36780000001</v>
          </cell>
          <cell r="AA17">
            <v>151826.69990000001</v>
          </cell>
          <cell r="AB17">
            <v>156512.81630000001</v>
          </cell>
          <cell r="AC17">
            <v>161553.5104</v>
          </cell>
          <cell r="AD17">
            <v>166946.9105</v>
          </cell>
          <cell r="AE17">
            <v>172618.26680000001</v>
          </cell>
          <cell r="AF17">
            <v>178469.83600000001</v>
          </cell>
          <cell r="AG17">
            <v>184426.6673</v>
          </cell>
          <cell r="AH17">
            <v>190437.70740000001</v>
          </cell>
          <cell r="AI17">
            <v>196460.24530000001</v>
          </cell>
          <cell r="AJ17">
            <v>202454.98430000001</v>
          </cell>
          <cell r="AK17">
            <v>208384.03829999999</v>
          </cell>
        </row>
        <row r="18">
          <cell r="B18">
            <v>29075.30298</v>
          </cell>
          <cell r="C18">
            <v>29800.879690000002</v>
          </cell>
          <cell r="D18">
            <v>30577.738150000001</v>
          </cell>
          <cell r="E18">
            <v>31385.620620000002</v>
          </cell>
          <cell r="F18">
            <v>32219.491590000001</v>
          </cell>
          <cell r="G18">
            <v>33084.295689999999</v>
          </cell>
          <cell r="H18">
            <v>33985.219510000003</v>
          </cell>
          <cell r="I18">
            <v>34727.230790000001</v>
          </cell>
          <cell r="J18">
            <v>35503.197059999999</v>
          </cell>
          <cell r="K18">
            <v>36576.947269999997</v>
          </cell>
          <cell r="L18">
            <v>37589.487139999997</v>
          </cell>
          <cell r="M18">
            <v>38321.101170000002</v>
          </cell>
          <cell r="N18">
            <v>38846.410389999997</v>
          </cell>
          <cell r="O18">
            <v>39249.429259999997</v>
          </cell>
          <cell r="P18">
            <v>39612.340270000001</v>
          </cell>
          <cell r="Q18">
            <v>39979.329310000001</v>
          </cell>
          <cell r="R18">
            <v>40355.882850000002</v>
          </cell>
          <cell r="S18">
            <v>40782.932339999999</v>
          </cell>
          <cell r="T18">
            <v>41282.978329999998</v>
          </cell>
          <cell r="U18">
            <v>41870.795259999999</v>
          </cell>
          <cell r="V18">
            <v>42554.777869999998</v>
          </cell>
          <cell r="W18">
            <v>43349.290849999998</v>
          </cell>
          <cell r="X18">
            <v>44271.67871</v>
          </cell>
          <cell r="Y18">
            <v>45328.832020000002</v>
          </cell>
          <cell r="Z18">
            <v>46518.64374</v>
          </cell>
          <cell r="AA18">
            <v>47831.678209999998</v>
          </cell>
          <cell r="AB18">
            <v>49249.890630000002</v>
          </cell>
          <cell r="AC18">
            <v>50794.033479999998</v>
          </cell>
          <cell r="AD18">
            <v>52467.964110000001</v>
          </cell>
          <cell r="AE18">
            <v>54250.205049999997</v>
          </cell>
          <cell r="AF18">
            <v>56109.835529999997</v>
          </cell>
          <cell r="AG18">
            <v>58023.670400000003</v>
          </cell>
          <cell r="AH18">
            <v>59977.241699999999</v>
          </cell>
          <cell r="AI18">
            <v>61953.734279999997</v>
          </cell>
          <cell r="AJ18">
            <v>63935.822690000001</v>
          </cell>
          <cell r="AK18">
            <v>65906.421199999997</v>
          </cell>
        </row>
        <row r="19">
          <cell r="B19">
            <v>29075.30298</v>
          </cell>
          <cell r="C19">
            <v>29800.879690000002</v>
          </cell>
          <cell r="D19">
            <v>30577.738150000001</v>
          </cell>
          <cell r="E19">
            <v>31385.620630000001</v>
          </cell>
          <cell r="F19">
            <v>32219.491600000001</v>
          </cell>
          <cell r="G19">
            <v>33084.295700000002</v>
          </cell>
          <cell r="H19">
            <v>33985.219530000002</v>
          </cell>
          <cell r="I19">
            <v>34919.194230000001</v>
          </cell>
          <cell r="J19">
            <v>35883.65509</v>
          </cell>
          <cell r="K19">
            <v>36877.221100000002</v>
          </cell>
          <cell r="L19">
            <v>37848.0268</v>
          </cell>
          <cell r="M19">
            <v>38630.267670000001</v>
          </cell>
          <cell r="N19">
            <v>39289.385979999999</v>
          </cell>
          <cell r="O19">
            <v>39869.413650000002</v>
          </cell>
          <cell r="P19">
            <v>40415.190549999999</v>
          </cell>
          <cell r="Q19">
            <v>40964.100149999998</v>
          </cell>
          <cell r="R19">
            <v>41546.662790000002</v>
          </cell>
          <cell r="S19">
            <v>42189.509149999998</v>
          </cell>
          <cell r="T19">
            <v>42912.990899999997</v>
          </cell>
          <cell r="U19">
            <v>43728.38121</v>
          </cell>
          <cell r="V19">
            <v>44643.694839999996</v>
          </cell>
          <cell r="W19">
            <v>45669.389360000001</v>
          </cell>
          <cell r="X19">
            <v>46816.856619999999</v>
          </cell>
          <cell r="Y19">
            <v>48090.904219999997</v>
          </cell>
          <cell r="Z19">
            <v>49488.142399999997</v>
          </cell>
          <cell r="AA19">
            <v>50998.410450000003</v>
          </cell>
          <cell r="AB19">
            <v>52596.494169999998</v>
          </cell>
          <cell r="AC19">
            <v>54296.205520000003</v>
          </cell>
          <cell r="AD19">
            <v>56102.267789999998</v>
          </cell>
          <cell r="AE19">
            <v>57994.269410000001</v>
          </cell>
          <cell r="AF19">
            <v>59942.541599999997</v>
          </cell>
          <cell r="AG19">
            <v>61923.09188</v>
          </cell>
          <cell r="AH19">
            <v>63918.940990000003</v>
          </cell>
          <cell r="AI19">
            <v>65915.838730000003</v>
          </cell>
          <cell r="AJ19">
            <v>67900.780249999996</v>
          </cell>
          <cell r="AK19">
            <v>69861.399000000005</v>
          </cell>
        </row>
        <row r="20">
          <cell r="B20">
            <v>80191.990829999995</v>
          </cell>
          <cell r="C20">
            <v>82132.118449999994</v>
          </cell>
          <cell r="D20">
            <v>84231.029160000006</v>
          </cell>
          <cell r="E20">
            <v>86397.929780000006</v>
          </cell>
          <cell r="F20">
            <v>88644.483380000005</v>
          </cell>
          <cell r="G20">
            <v>90988.96862</v>
          </cell>
          <cell r="H20">
            <v>93448.972949999996</v>
          </cell>
          <cell r="I20">
            <v>95379.799209999997</v>
          </cell>
          <cell r="J20">
            <v>97342.773209999999</v>
          </cell>
          <cell r="K20">
            <v>100014.8944</v>
          </cell>
          <cell r="L20">
            <v>102440.35370000001</v>
          </cell>
          <cell r="M20">
            <v>104162.3477</v>
          </cell>
          <cell r="N20">
            <v>105393.3873</v>
          </cell>
          <cell r="O20">
            <v>106365.7528</v>
          </cell>
          <cell r="P20">
            <v>107297.5959</v>
          </cell>
          <cell r="Q20">
            <v>108300.46219999999</v>
          </cell>
          <cell r="R20">
            <v>109402.68</v>
          </cell>
          <cell r="S20">
            <v>110666.7959</v>
          </cell>
          <cell r="T20">
            <v>112140.6124</v>
          </cell>
          <cell r="U20">
            <v>113853.9476</v>
          </cell>
          <cell r="V20">
            <v>115826.9811</v>
          </cell>
          <cell r="W20">
            <v>118107.19</v>
          </cell>
          <cell r="X20">
            <v>120739.7306</v>
          </cell>
          <cell r="Y20">
            <v>123739.7075</v>
          </cell>
          <cell r="Z20">
            <v>127097.5822</v>
          </cell>
          <cell r="AA20">
            <v>130787.9452</v>
          </cell>
          <cell r="AB20">
            <v>134744.41759999999</v>
          </cell>
          <cell r="AC20">
            <v>139026.38699999999</v>
          </cell>
          <cell r="AD20">
            <v>143638.92060000001</v>
          </cell>
          <cell r="AE20">
            <v>148521.77470000001</v>
          </cell>
          <cell r="AF20">
            <v>153590.3499</v>
          </cell>
          <cell r="AG20">
            <v>158789.6856</v>
          </cell>
          <cell r="AH20">
            <v>164082.7978</v>
          </cell>
          <cell r="AI20">
            <v>169426.2654</v>
          </cell>
          <cell r="AJ20">
            <v>174776.19899999999</v>
          </cell>
          <cell r="AK20">
            <v>180090.30050000001</v>
          </cell>
        </row>
        <row r="21">
          <cell r="B21">
            <v>80191.990829999995</v>
          </cell>
          <cell r="C21">
            <v>82132.118459999998</v>
          </cell>
          <cell r="D21">
            <v>84231.029179999998</v>
          </cell>
          <cell r="E21">
            <v>86397.929799999998</v>
          </cell>
          <cell r="F21">
            <v>88644.483420000004</v>
          </cell>
          <cell r="G21">
            <v>90988.968670000002</v>
          </cell>
          <cell r="H21">
            <v>93448.973010000002</v>
          </cell>
          <cell r="I21">
            <v>96017.839980000004</v>
          </cell>
          <cell r="J21">
            <v>98688.348190000004</v>
          </cell>
          <cell r="K21">
            <v>101456.2815</v>
          </cell>
          <cell r="L21">
            <v>104177.57279999999</v>
          </cell>
          <cell r="M21">
            <v>106401.4369</v>
          </cell>
          <cell r="N21">
            <v>108303.012</v>
          </cell>
          <cell r="O21">
            <v>110009.0889</v>
          </cell>
          <cell r="P21">
            <v>111647.29180000001</v>
          </cell>
          <cell r="Q21">
            <v>113321.77529999999</v>
          </cell>
          <cell r="R21">
            <v>115115.1508</v>
          </cell>
          <cell r="S21">
            <v>117096.97440000001</v>
          </cell>
          <cell r="T21">
            <v>119319.1109</v>
          </cell>
          <cell r="U21">
            <v>121808.2818</v>
          </cell>
          <cell r="V21">
            <v>124583.8616</v>
          </cell>
          <cell r="W21">
            <v>127667.9988</v>
          </cell>
          <cell r="X21">
            <v>131089.68290000001</v>
          </cell>
          <cell r="Y21">
            <v>134860.67379999999</v>
          </cell>
          <cell r="Z21">
            <v>138970.5742</v>
          </cell>
          <cell r="AA21">
            <v>143395.02669999999</v>
          </cell>
          <cell r="AB21">
            <v>148052.6593</v>
          </cell>
          <cell r="AC21">
            <v>152973.728</v>
          </cell>
          <cell r="AD21">
            <v>158172.6655</v>
          </cell>
          <cell r="AE21">
            <v>163596.7666</v>
          </cell>
          <cell r="AF21">
            <v>169167.258</v>
          </cell>
          <cell r="AG21">
            <v>174820.83910000001</v>
          </cell>
          <cell r="AH21">
            <v>180514.21799999999</v>
          </cell>
          <cell r="AI21">
            <v>186212.35449999999</v>
          </cell>
          <cell r="AJ21">
            <v>191883.9008</v>
          </cell>
          <cell r="AK21">
            <v>197499.1072</v>
          </cell>
        </row>
        <row r="22">
          <cell r="B22">
            <v>81047.757819999999</v>
          </cell>
          <cell r="C22">
            <v>83713.474279999995</v>
          </cell>
          <cell r="D22">
            <v>86418.716079999998</v>
          </cell>
          <cell r="E22">
            <v>89144.298469999994</v>
          </cell>
          <cell r="F22">
            <v>91912.264330000005</v>
          </cell>
          <cell r="G22">
            <v>94744.904769999994</v>
          </cell>
          <cell r="H22">
            <v>97657.723110000006</v>
          </cell>
          <cell r="I22">
            <v>99783.823810000002</v>
          </cell>
          <cell r="J22">
            <v>102041.0239</v>
          </cell>
          <cell r="K22">
            <v>105381.1851</v>
          </cell>
          <cell r="L22">
            <v>108389.4479</v>
          </cell>
          <cell r="M22">
            <v>110414.6012</v>
          </cell>
          <cell r="N22">
            <v>111773.19469999999</v>
          </cell>
          <cell r="O22">
            <v>112775.394</v>
          </cell>
          <cell r="P22">
            <v>113714.811</v>
          </cell>
          <cell r="Q22">
            <v>114732.11810000001</v>
          </cell>
          <cell r="R22">
            <v>115840.5901</v>
          </cell>
          <cell r="S22">
            <v>117152.4918</v>
          </cell>
          <cell r="T22">
            <v>118722.9216</v>
          </cell>
          <cell r="U22">
            <v>120577.6073</v>
          </cell>
          <cell r="V22">
            <v>122740.56140000001</v>
          </cell>
          <cell r="W22">
            <v>125248.7262</v>
          </cell>
          <cell r="X22">
            <v>128148.44650000001</v>
          </cell>
          <cell r="Y22">
            <v>131450.0583</v>
          </cell>
          <cell r="Z22">
            <v>135133.71410000001</v>
          </cell>
          <cell r="AA22">
            <v>139175.97390000001</v>
          </cell>
          <cell r="AB22">
            <v>143522.3725</v>
          </cell>
          <cell r="AC22">
            <v>148275.12969999999</v>
          </cell>
          <cell r="AD22">
            <v>153428.5583</v>
          </cell>
          <cell r="AE22">
            <v>158894.5098</v>
          </cell>
          <cell r="AF22">
            <v>164563.97889999999</v>
          </cell>
          <cell r="AG22">
            <v>170369.35620000001</v>
          </cell>
          <cell r="AH22">
            <v>176272.2365</v>
          </cell>
          <cell r="AI22">
            <v>182227.7162</v>
          </cell>
          <cell r="AJ22">
            <v>188190.53510000001</v>
          </cell>
          <cell r="AK22">
            <v>194116.59080000001</v>
          </cell>
        </row>
        <row r="23">
          <cell r="B23">
            <v>81047.757819999999</v>
          </cell>
          <cell r="C23">
            <v>83713.474289999998</v>
          </cell>
          <cell r="D23">
            <v>86418.716100000005</v>
          </cell>
          <cell r="E23">
            <v>89144.298500000004</v>
          </cell>
          <cell r="F23">
            <v>91912.264360000001</v>
          </cell>
          <cell r="G23">
            <v>94744.904819999996</v>
          </cell>
          <cell r="H23">
            <v>97657.723169999997</v>
          </cell>
          <cell r="I23">
            <v>100651.4976</v>
          </cell>
          <cell r="J23">
            <v>103726.67260000001</v>
          </cell>
          <cell r="K23">
            <v>106885.4451</v>
          </cell>
          <cell r="L23">
            <v>109923.8112</v>
          </cell>
          <cell r="M23">
            <v>112243.0123</v>
          </cell>
          <cell r="N23">
            <v>114152.49099999999</v>
          </cell>
          <cell r="O23">
            <v>115827.6145</v>
          </cell>
          <cell r="P23">
            <v>117435.0592</v>
          </cell>
          <cell r="Q23">
            <v>119102.0784</v>
          </cell>
          <cell r="R23">
            <v>120924.0206</v>
          </cell>
          <cell r="S23">
            <v>122979.34480000001</v>
          </cell>
          <cell r="T23">
            <v>125322.2985</v>
          </cell>
          <cell r="U23">
            <v>127973.8492</v>
          </cell>
          <cell r="V23">
            <v>130953.80899999999</v>
          </cell>
          <cell r="W23">
            <v>134279.00260000001</v>
          </cell>
          <cell r="X23">
            <v>137982.0649</v>
          </cell>
          <cell r="Y23">
            <v>142071.00090000001</v>
          </cell>
          <cell r="Z23">
            <v>146524.05009999999</v>
          </cell>
          <cell r="AA23">
            <v>151317.364</v>
          </cell>
          <cell r="AB23">
            <v>156414.55429999999</v>
          </cell>
          <cell r="AC23">
            <v>161855.7697</v>
          </cell>
          <cell r="AD23">
            <v>167643.23579999999</v>
          </cell>
          <cell r="AE23">
            <v>173692.5379</v>
          </cell>
          <cell r="AF23">
            <v>179896.4921</v>
          </cell>
          <cell r="AG23">
            <v>186178.973</v>
          </cell>
          <cell r="AH23">
            <v>192493.9712</v>
          </cell>
          <cell r="AI23">
            <v>198805.73199999999</v>
          </cell>
          <cell r="AJ23">
            <v>205082.35200000001</v>
          </cell>
          <cell r="AK23">
            <v>211293.03969999999</v>
          </cell>
        </row>
        <row r="24">
          <cell r="B24">
            <v>104629.4091</v>
          </cell>
          <cell r="C24">
            <v>106744.7139</v>
          </cell>
          <cell r="D24">
            <v>109153.2836</v>
          </cell>
          <cell r="E24">
            <v>111774.9417</v>
          </cell>
          <cell r="F24">
            <v>114542.51119999999</v>
          </cell>
          <cell r="G24">
            <v>117457.26089999999</v>
          </cell>
          <cell r="H24">
            <v>120509.45299999999</v>
          </cell>
          <cell r="I24">
            <v>123245.24249999999</v>
          </cell>
          <cell r="J24">
            <v>126070.82399999999</v>
          </cell>
          <cell r="K24">
            <v>129730.20269999999</v>
          </cell>
          <cell r="L24">
            <v>133388.23329999999</v>
          </cell>
          <cell r="M24">
            <v>136351.08960000001</v>
          </cell>
          <cell r="N24">
            <v>138809.82279999999</v>
          </cell>
          <cell r="O24">
            <v>140960.35060000001</v>
          </cell>
          <cell r="P24">
            <v>142993.47339999999</v>
          </cell>
          <cell r="Q24">
            <v>145013.28690000001</v>
          </cell>
          <cell r="R24">
            <v>146990.56169999999</v>
          </cell>
          <cell r="S24">
            <v>149061.04560000001</v>
          </cell>
          <cell r="T24">
            <v>151295.4975</v>
          </cell>
          <cell r="U24">
            <v>153745.49050000001</v>
          </cell>
          <cell r="V24">
            <v>156443.4136</v>
          </cell>
          <cell r="W24">
            <v>159437.84899999999</v>
          </cell>
          <cell r="X24">
            <v>162786.20199999999</v>
          </cell>
          <cell r="Y24">
            <v>166517.15030000001</v>
          </cell>
          <cell r="Z24">
            <v>170632.44149999999</v>
          </cell>
          <cell r="AA24">
            <v>175089.80379999999</v>
          </cell>
          <cell r="AB24">
            <v>179900.96119999999</v>
          </cell>
          <cell r="AC24">
            <v>185067.17980000001</v>
          </cell>
          <cell r="AD24">
            <v>190606.1201</v>
          </cell>
          <cell r="AE24">
            <v>196478.87419999999</v>
          </cell>
          <cell r="AF24">
            <v>202616.5288</v>
          </cell>
          <cell r="AG24">
            <v>208954.4179</v>
          </cell>
          <cell r="AH24">
            <v>215452.68419999999</v>
          </cell>
          <cell r="AI24">
            <v>222066.53419999999</v>
          </cell>
          <cell r="AJ24">
            <v>228749.1004</v>
          </cell>
          <cell r="AK24">
            <v>235452.31419999999</v>
          </cell>
        </row>
        <row r="25">
          <cell r="B25">
            <v>104629.4091</v>
          </cell>
          <cell r="C25">
            <v>106744.7139</v>
          </cell>
          <cell r="D25">
            <v>109153.2836</v>
          </cell>
          <cell r="E25">
            <v>111774.9417</v>
          </cell>
          <cell r="F25">
            <v>114542.51119999999</v>
          </cell>
          <cell r="G25">
            <v>117457.26089999999</v>
          </cell>
          <cell r="H25">
            <v>120509.45299999999</v>
          </cell>
          <cell r="I25">
            <v>123686.86500000001</v>
          </cell>
          <cell r="J25">
            <v>126978.3692</v>
          </cell>
          <cell r="K25">
            <v>130377.0249</v>
          </cell>
          <cell r="L25">
            <v>133758.55850000001</v>
          </cell>
          <cell r="M25">
            <v>136679.09239999999</v>
          </cell>
          <cell r="N25">
            <v>139262.17939999999</v>
          </cell>
          <cell r="O25">
            <v>141608.329</v>
          </cell>
          <cell r="P25">
            <v>143830.15609999999</v>
          </cell>
          <cell r="Q25">
            <v>146028.0423</v>
          </cell>
          <cell r="R25">
            <v>148290.66750000001</v>
          </cell>
          <cell r="S25">
            <v>150698.73420000001</v>
          </cell>
          <cell r="T25">
            <v>153316.29829999999</v>
          </cell>
          <cell r="U25">
            <v>156181.98329999999</v>
          </cell>
          <cell r="V25">
            <v>159315.4222</v>
          </cell>
          <cell r="W25">
            <v>162759.0478</v>
          </cell>
          <cell r="X25">
            <v>166546.69399999999</v>
          </cell>
          <cell r="Y25">
            <v>170696.07810000001</v>
          </cell>
          <cell r="Z25">
            <v>175201.7555</v>
          </cell>
          <cell r="AA25">
            <v>180017.22459999999</v>
          </cell>
          <cell r="AB25">
            <v>185114.9283</v>
          </cell>
          <cell r="AC25">
            <v>190517.6765</v>
          </cell>
          <cell r="AD25">
            <v>196240.5269</v>
          </cell>
          <cell r="AE25">
            <v>202242.56899999999</v>
          </cell>
          <cell r="AF25">
            <v>208455.08429999999</v>
          </cell>
          <cell r="AG25">
            <v>214817.82670000001</v>
          </cell>
          <cell r="AH25">
            <v>221284.861</v>
          </cell>
          <cell r="AI25">
            <v>227815.22219999999</v>
          </cell>
          <cell r="AJ25">
            <v>234369.302</v>
          </cell>
          <cell r="AK25">
            <v>240907.25589999999</v>
          </cell>
        </row>
        <row r="26">
          <cell r="B26">
            <v>271092.44750000001</v>
          </cell>
          <cell r="C26">
            <v>275220.5</v>
          </cell>
          <cell r="D26">
            <v>280170.75870000001</v>
          </cell>
          <cell r="E26">
            <v>285852.96429999999</v>
          </cell>
          <cell r="F26">
            <v>292183.25900000002</v>
          </cell>
          <cell r="G26">
            <v>299134.42320000002</v>
          </cell>
          <cell r="H26">
            <v>306787.08500000002</v>
          </cell>
          <cell r="I26">
            <v>314535.72129999998</v>
          </cell>
          <cell r="J26">
            <v>322462.7341</v>
          </cell>
          <cell r="K26">
            <v>331190.04259999999</v>
          </cell>
          <cell r="L26">
            <v>340605.68320000003</v>
          </cell>
          <cell r="M26">
            <v>350144.95370000001</v>
          </cell>
          <cell r="N26">
            <v>359817.79029999999</v>
          </cell>
          <cell r="O26">
            <v>369704.47580000001</v>
          </cell>
          <cell r="P26">
            <v>379887.14649999997</v>
          </cell>
          <cell r="Q26">
            <v>390417.38020000001</v>
          </cell>
          <cell r="R26">
            <v>401280.80920000002</v>
          </cell>
          <cell r="S26">
            <v>412498.92920000001</v>
          </cell>
          <cell r="T26">
            <v>424151.86090000003</v>
          </cell>
          <cell r="U26">
            <v>436347.23979999998</v>
          </cell>
          <cell r="V26">
            <v>449181.04930000001</v>
          </cell>
          <cell r="W26">
            <v>462805.99570000003</v>
          </cell>
          <cell r="X26">
            <v>477363.72159999999</v>
          </cell>
          <cell r="Y26">
            <v>492981.90759999998</v>
          </cell>
          <cell r="Z26">
            <v>509759.41879999998</v>
          </cell>
          <cell r="AA26">
            <v>527677.96979999996</v>
          </cell>
          <cell r="AB26">
            <v>545857.73919999995</v>
          </cell>
          <cell r="AC26">
            <v>564290.67680000002</v>
          </cell>
          <cell r="AD26">
            <v>583153.98439999996</v>
          </cell>
          <cell r="AE26">
            <v>602574.24060000002</v>
          </cell>
          <cell r="AF26">
            <v>622587.69739999995</v>
          </cell>
          <cell r="AG26">
            <v>643155.32949999999</v>
          </cell>
          <cell r="AH26">
            <v>664206.88260000001</v>
          </cell>
          <cell r="AI26">
            <v>685663.99170000001</v>
          </cell>
          <cell r="AJ26">
            <v>707441.24289999995</v>
          </cell>
          <cell r="AK26">
            <v>729443.96019999997</v>
          </cell>
        </row>
        <row r="27">
          <cell r="B27">
            <v>271092.44750000001</v>
          </cell>
          <cell r="C27">
            <v>275220.5</v>
          </cell>
          <cell r="D27">
            <v>280170.75870000001</v>
          </cell>
          <cell r="E27">
            <v>285852.96419999999</v>
          </cell>
          <cell r="F27">
            <v>292183.25890000002</v>
          </cell>
          <cell r="G27">
            <v>299134.42310000001</v>
          </cell>
          <cell r="H27">
            <v>306787.08500000002</v>
          </cell>
          <cell r="I27">
            <v>315089.9117</v>
          </cell>
          <cell r="J27">
            <v>323998.95079999999</v>
          </cell>
          <cell r="K27">
            <v>333494.26699999999</v>
          </cell>
          <cell r="L27">
            <v>343517.28779999999</v>
          </cell>
          <cell r="M27">
            <v>353614.73469999997</v>
          </cell>
          <cell r="N27">
            <v>363668.43829999998</v>
          </cell>
          <cell r="O27">
            <v>373683.84970000002</v>
          </cell>
          <cell r="P27">
            <v>383721.89649999997</v>
          </cell>
          <cell r="Q27">
            <v>393867.9461</v>
          </cell>
          <cell r="R27">
            <v>404242.37</v>
          </cell>
          <cell r="S27">
            <v>414963.87569999998</v>
          </cell>
          <cell r="T27">
            <v>426145.98940000002</v>
          </cell>
          <cell r="U27">
            <v>437883.90509999997</v>
          </cell>
          <cell r="V27">
            <v>450227.16600000003</v>
          </cell>
          <cell r="W27">
            <v>463281.62420000002</v>
          </cell>
          <cell r="X27">
            <v>477141.23820000002</v>
          </cell>
          <cell r="Y27">
            <v>491894.99739999999</v>
          </cell>
          <cell r="Z27">
            <v>507612.3247</v>
          </cell>
          <cell r="AA27">
            <v>524258.27149999997</v>
          </cell>
          <cell r="AB27">
            <v>540976.75520000001</v>
          </cell>
          <cell r="AC27">
            <v>557811.55240000004</v>
          </cell>
          <cell r="AD27">
            <v>574970.85950000002</v>
          </cell>
          <cell r="AE27">
            <v>592602.91299999994</v>
          </cell>
          <cell r="AF27">
            <v>610763.01029999997</v>
          </cell>
          <cell r="AG27">
            <v>629447.05870000005</v>
          </cell>
          <cell r="AH27">
            <v>648621.00890000002</v>
          </cell>
          <cell r="AI27">
            <v>668231.52450000006</v>
          </cell>
          <cell r="AJ27">
            <v>688209.66720000003</v>
          </cell>
          <cell r="AK27">
            <v>708471.42440000002</v>
          </cell>
        </row>
        <row r="28">
          <cell r="B28">
            <v>6786.491454</v>
          </cell>
          <cell r="C28">
            <v>6900.7829149999998</v>
          </cell>
          <cell r="D28">
            <v>7025.4333109999998</v>
          </cell>
          <cell r="E28">
            <v>7159.4254179999998</v>
          </cell>
          <cell r="F28">
            <v>7300.5350989999997</v>
          </cell>
          <cell r="G28">
            <v>7449.3491770000001</v>
          </cell>
          <cell r="H28">
            <v>7605.4376830000001</v>
          </cell>
          <cell r="I28">
            <v>7742.506206</v>
          </cell>
          <cell r="J28">
            <v>7881.8232159999998</v>
          </cell>
          <cell r="K28">
            <v>8054.9084009999997</v>
          </cell>
          <cell r="L28">
            <v>8225.7476399999996</v>
          </cell>
          <cell r="M28">
            <v>8363.8471809999992</v>
          </cell>
          <cell r="N28">
            <v>8478.6064069999993</v>
          </cell>
          <cell r="O28">
            <v>8577.9346299999997</v>
          </cell>
          <cell r="P28">
            <v>8669.307084</v>
          </cell>
          <cell r="Q28">
            <v>8756.968245</v>
          </cell>
          <cell r="R28">
            <v>8842.578614</v>
          </cell>
          <cell r="S28">
            <v>8929.7018360000002</v>
          </cell>
          <cell r="T28">
            <v>9022.2586339999998</v>
          </cell>
          <cell r="U28">
            <v>9123.6639570000007</v>
          </cell>
          <cell r="V28">
            <v>9235.6727580000006</v>
          </cell>
          <cell r="W28">
            <v>9361.6700610000007</v>
          </cell>
          <cell r="X28">
            <v>9504.8831499999997</v>
          </cell>
          <cell r="Y28">
            <v>9667.0328430000009</v>
          </cell>
          <cell r="Z28">
            <v>9848.5518250000005</v>
          </cell>
          <cell r="AA28">
            <v>10047.16725</v>
          </cell>
          <cell r="AB28">
            <v>10260.853999999999</v>
          </cell>
          <cell r="AC28">
            <v>10492.868839999999</v>
          </cell>
          <cell r="AD28">
            <v>10744.693859999999</v>
          </cell>
          <cell r="AE28">
            <v>11014.68129</v>
          </cell>
          <cell r="AF28">
            <v>11299.521360000001</v>
          </cell>
          <cell r="AG28">
            <v>11595.945760000001</v>
          </cell>
          <cell r="AH28">
            <v>11901.756600000001</v>
          </cell>
          <cell r="AI28">
            <v>12214.33495</v>
          </cell>
          <cell r="AJ28">
            <v>12530.885029999999</v>
          </cell>
          <cell r="AK28">
            <v>12848.5461</v>
          </cell>
        </row>
        <row r="29">
          <cell r="B29">
            <v>6786.491454</v>
          </cell>
          <cell r="C29">
            <v>6900.7829149999998</v>
          </cell>
          <cell r="D29">
            <v>7025.4333100000003</v>
          </cell>
          <cell r="E29">
            <v>7159.4254179999998</v>
          </cell>
          <cell r="F29">
            <v>7300.5350980000003</v>
          </cell>
          <cell r="G29">
            <v>7449.3491770000001</v>
          </cell>
          <cell r="H29">
            <v>7605.4376840000004</v>
          </cell>
          <cell r="I29">
            <v>7767.5462690000004</v>
          </cell>
          <cell r="J29">
            <v>7934.6781339999998</v>
          </cell>
          <cell r="K29">
            <v>8106.1513240000004</v>
          </cell>
          <cell r="L29">
            <v>8276.2703309999997</v>
          </cell>
          <cell r="M29">
            <v>8423.3138899999994</v>
          </cell>
          <cell r="N29">
            <v>8552.3899990000009</v>
          </cell>
          <cell r="O29">
            <v>8667.7121540000007</v>
          </cell>
          <cell r="P29">
            <v>8774.3605850000004</v>
          </cell>
          <cell r="Q29">
            <v>8877.2196960000001</v>
          </cell>
          <cell r="R29">
            <v>8980.9217050000007</v>
          </cell>
          <cell r="S29">
            <v>9089.7727790000008</v>
          </cell>
          <cell r="T29">
            <v>9207.3655510000008</v>
          </cell>
          <cell r="U29">
            <v>9336.1059349999996</v>
          </cell>
          <cell r="V29">
            <v>9477.2166460000008</v>
          </cell>
          <cell r="W29">
            <v>9633.4801349999998</v>
          </cell>
          <cell r="X29">
            <v>9806.7419339999997</v>
          </cell>
          <cell r="Y29">
            <v>9998.0574639999995</v>
          </cell>
          <cell r="Z29">
            <v>10207.388300000001</v>
          </cell>
          <cell r="AA29">
            <v>10432.105680000001</v>
          </cell>
          <cell r="AB29">
            <v>10669.93514</v>
          </cell>
          <cell r="AC29">
            <v>10923.01261</v>
          </cell>
          <cell r="AD29">
            <v>11192.37393</v>
          </cell>
          <cell r="AE29">
            <v>11476.037780000001</v>
          </cell>
          <cell r="AF29">
            <v>11770.52601</v>
          </cell>
          <cell r="AG29">
            <v>12072.616379999999</v>
          </cell>
          <cell r="AH29">
            <v>12379.673709999999</v>
          </cell>
          <cell r="AI29">
            <v>12689.27865</v>
          </cell>
          <cell r="AJ29">
            <v>12999.10108</v>
          </cell>
          <cell r="AK29">
            <v>13306.85383</v>
          </cell>
        </row>
        <row r="30">
          <cell r="B30">
            <v>78074.473530000003</v>
          </cell>
          <cell r="C30">
            <v>79389.327569999994</v>
          </cell>
          <cell r="D30">
            <v>80823.354860000007</v>
          </cell>
          <cell r="E30">
            <v>82364.852899999998</v>
          </cell>
          <cell r="F30">
            <v>83988.234299999996</v>
          </cell>
          <cell r="G30">
            <v>85700.250140000004</v>
          </cell>
          <cell r="H30">
            <v>87495.953859999994</v>
          </cell>
          <cell r="I30">
            <v>89072.844190000003</v>
          </cell>
          <cell r="J30">
            <v>90675.601999999999</v>
          </cell>
          <cell r="K30">
            <v>92666.842220000006</v>
          </cell>
          <cell r="L30">
            <v>94632.244179999994</v>
          </cell>
          <cell r="M30">
            <v>96220.995750000002</v>
          </cell>
          <cell r="N30">
            <v>97541.231140000004</v>
          </cell>
          <cell r="O30">
            <v>98683.942179999998</v>
          </cell>
          <cell r="P30">
            <v>99735.126919999995</v>
          </cell>
          <cell r="Q30">
            <v>100743.6155</v>
          </cell>
          <cell r="R30">
            <v>101728.51089999999</v>
          </cell>
          <cell r="S30">
            <v>102730.81080000001</v>
          </cell>
          <cell r="T30">
            <v>103795.6207</v>
          </cell>
          <cell r="U30">
            <v>104962.22749999999</v>
          </cell>
          <cell r="V30">
            <v>106250.82090000001</v>
          </cell>
          <cell r="W30">
            <v>107700.34359999999</v>
          </cell>
          <cell r="X30">
            <v>109347.9234</v>
          </cell>
          <cell r="Y30">
            <v>111213.35739999999</v>
          </cell>
          <cell r="Z30">
            <v>113301.6234</v>
          </cell>
          <cell r="AA30">
            <v>115586.5736</v>
          </cell>
          <cell r="AB30">
            <v>118044.91009999999</v>
          </cell>
          <cell r="AC30">
            <v>120714.10030000001</v>
          </cell>
          <cell r="AD30">
            <v>123611.19469999999</v>
          </cell>
          <cell r="AE30">
            <v>126717.2365</v>
          </cell>
          <cell r="AF30">
            <v>129994.149</v>
          </cell>
          <cell r="AG30">
            <v>133404.3322</v>
          </cell>
          <cell r="AH30">
            <v>136922.5007</v>
          </cell>
          <cell r="AI30">
            <v>140518.5252</v>
          </cell>
          <cell r="AJ30">
            <v>144160.24220000001</v>
          </cell>
          <cell r="AK30">
            <v>147814.74040000001</v>
          </cell>
        </row>
        <row r="31">
          <cell r="B31">
            <v>78074.473530000003</v>
          </cell>
          <cell r="C31">
            <v>79389.327560000005</v>
          </cell>
          <cell r="D31">
            <v>80823.354860000007</v>
          </cell>
          <cell r="E31">
            <v>82364.852889999995</v>
          </cell>
          <cell r="F31">
            <v>83988.234299999996</v>
          </cell>
          <cell r="G31">
            <v>85700.250140000004</v>
          </cell>
          <cell r="H31">
            <v>87495.953859999994</v>
          </cell>
          <cell r="I31">
            <v>89360.914940000002</v>
          </cell>
          <cell r="J31">
            <v>91283.665819999995</v>
          </cell>
          <cell r="K31">
            <v>93256.361009999993</v>
          </cell>
          <cell r="L31">
            <v>95213.477140000003</v>
          </cell>
          <cell r="M31">
            <v>96905.124219999998</v>
          </cell>
          <cell r="N31">
            <v>98390.06667</v>
          </cell>
          <cell r="O31">
            <v>99716.778210000004</v>
          </cell>
          <cell r="P31">
            <v>100943.7038</v>
          </cell>
          <cell r="Q31">
            <v>102127.0356</v>
          </cell>
          <cell r="R31">
            <v>103320.0644</v>
          </cell>
          <cell r="S31">
            <v>104572.33010000001</v>
          </cell>
          <cell r="T31">
            <v>105925.1637</v>
          </cell>
          <cell r="U31">
            <v>107406.2438</v>
          </cell>
          <cell r="V31">
            <v>109029.63710000001</v>
          </cell>
          <cell r="W31">
            <v>110827.3539</v>
          </cell>
          <cell r="X31">
            <v>112820.6259</v>
          </cell>
          <cell r="Y31">
            <v>115021.5952</v>
          </cell>
          <cell r="Z31">
            <v>117429.8196</v>
          </cell>
          <cell r="AA31">
            <v>120015.057</v>
          </cell>
          <cell r="AB31">
            <v>122751.1409</v>
          </cell>
          <cell r="AC31">
            <v>125662.6439</v>
          </cell>
          <cell r="AD31">
            <v>128761.4828</v>
          </cell>
          <cell r="AE31">
            <v>132024.86350000001</v>
          </cell>
          <cell r="AF31">
            <v>135412.77220000001</v>
          </cell>
          <cell r="AG31">
            <v>138888.13889999999</v>
          </cell>
          <cell r="AH31">
            <v>142420.64749999999</v>
          </cell>
          <cell r="AI31">
            <v>145982.46489999999</v>
          </cell>
          <cell r="AJ31">
            <v>149546.78419999999</v>
          </cell>
          <cell r="AK31">
            <v>153087.29319999999</v>
          </cell>
        </row>
        <row r="32">
          <cell r="B32">
            <v>15428.104310000001</v>
          </cell>
          <cell r="C32">
            <v>15989.08769</v>
          </cell>
          <cell r="D32">
            <v>16541.42712</v>
          </cell>
          <cell r="E32">
            <v>17084.254250000002</v>
          </cell>
          <cell r="F32">
            <v>17632.88524</v>
          </cell>
          <cell r="G32">
            <v>18195.404729999998</v>
          </cell>
          <cell r="H32">
            <v>18775.09072</v>
          </cell>
          <cell r="I32">
            <v>19144.291730000001</v>
          </cell>
          <cell r="J32">
            <v>19525.405770000001</v>
          </cell>
          <cell r="K32">
            <v>20111.742549999999</v>
          </cell>
          <cell r="L32">
            <v>20577.621330000002</v>
          </cell>
          <cell r="M32">
            <v>20830.55688</v>
          </cell>
          <cell r="N32">
            <v>20959.880249999998</v>
          </cell>
          <cell r="O32">
            <v>21038.11333</v>
          </cell>
          <cell r="P32">
            <v>21126.721099999999</v>
          </cell>
          <cell r="Q32">
            <v>21250.761979999999</v>
          </cell>
          <cell r="R32">
            <v>21428.276379999999</v>
          </cell>
          <cell r="S32">
            <v>21653.463070000002</v>
          </cell>
          <cell r="T32">
            <v>21933.488270000002</v>
          </cell>
          <cell r="U32">
            <v>22271.657500000001</v>
          </cell>
          <cell r="V32">
            <v>22671.61621</v>
          </cell>
          <cell r="W32">
            <v>23143.173350000001</v>
          </cell>
          <cell r="X32">
            <v>23696.371950000001</v>
          </cell>
          <cell r="Y32">
            <v>24332.876</v>
          </cell>
          <cell r="Z32">
            <v>25047.693899999998</v>
          </cell>
          <cell r="AA32">
            <v>25837.587370000001</v>
          </cell>
          <cell r="AB32">
            <v>26710.062430000002</v>
          </cell>
          <cell r="AC32">
            <v>27678.091369999998</v>
          </cell>
          <cell r="AD32">
            <v>28738.924770000001</v>
          </cell>
          <cell r="AE32">
            <v>29872.528259999999</v>
          </cell>
          <cell r="AF32">
            <v>31055.397239999998</v>
          </cell>
          <cell r="AG32">
            <v>32275.558990000001</v>
          </cell>
          <cell r="AH32">
            <v>33525.943010000003</v>
          </cell>
          <cell r="AI32">
            <v>34797.409339999998</v>
          </cell>
          <cell r="AJ32">
            <v>36080.236940000003</v>
          </cell>
          <cell r="AK32">
            <v>37364.554960000001</v>
          </cell>
        </row>
        <row r="33">
          <cell r="B33">
            <v>15428.104310000001</v>
          </cell>
          <cell r="C33">
            <v>15989.08769</v>
          </cell>
          <cell r="D33">
            <v>16541.42712</v>
          </cell>
          <cell r="E33">
            <v>17084.254260000002</v>
          </cell>
          <cell r="F33">
            <v>17632.885249999999</v>
          </cell>
          <cell r="G33">
            <v>18195.404740000002</v>
          </cell>
          <cell r="H33">
            <v>18775.09073</v>
          </cell>
          <cell r="I33">
            <v>19372.961879999999</v>
          </cell>
          <cell r="J33">
            <v>19989.31667</v>
          </cell>
          <cell r="K33">
            <v>20624.453600000001</v>
          </cell>
          <cell r="L33">
            <v>21231.111150000001</v>
          </cell>
          <cell r="M33">
            <v>21677.422159999998</v>
          </cell>
          <cell r="N33">
            <v>22037.256600000001</v>
          </cell>
          <cell r="O33">
            <v>22350.039860000001</v>
          </cell>
          <cell r="P33">
            <v>22652.517360000002</v>
          </cell>
          <cell r="Q33">
            <v>22971.882150000001</v>
          </cell>
          <cell r="R33">
            <v>23327.630020000001</v>
          </cell>
          <cell r="S33">
            <v>23735.351139999999</v>
          </cell>
          <cell r="T33">
            <v>24204.974600000001</v>
          </cell>
          <cell r="U33">
            <v>24738.967290000001</v>
          </cell>
          <cell r="V33">
            <v>25340.588729999999</v>
          </cell>
          <cell r="W33">
            <v>26011.22525</v>
          </cell>
          <cell r="X33">
            <v>26756.856070000002</v>
          </cell>
          <cell r="Y33">
            <v>27578.080089999999</v>
          </cell>
          <cell r="Z33">
            <v>28469.088110000001</v>
          </cell>
          <cell r="AA33">
            <v>29426.194240000001</v>
          </cell>
          <cell r="AB33">
            <v>30449.26499</v>
          </cell>
          <cell r="AC33">
            <v>31545.401430000002</v>
          </cell>
          <cell r="AD33">
            <v>32713.040590000001</v>
          </cell>
          <cell r="AE33">
            <v>33932.573479999999</v>
          </cell>
          <cell r="AF33">
            <v>35180.726280000003</v>
          </cell>
          <cell r="AG33">
            <v>36442.156510000001</v>
          </cell>
          <cell r="AH33">
            <v>37708.61303</v>
          </cell>
          <cell r="AI33">
            <v>38974.141710000004</v>
          </cell>
          <cell r="AJ33">
            <v>40233.557330000003</v>
          </cell>
          <cell r="AK33">
            <v>41481.759400000003</v>
          </cell>
        </row>
        <row r="34">
          <cell r="B34">
            <v>20622.495429999999</v>
          </cell>
          <cell r="C34">
            <v>21142.94601</v>
          </cell>
          <cell r="D34">
            <v>21695.36105</v>
          </cell>
          <cell r="E34">
            <v>22258.641589999999</v>
          </cell>
          <cell r="F34">
            <v>22857.091530000002</v>
          </cell>
          <cell r="G34">
            <v>23510.39486</v>
          </cell>
          <cell r="H34">
            <v>24215.258249999999</v>
          </cell>
          <cell r="I34">
            <v>24767.841540000001</v>
          </cell>
          <cell r="J34">
            <v>25261.200219999999</v>
          </cell>
          <cell r="K34">
            <v>25837.749599999999</v>
          </cell>
          <cell r="L34">
            <v>26241.470740000001</v>
          </cell>
          <cell r="M34">
            <v>26474.235949999998</v>
          </cell>
          <cell r="N34">
            <v>26668.027290000002</v>
          </cell>
          <cell r="O34">
            <v>26866.388480000001</v>
          </cell>
          <cell r="P34">
            <v>27087.45103</v>
          </cell>
          <cell r="Q34">
            <v>27328.432410000001</v>
          </cell>
          <cell r="R34">
            <v>27561.957450000002</v>
          </cell>
          <cell r="S34">
            <v>27791.128430000001</v>
          </cell>
          <cell r="T34">
            <v>28031.56366</v>
          </cell>
          <cell r="U34">
            <v>28310.316709999999</v>
          </cell>
          <cell r="V34">
            <v>28640.218390000002</v>
          </cell>
          <cell r="W34">
            <v>29054.017960000001</v>
          </cell>
          <cell r="X34">
            <v>29570.52836</v>
          </cell>
          <cell r="Y34">
            <v>30196.06306</v>
          </cell>
          <cell r="Z34">
            <v>30930.97538</v>
          </cell>
          <cell r="AA34">
            <v>31763.530500000001</v>
          </cell>
          <cell r="AB34">
            <v>32712.927520000001</v>
          </cell>
          <cell r="AC34">
            <v>33792.563840000003</v>
          </cell>
          <cell r="AD34">
            <v>35009.893559999997</v>
          </cell>
          <cell r="AE34">
            <v>36358.938439999998</v>
          </cell>
          <cell r="AF34">
            <v>37826.564169999998</v>
          </cell>
          <cell r="AG34">
            <v>39404.153839999999</v>
          </cell>
          <cell r="AH34">
            <v>41082.966079999998</v>
          </cell>
          <cell r="AI34">
            <v>42848.115879999998</v>
          </cell>
          <cell r="AJ34">
            <v>44681.532160000002</v>
          </cell>
          <cell r="AK34">
            <v>46563.02476</v>
          </cell>
        </row>
        <row r="35">
          <cell r="B35">
            <v>20622.495429999999</v>
          </cell>
          <cell r="C35">
            <v>21142.94601</v>
          </cell>
          <cell r="D35">
            <v>21695.36105</v>
          </cell>
          <cell r="E35">
            <v>22258.641589999999</v>
          </cell>
          <cell r="F35">
            <v>22857.091530000002</v>
          </cell>
          <cell r="G35">
            <v>23510.39486</v>
          </cell>
          <cell r="H35">
            <v>24215.258249999999</v>
          </cell>
          <cell r="I35">
            <v>24965.473859999998</v>
          </cell>
          <cell r="J35">
            <v>25753.683420000001</v>
          </cell>
          <cell r="K35">
            <v>26573.881150000001</v>
          </cell>
          <cell r="L35">
            <v>27391.234489999999</v>
          </cell>
          <cell r="M35">
            <v>28085.069930000001</v>
          </cell>
          <cell r="N35">
            <v>28692.253799999999</v>
          </cell>
          <cell r="O35">
            <v>29232.969379999999</v>
          </cell>
          <cell r="P35">
            <v>29731.016790000001</v>
          </cell>
          <cell r="Q35">
            <v>30208.881259999998</v>
          </cell>
          <cell r="R35">
            <v>30688.365880000001</v>
          </cell>
          <cell r="S35">
            <v>31190.974050000001</v>
          </cell>
          <cell r="T35">
            <v>31734.56551</v>
          </cell>
          <cell r="U35">
            <v>32330.85671</v>
          </cell>
          <cell r="V35">
            <v>32985.73504</v>
          </cell>
          <cell r="W35">
            <v>33715.630680000002</v>
          </cell>
          <cell r="X35">
            <v>34530.570390000001</v>
          </cell>
          <cell r="Y35">
            <v>35436.731449999999</v>
          </cell>
          <cell r="Z35">
            <v>36434.330150000002</v>
          </cell>
          <cell r="AA35">
            <v>37508.84287</v>
          </cell>
          <cell r="AB35">
            <v>38669.895700000001</v>
          </cell>
          <cell r="AC35">
            <v>39924.376539999997</v>
          </cell>
          <cell r="AD35">
            <v>41275.389490000001</v>
          </cell>
          <cell r="AE35">
            <v>42712.171670000003</v>
          </cell>
          <cell r="AF35">
            <v>44217.606189999999</v>
          </cell>
          <cell r="AG35">
            <v>45776.751730000004</v>
          </cell>
          <cell r="AH35">
            <v>47377.417840000002</v>
          </cell>
          <cell r="AI35">
            <v>49007.57127</v>
          </cell>
          <cell r="AJ35">
            <v>50654.722959999999</v>
          </cell>
          <cell r="AK35">
            <v>52305.759570000002</v>
          </cell>
        </row>
        <row r="36">
          <cell r="B36">
            <v>2017887.902</v>
          </cell>
          <cell r="C36">
            <v>2054992.9140000001</v>
          </cell>
          <cell r="D36">
            <v>2097525.79</v>
          </cell>
          <cell r="E36">
            <v>2144862.1430000002</v>
          </cell>
          <cell r="F36">
            <v>2194986.4890000001</v>
          </cell>
          <cell r="G36">
            <v>2248005.415</v>
          </cell>
          <cell r="H36">
            <v>2303678.4180000001</v>
          </cell>
          <cell r="I36">
            <v>2356023.0210000002</v>
          </cell>
          <cell r="J36">
            <v>2410029.0720000002</v>
          </cell>
          <cell r="K36">
            <v>2475555.8790000002</v>
          </cell>
          <cell r="L36">
            <v>2544684.11</v>
          </cell>
          <cell r="M36">
            <v>2604101.497</v>
          </cell>
          <cell r="N36">
            <v>2656703.0690000001</v>
          </cell>
          <cell r="O36">
            <v>2704511.18</v>
          </cell>
          <cell r="P36">
            <v>2749317.9240000001</v>
          </cell>
          <cell r="Q36">
            <v>2792207.716</v>
          </cell>
          <cell r="R36">
            <v>2833559.2749999999</v>
          </cell>
          <cell r="S36">
            <v>2874728.9879999999</v>
          </cell>
          <cell r="T36">
            <v>2917027.46</v>
          </cell>
          <cell r="U36">
            <v>2961546.3220000002</v>
          </cell>
          <cell r="V36">
            <v>3008938.0249999999</v>
          </cell>
          <cell r="W36">
            <v>3060069.7620000001</v>
          </cell>
          <cell r="X36">
            <v>3116103.818</v>
          </cell>
          <cell r="Y36">
            <v>3177753.665</v>
          </cell>
          <cell r="Z36">
            <v>3245319.7719999999</v>
          </cell>
          <cell r="AA36">
            <v>3317805.3139999998</v>
          </cell>
          <cell r="AB36">
            <v>3394111.6150000002</v>
          </cell>
          <cell r="AC36">
            <v>3475211.6850000001</v>
          </cell>
          <cell r="AD36">
            <v>3561930.855</v>
          </cell>
          <cell r="AE36">
            <v>3654217.9350000001</v>
          </cell>
          <cell r="AF36">
            <v>3751411.2710000002</v>
          </cell>
          <cell r="AG36">
            <v>3852453.8</v>
          </cell>
          <cell r="AH36">
            <v>3956770.6710000001</v>
          </cell>
          <cell r="AI36">
            <v>4063663.798</v>
          </cell>
          <cell r="AJ36">
            <v>4172365.9190000002</v>
          </cell>
          <cell r="AK36">
            <v>4282056.1150000002</v>
          </cell>
        </row>
        <row r="37">
          <cell r="B37">
            <v>2017887.902</v>
          </cell>
          <cell r="C37">
            <v>2054992.9140000001</v>
          </cell>
          <cell r="D37">
            <v>2097525.79</v>
          </cell>
          <cell r="E37">
            <v>2144862.1430000002</v>
          </cell>
          <cell r="F37">
            <v>2194986.4890000001</v>
          </cell>
          <cell r="G37">
            <v>2248005.415</v>
          </cell>
          <cell r="H37">
            <v>2303678.4180000001</v>
          </cell>
          <cell r="I37">
            <v>2361567.6340000001</v>
          </cell>
          <cell r="J37">
            <v>2421320.7489999998</v>
          </cell>
          <cell r="K37">
            <v>2482708.1269999999</v>
          </cell>
          <cell r="L37">
            <v>2544366.0920000002</v>
          </cell>
          <cell r="M37">
            <v>2599856.5019999999</v>
          </cell>
          <cell r="N37">
            <v>2649977.1540000001</v>
          </cell>
          <cell r="O37">
            <v>2695629.08</v>
          </cell>
          <cell r="P37">
            <v>2738087.9530000002</v>
          </cell>
          <cell r="Q37">
            <v>2778713.62</v>
          </cell>
          <cell r="R37">
            <v>2818935.5610000002</v>
          </cell>
          <cell r="S37">
            <v>2860167.2220000001</v>
          </cell>
          <cell r="T37">
            <v>2903640.74</v>
          </cell>
          <cell r="U37">
            <v>2950246.0970000001</v>
          </cell>
          <cell r="V37">
            <v>3000341.86</v>
          </cell>
          <cell r="W37">
            <v>3055098.6340000001</v>
          </cell>
          <cell r="X37">
            <v>3115160.102</v>
          </cell>
          <cell r="Y37">
            <v>3180972.49</v>
          </cell>
          <cell r="Z37">
            <v>3252651.6469999999</v>
          </cell>
          <cell r="AA37">
            <v>3329087.2829999998</v>
          </cell>
          <cell r="AB37">
            <v>3409598.443</v>
          </cell>
          <cell r="AC37">
            <v>3494931.9309999999</v>
          </cell>
          <cell r="AD37">
            <v>3585655.94</v>
          </cell>
          <cell r="AE37">
            <v>3681495.39</v>
          </cell>
          <cell r="AF37">
            <v>3781641.6009999998</v>
          </cell>
          <cell r="AG37">
            <v>3885227.4739999999</v>
          </cell>
          <cell r="AH37">
            <v>3991460.2850000001</v>
          </cell>
          <cell r="AI37">
            <v>4099551.1860000002</v>
          </cell>
          <cell r="AJ37">
            <v>4208691.6359999999</v>
          </cell>
          <cell r="AK37">
            <v>4318046.807</v>
          </cell>
        </row>
        <row r="38">
          <cell r="B38">
            <v>539669.55169999995</v>
          </cell>
          <cell r="C38">
            <v>546617.17579999997</v>
          </cell>
          <cell r="D38">
            <v>553947.63410000002</v>
          </cell>
          <cell r="E38">
            <v>561664.91899999999</v>
          </cell>
          <cell r="F38">
            <v>569613.8247</v>
          </cell>
          <cell r="G38">
            <v>577807.42409999995</v>
          </cell>
          <cell r="H38">
            <v>586234.84340000001</v>
          </cell>
          <cell r="I38">
            <v>594628.15599999996</v>
          </cell>
          <cell r="J38">
            <v>603207.47340000002</v>
          </cell>
          <cell r="K38">
            <v>612491.36010000005</v>
          </cell>
          <cell r="L38">
            <v>622165.42469999997</v>
          </cell>
          <cell r="M38">
            <v>631315.46759999997</v>
          </cell>
          <cell r="N38">
            <v>640124.14870000002</v>
          </cell>
          <cell r="O38">
            <v>648687.24809999997</v>
          </cell>
          <cell r="P38">
            <v>657085.73329999996</v>
          </cell>
          <cell r="Q38">
            <v>665379.60490000003</v>
          </cell>
          <cell r="R38">
            <v>673618.64529999997</v>
          </cell>
          <cell r="S38">
            <v>681877.20940000005</v>
          </cell>
          <cell r="T38">
            <v>690238.19270000001</v>
          </cell>
          <cell r="U38">
            <v>698769.4314</v>
          </cell>
          <cell r="V38">
            <v>707515.04440000001</v>
          </cell>
          <cell r="W38">
            <v>716524.70389999996</v>
          </cell>
          <cell r="X38">
            <v>725877.14809999999</v>
          </cell>
          <cell r="Y38">
            <v>735623.08270000003</v>
          </cell>
          <cell r="Z38">
            <v>745789.31259999995</v>
          </cell>
          <cell r="AA38">
            <v>756307.3554</v>
          </cell>
          <cell r="AB38">
            <v>767061.41870000004</v>
          </cell>
          <cell r="AC38">
            <v>778140.95140000002</v>
          </cell>
          <cell r="AD38">
            <v>789617.71600000001</v>
          </cell>
          <cell r="AE38">
            <v>801505.86029999994</v>
          </cell>
          <cell r="AF38">
            <v>813777.96400000004</v>
          </cell>
          <cell r="AG38">
            <v>826369.16509999998</v>
          </cell>
          <cell r="AH38">
            <v>839248.71409999998</v>
          </cell>
          <cell r="AI38">
            <v>852375.79040000006</v>
          </cell>
          <cell r="AJ38">
            <v>865704.07720000006</v>
          </cell>
          <cell r="AK38">
            <v>879183.3003</v>
          </cell>
        </row>
        <row r="39">
          <cell r="B39">
            <v>539669.55169999995</v>
          </cell>
          <cell r="C39">
            <v>546617.17579999997</v>
          </cell>
          <cell r="D39">
            <v>553947.63410000002</v>
          </cell>
          <cell r="E39">
            <v>561664.91890000005</v>
          </cell>
          <cell r="F39">
            <v>569613.8247</v>
          </cell>
          <cell r="G39">
            <v>577807.42409999995</v>
          </cell>
          <cell r="H39">
            <v>586234.84340000001</v>
          </cell>
          <cell r="I39">
            <v>594859.87800000003</v>
          </cell>
          <cell r="J39">
            <v>603654.82810000004</v>
          </cell>
          <cell r="K39">
            <v>612602.38870000001</v>
          </cell>
          <cell r="L39">
            <v>621642.68000000005</v>
          </cell>
          <cell r="M39">
            <v>630413.35060000001</v>
          </cell>
          <cell r="N39">
            <v>638928.29779999994</v>
          </cell>
          <cell r="O39">
            <v>647220.60589999997</v>
          </cell>
          <cell r="P39">
            <v>655352.36569999997</v>
          </cell>
          <cell r="Q39">
            <v>663400.2757</v>
          </cell>
          <cell r="R39">
            <v>671452.76</v>
          </cell>
          <cell r="S39">
            <v>679598.93819999998</v>
          </cell>
          <cell r="T39">
            <v>687919.45669999998</v>
          </cell>
          <cell r="U39">
            <v>696476.40469999996</v>
          </cell>
          <cell r="V39">
            <v>705292.76839999994</v>
          </cell>
          <cell r="W39">
            <v>714453.304</v>
          </cell>
          <cell r="X39">
            <v>723998.8175</v>
          </cell>
          <cell r="Y39">
            <v>733960.67850000004</v>
          </cell>
          <cell r="Z39">
            <v>744352.37139999995</v>
          </cell>
          <cell r="AA39">
            <v>755096.68539999996</v>
          </cell>
          <cell r="AB39">
            <v>766120.18310000002</v>
          </cell>
          <cell r="AC39">
            <v>777489.19189999998</v>
          </cell>
          <cell r="AD39">
            <v>789252.97699999996</v>
          </cell>
          <cell r="AE39">
            <v>801407.57400000002</v>
          </cell>
          <cell r="AF39">
            <v>813913.62809999997</v>
          </cell>
          <cell r="AG39">
            <v>826722.37379999994</v>
          </cell>
          <cell r="AH39">
            <v>839784.97470000002</v>
          </cell>
          <cell r="AI39">
            <v>853050.96640000003</v>
          </cell>
          <cell r="AJ39">
            <v>866467.99459999998</v>
          </cell>
          <cell r="AK39">
            <v>879981.98270000005</v>
          </cell>
        </row>
        <row r="40">
          <cell r="B40">
            <v>4213.1533369999997</v>
          </cell>
          <cell r="C40">
            <v>4282.9960639999999</v>
          </cell>
          <cell r="D40">
            <v>4360.5488509999996</v>
          </cell>
          <cell r="E40">
            <v>4442.3344440000001</v>
          </cell>
          <cell r="F40">
            <v>4531.4534569999996</v>
          </cell>
          <cell r="G40">
            <v>4628.0478780000003</v>
          </cell>
          <cell r="H40">
            <v>4731.1446980000001</v>
          </cell>
          <cell r="I40">
            <v>4804.2375689999999</v>
          </cell>
          <cell r="J40">
            <v>4872.9285490000002</v>
          </cell>
          <cell r="K40">
            <v>4955.7625930000004</v>
          </cell>
          <cell r="L40">
            <v>5028.1406200000001</v>
          </cell>
          <cell r="M40">
            <v>5083.4044130000002</v>
          </cell>
          <cell r="N40">
            <v>5125.2558349999999</v>
          </cell>
          <cell r="O40">
            <v>5159.8095789999998</v>
          </cell>
          <cell r="P40">
            <v>5192.6351119999999</v>
          </cell>
          <cell r="Q40">
            <v>5226.7229559999996</v>
          </cell>
          <cell r="R40">
            <v>5271.0583299999998</v>
          </cell>
          <cell r="S40">
            <v>5319.2267039999997</v>
          </cell>
          <cell r="T40">
            <v>5372.0572860000002</v>
          </cell>
          <cell r="U40">
            <v>5428.7512470000001</v>
          </cell>
          <cell r="V40">
            <v>5493.8367669999998</v>
          </cell>
          <cell r="W40">
            <v>5570.4188519999998</v>
          </cell>
          <cell r="X40">
            <v>5660.5971760000002</v>
          </cell>
          <cell r="Y40">
            <v>5765.2027159999998</v>
          </cell>
          <cell r="Z40">
            <v>5884.1062190000002</v>
          </cell>
          <cell r="AA40">
            <v>6015.7285359999996</v>
          </cell>
          <cell r="AB40">
            <v>6154.0033069999999</v>
          </cell>
          <cell r="AC40">
            <v>6304.7475809999996</v>
          </cell>
          <cell r="AD40">
            <v>6468.854448</v>
          </cell>
          <cell r="AE40">
            <v>6644.6803639999998</v>
          </cell>
          <cell r="AF40">
            <v>6829.4351640000004</v>
          </cell>
          <cell r="AG40">
            <v>7021.2401849999997</v>
          </cell>
          <cell r="AH40">
            <v>7218.6213520000001</v>
          </cell>
          <cell r="AI40">
            <v>7419.7640760000004</v>
          </cell>
          <cell r="AJ40">
            <v>7622.7934560000003</v>
          </cell>
          <cell r="AK40">
            <v>7825.8793839999998</v>
          </cell>
        </row>
        <row r="41">
          <cell r="B41">
            <v>4213.1533360000003</v>
          </cell>
          <cell r="C41">
            <v>4282.9960620000002</v>
          </cell>
          <cell r="D41">
            <v>4360.5488500000001</v>
          </cell>
          <cell r="E41">
            <v>4442.3344429999997</v>
          </cell>
          <cell r="F41">
            <v>4531.4534569999996</v>
          </cell>
          <cell r="G41">
            <v>4628.0478780000003</v>
          </cell>
          <cell r="H41">
            <v>4731.1446990000004</v>
          </cell>
          <cell r="I41">
            <v>4840.2329120000004</v>
          </cell>
          <cell r="J41">
            <v>4954.2924890000004</v>
          </cell>
          <cell r="K41">
            <v>5072.5686450000003</v>
          </cell>
          <cell r="L41">
            <v>5190.0583580000002</v>
          </cell>
          <cell r="M41">
            <v>5291.3056399999996</v>
          </cell>
          <cell r="N41">
            <v>5379.1956950000003</v>
          </cell>
          <cell r="O41">
            <v>5457.717764</v>
          </cell>
          <cell r="P41">
            <v>5531.4602910000003</v>
          </cell>
          <cell r="Q41">
            <v>5604.5690860000004</v>
          </cell>
          <cell r="R41">
            <v>5680.6350359999997</v>
          </cell>
          <cell r="S41">
            <v>5762.8509029999996</v>
          </cell>
          <cell r="T41">
            <v>5853.7578530000001</v>
          </cell>
          <cell r="U41">
            <v>5954.9353430000001</v>
          </cell>
          <cell r="V41">
            <v>6067.2525839999998</v>
          </cell>
          <cell r="W41">
            <v>6192.2459269999999</v>
          </cell>
          <cell r="X41">
            <v>6331.2214389999999</v>
          </cell>
          <cell r="Y41">
            <v>6484.8372749999999</v>
          </cell>
          <cell r="Z41">
            <v>6652.9365310000003</v>
          </cell>
          <cell r="AA41">
            <v>6833.8887130000003</v>
          </cell>
          <cell r="AB41">
            <v>7023.4475510000002</v>
          </cell>
          <cell r="AC41">
            <v>7223.4900870000001</v>
          </cell>
          <cell r="AD41">
            <v>7435.1879449999997</v>
          </cell>
          <cell r="AE41">
            <v>7657.006676</v>
          </cell>
          <cell r="AF41">
            <v>7886.1314259999999</v>
          </cell>
          <cell r="AG41">
            <v>8120.0104009999995</v>
          </cell>
          <cell r="AH41">
            <v>8356.6713070000005</v>
          </cell>
          <cell r="AI41">
            <v>8594.4051490000002</v>
          </cell>
          <cell r="AJ41">
            <v>8831.6294510000007</v>
          </cell>
          <cell r="AK41">
            <v>9066.8290300000008</v>
          </cell>
        </row>
        <row r="42">
          <cell r="B42">
            <v>35353.121070000001</v>
          </cell>
          <cell r="C42">
            <v>35674.744839999999</v>
          </cell>
          <cell r="D42">
            <v>36002.308720000001</v>
          </cell>
          <cell r="E42">
            <v>36354.846830000002</v>
          </cell>
          <cell r="F42">
            <v>36811.797700000003</v>
          </cell>
          <cell r="G42">
            <v>37362.947419999997</v>
          </cell>
          <cell r="H42">
            <v>38019.850319999998</v>
          </cell>
          <cell r="I42">
            <v>38582.545129999999</v>
          </cell>
          <cell r="J42">
            <v>39088.296799999996</v>
          </cell>
          <cell r="K42">
            <v>39678.243739999998</v>
          </cell>
          <cell r="L42">
            <v>40128.248010000003</v>
          </cell>
          <cell r="M42">
            <v>40528.23141</v>
          </cell>
          <cell r="N42">
            <v>40889.881200000003</v>
          </cell>
          <cell r="O42">
            <v>41236.539579999997</v>
          </cell>
          <cell r="P42">
            <v>41591.93561</v>
          </cell>
          <cell r="Q42">
            <v>41963.751380000002</v>
          </cell>
          <cell r="R42">
            <v>42215.027750000001</v>
          </cell>
          <cell r="S42">
            <v>42462.197469999999</v>
          </cell>
          <cell r="T42">
            <v>42593.948579999997</v>
          </cell>
          <cell r="U42">
            <v>42406.230219999998</v>
          </cell>
          <cell r="V42">
            <v>42201.671349999997</v>
          </cell>
          <cell r="W42">
            <v>41977.439960000003</v>
          </cell>
          <cell r="X42">
            <v>41735.597090000003</v>
          </cell>
          <cell r="Y42">
            <v>41478.766920000002</v>
          </cell>
          <cell r="Z42">
            <v>41207.954810000003</v>
          </cell>
          <cell r="AA42">
            <v>40920.392659999998</v>
          </cell>
          <cell r="AB42">
            <v>40567.032059999998</v>
          </cell>
          <cell r="AC42">
            <v>40192.13697</v>
          </cell>
          <cell r="AD42">
            <v>39822.378640000003</v>
          </cell>
          <cell r="AE42">
            <v>39463.124989999997</v>
          </cell>
          <cell r="AF42">
            <v>39113.56884</v>
          </cell>
          <cell r="AG42">
            <v>38780.079550000002</v>
          </cell>
          <cell r="AH42">
            <v>38470.112179999996</v>
          </cell>
          <cell r="AI42">
            <v>38191.086929999998</v>
          </cell>
          <cell r="AJ42">
            <v>37950.202060000003</v>
          </cell>
          <cell r="AK42">
            <v>37753.837919999998</v>
          </cell>
        </row>
        <row r="43">
          <cell r="B43">
            <v>35353.12096</v>
          </cell>
          <cell r="C43">
            <v>35674.744729999999</v>
          </cell>
          <cell r="D43">
            <v>36002.308620000003</v>
          </cell>
          <cell r="E43">
            <v>36354.846729999997</v>
          </cell>
          <cell r="F43">
            <v>36811.797599999998</v>
          </cell>
          <cell r="G43">
            <v>37362.947319999999</v>
          </cell>
          <cell r="H43">
            <v>38019.85022</v>
          </cell>
          <cell r="I43">
            <v>38749.1944</v>
          </cell>
          <cell r="J43">
            <v>39534.269200000002</v>
          </cell>
          <cell r="K43">
            <v>40364.987300000001</v>
          </cell>
          <cell r="L43">
            <v>41209.540370000002</v>
          </cell>
          <cell r="M43">
            <v>41963.949350000003</v>
          </cell>
          <cell r="N43">
            <v>42643.726470000001</v>
          </cell>
          <cell r="O43">
            <v>43267.489370000003</v>
          </cell>
          <cell r="P43">
            <v>43855.14215</v>
          </cell>
          <cell r="Q43">
            <v>44425.417549999998</v>
          </cell>
          <cell r="R43">
            <v>44987.589240000001</v>
          </cell>
          <cell r="S43">
            <v>45571.406719999999</v>
          </cell>
          <cell r="T43">
            <v>46191.284370000001</v>
          </cell>
          <cell r="U43">
            <v>46856.923340000001</v>
          </cell>
          <cell r="V43">
            <v>47575.747009999999</v>
          </cell>
          <cell r="W43">
            <v>48360.939530000003</v>
          </cell>
          <cell r="X43">
            <v>49224.096989999998</v>
          </cell>
          <cell r="Y43">
            <v>50174.010719999998</v>
          </cell>
          <cell r="Z43">
            <v>51215.292289999998</v>
          </cell>
          <cell r="AA43">
            <v>52345.415529999998</v>
          </cell>
          <cell r="AB43">
            <v>53459.714399999997</v>
          </cell>
          <cell r="AC43">
            <v>54621.932610000003</v>
          </cell>
          <cell r="AD43">
            <v>55863.550790000001</v>
          </cell>
          <cell r="AE43">
            <v>57184.325299999997</v>
          </cell>
          <cell r="AF43">
            <v>58570.844340000003</v>
          </cell>
          <cell r="AG43">
            <v>60009.0003</v>
          </cell>
          <cell r="AH43">
            <v>61486.738080000003</v>
          </cell>
          <cell r="AI43">
            <v>62992.462959999997</v>
          </cell>
          <cell r="AJ43">
            <v>64514.346160000001</v>
          </cell>
          <cell r="AK43">
            <v>66040.040229999999</v>
          </cell>
        </row>
        <row r="44">
          <cell r="B44">
            <v>3919.1161699999998</v>
          </cell>
          <cell r="C44">
            <v>3936.3384150000002</v>
          </cell>
          <cell r="D44">
            <v>3952.2382229999998</v>
          </cell>
          <cell r="E44">
            <v>3972.992866</v>
          </cell>
          <cell r="F44">
            <v>4006.2294790000001</v>
          </cell>
          <cell r="G44">
            <v>4050.719141</v>
          </cell>
          <cell r="H44">
            <v>4100.9406859999999</v>
          </cell>
          <cell r="I44">
            <v>4143.4881359999999</v>
          </cell>
          <cell r="J44">
            <v>4179.5066429999997</v>
          </cell>
          <cell r="K44">
            <v>4214.6008169999996</v>
          </cell>
          <cell r="L44">
            <v>4240.0689839999995</v>
          </cell>
          <cell r="M44">
            <v>4271.8696259999997</v>
          </cell>
          <cell r="N44">
            <v>4305.5022390000004</v>
          </cell>
          <cell r="O44">
            <v>4340.2487929999998</v>
          </cell>
          <cell r="P44">
            <v>4375.737255</v>
          </cell>
          <cell r="Q44">
            <v>4411.2668379999996</v>
          </cell>
          <cell r="R44">
            <v>4442.1168660000003</v>
          </cell>
          <cell r="S44">
            <v>4471.265136</v>
          </cell>
          <cell r="T44">
            <v>4716.1743580000002</v>
          </cell>
          <cell r="U44">
            <v>5586.6439609999998</v>
          </cell>
          <cell r="V44">
            <v>6605.6460669999997</v>
          </cell>
          <cell r="W44">
            <v>7788.4157489999998</v>
          </cell>
          <cell r="X44">
            <v>9152.5837979999997</v>
          </cell>
          <cell r="Y44">
            <v>10715.22205</v>
          </cell>
          <cell r="Z44">
            <v>12491.14358</v>
          </cell>
          <cell r="AA44">
            <v>14490.38305</v>
          </cell>
          <cell r="AB44">
            <v>16717.129389999998</v>
          </cell>
          <cell r="AC44">
            <v>19174.251359999998</v>
          </cell>
          <cell r="AD44">
            <v>21857.447169999999</v>
          </cell>
          <cell r="AE44">
            <v>24752.95998</v>
          </cell>
          <cell r="AF44">
            <v>27837.636050000001</v>
          </cell>
          <cell r="AG44">
            <v>31083.081289999998</v>
          </cell>
          <cell r="AH44">
            <v>34453.631150000001</v>
          </cell>
          <cell r="AI44">
            <v>37908.389309999999</v>
          </cell>
          <cell r="AJ44">
            <v>41403.634590000001</v>
          </cell>
          <cell r="AK44">
            <v>44895.128819999998</v>
          </cell>
        </row>
        <row r="45">
          <cell r="B45">
            <v>3919.1161689999999</v>
          </cell>
          <cell r="C45">
            <v>3936.3384139999998</v>
          </cell>
          <cell r="D45">
            <v>3952.238222</v>
          </cell>
          <cell r="E45">
            <v>3972.9928650000002</v>
          </cell>
          <cell r="F45">
            <v>4006.2294769999999</v>
          </cell>
          <cell r="G45">
            <v>4050.7191400000002</v>
          </cell>
          <cell r="H45">
            <v>4100.9406840000001</v>
          </cell>
          <cell r="I45">
            <v>4157.6079069999996</v>
          </cell>
          <cell r="J45">
            <v>4219.1878770000003</v>
          </cell>
          <cell r="K45">
            <v>4284.370199</v>
          </cell>
          <cell r="L45">
            <v>4350.9247779999996</v>
          </cell>
          <cell r="M45">
            <v>4418.2960629999998</v>
          </cell>
          <cell r="N45">
            <v>4481.5173919999997</v>
          </cell>
          <cell r="O45">
            <v>4540.3764620000002</v>
          </cell>
          <cell r="P45">
            <v>4595.4756619999998</v>
          </cell>
          <cell r="Q45">
            <v>4647.7013980000002</v>
          </cell>
          <cell r="R45">
            <v>4695.9095829999997</v>
          </cell>
          <cell r="S45">
            <v>4744.0532329999996</v>
          </cell>
          <cell r="T45">
            <v>4793.3635599999998</v>
          </cell>
          <cell r="U45">
            <v>4844.6906429999999</v>
          </cell>
          <cell r="V45">
            <v>4898.6984419999999</v>
          </cell>
          <cell r="W45">
            <v>4956.4537989999999</v>
          </cell>
          <cell r="X45">
            <v>5018.8814560000001</v>
          </cell>
          <cell r="Y45">
            <v>5086.728478</v>
          </cell>
          <cell r="Z45">
            <v>5160.4834739999997</v>
          </cell>
          <cell r="AA45">
            <v>5240.0288849999997</v>
          </cell>
          <cell r="AB45">
            <v>5324.1583300000002</v>
          </cell>
          <cell r="AC45">
            <v>5413.8995530000002</v>
          </cell>
          <cell r="AD45">
            <v>5509.9566690000001</v>
          </cell>
          <cell r="AE45">
            <v>5612.1783869999999</v>
          </cell>
          <cell r="AF45">
            <v>5719.8793009999999</v>
          </cell>
          <cell r="AG45">
            <v>5832.2483339999999</v>
          </cell>
          <cell r="AH45">
            <v>5948.4633100000001</v>
          </cell>
          <cell r="AI45">
            <v>6067.6311509999996</v>
          </cell>
          <cell r="AJ45">
            <v>6188.7705329999999</v>
          </cell>
          <cell r="AK45">
            <v>6310.8176160000003</v>
          </cell>
        </row>
        <row r="46">
          <cell r="B46">
            <v>398.3974983</v>
          </cell>
          <cell r="C46">
            <v>401.11885339999998</v>
          </cell>
          <cell r="D46">
            <v>404.28513579999998</v>
          </cell>
          <cell r="E46">
            <v>407.19024080000003</v>
          </cell>
          <cell r="F46">
            <v>411.82622409999999</v>
          </cell>
          <cell r="G46">
            <v>417.69432189999998</v>
          </cell>
          <cell r="H46">
            <v>433.01506910000001</v>
          </cell>
          <cell r="I46">
            <v>448.06062170000001</v>
          </cell>
          <cell r="J46">
            <v>462.93086210000001</v>
          </cell>
          <cell r="K46">
            <v>479.45800689999999</v>
          </cell>
          <cell r="L46">
            <v>488.82015209999997</v>
          </cell>
          <cell r="M46">
            <v>491.66340050000002</v>
          </cell>
          <cell r="N46">
            <v>493.41020800000001</v>
          </cell>
          <cell r="O46">
            <v>495.02920339999997</v>
          </cell>
          <cell r="P46">
            <v>496.87376799999998</v>
          </cell>
          <cell r="Q46">
            <v>499.08481239999998</v>
          </cell>
          <cell r="R46">
            <v>484.716204</v>
          </cell>
          <cell r="S46">
            <v>468.38618309999998</v>
          </cell>
          <cell r="T46">
            <v>450.264072</v>
          </cell>
          <cell r="U46">
            <v>430.67626969999998</v>
          </cell>
          <cell r="V46">
            <v>410.4720853</v>
          </cell>
          <cell r="W46">
            <v>390.793768</v>
          </cell>
          <cell r="X46">
            <v>372.63447969999999</v>
          </cell>
          <cell r="Y46">
            <v>357.16358830000001</v>
          </cell>
          <cell r="Z46">
            <v>345.6286265</v>
          </cell>
          <cell r="AA46">
            <v>339.14461949999998</v>
          </cell>
          <cell r="AB46">
            <v>334.43726459999999</v>
          </cell>
          <cell r="AC46">
            <v>334.7283458</v>
          </cell>
          <cell r="AD46">
            <v>341.44238539999998</v>
          </cell>
          <cell r="AE46">
            <v>354.66023860000001</v>
          </cell>
          <cell r="AF46">
            <v>373.85453389999998</v>
          </cell>
          <cell r="AG46">
            <v>398.33855260000001</v>
          </cell>
          <cell r="AH46">
            <v>427.25203279999999</v>
          </cell>
          <cell r="AI46">
            <v>459.70963619999998</v>
          </cell>
          <cell r="AJ46">
            <v>494.85224030000001</v>
          </cell>
          <cell r="AK46">
            <v>531.88298980000002</v>
          </cell>
        </row>
        <row r="47">
          <cell r="B47">
            <v>398.39747560000001</v>
          </cell>
          <cell r="C47">
            <v>401.11883160000002</v>
          </cell>
          <cell r="D47">
            <v>404.28511479999997</v>
          </cell>
          <cell r="E47">
            <v>407.1902207</v>
          </cell>
          <cell r="F47">
            <v>411.82620439999999</v>
          </cell>
          <cell r="G47">
            <v>417.6943023</v>
          </cell>
          <cell r="H47">
            <v>433.01504890000001</v>
          </cell>
          <cell r="I47">
            <v>451.1271223</v>
          </cell>
          <cell r="J47">
            <v>471.04635669999999</v>
          </cell>
          <cell r="K47">
            <v>492.63107020000001</v>
          </cell>
          <cell r="L47">
            <v>515.66682449999996</v>
          </cell>
          <cell r="M47">
            <v>530.62015940000003</v>
          </cell>
          <cell r="N47">
            <v>543.79003569999998</v>
          </cell>
          <cell r="O47">
            <v>556.37657750000005</v>
          </cell>
          <cell r="P47">
            <v>568.81136249999997</v>
          </cell>
          <cell r="Q47">
            <v>581.40827569999999</v>
          </cell>
          <cell r="R47">
            <v>594.32271879999996</v>
          </cell>
          <cell r="S47">
            <v>607.92356600000005</v>
          </cell>
          <cell r="T47">
            <v>622.41864669999995</v>
          </cell>
          <cell r="U47">
            <v>638.00858659999994</v>
          </cell>
          <cell r="V47">
            <v>654.8437662</v>
          </cell>
          <cell r="W47">
            <v>673.27284980000002</v>
          </cell>
          <cell r="X47">
            <v>693.56924949999996</v>
          </cell>
          <cell r="Y47">
            <v>715.99664080000002</v>
          </cell>
          <cell r="Z47">
            <v>740.79462850000004</v>
          </cell>
          <cell r="AA47">
            <v>768.00872790000005</v>
          </cell>
          <cell r="AB47">
            <v>787.75005309999995</v>
          </cell>
          <cell r="AC47">
            <v>805.1141844</v>
          </cell>
          <cell r="AD47">
            <v>823.11716030000002</v>
          </cell>
          <cell r="AE47">
            <v>842.50951410000005</v>
          </cell>
          <cell r="AF47">
            <v>863.17551330000003</v>
          </cell>
          <cell r="AG47">
            <v>884.80177249999997</v>
          </cell>
          <cell r="AH47">
            <v>907.08400779999999</v>
          </cell>
          <cell r="AI47">
            <v>929.75093819999995</v>
          </cell>
          <cell r="AJ47">
            <v>952.55913469999996</v>
          </cell>
          <cell r="AK47">
            <v>975.28208649999999</v>
          </cell>
        </row>
        <row r="48">
          <cell r="B48">
            <v>559.28586029999997</v>
          </cell>
          <cell r="C48">
            <v>563.10620419999998</v>
          </cell>
          <cell r="D48">
            <v>567.55115420000004</v>
          </cell>
          <cell r="E48">
            <v>571.62945330000002</v>
          </cell>
          <cell r="F48">
            <v>578.13762640000004</v>
          </cell>
          <cell r="G48">
            <v>586.3754897</v>
          </cell>
          <cell r="H48">
            <v>607.88334889999999</v>
          </cell>
          <cell r="I48">
            <v>629.0048792</v>
          </cell>
          <cell r="J48">
            <v>649.88029940000001</v>
          </cell>
          <cell r="K48">
            <v>673.08174629999996</v>
          </cell>
          <cell r="L48">
            <v>735.37397580000004</v>
          </cell>
          <cell r="M48">
            <v>792.38923620000003</v>
          </cell>
          <cell r="N48">
            <v>851.32562559999997</v>
          </cell>
          <cell r="O48">
            <v>913.58156559999998</v>
          </cell>
          <cell r="P48">
            <v>979.69921420000003</v>
          </cell>
          <cell r="Q48">
            <v>1049.837583</v>
          </cell>
          <cell r="R48">
            <v>1215.8874189999999</v>
          </cell>
          <cell r="S48">
            <v>1401.1933019999999</v>
          </cell>
          <cell r="T48">
            <v>1605.025457</v>
          </cell>
          <cell r="U48">
            <v>1825.26352</v>
          </cell>
          <cell r="V48">
            <v>2059.719368</v>
          </cell>
          <cell r="W48">
            <v>2305.9229930000001</v>
          </cell>
          <cell r="X48">
            <v>2558.881046</v>
          </cell>
          <cell r="Y48">
            <v>2812.7260769999998</v>
          </cell>
          <cell r="Z48">
            <v>3061.061526</v>
          </cell>
          <cell r="AA48">
            <v>3296.41507</v>
          </cell>
          <cell r="AB48">
            <v>3467.3543709999999</v>
          </cell>
          <cell r="AC48">
            <v>3589.3455819999999</v>
          </cell>
          <cell r="AD48">
            <v>3671.7519179999999</v>
          </cell>
          <cell r="AE48">
            <v>3716.9386500000001</v>
          </cell>
          <cell r="AF48">
            <v>3725.866767</v>
          </cell>
          <cell r="AG48">
            <v>3701.627982</v>
          </cell>
          <cell r="AH48">
            <v>3647.9491859999998</v>
          </cell>
          <cell r="AI48">
            <v>3569.3886900000002</v>
          </cell>
          <cell r="AJ48">
            <v>3470.7196410000001</v>
          </cell>
          <cell r="AK48">
            <v>3356.5039109999998</v>
          </cell>
        </row>
        <row r="49">
          <cell r="B49">
            <v>559.28598499999998</v>
          </cell>
          <cell r="C49">
            <v>563.10633110000003</v>
          </cell>
          <cell r="D49">
            <v>567.55128349999995</v>
          </cell>
          <cell r="E49">
            <v>571.62958500000002</v>
          </cell>
          <cell r="F49">
            <v>578.13776050000001</v>
          </cell>
          <cell r="G49">
            <v>586.37562630000002</v>
          </cell>
          <cell r="H49">
            <v>607.88349059999996</v>
          </cell>
          <cell r="I49">
            <v>633.30992890000005</v>
          </cell>
          <cell r="J49">
            <v>661.27333050000004</v>
          </cell>
          <cell r="K49">
            <v>691.57479699999999</v>
          </cell>
          <cell r="L49">
            <v>723.91329129999997</v>
          </cell>
          <cell r="M49">
            <v>744.90536880000002</v>
          </cell>
          <cell r="N49">
            <v>763.39375710000002</v>
          </cell>
          <cell r="O49">
            <v>781.06323750000001</v>
          </cell>
          <cell r="P49">
            <v>798.51967590000004</v>
          </cell>
          <cell r="Q49">
            <v>816.20371620000003</v>
          </cell>
          <cell r="R49">
            <v>834.33351749999997</v>
          </cell>
          <cell r="S49">
            <v>853.42691960000002</v>
          </cell>
          <cell r="T49">
            <v>873.77568169999995</v>
          </cell>
          <cell r="U49">
            <v>895.66145019999999</v>
          </cell>
          <cell r="V49">
            <v>919.29533489999994</v>
          </cell>
          <cell r="W49">
            <v>945.16680450000001</v>
          </cell>
          <cell r="X49">
            <v>973.65968550000002</v>
          </cell>
          <cell r="Y49">
            <v>1005.144136</v>
          </cell>
          <cell r="Z49">
            <v>1039.9565230000001</v>
          </cell>
          <cell r="AA49">
            <v>1078.160742</v>
          </cell>
          <cell r="AB49">
            <v>1105.874388</v>
          </cell>
          <cell r="AC49">
            <v>1130.2508350000001</v>
          </cell>
          <cell r="AD49">
            <v>1155.524118</v>
          </cell>
          <cell r="AE49">
            <v>1182.7478639999999</v>
          </cell>
          <cell r="AF49">
            <v>1211.7596040000001</v>
          </cell>
          <cell r="AG49">
            <v>1242.1193940000001</v>
          </cell>
          <cell r="AH49">
            <v>1273.400069</v>
          </cell>
          <cell r="AI49">
            <v>1305.220793</v>
          </cell>
          <cell r="AJ49">
            <v>1337.2398330000001</v>
          </cell>
          <cell r="AK49">
            <v>1369.139203</v>
          </cell>
        </row>
        <row r="50">
          <cell r="B50">
            <v>46404.353260000004</v>
          </cell>
          <cell r="C50">
            <v>47099.983139999997</v>
          </cell>
          <cell r="D50">
            <v>47745.68305</v>
          </cell>
          <cell r="E50">
            <v>48440.166879999997</v>
          </cell>
          <cell r="F50">
            <v>49056.9113</v>
          </cell>
          <cell r="G50">
            <v>49674.74987</v>
          </cell>
          <cell r="H50">
            <v>49848.425170000002</v>
          </cell>
          <cell r="I50">
            <v>50379.0409</v>
          </cell>
          <cell r="J50">
            <v>51056.702700000002</v>
          </cell>
          <cell r="K50">
            <v>52014.82202</v>
          </cell>
          <cell r="L50">
            <v>53028.207640000001</v>
          </cell>
          <cell r="M50">
            <v>53495.52089</v>
          </cell>
          <cell r="N50">
            <v>53457.617729999998</v>
          </cell>
          <cell r="O50">
            <v>53176.394070000002</v>
          </cell>
          <cell r="P50">
            <v>52777.436520000003</v>
          </cell>
          <cell r="Q50">
            <v>52316.83238</v>
          </cell>
          <cell r="R50">
            <v>51566.255830000002</v>
          </cell>
          <cell r="S50">
            <v>50783.442080000001</v>
          </cell>
          <cell r="T50">
            <v>49982.562160000001</v>
          </cell>
          <cell r="U50">
            <v>49184.840360000002</v>
          </cell>
          <cell r="V50">
            <v>48417.895989999997</v>
          </cell>
          <cell r="W50">
            <v>47694.670559999999</v>
          </cell>
          <cell r="X50">
            <v>47062.651089999999</v>
          </cell>
          <cell r="Y50">
            <v>46547.619720000002</v>
          </cell>
          <cell r="Z50">
            <v>46160.044650000003</v>
          </cell>
          <cell r="AA50">
            <v>45890.175880000003</v>
          </cell>
          <cell r="AB50">
            <v>47216.584060000001</v>
          </cell>
          <cell r="AC50">
            <v>48122.601519999997</v>
          </cell>
          <cell r="AD50">
            <v>49034.880649999999</v>
          </cell>
          <cell r="AE50">
            <v>50039.157829999996</v>
          </cell>
          <cell r="AF50">
            <v>51121.643949999998</v>
          </cell>
          <cell r="AG50">
            <v>52243.496800000001</v>
          </cell>
          <cell r="AH50">
            <v>53388.231740000003</v>
          </cell>
          <cell r="AI50">
            <v>54540.474309999998</v>
          </cell>
          <cell r="AJ50">
            <v>55686.053290000003</v>
          </cell>
          <cell r="AK50">
            <v>56812.674370000001</v>
          </cell>
        </row>
        <row r="51">
          <cell r="B51">
            <v>46404.353260000004</v>
          </cell>
          <cell r="C51">
            <v>47099.983130000001</v>
          </cell>
          <cell r="D51">
            <v>47745.683040000004</v>
          </cell>
          <cell r="E51">
            <v>48440.166859999998</v>
          </cell>
          <cell r="F51">
            <v>49056.911289999996</v>
          </cell>
          <cell r="G51">
            <v>49674.749860000004</v>
          </cell>
          <cell r="H51">
            <v>49848.425170000002</v>
          </cell>
          <cell r="I51">
            <v>50269.766179999999</v>
          </cell>
          <cell r="J51">
            <v>50717.957090000004</v>
          </cell>
          <cell r="K51">
            <v>51146.399799999999</v>
          </cell>
          <cell r="L51">
            <v>51520.551339999998</v>
          </cell>
          <cell r="M51">
            <v>51777.483030000003</v>
          </cell>
          <cell r="N51">
            <v>51771.847029999997</v>
          </cell>
          <cell r="O51">
            <v>51622.599130000002</v>
          </cell>
          <cell r="P51">
            <v>51371.607429999996</v>
          </cell>
          <cell r="Q51">
            <v>51045.696400000001</v>
          </cell>
          <cell r="R51">
            <v>50435.321880000003</v>
          </cell>
          <cell r="S51">
            <v>49770.683010000001</v>
          </cell>
          <cell r="T51">
            <v>49078.538119999997</v>
          </cell>
          <cell r="U51">
            <v>48394.018660000002</v>
          </cell>
          <cell r="V51">
            <v>47745.211320000002</v>
          </cell>
          <cell r="W51">
            <v>47167.63235</v>
          </cell>
          <cell r="X51">
            <v>46685.077420000001</v>
          </cell>
          <cell r="Y51">
            <v>46314.526969999999</v>
          </cell>
          <cell r="Z51">
            <v>46066.22</v>
          </cell>
          <cell r="AA51">
            <v>45934.929519999998</v>
          </cell>
          <cell r="AB51">
            <v>47389.134899999997</v>
          </cell>
          <cell r="AC51">
            <v>48409.634879999998</v>
          </cell>
          <cell r="AD51">
            <v>49425.992389999999</v>
          </cell>
          <cell r="AE51">
            <v>50534.815759999998</v>
          </cell>
          <cell r="AF51">
            <v>51731.535929999998</v>
          </cell>
          <cell r="AG51">
            <v>52988.767030000003</v>
          </cell>
          <cell r="AH51">
            <v>54279.294589999998</v>
          </cell>
          <cell r="AI51">
            <v>55580.474929999997</v>
          </cell>
          <cell r="AJ51">
            <v>56874.22939</v>
          </cell>
          <cell r="AK51">
            <v>58145.632619999997</v>
          </cell>
        </row>
        <row r="52">
          <cell r="B52">
            <v>924.83224510000002</v>
          </cell>
          <cell r="C52">
            <v>938.69605079999997</v>
          </cell>
          <cell r="D52">
            <v>951.56475939999996</v>
          </cell>
          <cell r="E52">
            <v>965.40572459999999</v>
          </cell>
          <cell r="F52">
            <v>977.69735430000003</v>
          </cell>
          <cell r="G52">
            <v>990.01079030000005</v>
          </cell>
          <cell r="H52">
            <v>860.58772080000006</v>
          </cell>
          <cell r="I52">
            <v>724.20689549999997</v>
          </cell>
          <cell r="J52">
            <v>573.56229380000002</v>
          </cell>
          <cell r="K52">
            <v>406.00179009999999</v>
          </cell>
          <cell r="L52">
            <v>214.70944840000001</v>
          </cell>
          <cell r="M52">
            <v>224.18313860000001</v>
          </cell>
          <cell r="N52">
            <v>231.86566479999999</v>
          </cell>
          <cell r="O52">
            <v>238.71903029999999</v>
          </cell>
          <cell r="P52">
            <v>245.2210604</v>
          </cell>
          <cell r="Q52">
            <v>251.5893375</v>
          </cell>
          <cell r="R52">
            <v>166.0553869</v>
          </cell>
          <cell r="S52">
            <v>109.5080595</v>
          </cell>
          <cell r="T52">
            <v>72.173712249999994</v>
          </cell>
          <cell r="U52">
            <v>47.558524759999997</v>
          </cell>
          <cell r="V52">
            <v>31.350148409999999</v>
          </cell>
          <cell r="W52">
            <v>20.679504130000002</v>
          </cell>
          <cell r="X52">
            <v>13.66416931</v>
          </cell>
          <cell r="Y52">
            <v>9.0498400609999994</v>
          </cell>
          <cell r="Z52">
            <v>6.0096091300000003</v>
          </cell>
          <cell r="AA52">
            <v>4.0007029599999999</v>
          </cell>
          <cell r="AB52">
            <v>4.116339151</v>
          </cell>
          <cell r="AC52">
            <v>4.1953257009999998</v>
          </cell>
          <cell r="AD52">
            <v>4.2748581449999996</v>
          </cell>
          <cell r="AE52">
            <v>4.3624109740000003</v>
          </cell>
          <cell r="AF52">
            <v>4.4567820530000004</v>
          </cell>
          <cell r="AG52">
            <v>4.5545851209999997</v>
          </cell>
          <cell r="AH52">
            <v>4.6543830489999998</v>
          </cell>
          <cell r="AI52">
            <v>4.7548354919999998</v>
          </cell>
          <cell r="AJ52">
            <v>4.8547070029999997</v>
          </cell>
          <cell r="AK52">
            <v>4.9529257649999998</v>
          </cell>
        </row>
        <row r="53">
          <cell r="B53">
            <v>924.83224499999994</v>
          </cell>
          <cell r="C53">
            <v>938.69605060000004</v>
          </cell>
          <cell r="D53">
            <v>951.56475920000003</v>
          </cell>
          <cell r="E53">
            <v>965.40572429999997</v>
          </cell>
          <cell r="F53">
            <v>977.69735409999998</v>
          </cell>
          <cell r="G53">
            <v>990.01079010000001</v>
          </cell>
          <cell r="H53">
            <v>860.58772080000006</v>
          </cell>
          <cell r="I53">
            <v>722.63605370000005</v>
          </cell>
          <cell r="J53">
            <v>569.75688339999999</v>
          </cell>
          <cell r="K53">
            <v>399.22331880000002</v>
          </cell>
          <cell r="L53">
            <v>208.60499809999999</v>
          </cell>
          <cell r="M53">
            <v>216.98337470000001</v>
          </cell>
          <cell r="N53">
            <v>224.5538473</v>
          </cell>
          <cell r="O53">
            <v>231.74374689999999</v>
          </cell>
          <cell r="P53">
            <v>238.68912320000001</v>
          </cell>
          <cell r="Q53">
            <v>245.4765007</v>
          </cell>
          <cell r="R53">
            <v>162.41351549999999</v>
          </cell>
          <cell r="S53">
            <v>107.32417289999999</v>
          </cell>
          <cell r="T53">
            <v>70.868321559999998</v>
          </cell>
          <cell r="U53">
            <v>46.793851889999999</v>
          </cell>
          <cell r="V53">
            <v>30.914591179999999</v>
          </cell>
          <cell r="W53">
            <v>20.450990359999999</v>
          </cell>
          <cell r="X53">
            <v>13.55454458</v>
          </cell>
          <cell r="Y53">
            <v>9.0045219089999993</v>
          </cell>
          <cell r="Z53">
            <v>5.9973940319999999</v>
          </cell>
          <cell r="AA53">
            <v>4.0046045790000004</v>
          </cell>
          <cell r="AB53">
            <v>4.1313821229999999</v>
          </cell>
          <cell r="AC53">
            <v>4.2203492540000003</v>
          </cell>
          <cell r="AD53">
            <v>4.3089552439999999</v>
          </cell>
          <cell r="AE53">
            <v>4.4056224039999998</v>
          </cell>
          <cell r="AF53">
            <v>4.5099524009999996</v>
          </cell>
          <cell r="AG53">
            <v>4.6195577380000001</v>
          </cell>
          <cell r="AH53">
            <v>4.7320658580000003</v>
          </cell>
          <cell r="AI53">
            <v>4.8455026869999998</v>
          </cell>
          <cell r="AJ53">
            <v>4.9582921280000001</v>
          </cell>
          <cell r="AK53">
            <v>5.069132991</v>
          </cell>
        </row>
        <row r="54">
          <cell r="B54">
            <v>1343.936612</v>
          </cell>
          <cell r="C54">
            <v>1364.0830510000001</v>
          </cell>
          <cell r="D54">
            <v>1382.7834459999999</v>
          </cell>
          <cell r="E54">
            <v>1402.896694</v>
          </cell>
          <cell r="F54">
            <v>1420.7584959999999</v>
          </cell>
          <cell r="G54">
            <v>1438.651987</v>
          </cell>
          <cell r="H54">
            <v>1762.340547</v>
          </cell>
          <cell r="I54">
            <v>2130.110338</v>
          </cell>
          <cell r="J54">
            <v>2543.371173</v>
          </cell>
          <cell r="K54">
            <v>3018.7226839999998</v>
          </cell>
          <cell r="L54">
            <v>3555.2253660000001</v>
          </cell>
          <cell r="M54">
            <v>3744.027157</v>
          </cell>
          <cell r="N54">
            <v>3905.6430810000002</v>
          </cell>
          <cell r="O54">
            <v>4055.6756719999998</v>
          </cell>
          <cell r="P54">
            <v>4201.9802559999998</v>
          </cell>
          <cell r="Q54">
            <v>4348.1902540000001</v>
          </cell>
          <cell r="R54">
            <v>4426.5253389999998</v>
          </cell>
          <cell r="S54">
            <v>4502.4588059999996</v>
          </cell>
          <cell r="T54">
            <v>4576.952311</v>
          </cell>
          <cell r="U54">
            <v>4651.7824639999999</v>
          </cell>
          <cell r="V54">
            <v>4729.5988040000002</v>
          </cell>
          <cell r="W54">
            <v>4811.9211379999997</v>
          </cell>
          <cell r="X54">
            <v>4904.0545689999999</v>
          </cell>
          <cell r="Y54">
            <v>5009.6414329999998</v>
          </cell>
          <cell r="Z54">
            <v>5131.0428709999996</v>
          </cell>
          <cell r="AA54">
            <v>5268.5293490000004</v>
          </cell>
          <cell r="AB54">
            <v>5420.8107529999997</v>
          </cell>
          <cell r="AC54">
            <v>5524.8282129999998</v>
          </cell>
          <cell r="AD54">
            <v>5629.5645599999998</v>
          </cell>
          <cell r="AE54">
            <v>5744.8629600000004</v>
          </cell>
          <cell r="AF54">
            <v>5869.1403190000001</v>
          </cell>
          <cell r="AG54">
            <v>5997.9372679999997</v>
          </cell>
          <cell r="AH54">
            <v>6129.3612499999999</v>
          </cell>
          <cell r="AI54">
            <v>6261.6471629999996</v>
          </cell>
          <cell r="AJ54">
            <v>6393.1680459999998</v>
          </cell>
          <cell r="AK54">
            <v>6522.5124230000001</v>
          </cell>
        </row>
        <row r="55">
          <cell r="B55">
            <v>1343.936612</v>
          </cell>
          <cell r="C55">
            <v>1364.08305</v>
          </cell>
          <cell r="D55">
            <v>1382.7834459999999</v>
          </cell>
          <cell r="E55">
            <v>1402.8966929999999</v>
          </cell>
          <cell r="F55">
            <v>1420.7584959999999</v>
          </cell>
          <cell r="G55">
            <v>1438.651987</v>
          </cell>
          <cell r="H55">
            <v>1762.340547</v>
          </cell>
          <cell r="I55">
            <v>2125.4900200000002</v>
          </cell>
          <cell r="J55">
            <v>2526.4966829999998</v>
          </cell>
          <cell r="K55">
            <v>2968.3230910000002</v>
          </cell>
          <cell r="L55">
            <v>3454.1459930000001</v>
          </cell>
          <cell r="M55">
            <v>3623.7856809999998</v>
          </cell>
          <cell r="N55">
            <v>3782.4797429999999</v>
          </cell>
          <cell r="O55">
            <v>3937.1703010000001</v>
          </cell>
          <cell r="P55">
            <v>4090.0523859999998</v>
          </cell>
          <cell r="Q55">
            <v>4242.5427820000004</v>
          </cell>
          <cell r="R55">
            <v>4329.4442589999999</v>
          </cell>
          <cell r="S55">
            <v>4412.6676100000004</v>
          </cell>
          <cell r="T55">
            <v>4494.1699410000001</v>
          </cell>
          <cell r="U55">
            <v>4576.988472</v>
          </cell>
          <cell r="V55">
            <v>4663.8890380000003</v>
          </cell>
          <cell r="W55">
            <v>4758.7481879999996</v>
          </cell>
          <cell r="X55">
            <v>4864.7103790000001</v>
          </cell>
          <cell r="Y55">
            <v>4984.5550569999996</v>
          </cell>
          <cell r="Z55">
            <v>5120.6135409999997</v>
          </cell>
          <cell r="AA55">
            <v>5273.6673950000004</v>
          </cell>
          <cell r="AB55">
            <v>5440.6208569999999</v>
          </cell>
          <cell r="AC55">
            <v>5557.7817519999999</v>
          </cell>
          <cell r="AD55">
            <v>5674.4670610000003</v>
          </cell>
          <cell r="AE55">
            <v>5801.7681309999998</v>
          </cell>
          <cell r="AF55">
            <v>5939.1603990000003</v>
          </cell>
          <cell r="AG55">
            <v>6083.4997659999999</v>
          </cell>
          <cell r="AH55">
            <v>6231.6618120000003</v>
          </cell>
          <cell r="AI55">
            <v>6381.0468739999997</v>
          </cell>
          <cell r="AJ55">
            <v>6529.5793919999996</v>
          </cell>
          <cell r="AK55">
            <v>6675.5458239999998</v>
          </cell>
        </row>
        <row r="56">
          <cell r="B56">
            <v>1220.974025</v>
          </cell>
          <cell r="C56">
            <v>1239.2771789999999</v>
          </cell>
          <cell r="D56">
            <v>1256.2665939999999</v>
          </cell>
          <cell r="E56">
            <v>1274.539593</v>
          </cell>
          <cell r="F56">
            <v>1290.767143</v>
          </cell>
          <cell r="G56">
            <v>1307.0234800000001</v>
          </cell>
          <cell r="H56">
            <v>1125.3089179999999</v>
          </cell>
          <cell r="I56">
            <v>933.25984010000002</v>
          </cell>
          <cell r="J56">
            <v>720.97580319999997</v>
          </cell>
          <cell r="K56">
            <v>484.5218486</v>
          </cell>
          <cell r="L56">
            <v>214.70944840000001</v>
          </cell>
          <cell r="M56">
            <v>224.18313860000001</v>
          </cell>
          <cell r="N56">
            <v>231.86566479999999</v>
          </cell>
          <cell r="O56">
            <v>238.71903029999999</v>
          </cell>
          <cell r="P56">
            <v>245.2210604</v>
          </cell>
          <cell r="Q56">
            <v>251.5893375</v>
          </cell>
          <cell r="R56">
            <v>263.1800523</v>
          </cell>
          <cell r="S56">
            <v>275.07180890000001</v>
          </cell>
          <cell r="T56">
            <v>287.32872370000001</v>
          </cell>
          <cell r="U56">
            <v>300.07400489999998</v>
          </cell>
          <cell r="V56">
            <v>313.50148410000003</v>
          </cell>
          <cell r="W56">
            <v>327.74805320000002</v>
          </cell>
          <cell r="X56">
            <v>343.22841490000002</v>
          </cell>
          <cell r="Y56">
            <v>360.28062210000002</v>
          </cell>
          <cell r="Z56">
            <v>379.18070180000001</v>
          </cell>
          <cell r="AA56">
            <v>400.07029599999998</v>
          </cell>
          <cell r="AB56">
            <v>411.63391510000002</v>
          </cell>
          <cell r="AC56">
            <v>419.53257009999999</v>
          </cell>
          <cell r="AD56">
            <v>427.4858145</v>
          </cell>
          <cell r="AE56">
            <v>436.2410974</v>
          </cell>
          <cell r="AF56">
            <v>445.6782053</v>
          </cell>
          <cell r="AG56">
            <v>455.45851210000001</v>
          </cell>
          <cell r="AH56">
            <v>465.43830489999999</v>
          </cell>
          <cell r="AI56">
            <v>475.48354920000003</v>
          </cell>
          <cell r="AJ56">
            <v>485.47070029999998</v>
          </cell>
          <cell r="AK56">
            <v>495.2925765</v>
          </cell>
        </row>
        <row r="57">
          <cell r="B57">
            <v>1220.974025</v>
          </cell>
          <cell r="C57">
            <v>1239.2771789999999</v>
          </cell>
          <cell r="D57">
            <v>1256.2665939999999</v>
          </cell>
          <cell r="E57">
            <v>1274.539593</v>
          </cell>
          <cell r="F57">
            <v>1290.7671419999999</v>
          </cell>
          <cell r="G57">
            <v>1307.0234800000001</v>
          </cell>
          <cell r="H57">
            <v>1125.3089179999999</v>
          </cell>
          <cell r="I57">
            <v>931.23555169999997</v>
          </cell>
          <cell r="J57">
            <v>716.19234930000005</v>
          </cell>
          <cell r="K57">
            <v>476.4324325</v>
          </cell>
          <cell r="L57">
            <v>208.60499809999999</v>
          </cell>
          <cell r="M57">
            <v>216.98337470000001</v>
          </cell>
          <cell r="N57">
            <v>224.5538473</v>
          </cell>
          <cell r="O57">
            <v>231.74374689999999</v>
          </cell>
          <cell r="P57">
            <v>238.68912320000001</v>
          </cell>
          <cell r="Q57">
            <v>245.4765007</v>
          </cell>
          <cell r="R57">
            <v>257.408075</v>
          </cell>
          <cell r="S57">
            <v>269.58613359999998</v>
          </cell>
          <cell r="T57">
            <v>282.1318698</v>
          </cell>
          <cell r="U57">
            <v>295.24924520000002</v>
          </cell>
          <cell r="V57">
            <v>309.14591180000002</v>
          </cell>
          <cell r="W57">
            <v>324.12635410000001</v>
          </cell>
          <cell r="X57">
            <v>340.47476610000001</v>
          </cell>
          <cell r="Y57">
            <v>358.47647389999997</v>
          </cell>
          <cell r="Z57">
            <v>378.4099812</v>
          </cell>
          <cell r="AA57">
            <v>400.46045789999999</v>
          </cell>
          <cell r="AB57">
            <v>413.13821230000002</v>
          </cell>
          <cell r="AC57">
            <v>422.03492540000002</v>
          </cell>
          <cell r="AD57">
            <v>430.8955244</v>
          </cell>
          <cell r="AE57">
            <v>440.56224040000001</v>
          </cell>
          <cell r="AF57">
            <v>450.99524009999999</v>
          </cell>
          <cell r="AG57">
            <v>461.95577379999997</v>
          </cell>
          <cell r="AH57">
            <v>473.20658580000003</v>
          </cell>
          <cell r="AI57">
            <v>484.5502687</v>
          </cell>
          <cell r="AJ57">
            <v>495.82921279999999</v>
          </cell>
          <cell r="AK57">
            <v>506.91329910000002</v>
          </cell>
        </row>
        <row r="58">
          <cell r="B58">
            <v>2402.8555849999998</v>
          </cell>
          <cell r="C58">
            <v>2438.8720990000002</v>
          </cell>
          <cell r="D58">
            <v>2472.30692</v>
          </cell>
          <cell r="E58">
            <v>2508.2678089999999</v>
          </cell>
          <cell r="F58">
            <v>2540.203293</v>
          </cell>
          <cell r="G58">
            <v>2572.1954329999999</v>
          </cell>
          <cell r="H58">
            <v>3835.6094309999999</v>
          </cell>
          <cell r="I58">
            <v>5250.3404790000004</v>
          </cell>
          <cell r="J58">
            <v>6834.9996680000004</v>
          </cell>
          <cell r="K58">
            <v>8646.6306449999993</v>
          </cell>
          <cell r="L58">
            <v>10695.548150000001</v>
          </cell>
          <cell r="M58">
            <v>12026.43785</v>
          </cell>
          <cell r="N58">
            <v>13395.30738</v>
          </cell>
          <cell r="O58">
            <v>14852.01771</v>
          </cell>
          <cell r="P58">
            <v>16430.030070000001</v>
          </cell>
          <cell r="Q58">
            <v>18153.275509999999</v>
          </cell>
          <cell r="R58">
            <v>19773.00794</v>
          </cell>
          <cell r="S58">
            <v>21519.038359999999</v>
          </cell>
          <cell r="T58">
            <v>23405.22523</v>
          </cell>
          <cell r="U58">
            <v>25451.83857</v>
          </cell>
          <cell r="V58">
            <v>27687.732530000001</v>
          </cell>
          <cell r="W58">
            <v>30140.115699999998</v>
          </cell>
          <cell r="X58">
            <v>32865.86247</v>
          </cell>
          <cell r="Y58">
            <v>35921.933729999997</v>
          </cell>
          <cell r="Z58">
            <v>39366.067600000002</v>
          </cell>
          <cell r="AA58">
            <v>43248.307860000001</v>
          </cell>
          <cell r="AB58">
            <v>44498.35557</v>
          </cell>
          <cell r="AC58">
            <v>45352.214180000003</v>
          </cell>
          <cell r="AD58">
            <v>46211.973980000002</v>
          </cell>
          <cell r="AE58">
            <v>47158.435579999998</v>
          </cell>
          <cell r="AF58">
            <v>48178.603660000001</v>
          </cell>
          <cell r="AG58">
            <v>49235.872159999999</v>
          </cell>
          <cell r="AH58">
            <v>50314.705439999998</v>
          </cell>
          <cell r="AI58">
            <v>51400.614150000001</v>
          </cell>
          <cell r="AJ58">
            <v>52480.242879999998</v>
          </cell>
          <cell r="AK58">
            <v>53542.005109999998</v>
          </cell>
        </row>
        <row r="59">
          <cell r="B59">
            <v>2402.8555839999999</v>
          </cell>
          <cell r="C59">
            <v>2438.8720990000002</v>
          </cell>
          <cell r="D59">
            <v>2472.30692</v>
          </cell>
          <cell r="E59">
            <v>2508.2678080000001</v>
          </cell>
          <cell r="F59">
            <v>2540.2032920000001</v>
          </cell>
          <cell r="G59">
            <v>2572.195432</v>
          </cell>
          <cell r="H59">
            <v>3835.6094309999999</v>
          </cell>
          <cell r="I59">
            <v>5238.9522219999999</v>
          </cell>
          <cell r="J59">
            <v>6789.6515360000003</v>
          </cell>
          <cell r="K59">
            <v>8502.2693670000008</v>
          </cell>
          <cell r="L59">
            <v>10391.460730000001</v>
          </cell>
          <cell r="M59">
            <v>11640.202230000001</v>
          </cell>
          <cell r="N59">
            <v>12972.89019</v>
          </cell>
          <cell r="O59">
            <v>14418.04715</v>
          </cell>
          <cell r="P59">
            <v>15992.38444</v>
          </cell>
          <cell r="Q59">
            <v>17712.207490000001</v>
          </cell>
          <cell r="R59">
            <v>19339.352920000001</v>
          </cell>
          <cell r="S59">
            <v>21089.890589999999</v>
          </cell>
          <cell r="T59">
            <v>22981.899860000001</v>
          </cell>
          <cell r="U59">
            <v>25042.609499999999</v>
          </cell>
          <cell r="V59">
            <v>27303.058379999999</v>
          </cell>
          <cell r="W59">
            <v>29807.05977</v>
          </cell>
          <cell r="X59">
            <v>32602.18662</v>
          </cell>
          <cell r="Y59">
            <v>35742.050369999997</v>
          </cell>
          <cell r="Z59">
            <v>39286.052349999998</v>
          </cell>
          <cell r="AA59">
            <v>43290.485059999999</v>
          </cell>
          <cell r="AB59">
            <v>44660.972759999997</v>
          </cell>
          <cell r="AC59">
            <v>45622.723209999996</v>
          </cell>
          <cell r="AD59">
            <v>46580.569669999997</v>
          </cell>
          <cell r="AE59">
            <v>47625.558799999999</v>
          </cell>
          <cell r="AF59">
            <v>48753.384550000002</v>
          </cell>
          <cell r="AG59">
            <v>49938.237659999999</v>
          </cell>
          <cell r="AH59">
            <v>51154.470379999999</v>
          </cell>
          <cell r="AI59">
            <v>52380.742599999998</v>
          </cell>
          <cell r="AJ59">
            <v>53600.016439999999</v>
          </cell>
          <cell r="AK59">
            <v>54798.225810000004</v>
          </cell>
        </row>
        <row r="60">
          <cell r="B60">
            <v>873.52977910000004</v>
          </cell>
          <cell r="C60">
            <v>886.62452919999998</v>
          </cell>
          <cell r="D60">
            <v>898.77938240000003</v>
          </cell>
          <cell r="E60">
            <v>911.85255900000004</v>
          </cell>
          <cell r="F60">
            <v>923.46234519999996</v>
          </cell>
          <cell r="G60">
            <v>935.09272799999997</v>
          </cell>
          <cell r="H60">
            <v>1516.5124000000001</v>
          </cell>
          <cell r="I60">
            <v>2165.8733099999999</v>
          </cell>
          <cell r="J60">
            <v>2892.8111880000001</v>
          </cell>
          <cell r="K60">
            <v>3722.9443780000001</v>
          </cell>
          <cell r="L60">
            <v>4662.1620130000001</v>
          </cell>
          <cell r="M60">
            <v>5278.8923940000004</v>
          </cell>
          <cell r="N60">
            <v>5920.7941929999997</v>
          </cell>
          <cell r="O60">
            <v>6610.4986950000002</v>
          </cell>
          <cell r="P60">
            <v>7363.912292</v>
          </cell>
          <cell r="Q60">
            <v>8193.0712490000005</v>
          </cell>
          <cell r="R60">
            <v>9325.0355350000009</v>
          </cell>
          <cell r="S60">
            <v>10604.413070000001</v>
          </cell>
          <cell r="T60">
            <v>12052.09714</v>
          </cell>
          <cell r="U60">
            <v>13694.7775</v>
          </cell>
          <cell r="V60">
            <v>15567.154430000001</v>
          </cell>
          <cell r="W60">
            <v>17707.317719999999</v>
          </cell>
          <cell r="X60">
            <v>20176.178909999999</v>
          </cell>
          <cell r="Y60">
            <v>23043.031630000001</v>
          </cell>
          <cell r="Z60">
            <v>26386.87529</v>
          </cell>
          <cell r="AA60">
            <v>30291.52043</v>
          </cell>
          <cell r="AB60">
            <v>31167.065569999999</v>
          </cell>
          <cell r="AC60">
            <v>31765.116150000002</v>
          </cell>
          <cell r="AD60">
            <v>32367.29997</v>
          </cell>
          <cell r="AE60">
            <v>33030.210550000003</v>
          </cell>
          <cell r="AF60">
            <v>33744.745840000003</v>
          </cell>
          <cell r="AG60">
            <v>34485.266609999999</v>
          </cell>
          <cell r="AH60">
            <v>35240.89157</v>
          </cell>
          <cell r="AI60">
            <v>36001.47221</v>
          </cell>
          <cell r="AJ60">
            <v>36757.654300000002</v>
          </cell>
          <cell r="AK60">
            <v>37501.322520000002</v>
          </cell>
        </row>
        <row r="61">
          <cell r="B61">
            <v>873.52977899999996</v>
          </cell>
          <cell r="C61">
            <v>886.62452910000002</v>
          </cell>
          <cell r="D61">
            <v>898.77938219999999</v>
          </cell>
          <cell r="E61">
            <v>911.8525588</v>
          </cell>
          <cell r="F61">
            <v>923.46234500000003</v>
          </cell>
          <cell r="G61">
            <v>935.09272780000003</v>
          </cell>
          <cell r="H61">
            <v>1516.5124000000001</v>
          </cell>
          <cell r="I61">
            <v>2161.17542</v>
          </cell>
          <cell r="J61">
            <v>2873.6182709999998</v>
          </cell>
          <cell r="K61">
            <v>3660.7873330000002</v>
          </cell>
          <cell r="L61">
            <v>4529.6110879999997</v>
          </cell>
          <cell r="M61">
            <v>5109.3578829999997</v>
          </cell>
          <cell r="N61">
            <v>5734.0836399999998</v>
          </cell>
          <cell r="O61">
            <v>6417.3423220000004</v>
          </cell>
          <cell r="P61">
            <v>7167.7602470000002</v>
          </cell>
          <cell r="Q61">
            <v>7994.0051510000003</v>
          </cell>
          <cell r="R61">
            <v>9120.5219610000004</v>
          </cell>
          <cell r="S61">
            <v>10392.932419999999</v>
          </cell>
          <cell r="T61">
            <v>11834.1134</v>
          </cell>
          <cell r="U61">
            <v>13474.58512</v>
          </cell>
          <cell r="V61">
            <v>15350.875179999999</v>
          </cell>
          <cell r="W61">
            <v>17511.647359999999</v>
          </cell>
          <cell r="X61">
            <v>20014.309700000002</v>
          </cell>
          <cell r="Y61">
            <v>22927.640899999999</v>
          </cell>
          <cell r="Z61">
            <v>26333.241470000001</v>
          </cell>
          <cell r="AA61">
            <v>30321.061730000001</v>
          </cell>
          <cell r="AB61">
            <v>31280.964169999999</v>
          </cell>
          <cell r="AC61">
            <v>31954.583210000001</v>
          </cell>
          <cell r="AD61">
            <v>32625.467850000001</v>
          </cell>
          <cell r="AE61">
            <v>33357.388030000002</v>
          </cell>
          <cell r="AF61">
            <v>34147.327770000004</v>
          </cell>
          <cell r="AG61">
            <v>34977.21</v>
          </cell>
          <cell r="AH61">
            <v>35829.070800000001</v>
          </cell>
          <cell r="AI61">
            <v>36687.963360000002</v>
          </cell>
          <cell r="AJ61">
            <v>37541.9542</v>
          </cell>
          <cell r="AK61">
            <v>38381.191279999999</v>
          </cell>
        </row>
        <row r="62">
          <cell r="B62">
            <v>6724.564394</v>
          </cell>
          <cell r="C62">
            <v>6825.3697609999999</v>
          </cell>
          <cell r="D62">
            <v>6918.93966</v>
          </cell>
          <cell r="E62">
            <v>7019.5789510000004</v>
          </cell>
          <cell r="F62">
            <v>7108.9528410000003</v>
          </cell>
          <cell r="G62">
            <v>7198.4852879999999</v>
          </cell>
          <cell r="H62">
            <v>7218.443843</v>
          </cell>
          <cell r="I62">
            <v>7289.5758669999996</v>
          </cell>
          <cell r="J62">
            <v>7381.342654</v>
          </cell>
          <cell r="K62">
            <v>7512.8689800000002</v>
          </cell>
          <cell r="L62">
            <v>7651.4305979999999</v>
          </cell>
          <cell r="M62">
            <v>8039.6565499999997</v>
          </cell>
          <cell r="N62">
            <v>8367.8532909999994</v>
          </cell>
          <cell r="O62">
            <v>8669.7728900000002</v>
          </cell>
          <cell r="P62">
            <v>8962.3419389999999</v>
          </cell>
          <cell r="Q62">
            <v>9253.3510569999999</v>
          </cell>
          <cell r="R62">
            <v>9778.4987739999997</v>
          </cell>
          <cell r="S62">
            <v>10324.70637</v>
          </cell>
          <cell r="T62">
            <v>10894.895759999999</v>
          </cell>
          <cell r="U62">
            <v>11494.360650000001</v>
          </cell>
          <cell r="V62">
            <v>12131.33108</v>
          </cell>
          <cell r="W62">
            <v>12812.13141</v>
          </cell>
          <cell r="X62">
            <v>13554.2942</v>
          </cell>
          <cell r="Y62">
            <v>14372.98547</v>
          </cell>
          <cell r="Z62">
            <v>15281.455389999999</v>
          </cell>
          <cell r="AA62">
            <v>16287.979300000001</v>
          </cell>
          <cell r="AB62">
            <v>16758.766540000001</v>
          </cell>
          <cell r="AC62">
            <v>17080.342850000001</v>
          </cell>
          <cell r="AD62">
            <v>17404.141640000002</v>
          </cell>
          <cell r="AE62">
            <v>17760.593669999998</v>
          </cell>
          <cell r="AF62">
            <v>18144.804690000001</v>
          </cell>
          <cell r="AG62">
            <v>18542.988300000001</v>
          </cell>
          <cell r="AH62">
            <v>18949.293539999999</v>
          </cell>
          <cell r="AI62">
            <v>19358.263500000001</v>
          </cell>
          <cell r="AJ62">
            <v>19764.868320000001</v>
          </cell>
          <cell r="AK62">
            <v>20164.744340000001</v>
          </cell>
        </row>
        <row r="63">
          <cell r="B63">
            <v>6724.5643929999997</v>
          </cell>
          <cell r="C63">
            <v>6825.3697599999996</v>
          </cell>
          <cell r="D63">
            <v>6918.9396580000002</v>
          </cell>
          <cell r="E63">
            <v>7019.5789489999997</v>
          </cell>
          <cell r="F63">
            <v>7108.9528399999999</v>
          </cell>
          <cell r="G63">
            <v>7198.4852860000001</v>
          </cell>
          <cell r="H63">
            <v>7218.443843</v>
          </cell>
          <cell r="I63">
            <v>7273.7644039999996</v>
          </cell>
          <cell r="J63">
            <v>7332.3697039999997</v>
          </cell>
          <cell r="K63">
            <v>7387.4366110000001</v>
          </cell>
          <cell r="L63">
            <v>7433.8911390000003</v>
          </cell>
          <cell r="M63">
            <v>7781.4585909999996</v>
          </cell>
          <cell r="N63">
            <v>8103.9754279999997</v>
          </cell>
          <cell r="O63">
            <v>8416.4452720000008</v>
          </cell>
          <cell r="P63">
            <v>8723.6126289999993</v>
          </cell>
          <cell r="Q63">
            <v>9028.5234639999999</v>
          </cell>
          <cell r="R63">
            <v>9564.0399959999995</v>
          </cell>
          <cell r="S63">
            <v>10118.803830000001</v>
          </cell>
          <cell r="T63">
            <v>10697.84208</v>
          </cell>
          <cell r="U63">
            <v>11309.54781</v>
          </cell>
          <cell r="V63">
            <v>11962.78678</v>
          </cell>
          <cell r="W63">
            <v>12670.554109999999</v>
          </cell>
          <cell r="X63">
            <v>13445.55097</v>
          </cell>
          <cell r="Y63">
            <v>14301.01103</v>
          </cell>
          <cell r="Z63">
            <v>15250.394389999999</v>
          </cell>
          <cell r="AA63">
            <v>16303.863890000001</v>
          </cell>
          <cell r="AB63">
            <v>16820.010679999999</v>
          </cell>
          <cell r="AC63">
            <v>17182.220720000001</v>
          </cell>
          <cell r="AD63">
            <v>17542.960459999998</v>
          </cell>
          <cell r="AE63">
            <v>17936.519469999999</v>
          </cell>
          <cell r="AF63">
            <v>18361.276030000001</v>
          </cell>
          <cell r="AG63">
            <v>18807.509969999999</v>
          </cell>
          <cell r="AH63">
            <v>19265.561959999999</v>
          </cell>
          <cell r="AI63">
            <v>19727.394980000001</v>
          </cell>
          <cell r="AJ63">
            <v>20186.5923</v>
          </cell>
          <cell r="AK63">
            <v>20637.85641</v>
          </cell>
        </row>
        <row r="64">
          <cell r="B64">
            <v>7912.0336429999998</v>
          </cell>
          <cell r="C64">
            <v>8013.8225810000004</v>
          </cell>
          <cell r="D64">
            <v>8113.8250680000001</v>
          </cell>
          <cell r="E64">
            <v>8218.9215920000006</v>
          </cell>
          <cell r="F64">
            <v>8317.7428889999992</v>
          </cell>
          <cell r="G64">
            <v>8422.57618</v>
          </cell>
          <cell r="H64">
            <v>9419.9447770000006</v>
          </cell>
          <cell r="I64">
            <v>10544.694680000001</v>
          </cell>
          <cell r="J64">
            <v>11794.07869</v>
          </cell>
          <cell r="K64">
            <v>13217.319939999999</v>
          </cell>
          <cell r="L64">
            <v>14811.99359</v>
          </cell>
          <cell r="M64">
            <v>15973.660760000001</v>
          </cell>
          <cell r="N64">
            <v>17165.1358</v>
          </cell>
          <cell r="O64">
            <v>18438.871650000001</v>
          </cell>
          <cell r="P64">
            <v>19822.913120000001</v>
          </cell>
          <cell r="Q64">
            <v>21337.277730000002</v>
          </cell>
          <cell r="R64">
            <v>23409.75517</v>
          </cell>
          <cell r="S64">
            <v>25670.25575</v>
          </cell>
          <cell r="T64">
            <v>28113.613990000002</v>
          </cell>
          <cell r="U64">
            <v>30739.552049999998</v>
          </cell>
          <cell r="V64">
            <v>33552.175629999998</v>
          </cell>
          <cell r="W64">
            <v>36562.62816</v>
          </cell>
          <cell r="X64">
            <v>39809.756419999998</v>
          </cell>
          <cell r="Y64">
            <v>43333.967989999997</v>
          </cell>
          <cell r="Z64">
            <v>47178.221510000003</v>
          </cell>
          <cell r="AA64">
            <v>51367.93028</v>
          </cell>
          <cell r="AB64">
            <v>52766.274799999999</v>
          </cell>
          <cell r="AC64">
            <v>53743.654920000001</v>
          </cell>
          <cell r="AD64">
            <v>54727.765950000001</v>
          </cell>
          <cell r="AE64">
            <v>55801.590790000002</v>
          </cell>
          <cell r="AF64">
            <v>56949.256280000001</v>
          </cell>
          <cell r="AG64">
            <v>58131.131520000003</v>
          </cell>
          <cell r="AH64">
            <v>59332.153780000001</v>
          </cell>
          <cell r="AI64">
            <v>60537.5236</v>
          </cell>
          <cell r="AJ64">
            <v>61733.452510000003</v>
          </cell>
          <cell r="AK64">
            <v>62907.972130000002</v>
          </cell>
        </row>
        <row r="65">
          <cell r="B65">
            <v>7912.0336429999998</v>
          </cell>
          <cell r="C65">
            <v>8013.8225849999999</v>
          </cell>
          <cell r="D65">
            <v>8113.8250749999997</v>
          </cell>
          <cell r="E65">
            <v>8218.9216039999992</v>
          </cell>
          <cell r="F65">
            <v>8317.7429040000006</v>
          </cell>
          <cell r="G65">
            <v>8422.5761970000003</v>
          </cell>
          <cell r="H65">
            <v>9419.9447959999998</v>
          </cell>
          <cell r="I65">
            <v>10532.81935</v>
          </cell>
          <cell r="J65">
            <v>11757.56912</v>
          </cell>
          <cell r="K65">
            <v>13103.49584</v>
          </cell>
          <cell r="L65">
            <v>14585.003860000001</v>
          </cell>
          <cell r="M65">
            <v>15715.805319999999</v>
          </cell>
          <cell r="N65">
            <v>16908.84319</v>
          </cell>
          <cell r="O65">
            <v>18192.917170000001</v>
          </cell>
          <cell r="P65">
            <v>19585.144769999999</v>
          </cell>
          <cell r="Q65">
            <v>21102.21399</v>
          </cell>
          <cell r="R65">
            <v>23166.782029999998</v>
          </cell>
          <cell r="S65">
            <v>25414.363229999999</v>
          </cell>
          <cell r="T65">
            <v>27846.080880000001</v>
          </cell>
          <cell r="U65">
            <v>30469.860390000002</v>
          </cell>
          <cell r="V65">
            <v>33292.720430000001</v>
          </cell>
          <cell r="W65">
            <v>36344.866569999998</v>
          </cell>
          <cell r="X65">
            <v>39654.424890000002</v>
          </cell>
          <cell r="Y65">
            <v>43258.022149999997</v>
          </cell>
          <cell r="Z65">
            <v>47200.243199999997</v>
          </cell>
          <cell r="AA65">
            <v>51513.431510000002</v>
          </cell>
          <cell r="AB65">
            <v>53035.930489999999</v>
          </cell>
          <cell r="AC65">
            <v>54125.887589999998</v>
          </cell>
          <cell r="AD65">
            <v>55215.61709</v>
          </cell>
          <cell r="AE65">
            <v>56401.594319999997</v>
          </cell>
          <cell r="AF65">
            <v>57678.307220000002</v>
          </cell>
          <cell r="AG65">
            <v>59017.41504</v>
          </cell>
          <cell r="AH65">
            <v>60390.922039999998</v>
          </cell>
          <cell r="AI65">
            <v>61775.527049999997</v>
          </cell>
          <cell r="AJ65">
            <v>63152.560030000001</v>
          </cell>
          <cell r="AK65">
            <v>64506.530489999997</v>
          </cell>
        </row>
        <row r="66">
          <cell r="B66">
            <v>109.8460852</v>
          </cell>
          <cell r="C66">
            <v>111.49274579999999</v>
          </cell>
          <cell r="D66">
            <v>113.02121459999999</v>
          </cell>
          <cell r="E66">
            <v>114.66516230000001</v>
          </cell>
          <cell r="F66">
            <v>116.1250891</v>
          </cell>
          <cell r="G66">
            <v>117.58760599999999</v>
          </cell>
          <cell r="H66">
            <v>120.2506614</v>
          </cell>
          <cell r="I66">
            <v>123.99711310000001</v>
          </cell>
          <cell r="J66">
            <v>128.38303149999999</v>
          </cell>
          <cell r="K66">
            <v>133.81422499999999</v>
          </cell>
          <cell r="L66">
            <v>139.79708210000001</v>
          </cell>
          <cell r="M66">
            <v>145.12649619999999</v>
          </cell>
          <cell r="N66">
            <v>149.52609100000001</v>
          </cell>
          <cell r="O66">
            <v>153.6683721</v>
          </cell>
          <cell r="P66">
            <v>157.9032832</v>
          </cell>
          <cell r="Q66">
            <v>162.41184459999999</v>
          </cell>
          <cell r="R66">
            <v>166.6044747</v>
          </cell>
          <cell r="S66">
            <v>171.299937</v>
          </cell>
          <cell r="T66">
            <v>176.57286780000001</v>
          </cell>
          <cell r="U66">
            <v>182.54244850000001</v>
          </cell>
          <cell r="V66">
            <v>189.37792529999999</v>
          </cell>
          <cell r="W66">
            <v>197.22263079999999</v>
          </cell>
          <cell r="X66">
            <v>206.3988252</v>
          </cell>
          <cell r="Y66">
            <v>217.19883830000001</v>
          </cell>
          <cell r="Z66">
            <v>229.90108509999999</v>
          </cell>
          <cell r="AA66">
            <v>244.7315954</v>
          </cell>
          <cell r="AB66">
            <v>251.80530970000001</v>
          </cell>
          <cell r="AC66">
            <v>256.6370867</v>
          </cell>
          <cell r="AD66">
            <v>261.50225710000001</v>
          </cell>
          <cell r="AE66">
            <v>266.8580518</v>
          </cell>
          <cell r="AF66">
            <v>272.6309334</v>
          </cell>
          <cell r="AG66">
            <v>278.61375720000001</v>
          </cell>
          <cell r="AH66">
            <v>284.71861089999999</v>
          </cell>
          <cell r="AI66">
            <v>290.86350270000003</v>
          </cell>
          <cell r="AJ66">
            <v>296.9728576</v>
          </cell>
          <cell r="AK66">
            <v>302.98111030000001</v>
          </cell>
        </row>
        <row r="67">
          <cell r="B67">
            <v>109.8460852</v>
          </cell>
          <cell r="C67">
            <v>111.4927457</v>
          </cell>
          <cell r="D67">
            <v>113.02121459999999</v>
          </cell>
          <cell r="E67">
            <v>114.6651622</v>
          </cell>
          <cell r="F67">
            <v>116.1250891</v>
          </cell>
          <cell r="G67">
            <v>117.5876059</v>
          </cell>
          <cell r="H67">
            <v>120.2506614</v>
          </cell>
          <cell r="I67">
            <v>123.728157</v>
          </cell>
          <cell r="J67">
            <v>127.53124939999999</v>
          </cell>
          <cell r="K67">
            <v>131.58010709999999</v>
          </cell>
          <cell r="L67">
            <v>135.82248139999999</v>
          </cell>
          <cell r="M67">
            <v>140.46567949999999</v>
          </cell>
          <cell r="N67">
            <v>144.81082850000001</v>
          </cell>
          <cell r="O67">
            <v>149.17823799999999</v>
          </cell>
          <cell r="P67">
            <v>153.69722390000001</v>
          </cell>
          <cell r="Q67">
            <v>158.46574290000001</v>
          </cell>
          <cell r="R67">
            <v>162.95056080000001</v>
          </cell>
          <cell r="S67">
            <v>167.8837533</v>
          </cell>
          <cell r="T67">
            <v>173.37923169999999</v>
          </cell>
          <cell r="U67">
            <v>179.60742769999999</v>
          </cell>
          <cell r="V67">
            <v>186.7468398</v>
          </cell>
          <cell r="W67">
            <v>195.04327069999999</v>
          </cell>
          <cell r="X67">
            <v>204.74293119999999</v>
          </cell>
          <cell r="Y67">
            <v>216.11118930000001</v>
          </cell>
          <cell r="Z67">
            <v>229.43378939999999</v>
          </cell>
          <cell r="AA67">
            <v>244.97026589999999</v>
          </cell>
          <cell r="AB67">
            <v>252.72552060000001</v>
          </cell>
          <cell r="AC67">
            <v>258.1678311</v>
          </cell>
          <cell r="AD67">
            <v>263.58805000000001</v>
          </cell>
          <cell r="AE67">
            <v>269.50138779999997</v>
          </cell>
          <cell r="AF67">
            <v>275.8834779</v>
          </cell>
          <cell r="AG67">
            <v>282.58827179999997</v>
          </cell>
          <cell r="AH67">
            <v>289.47063530000003</v>
          </cell>
          <cell r="AI67">
            <v>296.4098098</v>
          </cell>
          <cell r="AJ67">
            <v>303.30938220000002</v>
          </cell>
          <cell r="AK67">
            <v>310.0897559</v>
          </cell>
        </row>
      </sheetData>
      <sheetData sheetId="2" refreshError="1"/>
      <sheetData sheetId="3" refreshError="1"/>
      <sheetData sheetId="4">
        <row r="1365">
          <cell r="E1365" t="str">
            <v>100*(GDP_2/GDP_0-1)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-0.24436262122941033</v>
          </cell>
          <cell r="N1365">
            <v>-0.46217413376153926</v>
          </cell>
          <cell r="O1365">
            <v>-0.28857158046116105</v>
          </cell>
          <cell r="P1365">
            <v>-5.6825943301386239E-2</v>
          </cell>
          <cell r="Q1365">
            <v>3.3819247326971613E-2</v>
          </cell>
          <cell r="R1365">
            <v>8.8446615170378884E-2</v>
          </cell>
          <cell r="S1365">
            <v>0.14397964081447334</v>
          </cell>
          <cell r="T1365">
            <v>0.21342817095029165</v>
          </cell>
          <cell r="U1365">
            <v>0.28280523492465459</v>
          </cell>
          <cell r="V1365">
            <v>0.31677668209286747</v>
          </cell>
          <cell r="W1365">
            <v>0.31502583789799754</v>
          </cell>
          <cell r="X1365">
            <v>0.28172383319136074</v>
          </cell>
          <cell r="Y1365">
            <v>0.22604422535787982</v>
          </cell>
          <cell r="Z1365">
            <v>0.15522139974248894</v>
          </cell>
          <cell r="AA1365">
            <v>6.3214975175829302E-2</v>
          </cell>
          <cell r="AB1365">
            <v>-3.2938392261749883E-2</v>
          </cell>
          <cell r="AC1365">
            <v>-0.12613059206071364</v>
          </cell>
          <cell r="AD1365">
            <v>-0.21141407920471922</v>
          </cell>
          <cell r="AE1365">
            <v>-0.28612883006401413</v>
          </cell>
          <cell r="AF1365">
            <v>-0.3620532310855018</v>
          </cell>
          <cell r="AG1365">
            <v>-0.43315581935930991</v>
          </cell>
          <cell r="AH1365">
            <v>-0.49389074723554804</v>
          </cell>
          <cell r="AI1365">
            <v>-0.53999465269298774</v>
          </cell>
          <cell r="AJ1365">
            <v>-0.56954754137442665</v>
          </cell>
          <cell r="AK1365">
            <v>-0.58852825527057062</v>
          </cell>
          <cell r="AL1365">
            <v>-0.59321266184695354</v>
          </cell>
          <cell r="AM1365">
            <v>-0.58381039646923094</v>
          </cell>
          <cell r="AN1365">
            <v>-0.56122182550749633</v>
          </cell>
          <cell r="AO1365">
            <v>-0.52661430280968036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-5.6947668802820317E-9</v>
          </cell>
          <cell r="L1366">
            <v>-5.558631333002495E-9</v>
          </cell>
          <cell r="M1366">
            <v>-0.30535829167093187</v>
          </cell>
          <cell r="N1366">
            <v>-0.56937155320880839</v>
          </cell>
          <cell r="O1366">
            <v>-0.3528913923367627</v>
          </cell>
          <cell r="P1366">
            <v>-9.7681649662140213E-2</v>
          </cell>
          <cell r="Q1366">
            <v>-2.0602001618275079E-2</v>
          </cell>
          <cell r="R1366">
            <v>-2.4478098761937517E-3</v>
          </cell>
          <cell r="S1366">
            <v>8.2889579964051663E-3</v>
          </cell>
          <cell r="T1366">
            <v>3.4552335618109886E-2</v>
          </cell>
          <cell r="U1366">
            <v>6.2901408390847457E-2</v>
          </cell>
          <cell r="V1366">
            <v>5.3481644482422652E-2</v>
          </cell>
          <cell r="W1366">
            <v>8.2790435733448575E-3</v>
          </cell>
          <cell r="X1366">
            <v>-6.9966169941027001E-2</v>
          </cell>
          <cell r="Y1366">
            <v>-0.17418203488323014</v>
          </cell>
          <cell r="Z1366">
            <v>-0.29344275582191548</v>
          </cell>
          <cell r="AA1366">
            <v>-0.43188432442202718</v>
          </cell>
          <cell r="AB1366">
            <v>-0.56986849608868795</v>
          </cell>
          <cell r="AC1366">
            <v>-0.69968102269812871</v>
          </cell>
          <cell r="AD1366">
            <v>-0.816260995070206</v>
          </cell>
          <cell r="AE1366">
            <v>-0.91723651033421838</v>
          </cell>
          <cell r="AF1366">
            <v>-1.013133230921115</v>
          </cell>
          <cell r="AG1366">
            <v>-1.0972077958171456</v>
          </cell>
          <cell r="AH1366">
            <v>-1.1648315351533212</v>
          </cell>
          <cell r="AI1366">
            <v>-1.2128014967154988</v>
          </cell>
          <cell r="AJ1366">
            <v>-1.2402468404893674</v>
          </cell>
          <cell r="AK1366">
            <v>-1.253618030853676</v>
          </cell>
          <cell r="AL1366">
            <v>-1.2493253667000159</v>
          </cell>
          <cell r="AM1366">
            <v>-1.2287082336369104</v>
          </cell>
          <cell r="AN1366">
            <v>-1.1938500395910601</v>
          </cell>
          <cell r="AO1366">
            <v>-1.1469280813031668</v>
          </cell>
        </row>
        <row r="1367">
          <cell r="E1367" t="str">
            <v>100*((CH_2-CH_0)/GDP_0)</v>
          </cell>
          <cell r="F1367">
            <v>0</v>
          </cell>
          <cell r="G1367">
            <v>4.4686339460915783E-8</v>
          </cell>
          <cell r="H1367">
            <v>0</v>
          </cell>
          <cell r="I1367">
            <v>4.2917592833875703E-8</v>
          </cell>
          <cell r="J1367">
            <v>0</v>
          </cell>
          <cell r="K1367">
            <v>4.108183902620024E-8</v>
          </cell>
          <cell r="L1367">
            <v>4.0165916184363461E-8</v>
          </cell>
          <cell r="M1367">
            <v>-2.7663779635349887E-2</v>
          </cell>
          <cell r="N1367">
            <v>-5.3048200082430601E-2</v>
          </cell>
          <cell r="O1367">
            <v>4.7475781764043053E-2</v>
          </cell>
          <cell r="P1367">
            <v>0.33080674722842895</v>
          </cell>
          <cell r="Q1367">
            <v>0.57876735854655326</v>
          </cell>
          <cell r="R1367">
            <v>0.88925923384701544</v>
          </cell>
          <cell r="S1367">
            <v>1.2412318893944936</v>
          </cell>
          <cell r="T1367">
            <v>1.598868964327719</v>
          </cell>
          <cell r="U1367">
            <v>1.937303654682206</v>
          </cell>
          <cell r="V1367">
            <v>2.241185170161073</v>
          </cell>
          <cell r="W1367">
            <v>2.4928310324874547</v>
          </cell>
          <cell r="X1367">
            <v>2.6975431483735326</v>
          </cell>
          <cell r="Y1367">
            <v>2.862061846267149</v>
          </cell>
          <cell r="Z1367">
            <v>2.9965597784062372</v>
          </cell>
          <cell r="AA1367">
            <v>3.0838812205363415</v>
          </cell>
          <cell r="AB1367">
            <v>3.1364440494750596</v>
          </cell>
          <cell r="AC1367">
            <v>3.1611761721918175</v>
          </cell>
          <cell r="AD1367">
            <v>3.1643218467383174</v>
          </cell>
          <cell r="AE1367">
            <v>3.151177039719371</v>
          </cell>
          <cell r="AF1367">
            <v>3.0953720975965404</v>
          </cell>
          <cell r="AG1367">
            <v>3.0034026700158813</v>
          </cell>
          <cell r="AH1367">
            <v>2.888657639231452</v>
          </cell>
          <cell r="AI1367">
            <v>2.7632205920686506</v>
          </cell>
          <cell r="AJ1367">
            <v>2.6356781769679314</v>
          </cell>
          <cell r="AK1367">
            <v>2.5004474373752381</v>
          </cell>
          <cell r="AL1367">
            <v>2.3639061097984109</v>
          </cell>
          <cell r="AM1367">
            <v>2.2323483972688041</v>
          </cell>
          <cell r="AN1367">
            <v>2.111727387933541</v>
          </cell>
          <cell r="AO1367">
            <v>2.0068288331829431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4.4686282237004683E-10</v>
          </cell>
          <cell r="H1368">
            <v>8.7649625384445173E-10</v>
          </cell>
          <cell r="I1368">
            <v>2.5750553701819134E-9</v>
          </cell>
          <cell r="J1368">
            <v>2.940280527633544E-9</v>
          </cell>
          <cell r="K1368">
            <v>3.6973649623642273E-9</v>
          </cell>
          <cell r="L1368">
            <v>3.6149327605280563E-9</v>
          </cell>
          <cell r="M1368">
            <v>-2.6218283559720463E-2</v>
          </cell>
          <cell r="N1368">
            <v>-6.3498085220942135E-2</v>
          </cell>
          <cell r="O1368">
            <v>-9.3468848066204105E-2</v>
          </cell>
          <cell r="P1368">
            <v>-0.11772209001004946</v>
          </cell>
          <cell r="Q1368">
            <v>-8.9815517923321944E-2</v>
          </cell>
          <cell r="R1368">
            <v>-3.8993809699731666E-2</v>
          </cell>
          <cell r="S1368">
            <v>8.5706158527783551E-3</v>
          </cell>
          <cell r="T1368">
            <v>4.3158924159511711E-2</v>
          </cell>
          <cell r="U1368">
            <v>6.392550147041566E-2</v>
          </cell>
          <cell r="V1368">
            <v>6.6908129476624625E-2</v>
          </cell>
          <cell r="W1368">
            <v>5.8548053060442334E-2</v>
          </cell>
          <cell r="X1368">
            <v>4.6514514366109753E-2</v>
          </cell>
          <cell r="Y1368">
            <v>3.727579428380276E-2</v>
          </cell>
          <cell r="Z1368">
            <v>2.8941826187725148E-2</v>
          </cell>
          <cell r="AA1368">
            <v>2.5935792919347118E-2</v>
          </cell>
          <cell r="AB1368">
            <v>2.3877932681563581E-2</v>
          </cell>
          <cell r="AC1368">
            <v>2.1273965329770241E-2</v>
          </cell>
          <cell r="AD1368">
            <v>1.8183726402885361E-2</v>
          </cell>
          <cell r="AE1368">
            <v>1.4756900244814491E-2</v>
          </cell>
          <cell r="AF1368">
            <v>1.1781412185042797E-2</v>
          </cell>
          <cell r="AG1368">
            <v>7.0828793620822126E-3</v>
          </cell>
          <cell r="AH1368">
            <v>1.2475738737762739E-3</v>
          </cell>
          <cell r="AI1368">
            <v>-4.7467775665011513E-3</v>
          </cell>
          <cell r="AJ1368">
            <v>-1.0470564701731581E-2</v>
          </cell>
          <cell r="AK1368">
            <v>-1.5608426978146352E-2</v>
          </cell>
          <cell r="AL1368">
            <v>-2.1319346497825166E-2</v>
          </cell>
          <cell r="AM1368">
            <v>-2.7699788355274483E-2</v>
          </cell>
          <cell r="AN1368">
            <v>-3.4370210490771297E-2</v>
          </cell>
          <cell r="AO1368">
            <v>-4.1024170403523234E-2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-5.5068732867233267E-2</v>
          </cell>
          <cell r="N1370">
            <v>-0.13964753338253894</v>
          </cell>
          <cell r="O1370">
            <v>-0.18535163517692191</v>
          </cell>
          <cell r="P1370">
            <v>-0.21594455440761243</v>
          </cell>
          <cell r="Q1370">
            <v>-0.24192212541151881</v>
          </cell>
          <cell r="R1370">
            <v>-0.26320258133139401</v>
          </cell>
          <cell r="S1370">
            <v>-0.27571357636006605</v>
          </cell>
          <cell r="T1370">
            <v>-0.27596689437324651</v>
          </cell>
          <cell r="U1370">
            <v>-0.26496748515175361</v>
          </cell>
          <cell r="V1370">
            <v>-0.2531512157949849</v>
          </cell>
          <cell r="W1370">
            <v>-0.24425253063967908</v>
          </cell>
          <cell r="X1370">
            <v>-0.23859892984728215</v>
          </cell>
          <cell r="Y1370">
            <v>-0.23411805261587437</v>
          </cell>
          <cell r="Z1370">
            <v>-0.22868344095240034</v>
          </cell>
          <cell r="AA1370">
            <v>-0.21934211892529817</v>
          </cell>
          <cell r="AB1370">
            <v>-0.20428827355677143</v>
          </cell>
          <cell r="AC1370">
            <v>-0.18208432646915096</v>
          </cell>
          <cell r="AD1370">
            <v>-0.15186590685862525</v>
          </cell>
          <cell r="AE1370">
            <v>-0.1135354965283427</v>
          </cell>
          <cell r="AF1370">
            <v>-6.7425216425158044E-2</v>
          </cell>
          <cell r="AG1370">
            <v>-1.6683061263176303E-2</v>
          </cell>
          <cell r="AH1370">
            <v>3.7130839931094825E-2</v>
          </cell>
          <cell r="AI1370">
            <v>9.3033183533476838E-2</v>
          </cell>
          <cell r="AJ1370">
            <v>0.15019549137157084</v>
          </cell>
          <cell r="AK1370">
            <v>0.2073952855367327</v>
          </cell>
          <cell r="AL1370">
            <v>0.26331490408498043</v>
          </cell>
          <cell r="AM1370">
            <v>0.31718597192194026</v>
          </cell>
          <cell r="AN1370">
            <v>0.36852438046732106</v>
          </cell>
          <cell r="AO1370">
            <v>0.41704442156475569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E1372" t="str">
            <v>100*((X_2-X_0)/GDP_0)-100*((M_2-M_0)/GDP_0)</v>
          </cell>
          <cell r="F1372">
            <v>-4.5500097444919102E-9</v>
          </cell>
          <cell r="G1372">
            <v>0</v>
          </cell>
          <cell r="H1372">
            <v>-8.7649548856275962E-9</v>
          </cell>
          <cell r="I1372">
            <v>-1.2875276850909565E-8</v>
          </cell>
          <cell r="J1372">
            <v>-2.1001999577460101E-8</v>
          </cell>
          <cell r="K1372">
            <v>-2.4649100546187302E-8</v>
          </cell>
          <cell r="L1372">
            <v>-3.2132736688233483E-8</v>
          </cell>
          <cell r="M1372">
            <v>-0.16163013228220155</v>
          </cell>
          <cell r="N1372">
            <v>-0.26947837727736307</v>
          </cell>
          <cell r="O1372">
            <v>-0.15069572329945113</v>
          </cell>
          <cell r="P1372">
            <v>-0.17168811779850074</v>
          </cell>
          <cell r="Q1372">
            <v>-0.30302598940022457</v>
          </cell>
          <cell r="R1372">
            <v>-0.53761003734523927</v>
          </cell>
          <cell r="S1372">
            <v>-0.82153866527870434</v>
          </cell>
          <cell r="T1372">
            <v>-1.1094738648232618</v>
          </cell>
          <cell r="U1372">
            <v>-1.3895309042873691</v>
          </cell>
          <cell r="V1372">
            <v>-1.6712572888778019</v>
          </cell>
          <cell r="W1372">
            <v>-1.9335526377638608</v>
          </cell>
          <cell r="X1372">
            <v>-2.1772203853348815</v>
          </cell>
          <cell r="Y1372">
            <v>-2.4018995651190398</v>
          </cell>
          <cell r="Z1372">
            <v>-2.6126549533236907</v>
          </cell>
          <cell r="AA1372">
            <v>-2.8013241172308341</v>
          </cell>
          <cell r="AB1372">
            <v>-2.9650942133475722</v>
          </cell>
          <cell r="AC1372">
            <v>-3.1052224495900353</v>
          </cell>
          <cell r="AD1372">
            <v>-3.2238700017444435</v>
          </cell>
          <cell r="AE1372">
            <v>-3.3237703987024343</v>
          </cell>
          <cell r="AF1372">
            <v>-3.3900000929117753</v>
          </cell>
          <cell r="AG1372">
            <v>-3.4198754281120243</v>
          </cell>
          <cell r="AH1372">
            <v>-3.4196792685321444</v>
          </cell>
          <cell r="AI1372">
            <v>-3.39624845397468</v>
          </cell>
          <cell r="AJ1372">
            <v>-3.3554211846814495</v>
          </cell>
          <cell r="AK1372">
            <v>-3.2963710025808379</v>
          </cell>
          <cell r="AL1372">
            <v>-3.2204336757303489</v>
          </cell>
          <cell r="AM1372">
            <v>-3.1333447424751162</v>
          </cell>
          <cell r="AN1372">
            <v>-3.0414735939083668</v>
          </cell>
          <cell r="AO1372">
            <v>-2.9504875796223442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4.4239483141262916E-8</v>
          </cell>
          <cell r="H1373">
            <v>0</v>
          </cell>
          <cell r="I1373">
            <v>4.2488413608001565E-8</v>
          </cell>
          <cell r="J1373">
            <v>0</v>
          </cell>
          <cell r="K1373">
            <v>4.0671017575103207E-8</v>
          </cell>
          <cell r="L1373">
            <v>3.9764263288263866E-8</v>
          </cell>
          <cell r="M1373">
            <v>-2.6604319952671679E-2</v>
          </cell>
          <cell r="N1373">
            <v>-4.9961206121926074E-2</v>
          </cell>
          <cell r="O1373">
            <v>5.1764206252414117E-2</v>
          </cell>
          <cell r="P1373">
            <v>0.33457205668251477</v>
          </cell>
          <cell r="Q1373">
            <v>0.58225908997235021</v>
          </cell>
          <cell r="R1373">
            <v>0.89017247937739052</v>
          </cell>
          <cell r="S1373">
            <v>1.2374907069119496</v>
          </cell>
          <cell r="T1373">
            <v>1.5893544352414337</v>
          </cell>
          <cell r="U1373">
            <v>1.9217560327744492</v>
          </cell>
          <cell r="V1373">
            <v>2.2199876499350313</v>
          </cell>
          <cell r="W1373">
            <v>2.4669386458519882</v>
          </cell>
          <cell r="X1373">
            <v>2.6679115007803489</v>
          </cell>
          <cell r="Y1373">
            <v>2.829459406955249</v>
          </cell>
          <cell r="Z1373">
            <v>2.9614334349721725</v>
          </cell>
          <cell r="AA1373">
            <v>3.0467758913889549</v>
          </cell>
          <cell r="AB1373">
            <v>3.0976505476426679</v>
          </cell>
          <cell r="AC1373">
            <v>3.120952821609734</v>
          </cell>
          <cell r="AD1373">
            <v>3.1229359717778729</v>
          </cell>
          <cell r="AE1373">
            <v>3.1089046476255788</v>
          </cell>
          <cell r="AF1373">
            <v>3.0529200046023663</v>
          </cell>
          <cell r="AG1373">
            <v>2.9614699779151801</v>
          </cell>
          <cell r="AH1373">
            <v>2.8478331965190207</v>
          </cell>
          <cell r="AI1373">
            <v>2.7239380809417248</v>
          </cell>
          <cell r="AJ1373">
            <v>2.598222894801292</v>
          </cell>
          <cell r="AK1373">
            <v>2.4651186459261543</v>
          </cell>
          <cell r="AL1373">
            <v>2.3308740621124038</v>
          </cell>
          <cell r="AM1373">
            <v>2.2016718673403113</v>
          </cell>
          <cell r="AN1373">
            <v>2.0833449904754087</v>
          </cell>
          <cell r="AO1373">
            <v>1.9805656315453291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4.4686412291348102E-10</v>
          </cell>
          <cell r="H1374">
            <v>0</v>
          </cell>
          <cell r="I1374">
            <v>4.2917422960841017E-10</v>
          </cell>
          <cell r="J1374">
            <v>0</v>
          </cell>
          <cell r="K1374">
            <v>4.1081666854230038E-10</v>
          </cell>
          <cell r="L1374">
            <v>4.0166224795636632E-10</v>
          </cell>
          <cell r="M1374">
            <v>-5.6128192549911471E-2</v>
          </cell>
          <cell r="N1374">
            <v>-0.14273452734304345</v>
          </cell>
          <cell r="O1374">
            <v>-0.18964005966529296</v>
          </cell>
          <cell r="P1374">
            <v>-0.219709863861694</v>
          </cell>
          <cell r="Q1374">
            <v>-0.24541385683731162</v>
          </cell>
          <cell r="R1374">
            <v>-0.26411582686176921</v>
          </cell>
          <cell r="S1374">
            <v>-0.27197239387752603</v>
          </cell>
          <cell r="T1374">
            <v>-0.2664523652869572</v>
          </cell>
          <cell r="U1374">
            <v>-0.24941986324398918</v>
          </cell>
          <cell r="V1374">
            <v>-0.23195369556894327</v>
          </cell>
          <cell r="W1374">
            <v>-0.21836014400420858</v>
          </cell>
          <cell r="X1374">
            <v>-0.20896728225410222</v>
          </cell>
          <cell r="Y1374">
            <v>-0.20151561330397769</v>
          </cell>
          <cell r="Z1374">
            <v>-0.19355709751833169</v>
          </cell>
          <cell r="AA1374">
            <v>-0.18223678977791161</v>
          </cell>
          <cell r="AB1374">
            <v>-0.16549477172438001</v>
          </cell>
          <cell r="AC1374">
            <v>-0.14186097588707086</v>
          </cell>
          <cell r="AD1374">
            <v>-0.11048003189818097</v>
          </cell>
          <cell r="AE1374">
            <v>-7.1263104434550542E-2</v>
          </cell>
          <cell r="AF1374">
            <v>-2.4973123430981028E-2</v>
          </cell>
          <cell r="AG1374">
            <v>2.5249630837531085E-2</v>
          </cell>
          <cell r="AH1374">
            <v>7.7955282643523388E-2</v>
          </cell>
          <cell r="AI1374">
            <v>0.1323156946604053</v>
          </cell>
          <cell r="AJ1374">
            <v>0.18765077353821666</v>
          </cell>
          <cell r="AK1374">
            <v>0.2427240769858105</v>
          </cell>
          <cell r="AL1374">
            <v>0.29634695177098264</v>
          </cell>
          <cell r="AM1374">
            <v>0.347862501850422</v>
          </cell>
          <cell r="AN1374">
            <v>0.39690677792545892</v>
          </cell>
          <cell r="AO1374">
            <v>0.44330762320236999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0</v>
          </cell>
          <cell r="I1375">
            <v>-4.2917672774127319E-10</v>
          </cell>
          <cell r="J1375">
            <v>-4.2004077393470869E-10</v>
          </cell>
          <cell r="K1375">
            <v>-4.1081905981966422E-10</v>
          </cell>
          <cell r="L1375">
            <v>0</v>
          </cell>
          <cell r="M1375">
            <v>-5.2513569623351936E-2</v>
          </cell>
          <cell r="N1375">
            <v>-0.13287269487526357</v>
          </cell>
          <cell r="O1375">
            <v>-0.17387887770193308</v>
          </cell>
          <cell r="P1375">
            <v>-0.19920518755253075</v>
          </cell>
          <cell r="Q1375">
            <v>-0.22163661829628467</v>
          </cell>
          <cell r="R1375">
            <v>-0.24110233994154104</v>
          </cell>
          <cell r="S1375">
            <v>-0.25327820451927308</v>
          </cell>
          <cell r="T1375">
            <v>-0.25433812852765081</v>
          </cell>
          <cell r="U1375">
            <v>-0.24496326461683607</v>
          </cell>
          <cell r="V1375">
            <v>-0.23499798213059722</v>
          </cell>
          <cell r="W1375">
            <v>-0.22791892326955807</v>
          </cell>
          <cell r="X1375">
            <v>-0.22408697250724177</v>
          </cell>
          <cell r="Y1375">
            <v>-0.22161286296734609</v>
          </cell>
          <cell r="Z1375">
            <v>-0.21844660677551747</v>
          </cell>
          <cell r="AA1375">
            <v>-0.21187230610052399</v>
          </cell>
          <cell r="AB1375">
            <v>-0.20000931029294178</v>
          </cell>
          <cell r="AC1375">
            <v>-0.18136217536392482</v>
          </cell>
          <cell r="AD1375">
            <v>-0.15499696345719077</v>
          </cell>
          <cell r="AE1375">
            <v>-0.12072600746700474</v>
          </cell>
          <cell r="AF1375">
            <v>-7.8755968635083926E-2</v>
          </cell>
          <cell r="AG1375">
            <v>-3.1913247647468591E-2</v>
          </cell>
          <cell r="AH1375">
            <v>1.8359111831409335E-2</v>
          </cell>
          <cell r="AI1375">
            <v>7.1118914183384133E-2</v>
          </cell>
          <cell r="AJ1375">
            <v>0.12554728308631202</v>
          </cell>
          <cell r="AK1375">
            <v>0.18041625942193756</v>
          </cell>
          <cell r="AL1375">
            <v>0.23447350390079771</v>
          </cell>
          <cell r="AM1375">
            <v>0.2869337637267837</v>
          </cell>
          <cell r="AN1375">
            <v>0.33725947384572852</v>
          </cell>
          <cell r="AO1375">
            <v>0.38509769973777563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4.4686331007383461E-10</v>
          </cell>
          <cell r="H1376">
            <v>0</v>
          </cell>
          <cell r="I1376">
            <v>4.2917594707475353E-10</v>
          </cell>
          <cell r="J1376">
            <v>0</v>
          </cell>
          <cell r="K1376">
            <v>4.1081831254548802E-10</v>
          </cell>
          <cell r="L1376">
            <v>4.0165917937836607E-10</v>
          </cell>
          <cell r="M1376">
            <v>-1.0594596826794941E-3</v>
          </cell>
          <cell r="N1376">
            <v>-3.0869939605053594E-3</v>
          </cell>
          <cell r="O1376">
            <v>-4.2884244883717431E-3</v>
          </cell>
          <cell r="P1376">
            <v>-3.7653094540833158E-3</v>
          </cell>
          <cell r="Q1376">
            <v>-3.4917314257942337E-3</v>
          </cell>
          <cell r="R1376">
            <v>-9.1324553037507744E-4</v>
          </cell>
          <cell r="S1376">
            <v>3.7411824825403003E-3</v>
          </cell>
          <cell r="T1376">
            <v>9.5145290862867962E-3</v>
          </cell>
          <cell r="U1376">
            <v>1.554762190776221E-2</v>
          </cell>
          <cell r="V1376">
            <v>2.1197520226039466E-2</v>
          </cell>
          <cell r="W1376">
            <v>2.5892386635470239E-2</v>
          </cell>
          <cell r="X1376">
            <v>2.963164759318029E-2</v>
          </cell>
          <cell r="Y1376">
            <v>3.2602439311897491E-2</v>
          </cell>
          <cell r="Z1376">
            <v>3.5126343434068327E-2</v>
          </cell>
          <cell r="AA1376">
            <v>3.7105329147387581E-2</v>
          </cell>
          <cell r="AB1376">
            <v>3.879350183239362E-2</v>
          </cell>
          <cell r="AC1376">
            <v>4.0223350582079861E-2</v>
          </cell>
          <cell r="AD1376">
            <v>4.1385874960443651E-2</v>
          </cell>
          <cell r="AE1376">
            <v>4.2272392093790731E-2</v>
          </cell>
          <cell r="AF1376">
            <v>4.2452092994175211E-2</v>
          </cell>
          <cell r="AG1376">
            <v>4.1932692100705424E-2</v>
          </cell>
          <cell r="AH1376">
            <v>4.0824442712428931E-2</v>
          </cell>
          <cell r="AI1376">
            <v>3.9282511126929487E-2</v>
          </cell>
          <cell r="AJ1376">
            <v>3.7455282166641957E-2</v>
          </cell>
          <cell r="AK1376">
            <v>3.5328791449077995E-2</v>
          </cell>
          <cell r="AL1376">
            <v>3.3032047686005532E-2</v>
          </cell>
          <cell r="AM1376">
            <v>3.0676529928485304E-2</v>
          </cell>
          <cell r="AN1376">
            <v>2.8382397458133809E-2</v>
          </cell>
          <cell r="AO1376">
            <v>2.6263201637616199E-2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4.2917579094144954E-10</v>
          </cell>
          <cell r="J1377">
            <v>4.2003985707669303E-10</v>
          </cell>
          <cell r="K1377">
            <v>4.1081846200032326E-10</v>
          </cell>
          <cell r="L1377">
            <v>0</v>
          </cell>
          <cell r="M1377">
            <v>-2.555163243881043E-3</v>
          </cell>
          <cell r="N1377">
            <v>-6.7748385072767718E-3</v>
          </cell>
          <cell r="O1377">
            <v>-1.147275747499155E-2</v>
          </cell>
          <cell r="P1377">
            <v>-1.6739366855082184E-2</v>
          </cell>
          <cell r="Q1377">
            <v>-2.0285507115234146E-2</v>
          </cell>
          <cell r="R1377">
            <v>-2.2100241389852195E-2</v>
          </cell>
          <cell r="S1377">
            <v>-2.2435371840791998E-2</v>
          </cell>
          <cell r="T1377">
            <v>-2.1628765845593929E-2</v>
          </cell>
          <cell r="U1377">
            <v>-2.0004220534918023E-2</v>
          </cell>
          <cell r="V1377">
            <v>-1.815323366438765E-2</v>
          </cell>
          <cell r="W1377">
            <v>-1.6333607370120292E-2</v>
          </cell>
          <cell r="X1377">
            <v>-1.4511957340040127E-2</v>
          </cell>
          <cell r="Y1377">
            <v>-1.2505189648528267E-2</v>
          </cell>
          <cell r="Z1377">
            <v>-1.0236834176884249E-2</v>
          </cell>
          <cell r="AA1377">
            <v>-7.4698128247715325E-3</v>
          </cell>
          <cell r="AB1377">
            <v>-4.2789632638311906E-3</v>
          </cell>
          <cell r="AC1377">
            <v>-7.2215110522546558E-4</v>
          </cell>
          <cell r="AD1377">
            <v>3.1310565985640431E-3</v>
          </cell>
          <cell r="AE1377">
            <v>7.1905109386638877E-3</v>
          </cell>
          <cell r="AF1377">
            <v>1.1330752209925285E-2</v>
          </cell>
          <cell r="AG1377">
            <v>1.5230186384291305E-2</v>
          </cell>
          <cell r="AH1377">
            <v>1.8771728099685109E-2</v>
          </cell>
          <cell r="AI1377">
            <v>2.1914269350093451E-2</v>
          </cell>
          <cell r="AJ1377">
            <v>2.4648208285259019E-2</v>
          </cell>
          <cell r="AK1377">
            <v>2.6979026114794948E-2</v>
          </cell>
          <cell r="AL1377">
            <v>2.8841400184183432E-2</v>
          </cell>
          <cell r="AM1377">
            <v>3.0252208195160953E-2</v>
          </cell>
          <cell r="AN1377">
            <v>3.1264906621595485E-2</v>
          </cell>
          <cell r="AO1377">
            <v>3.1946721826977179E-2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8.1743256608035608E-8</v>
          </cell>
          <cell r="H1378">
            <v>0</v>
          </cell>
          <cell r="I1378">
            <v>7.8392492497414423E-8</v>
          </cell>
          <cell r="J1378">
            <v>0</v>
          </cell>
          <cell r="K1378">
            <v>7.4782491310543264E-8</v>
          </cell>
          <cell r="L1378">
            <v>7.2989703170378561E-8</v>
          </cell>
          <cell r="M1378">
            <v>-5.0193634480610871E-2</v>
          </cell>
          <cell r="N1378">
            <v>-9.612595115428002E-2</v>
          </cell>
          <cell r="O1378">
            <v>8.5938083754188987E-2</v>
          </cell>
          <cell r="P1378">
            <v>0.59792769922277778</v>
          </cell>
          <cell r="Q1378">
            <v>1.0433669932143896</v>
          </cell>
          <cell r="R1378">
            <v>1.5988863772023576</v>
          </cell>
          <cell r="S1378">
            <v>2.2271597199623017</v>
          </cell>
          <cell r="T1378">
            <v>2.8659010551061348</v>
          </cell>
          <cell r="U1378">
            <v>3.473136855048975</v>
          </cell>
          <cell r="V1378">
            <v>4.0234554057361649</v>
          </cell>
          <cell r="W1378">
            <v>4.4862989822192167</v>
          </cell>
          <cell r="X1378">
            <v>4.871317943483211</v>
          </cell>
          <cell r="Y1378">
            <v>5.1899096473139616</v>
          </cell>
          <cell r="Z1378">
            <v>5.4603043548343555</v>
          </cell>
          <cell r="AA1378">
            <v>5.6485647918311344</v>
          </cell>
          <cell r="AB1378">
            <v>5.7760411792894262</v>
          </cell>
          <cell r="AC1378">
            <v>5.8538622941217255</v>
          </cell>
          <cell r="AD1378">
            <v>5.8919250098989906</v>
          </cell>
          <cell r="AE1378">
            <v>5.9011318339304619</v>
          </cell>
          <cell r="AF1378">
            <v>5.8288022458871991</v>
          </cell>
          <cell r="AG1378">
            <v>5.6854401684967248</v>
          </cell>
          <cell r="AH1378">
            <v>5.4948722940204142</v>
          </cell>
          <cell r="AI1378">
            <v>5.2785403304264511</v>
          </cell>
          <cell r="AJ1378">
            <v>5.0521711500228772</v>
          </cell>
          <cell r="AK1378">
            <v>4.8053812147854646</v>
          </cell>
          <cell r="AL1378">
            <v>4.5512780889243043</v>
          </cell>
          <cell r="AM1378">
            <v>4.3030611797295171</v>
          </cell>
          <cell r="AN1378">
            <v>4.0732803232962134</v>
          </cell>
          <cell r="AO1378">
            <v>3.8721115971114273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1.5139356435156515E-8</v>
          </cell>
          <cell r="H1379">
            <v>2.8124746975777271E-8</v>
          </cell>
          <cell r="I1379">
            <v>7.9225848104158558E-8</v>
          </cell>
          <cell r="J1379">
            <v>8.77866002113592E-8</v>
          </cell>
          <cell r="K1379">
            <v>1.0841156861118861E-7</v>
          </cell>
          <cell r="L1379">
            <v>1.05152397900099E-7</v>
          </cell>
          <cell r="M1379">
            <v>-0.76193706296405761</v>
          </cell>
          <cell r="N1379">
            <v>-1.852050762205415</v>
          </cell>
          <cell r="O1379">
            <v>-2.7438749336752166</v>
          </cell>
          <cell r="P1379">
            <v>-3.4815356706734746</v>
          </cell>
          <cell r="Q1379">
            <v>-2.6781175781605104</v>
          </cell>
          <cell r="R1379">
            <v>-1.173773811388179</v>
          </cell>
          <cell r="S1379">
            <v>0.26077752342685834</v>
          </cell>
          <cell r="T1379">
            <v>1.3290484393735147</v>
          </cell>
          <cell r="U1379">
            <v>1.994334095457595</v>
          </cell>
          <cell r="V1379">
            <v>2.1159302884402154</v>
          </cell>
          <cell r="W1379">
            <v>1.8771589476527906</v>
          </cell>
          <cell r="X1379">
            <v>1.5118230035329194</v>
          </cell>
          <cell r="Y1379">
            <v>1.2278821518212579</v>
          </cell>
          <cell r="Z1379">
            <v>0.96625207780032252</v>
          </cell>
          <cell r="AA1379">
            <v>0.87695335090123283</v>
          </cell>
          <cell r="AB1379">
            <v>0.81729192709851795</v>
          </cell>
          <cell r="AC1379">
            <v>0.73679512690072446</v>
          </cell>
          <cell r="AD1379">
            <v>0.6369913461354848</v>
          </cell>
          <cell r="AE1379">
            <v>0.52317377334947235</v>
          </cell>
          <cell r="AF1379">
            <v>0.42246472921423361</v>
          </cell>
          <cell r="AG1379">
            <v>0.25677845470357674</v>
          </cell>
          <cell r="AH1379">
            <v>4.570462819322163E-2</v>
          </cell>
          <cell r="AI1379">
            <v>-0.17561522110082217</v>
          </cell>
          <cell r="AJ1379">
            <v>-0.39096939870082448</v>
          </cell>
          <cell r="AK1379">
            <v>-0.58799931326968258</v>
          </cell>
          <cell r="AL1379">
            <v>-0.81019927483817478</v>
          </cell>
          <cell r="AM1379">
            <v>-1.0620752601033678</v>
          </cell>
          <cell r="AN1379">
            <v>-1.3300354765064415</v>
          </cell>
          <cell r="AO1379">
            <v>-1.6029540700255307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-0.25215111562715276</v>
          </cell>
          <cell r="N1381">
            <v>-0.63576803656463232</v>
          </cell>
          <cell r="O1381">
            <v>-0.83846114624609447</v>
          </cell>
          <cell r="P1381">
            <v>-0.96989509888620873</v>
          </cell>
          <cell r="Q1381">
            <v>-1.077560878187267</v>
          </cell>
          <cell r="R1381">
            <v>-1.1622695940538552</v>
          </cell>
          <cell r="S1381">
            <v>-1.2067908156772389</v>
          </cell>
          <cell r="T1381">
            <v>-1.1970544458138832</v>
          </cell>
          <cell r="U1381">
            <v>-1.138864170081455</v>
          </cell>
          <cell r="V1381">
            <v>-1.0780187506394978</v>
          </cell>
          <cell r="W1381">
            <v>-1.0304406154689638</v>
          </cell>
          <cell r="X1381">
            <v>-0.99720018338801397</v>
          </cell>
          <cell r="Y1381">
            <v>-0.96935758667975325</v>
          </cell>
          <cell r="Z1381">
            <v>-0.93803762095220344</v>
          </cell>
          <cell r="AA1381">
            <v>-0.89148609664755352</v>
          </cell>
          <cell r="AB1381">
            <v>-0.82282711180298174</v>
          </cell>
          <cell r="AC1381">
            <v>-0.72688457573341081</v>
          </cell>
          <cell r="AD1381">
            <v>-0.60092116055928679</v>
          </cell>
          <cell r="AE1381">
            <v>-0.44525848775183174</v>
          </cell>
          <cell r="AF1381">
            <v>-0.26242607228511572</v>
          </cell>
          <cell r="AG1381">
            <v>-6.4513028360313474E-2</v>
          </cell>
          <cell r="AH1381">
            <v>0.14276743079133514</v>
          </cell>
          <cell r="AI1381">
            <v>0.35584387883738078</v>
          </cell>
          <cell r="AJ1381">
            <v>0.57164279394521511</v>
          </cell>
          <cell r="AK1381">
            <v>0.78557515064667793</v>
          </cell>
          <cell r="AL1381">
            <v>0.99273723697002048</v>
          </cell>
          <cell r="AM1381">
            <v>1.1903372828569125</v>
          </cell>
          <cell r="AN1381">
            <v>1.3766651286984066</v>
          </cell>
          <cell r="AO1381">
            <v>1.5507622926576037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0</v>
          </cell>
          <cell r="I1382">
            <v>-2.1724733123562601E-9</v>
          </cell>
          <cell r="J1382">
            <v>-2.1191937094044988E-9</v>
          </cell>
          <cell r="K1382">
            <v>-2.0642487719157998E-9</v>
          </cell>
          <cell r="L1382">
            <v>0</v>
          </cell>
          <cell r="M1382">
            <v>-0.26092163335745822</v>
          </cell>
          <cell r="N1382">
            <v>-0.65570199454265676</v>
          </cell>
          <cell r="O1382">
            <v>-0.85161660709418552</v>
          </cell>
          <cell r="P1382">
            <v>-0.96760463665843677</v>
          </cell>
          <cell r="Q1382">
            <v>-1.0665456082606606</v>
          </cell>
          <cell r="R1382">
            <v>-1.1492256127700218</v>
          </cell>
          <cell r="S1382">
            <v>-1.1957065391767663</v>
          </cell>
          <cell r="T1382">
            <v>-1.189115780626171</v>
          </cell>
          <cell r="U1382">
            <v>-1.1341279075192778</v>
          </cell>
          <cell r="V1382">
            <v>-1.0772780546297267</v>
          </cell>
          <cell r="W1382">
            <v>-1.0344642219996092</v>
          </cell>
          <cell r="X1382">
            <v>-1.006940424732472</v>
          </cell>
          <cell r="Y1382">
            <v>-0.98587226518977999</v>
          </cell>
          <cell r="Z1382">
            <v>-0.96202728278157457</v>
          </cell>
          <cell r="AA1382">
            <v>-0.92379410209511015</v>
          </cell>
          <cell r="AB1382">
            <v>-0.86346328722054499</v>
          </cell>
          <cell r="AC1382">
            <v>-0.7752725642325653</v>
          </cell>
          <cell r="AD1382">
            <v>-0.65606710138260693</v>
          </cell>
          <cell r="AE1382">
            <v>-0.50590992841885729</v>
          </cell>
          <cell r="AF1382">
            <v>-0.32718172969700143</v>
          </cell>
          <cell r="AG1382">
            <v>-0.13158228301620722</v>
          </cell>
          <cell r="AH1382">
            <v>7.5185584544401607E-2</v>
          </cell>
          <cell r="AI1382">
            <v>0.28942051388931578</v>
          </cell>
          <cell r="AJ1382">
            <v>0.50785068307868109</v>
          </cell>
          <cell r="AK1382">
            <v>0.72555945540102584</v>
          </cell>
          <cell r="AL1382">
            <v>0.93761045137772392</v>
          </cell>
          <cell r="AM1382">
            <v>1.1410017294623431</v>
          </cell>
          <cell r="AN1382">
            <v>1.3337492539431617</v>
          </cell>
          <cell r="AO1382">
            <v>1.5146222264591724</v>
          </cell>
        </row>
        <row r="1383">
          <cell r="E1383" t="str">
            <v>100*(X_2/X_0-1)</v>
          </cell>
          <cell r="F1383">
            <v>-1.5845802447955748E-8</v>
          </cell>
          <cell r="G1383">
            <v>0</v>
          </cell>
          <cell r="H1383">
            <v>-1.4756718069719454E-8</v>
          </cell>
          <cell r="I1383">
            <v>-2.8537283647267486E-8</v>
          </cell>
          <cell r="J1383">
            <v>-4.1419800922426475E-8</v>
          </cell>
          <cell r="K1383">
            <v>-5.3460036397723343E-8</v>
          </cell>
          <cell r="L1383">
            <v>-7.7646056251268192E-8</v>
          </cell>
          <cell r="M1383">
            <v>-0.93077514959710728</v>
          </cell>
          <cell r="N1383">
            <v>-1.7363180877643103</v>
          </cell>
          <cell r="O1383">
            <v>-1.3761169610354895</v>
          </cell>
          <cell r="P1383">
            <v>-1.3185092852606717</v>
          </cell>
          <cell r="Q1383">
            <v>-1.5623999273054467</v>
          </cell>
          <cell r="R1383">
            <v>-2.0709740250093422</v>
          </cell>
          <cell r="S1383">
            <v>-2.6891198224169188</v>
          </cell>
          <cell r="T1383">
            <v>-3.2763450405172145</v>
          </cell>
          <cell r="U1383">
            <v>-3.8132252453229154</v>
          </cell>
          <cell r="V1383">
            <v>-4.3994434140943284</v>
          </cell>
          <cell r="W1383">
            <v>-4.9716794497477341</v>
          </cell>
          <cell r="X1383">
            <v>-5.5248145914177815</v>
          </cell>
          <cell r="Y1383">
            <v>-6.0530971833216434</v>
          </cell>
          <cell r="Z1383">
            <v>-6.5522007454590909</v>
          </cell>
          <cell r="AA1383">
            <v>-7.0020932400803311</v>
          </cell>
          <cell r="AB1383">
            <v>-7.3927458368056476</v>
          </cell>
          <cell r="AC1383">
            <v>-7.7251084930342273</v>
          </cell>
          <cell r="AD1383">
            <v>-8.0029367658926542</v>
          </cell>
          <cell r="AE1383">
            <v>-8.230828753463836</v>
          </cell>
          <cell r="AF1383">
            <v>-8.3832079220265925</v>
          </cell>
          <cell r="AG1383">
            <v>-8.4591431851992915</v>
          </cell>
          <cell r="AH1383">
            <v>-8.4705661920155269</v>
          </cell>
          <cell r="AI1383">
            <v>-8.4319596484708104</v>
          </cell>
          <cell r="AJ1383">
            <v>-8.3565967658922542</v>
          </cell>
          <cell r="AK1383">
            <v>-8.2464603453407115</v>
          </cell>
          <cell r="AL1383">
            <v>-8.1036234417612434</v>
          </cell>
          <cell r="AM1383">
            <v>-7.9381318936121881</v>
          </cell>
          <cell r="AN1383">
            <v>-7.7608959416660461</v>
          </cell>
          <cell r="AO1383">
            <v>-7.5815829850952365</v>
          </cell>
        </row>
        <row r="1384">
          <cell r="E1384" t="str">
            <v>100*(M_2/M_0-1)</v>
          </cell>
          <cell r="F1384">
            <v>0</v>
          </cell>
          <cell r="G1384">
            <v>0</v>
          </cell>
          <cell r="H1384">
            <v>1.4633738665281726E-8</v>
          </cell>
          <cell r="I1384">
            <v>1.4268008996509707E-8</v>
          </cell>
          <cell r="J1384">
            <v>2.7790991730114456E-8</v>
          </cell>
          <cell r="K1384">
            <v>2.7043811634541726E-8</v>
          </cell>
          <cell r="L1384">
            <v>2.6295277066878953E-8</v>
          </cell>
          <cell r="M1384">
            <v>-0.42288616761929632</v>
          </cell>
          <cell r="N1384">
            <v>-0.90356676800104063</v>
          </cell>
          <cell r="O1384">
            <v>-0.92617659933725838</v>
          </cell>
          <cell r="P1384">
            <v>-0.8038264133880646</v>
          </cell>
          <cell r="Q1384">
            <v>-0.63256428773557083</v>
          </cell>
          <cell r="R1384">
            <v>-0.40141399499370456</v>
          </cell>
          <cell r="S1384">
            <v>-0.1236884926696713</v>
          </cell>
          <cell r="T1384">
            <v>0.19724570076697923</v>
          </cell>
          <cell r="U1384">
            <v>0.53982299103021436</v>
          </cell>
          <cell r="V1384">
            <v>0.83090554886953161</v>
          </cell>
          <cell r="W1384">
            <v>1.0647885877618446</v>
          </cell>
          <cell r="X1384">
            <v>1.2467356330360335</v>
          </cell>
          <cell r="Y1384">
            <v>1.3803755191909461</v>
          </cell>
          <cell r="Z1384">
            <v>1.4840838702159909</v>
          </cell>
          <cell r="AA1384">
            <v>1.5539780488486254</v>
          </cell>
          <cell r="AB1384">
            <v>1.5913958905219516</v>
          </cell>
          <cell r="AC1384">
            <v>1.6009139355520619</v>
          </cell>
          <cell r="AD1384">
            <v>1.5886578056325762</v>
          </cell>
          <cell r="AE1384">
            <v>1.5583177787759084</v>
          </cell>
          <cell r="AF1384">
            <v>1.4974919752177573</v>
          </cell>
          <cell r="AG1384">
            <v>1.3989039527491309</v>
          </cell>
          <cell r="AH1384">
            <v>1.2727529921415792</v>
          </cell>
          <cell r="AI1384">
            <v>1.1316643035793605</v>
          </cell>
          <cell r="AJ1384">
            <v>0.98563645404139422</v>
          </cell>
          <cell r="AK1384">
            <v>0.83370893012026936</v>
          </cell>
          <cell r="AL1384">
            <v>0.67910659881829094</v>
          </cell>
          <cell r="AM1384">
            <v>0.52825756004415414</v>
          </cell>
          <cell r="AN1384">
            <v>0.38760255228855733</v>
          </cell>
          <cell r="AO1384">
            <v>0.26226191867542159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8.2145801272304197E-8</v>
          </cell>
          <cell r="H1385">
            <v>0</v>
          </cell>
          <cell r="I1385">
            <v>7.8772677269967062E-8</v>
          </cell>
          <cell r="J1385">
            <v>0</v>
          </cell>
          <cell r="K1385">
            <v>7.5142314592824277E-8</v>
          </cell>
          <cell r="L1385">
            <v>7.3340400419397156E-8</v>
          </cell>
          <cell r="M1385">
            <v>-4.8992952857962457E-2</v>
          </cell>
          <cell r="N1385">
            <v>-9.1885002089886481E-2</v>
          </cell>
          <cell r="O1385">
            <v>9.510018666500919E-2</v>
          </cell>
          <cell r="P1385">
            <v>0.61375959727774099</v>
          </cell>
          <cell r="Q1385">
            <v>1.0653220595332691</v>
          </cell>
          <cell r="R1385">
            <v>1.624407764376179</v>
          </cell>
          <cell r="S1385">
            <v>2.2535969013302903</v>
          </cell>
          <cell r="T1385">
            <v>2.8914357441446104</v>
          </cell>
          <cell r="U1385">
            <v>3.4968696390974996</v>
          </cell>
          <cell r="V1385">
            <v>4.0452407411243119</v>
          </cell>
          <cell r="W1385">
            <v>4.5065384071045544</v>
          </cell>
          <cell r="X1385">
            <v>4.8905330251811874</v>
          </cell>
          <cell r="Y1385">
            <v>5.2084367915729235</v>
          </cell>
          <cell r="Z1385">
            <v>5.4781440390537117</v>
          </cell>
          <cell r="AA1385">
            <v>5.6653915674370392</v>
          </cell>
          <cell r="AB1385">
            <v>5.7913793672378588</v>
          </cell>
          <cell r="AC1385">
            <v>5.8673502728551208</v>
          </cell>
          <cell r="AD1385">
            <v>5.9033822430761607</v>
          </cell>
          <cell r="AE1385">
            <v>5.9105441725112229</v>
          </cell>
          <cell r="AF1385">
            <v>5.8362296786747425</v>
          </cell>
          <cell r="AG1385">
            <v>5.6911419702520227</v>
          </cell>
          <cell r="AH1385">
            <v>5.4993073877090737</v>
          </cell>
          <cell r="AI1385">
            <v>5.2822381312625621</v>
          </cell>
          <cell r="AJ1385">
            <v>5.0556376869610231</v>
          </cell>
          <cell r="AK1385">
            <v>4.8089985183282113</v>
          </cell>
          <cell r="AL1385">
            <v>4.5553672733785078</v>
          </cell>
          <cell r="AM1385">
            <v>4.3079098173790298</v>
          </cell>
          <cell r="AN1385">
            <v>4.0791127029591756</v>
          </cell>
          <cell r="AO1385">
            <v>3.8790664701952249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2.0049517601705702E-9</v>
          </cell>
          <cell r="H1386">
            <v>0</v>
          </cell>
          <cell r="I1386">
            <v>1.922195735915011E-9</v>
          </cell>
          <cell r="J1386">
            <v>0</v>
          </cell>
          <cell r="K1386">
            <v>1.829958407029153E-9</v>
          </cell>
          <cell r="L1386">
            <v>1.7819079545233762E-9</v>
          </cell>
          <cell r="M1386">
            <v>-0.2477917713858524</v>
          </cell>
          <cell r="N1386">
            <v>-0.62664197024648871</v>
          </cell>
          <cell r="O1386">
            <v>-0.82743224740650101</v>
          </cell>
          <cell r="P1386">
            <v>-0.95201639118199788</v>
          </cell>
          <cell r="Q1386">
            <v>-1.0548024250304766</v>
          </cell>
          <cell r="R1386">
            <v>-1.1256614835731482</v>
          </cell>
          <cell r="S1386">
            <v>-1.1491802540825269</v>
          </cell>
          <cell r="T1386">
            <v>-1.1160040628370616</v>
          </cell>
          <cell r="U1386">
            <v>-1.0354043216941666</v>
          </cell>
          <cell r="V1386">
            <v>-0.95426697487553946</v>
          </cell>
          <cell r="W1386">
            <v>-0.89025570069480864</v>
          </cell>
          <cell r="X1386">
            <v>-0.84430009105680437</v>
          </cell>
          <cell r="Y1386">
            <v>-0.80690176304210048</v>
          </cell>
          <cell r="Z1386">
            <v>-0.76811897708384258</v>
          </cell>
          <cell r="AA1386">
            <v>-0.71686931515306807</v>
          </cell>
          <cell r="AB1386">
            <v>-0.64542349678684552</v>
          </cell>
          <cell r="AC1386">
            <v>-0.54858042833976217</v>
          </cell>
          <cell r="AD1386">
            <v>-0.42366083985507785</v>
          </cell>
          <cell r="AE1386">
            <v>-0.27097243849508734</v>
          </cell>
          <cell r="AF1386">
            <v>-9.4280876958019455E-2</v>
          </cell>
          <cell r="AG1386">
            <v>9.4746329600736701E-2</v>
          </cell>
          <cell r="AH1386">
            <v>0.29095746221998731</v>
          </cell>
          <cell r="AI1386">
            <v>0.49142866970672827</v>
          </cell>
          <cell r="AJ1386">
            <v>0.69369271204220428</v>
          </cell>
          <cell r="AK1386">
            <v>0.89321458456177449</v>
          </cell>
          <cell r="AL1386">
            <v>1.0856839503946336</v>
          </cell>
          <cell r="AM1386">
            <v>1.2687738614007626</v>
          </cell>
          <cell r="AN1386">
            <v>1.441238750630025</v>
          </cell>
          <cell r="AO1386">
            <v>1.6025384461717529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5.5041349256157446E-8</v>
          </cell>
          <cell r="H1387">
            <v>0</v>
          </cell>
          <cell r="I1387">
            <v>5.304645611658998E-8</v>
          </cell>
          <cell r="J1387">
            <v>0</v>
          </cell>
          <cell r="K1387">
            <v>5.0732418266363766E-8</v>
          </cell>
          <cell r="L1387">
            <v>4.9538484425681872E-8</v>
          </cell>
          <cell r="M1387">
            <v>-0.13051082596791108</v>
          </cell>
          <cell r="N1387">
            <v>-0.37993145142317664</v>
          </cell>
          <cell r="O1387">
            <v>-0.52752326071935363</v>
          </cell>
          <cell r="P1387">
            <v>-0.46277519796956712</v>
          </cell>
          <cell r="Q1387">
            <v>-0.42820569635254602</v>
          </cell>
          <cell r="R1387">
            <v>-0.11169890165765306</v>
          </cell>
          <cell r="S1387">
            <v>0.45635156618668571</v>
          </cell>
          <cell r="T1387">
            <v>1.1578469175010486</v>
          </cell>
          <cell r="U1387">
            <v>1.888716721009831</v>
          </cell>
          <cell r="V1387">
            <v>2.5725284177989138</v>
          </cell>
          <cell r="W1387">
            <v>3.1418879913425402</v>
          </cell>
          <cell r="X1387">
            <v>3.5983768589660903</v>
          </cell>
          <cell r="Y1387">
            <v>3.9656601146240478</v>
          </cell>
          <cell r="Z1387">
            <v>4.2841009258713481</v>
          </cell>
          <cell r="AA1387">
            <v>4.5410870210826682</v>
          </cell>
          <cell r="AB1387">
            <v>4.7677634423998416</v>
          </cell>
          <cell r="AC1387">
            <v>4.9677763425771904</v>
          </cell>
          <cell r="AD1387">
            <v>5.1392771591131758</v>
          </cell>
          <cell r="AE1387">
            <v>5.2824644320262459</v>
          </cell>
          <cell r="AF1387">
            <v>5.3400714131510707</v>
          </cell>
          <cell r="AG1387">
            <v>5.3097406877953945</v>
          </cell>
          <cell r="AH1387">
            <v>5.2022034967672104</v>
          </cell>
          <cell r="AI1387">
            <v>5.0341684273616849</v>
          </cell>
          <cell r="AJ1387">
            <v>4.8227779759062672</v>
          </cell>
          <cell r="AK1387">
            <v>4.5657457563814452</v>
          </cell>
          <cell r="AL1387">
            <v>4.2801611005618634</v>
          </cell>
          <cell r="AM1387">
            <v>3.9814434105060803</v>
          </cell>
          <cell r="AN1387">
            <v>3.6863854776400196</v>
          </cell>
          <cell r="AO1387">
            <v>3.4109258878844972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2.434334955836448E-8</v>
          </cell>
          <cell r="J1388">
            <v>2.3992496878122438E-8</v>
          </cell>
          <cell r="K1388">
            <v>2.3634516566062302E-8</v>
          </cell>
          <cell r="L1388">
            <v>0</v>
          </cell>
          <cell r="M1388">
            <v>-0.14912904589019504</v>
          </cell>
          <cell r="N1388">
            <v>-0.39829007446269271</v>
          </cell>
          <cell r="O1388">
            <v>-0.67939928934105387</v>
          </cell>
          <cell r="P1388">
            <v>-0.99800901030309142</v>
          </cell>
          <cell r="Q1388">
            <v>-1.2146213665080174</v>
          </cell>
          <cell r="R1388">
            <v>-1.32652717808589</v>
          </cell>
          <cell r="S1388">
            <v>-1.3478454612342983</v>
          </cell>
          <cell r="T1388">
            <v>-1.2990366717927304</v>
          </cell>
          <cell r="U1388">
            <v>-1.2002435417316382</v>
          </cell>
          <cell r="V1388">
            <v>-1.0877000011151883</v>
          </cell>
          <cell r="W1388">
            <v>-0.97739280767901171</v>
          </cell>
          <cell r="X1388">
            <v>-0.86760766286214652</v>
          </cell>
          <cell r="Y1388">
            <v>-0.74746412330763956</v>
          </cell>
          <cell r="Z1388">
            <v>-0.61224481613265658</v>
          </cell>
          <cell r="AA1388">
            <v>-0.44753946015348989</v>
          </cell>
          <cell r="AB1388">
            <v>-0.25715060018939306</v>
          </cell>
          <cell r="AC1388">
            <v>-4.3591822369970501E-2</v>
          </cell>
          <cell r="AD1388">
            <v>0.19010485327410898</v>
          </cell>
          <cell r="AE1388">
            <v>0.43961434601293981</v>
          </cell>
          <cell r="AF1388">
            <v>0.69855983188749082</v>
          </cell>
          <cell r="AG1388">
            <v>0.94801493526639469</v>
          </cell>
          <cell r="AH1388">
            <v>1.1809630747781963</v>
          </cell>
          <cell r="AI1388">
            <v>1.394466431719521</v>
          </cell>
          <cell r="AJ1388">
            <v>1.5870711872078447</v>
          </cell>
          <cell r="AK1388">
            <v>1.7580203621491153</v>
          </cell>
          <cell r="AL1388">
            <v>1.9017544382601281</v>
          </cell>
          <cell r="AM1388">
            <v>2.0178903068263754</v>
          </cell>
          <cell r="AN1388">
            <v>2.1085291854202159</v>
          </cell>
          <cell r="AO1388">
            <v>2.176895675190349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7.0677441676991748E-8</v>
          </cell>
          <cell r="H1389">
            <v>1.3566630041594863E-7</v>
          </cell>
          <cell r="I1389">
            <v>1.2970320373284494E-7</v>
          </cell>
          <cell r="J1389">
            <v>1.863338372487533E-7</v>
          </cell>
          <cell r="K1389">
            <v>1.7828407639086663E-7</v>
          </cell>
          <cell r="L1389">
            <v>1.7053403134070777E-7</v>
          </cell>
          <cell r="M1389">
            <v>0.46213047746881397</v>
          </cell>
          <cell r="N1389">
            <v>1.2870225597394036</v>
          </cell>
          <cell r="O1389">
            <v>2.9266339352680859</v>
          </cell>
          <cell r="P1389">
            <v>5.549010768912277</v>
          </cell>
          <cell r="Q1389">
            <v>7.4241663672523162</v>
          </cell>
          <cell r="R1389">
            <v>9.4189938638977502</v>
          </cell>
          <cell r="S1389">
            <v>11.387332986497878</v>
          </cell>
          <cell r="T1389">
            <v>13.273064362586284</v>
          </cell>
          <cell r="U1389">
            <v>15.052414012868653</v>
          </cell>
          <cell r="V1389">
            <v>16.787759989483497</v>
          </cell>
          <cell r="W1389">
            <v>18.425359582712851</v>
          </cell>
          <cell r="X1389">
            <v>19.956879569135854</v>
          </cell>
          <cell r="Y1389">
            <v>21.339190336546189</v>
          </cell>
          <cell r="Z1389">
            <v>22.590193291041949</v>
          </cell>
          <cell r="AA1389">
            <v>23.534703838531911</v>
          </cell>
          <cell r="AB1389">
            <v>24.2780023242249</v>
          </cell>
          <cell r="AC1389">
            <v>24.817167414339146</v>
          </cell>
          <cell r="AD1389">
            <v>25.160851946906316</v>
          </cell>
          <cell r="AE1389">
            <v>25.327337259936165</v>
          </cell>
          <cell r="AF1389">
            <v>25.198333392200233</v>
          </cell>
          <cell r="AG1389">
            <v>24.908413450570045</v>
          </cell>
          <cell r="AH1389">
            <v>24.502663721296901</v>
          </cell>
          <cell r="AI1389">
            <v>24.019360396937174</v>
          </cell>
          <cell r="AJ1389">
            <v>23.49061748460224</v>
          </cell>
          <cell r="AK1389">
            <v>22.891240808361381</v>
          </cell>
          <cell r="AL1389">
            <v>22.297711272757127</v>
          </cell>
          <cell r="AM1389">
            <v>21.737624399299271</v>
          </cell>
          <cell r="AN1389">
            <v>21.234946479953255</v>
          </cell>
          <cell r="AO1389">
            <v>20.807939202185821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-2.7068836061516777E-8</v>
          </cell>
          <cell r="H1390">
            <v>3.9908920612674592E-8</v>
          </cell>
          <cell r="I1390">
            <v>3.6043523721218662E-8</v>
          </cell>
          <cell r="J1390">
            <v>9.4585228538335286E-8</v>
          </cell>
          <cell r="K1390">
            <v>-1.4778844814600234E-9</v>
          </cell>
          <cell r="L1390">
            <v>-5.5396798259721436E-9</v>
          </cell>
          <cell r="M1390">
            <v>-7.3623153195079283E-2</v>
          </cell>
          <cell r="N1390">
            <v>-0.11290874648883786</v>
          </cell>
          <cell r="O1390">
            <v>0.1843010224109376</v>
          </cell>
          <cell r="P1390">
            <v>0.85584961451996566</v>
          </cell>
          <cell r="Q1390">
            <v>1.2465798173446174</v>
          </cell>
          <cell r="R1390">
            <v>1.8789603971305571</v>
          </cell>
          <cell r="S1390">
            <v>2.5800554120531736</v>
          </cell>
          <cell r="T1390">
            <v>3.2751615658598077</v>
          </cell>
          <cell r="U1390">
            <v>3.9344371217200127</v>
          </cell>
          <cell r="V1390">
            <v>4.5425773682310489</v>
          </cell>
          <cell r="W1390">
            <v>5.0588909222661655</v>
          </cell>
          <cell r="X1390">
            <v>5.5119572986478182</v>
          </cell>
          <cell r="Y1390">
            <v>5.9063999349906258</v>
          </cell>
          <cell r="Z1390">
            <v>6.2616248273227981</v>
          </cell>
          <cell r="AA1390">
            <v>6.4976682959622565</v>
          </cell>
          <cell r="AB1390">
            <v>6.6748859781434291</v>
          </cell>
          <cell r="AC1390">
            <v>6.7938808091226619</v>
          </cell>
          <cell r="AD1390">
            <v>6.862678181809212</v>
          </cell>
          <cell r="AE1390">
            <v>6.8934875825234592</v>
          </cell>
          <cell r="AF1390">
            <v>6.7865805844408378</v>
          </cell>
          <cell r="AG1390">
            <v>6.6024089087597631</v>
          </cell>
          <cell r="AH1390">
            <v>6.3738819063340983</v>
          </cell>
          <cell r="AI1390">
            <v>6.1224696964345284</v>
          </cell>
          <cell r="AJ1390">
            <v>5.8625741608503432</v>
          </cell>
          <cell r="AK1390">
            <v>5.5673278542657272</v>
          </cell>
          <cell r="AL1390">
            <v>5.2702364742700532</v>
          </cell>
          <cell r="AM1390">
            <v>4.9858473637515814</v>
          </cell>
          <cell r="AN1390">
            <v>4.7276921895903712</v>
          </cell>
          <cell r="AO1390">
            <v>4.5057521425128968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7.0677441676991748E-8</v>
          </cell>
          <cell r="H1391">
            <v>1.3566630041594863E-7</v>
          </cell>
          <cell r="I1391">
            <v>1.2970320373284494E-7</v>
          </cell>
          <cell r="J1391">
            <v>1.863338372487533E-7</v>
          </cell>
          <cell r="K1391">
            <v>1.7828407639086663E-7</v>
          </cell>
          <cell r="L1391">
            <v>1.7053403134070777E-7</v>
          </cell>
          <cell r="M1391">
            <v>0.56800100938694253</v>
          </cell>
          <cell r="N1391">
            <v>1.5329771216790578</v>
          </cell>
          <cell r="O1391">
            <v>3.0998688214445957</v>
          </cell>
          <cell r="P1391">
            <v>5.4704303732579618</v>
          </cell>
          <cell r="Q1391">
            <v>7.1142090660004875</v>
          </cell>
          <cell r="R1391">
            <v>8.9562775456302859</v>
          </cell>
          <cell r="S1391">
            <v>10.844745376175924</v>
          </cell>
          <cell r="T1391">
            <v>12.697344415392852</v>
          </cell>
          <cell r="U1391">
            <v>14.473544211028976</v>
          </cell>
          <cell r="V1391">
            <v>16.2375817041146</v>
          </cell>
          <cell r="W1391">
            <v>17.935133511390177</v>
          </cell>
          <cell r="X1391">
            <v>19.555819915202832</v>
          </cell>
          <cell r="Y1391">
            <v>21.052581363954204</v>
          </cell>
          <cell r="Z1391">
            <v>22.437108324045063</v>
          </cell>
          <cell r="AA1391">
            <v>23.537815354509039</v>
          </cell>
          <cell r="AB1391">
            <v>24.450869128102102</v>
          </cell>
          <cell r="AC1391">
            <v>25.162846457064468</v>
          </cell>
          <cell r="AD1391">
            <v>25.673333308237957</v>
          </cell>
          <cell r="AE1391">
            <v>25.993990554456456</v>
          </cell>
          <cell r="AF1391">
            <v>26.010105617036814</v>
          </cell>
          <cell r="AG1391">
            <v>25.851021870923208</v>
          </cell>
          <cell r="AH1391">
            <v>25.555298047535366</v>
          </cell>
          <cell r="AI1391">
            <v>25.155798225041792</v>
          </cell>
          <cell r="AJ1391">
            <v>24.681500417150417</v>
          </cell>
          <cell r="AK1391">
            <v>24.110144820016302</v>
          </cell>
          <cell r="AL1391">
            <v>23.517606848293127</v>
          </cell>
          <cell r="AM1391">
            <v>22.931806752505523</v>
          </cell>
          <cell r="AN1391">
            <v>22.37858336621591</v>
          </cell>
          <cell r="AO1391">
            <v>21.879216450737427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-2.7068836061516777E-8</v>
          </cell>
          <cell r="H1392">
            <v>3.9908920612674592E-8</v>
          </cell>
          <cell r="I1392">
            <v>3.6043523721218662E-8</v>
          </cell>
          <cell r="J1392">
            <v>9.4585228538335286E-8</v>
          </cell>
          <cell r="K1392">
            <v>-1.4778844814600234E-9</v>
          </cell>
          <cell r="L1392">
            <v>-5.5396798259721436E-9</v>
          </cell>
          <cell r="M1392">
            <v>3.224737872304928E-2</v>
          </cell>
          <cell r="N1392">
            <v>0.13304581545081628</v>
          </cell>
          <cell r="O1392">
            <v>0.35753590858744744</v>
          </cell>
          <cell r="P1392">
            <v>0.77726921886565048</v>
          </cell>
          <cell r="Q1392">
            <v>0.93662251609278879</v>
          </cell>
          <cell r="R1392">
            <v>1.4162440788630928</v>
          </cell>
          <cell r="S1392">
            <v>2.0374678017312196</v>
          </cell>
          <cell r="T1392">
            <v>2.6994416186663752</v>
          </cell>
          <cell r="U1392">
            <v>3.3555673198803362</v>
          </cell>
          <cell r="V1392">
            <v>3.9923990828621516</v>
          </cell>
          <cell r="W1392">
            <v>4.5686648509434917</v>
          </cell>
          <cell r="X1392">
            <v>5.1108976447147967</v>
          </cell>
          <cell r="Y1392">
            <v>5.6197909623986408</v>
          </cell>
          <cell r="Z1392">
            <v>6.1085398603259122</v>
          </cell>
          <cell r="AA1392">
            <v>6.5007798119393847</v>
          </cell>
          <cell r="AB1392">
            <v>6.8477527820206312</v>
          </cell>
          <cell r="AC1392">
            <v>7.1395598518479844</v>
          </cell>
          <cell r="AD1392">
            <v>7.3751595431408532</v>
          </cell>
          <cell r="AE1392">
            <v>7.5601408770437502</v>
          </cell>
          <cell r="AF1392">
            <v>7.5983528092774186</v>
          </cell>
          <cell r="AG1392">
            <v>7.5450173291129268</v>
          </cell>
          <cell r="AH1392">
            <v>7.4265162325725633</v>
          </cell>
          <cell r="AI1392">
            <v>7.258907524539147</v>
          </cell>
          <cell r="AJ1392">
            <v>7.0534570933985208</v>
          </cell>
          <cell r="AK1392">
            <v>6.786231865920648</v>
          </cell>
          <cell r="AL1392">
            <v>6.4901320498060535</v>
          </cell>
          <cell r="AM1392">
            <v>6.1800297169578329</v>
          </cell>
          <cell r="AN1392">
            <v>5.8713290758530263</v>
          </cell>
          <cell r="AO1392">
            <v>5.577029391064503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-2.7068836061516777E-8</v>
          </cell>
          <cell r="H1394">
            <v>3.9908920612674592E-8</v>
          </cell>
          <cell r="I1394">
            <v>3.6043523721218662E-8</v>
          </cell>
          <cell r="J1394">
            <v>9.4585228538335286E-8</v>
          </cell>
          <cell r="K1394">
            <v>-1.4778844814600234E-9</v>
          </cell>
          <cell r="L1394">
            <v>-5.5396798259721436E-9</v>
          </cell>
          <cell r="M1394">
            <v>-7.3623153195079283E-2</v>
          </cell>
          <cell r="N1394">
            <v>-0.11290874648883786</v>
          </cell>
          <cell r="O1394">
            <v>0.1843010224109376</v>
          </cell>
          <cell r="P1394">
            <v>0.85584961451996566</v>
          </cell>
          <cell r="Q1394">
            <v>1.2465798173446174</v>
          </cell>
          <cell r="R1394">
            <v>1.8789603971305571</v>
          </cell>
          <cell r="S1394">
            <v>2.5800554120531736</v>
          </cell>
          <cell r="T1394">
            <v>3.2751615658598077</v>
          </cell>
          <cell r="U1394">
            <v>3.9344371217200127</v>
          </cell>
          <cell r="V1394">
            <v>4.5425773682310489</v>
          </cell>
          <cell r="W1394">
            <v>5.0588909222661655</v>
          </cell>
          <cell r="X1394">
            <v>5.5119572986478182</v>
          </cell>
          <cell r="Y1394">
            <v>5.9063999349906258</v>
          </cell>
          <cell r="Z1394">
            <v>6.2616248273227981</v>
          </cell>
          <cell r="AA1394">
            <v>6.4976682959622565</v>
          </cell>
          <cell r="AB1394">
            <v>6.6748859781434291</v>
          </cell>
          <cell r="AC1394">
            <v>6.7938808091226619</v>
          </cell>
          <cell r="AD1394">
            <v>6.862678181809212</v>
          </cell>
          <cell r="AE1394">
            <v>6.8934875825234592</v>
          </cell>
          <cell r="AF1394">
            <v>6.7865805844408378</v>
          </cell>
          <cell r="AG1394">
            <v>6.6024089087597631</v>
          </cell>
          <cell r="AH1394">
            <v>6.3738819063340983</v>
          </cell>
          <cell r="AI1394">
            <v>6.1224696964345284</v>
          </cell>
          <cell r="AJ1394">
            <v>5.8625741608503432</v>
          </cell>
          <cell r="AK1394">
            <v>5.5673278542657272</v>
          </cell>
          <cell r="AL1394">
            <v>5.2702364742700532</v>
          </cell>
          <cell r="AM1394">
            <v>4.9858473637515814</v>
          </cell>
          <cell r="AN1394">
            <v>4.7276921895903712</v>
          </cell>
          <cell r="AO1394">
            <v>4.5057521425128968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9.5713059700130998E-8</v>
          </cell>
          <cell r="I1395">
            <v>9.3547192214771258E-8</v>
          </cell>
          <cell r="J1395">
            <v>9.1466256790795342E-8</v>
          </cell>
          <cell r="K1395">
            <v>8.9439522454881626E-8</v>
          </cell>
          <cell r="L1395">
            <v>1.7488288595046697E-7</v>
          </cell>
          <cell r="M1395">
            <v>0.33625368895955354</v>
          </cell>
          <cell r="N1395">
            <v>1.0079447683740694</v>
          </cell>
          <cell r="O1395">
            <v>2.1520529468184613</v>
          </cell>
          <cell r="P1395">
            <v>3.8957329518317207</v>
          </cell>
          <cell r="Q1395">
            <v>5.5269125285303478</v>
          </cell>
          <cell r="R1395">
            <v>7.0328828662156395</v>
          </cell>
          <cell r="S1395">
            <v>8.4344168554674184</v>
          </cell>
          <cell r="T1395">
            <v>9.7539180538013248</v>
          </cell>
          <cell r="U1395">
            <v>11.000990393871524</v>
          </cell>
          <cell r="V1395">
            <v>12.225884092178863</v>
          </cell>
          <cell r="W1395">
            <v>13.43233246305433</v>
          </cell>
          <cell r="X1395">
            <v>14.596308055463636</v>
          </cell>
          <cell r="Y1395">
            <v>15.679736733496718</v>
          </cell>
          <cell r="Z1395">
            <v>16.66604699508223</v>
          </cell>
          <cell r="AA1395">
            <v>17.47848495648774</v>
          </cell>
          <cell r="AB1395">
            <v>18.127810282608927</v>
          </cell>
          <cell r="AC1395">
            <v>18.619470117254444</v>
          </cell>
          <cell r="AD1395">
            <v>18.959499014077362</v>
          </cell>
          <cell r="AE1395">
            <v>19.157567540538189</v>
          </cell>
          <cell r="AF1395">
            <v>19.175024286044163</v>
          </cell>
          <cell r="AG1395">
            <v>19.08497442021746</v>
          </cell>
          <cell r="AH1395">
            <v>18.921210852617044</v>
          </cell>
          <cell r="AI1395">
            <v>18.707740426610584</v>
          </cell>
          <cell r="AJ1395">
            <v>18.464711328175042</v>
          </cell>
          <cell r="AK1395">
            <v>18.192441896972866</v>
          </cell>
          <cell r="AL1395">
            <v>17.923774938308725</v>
          </cell>
          <cell r="AM1395">
            <v>17.677682249232408</v>
          </cell>
          <cell r="AN1395">
            <v>17.46596191236933</v>
          </cell>
          <cell r="AO1395">
            <v>17.296554194166003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9.1705443239220585E-8</v>
          </cell>
          <cell r="K1396">
            <v>1.796024884370695E-7</v>
          </cell>
          <cell r="L1396">
            <v>1.7588708267624042E-7</v>
          </cell>
          <cell r="M1396">
            <v>0.41960432418852722</v>
          </cell>
          <cell r="N1396">
            <v>1.1896011684735086</v>
          </cell>
          <cell r="O1396">
            <v>2.4523380528261418</v>
          </cell>
          <cell r="P1396">
            <v>4.3080410986349182</v>
          </cell>
          <cell r="Q1396">
            <v>5.9451105015469574</v>
          </cell>
          <cell r="R1396">
            <v>7.3542901613224299</v>
          </cell>
          <cell r="S1396">
            <v>8.5880677019682494</v>
          </cell>
          <cell r="T1396">
            <v>9.6956180174795357</v>
          </cell>
          <cell r="U1396">
            <v>10.706900941829378</v>
          </cell>
          <cell r="V1396">
            <v>11.700303077316644</v>
          </cell>
          <cell r="W1396">
            <v>12.693887499560796</v>
          </cell>
          <cell r="X1396">
            <v>13.661035649310316</v>
          </cell>
          <cell r="Y1396">
            <v>14.564387510436516</v>
          </cell>
          <cell r="Z1396">
            <v>15.386621430495829</v>
          </cell>
          <cell r="AA1396">
            <v>16.053065537931531</v>
          </cell>
          <cell r="AB1396">
            <v>16.578134765034136</v>
          </cell>
          <cell r="AC1396">
            <v>16.964343522406033</v>
          </cell>
          <cell r="AD1396">
            <v>17.215170655441135</v>
          </cell>
          <cell r="AE1396">
            <v>17.337732385675576</v>
          </cell>
          <cell r="AF1396">
            <v>17.323084784050803</v>
          </cell>
          <cell r="AG1396">
            <v>17.233251728450472</v>
          </cell>
          <cell r="AH1396">
            <v>17.087793064822399</v>
          </cell>
          <cell r="AI1396">
            <v>16.902704730760988</v>
          </cell>
          <cell r="AJ1396">
            <v>16.692521610098954</v>
          </cell>
          <cell r="AK1396">
            <v>16.458304539284963</v>
          </cell>
          <cell r="AL1396">
            <v>16.234223675002202</v>
          </cell>
          <cell r="AM1396">
            <v>16.034636635996446</v>
          </cell>
          <cell r="AN1396">
            <v>15.868019883939844</v>
          </cell>
          <cell r="AO1396">
            <v>15.739866093368793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0.71356622172094042</v>
          </cell>
          <cell r="N1397">
            <v>1.4650527727576357</v>
          </cell>
          <cell r="O1397">
            <v>2.294605404291894</v>
          </cell>
          <cell r="P1397">
            <v>3.196653872289823</v>
          </cell>
          <cell r="Q1397">
            <v>3.8944685033807547</v>
          </cell>
          <cell r="R1397">
            <v>4.2623407282948111</v>
          </cell>
          <cell r="S1397">
            <v>4.4393313309870841</v>
          </cell>
          <cell r="T1397">
            <v>4.4878064851526567</v>
          </cell>
          <cell r="U1397">
            <v>4.4367910476070582</v>
          </cell>
          <cell r="V1397">
            <v>4.404890252965421</v>
          </cell>
          <cell r="W1397">
            <v>4.4543745583975447</v>
          </cell>
          <cell r="X1397">
            <v>4.5022780586599476</v>
          </cell>
          <cell r="Y1397">
            <v>4.5247620697220103</v>
          </cell>
          <cell r="Z1397">
            <v>4.5138523253333007</v>
          </cell>
          <cell r="AA1397">
            <v>4.4914279117367117</v>
          </cell>
          <cell r="AB1397">
            <v>4.4647746489783202</v>
          </cell>
          <cell r="AC1397">
            <v>4.3990102015891264</v>
          </cell>
          <cell r="AD1397">
            <v>4.2809577357064033</v>
          </cell>
          <cell r="AE1397">
            <v>4.1081622227913339</v>
          </cell>
          <cell r="AF1397">
            <v>4.0104220838628413</v>
          </cell>
          <cell r="AG1397">
            <v>4.0284652715356195</v>
          </cell>
          <cell r="AH1397">
            <v>4.0738907905395472</v>
          </cell>
          <cell r="AI1397">
            <v>4.119304392140144</v>
          </cell>
          <cell r="AJ1397">
            <v>4.158196408845849</v>
          </cell>
          <cell r="AK1397">
            <v>4.2275692135815834</v>
          </cell>
          <cell r="AL1397">
            <v>4.3578451137387786</v>
          </cell>
          <cell r="AM1397">
            <v>4.5162846801903189</v>
          </cell>
          <cell r="AN1397">
            <v>4.6880375315070832</v>
          </cell>
          <cell r="AO1397">
            <v>4.8663729584135007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0</v>
          </cell>
          <cell r="H1398">
            <v>2.2798207766072665E-8</v>
          </cell>
          <cell r="I1398">
            <v>4.4138759314193976E-8</v>
          </cell>
          <cell r="J1398">
            <v>6.4016925094279031E-8</v>
          </cell>
          <cell r="K1398">
            <v>8.2482265462147097E-8</v>
          </cell>
          <cell r="L1398">
            <v>9.9569530398468942E-8</v>
          </cell>
          <cell r="M1398">
            <v>-2.3419476570363251E-2</v>
          </cell>
          <cell r="N1398">
            <v>8.3219460197381245E-2</v>
          </cell>
          <cell r="O1398">
            <v>0.45842377805613843</v>
          </cell>
          <cell r="P1398">
            <v>1.212258298966562</v>
          </cell>
          <cell r="Q1398">
            <v>2.4320539963383014</v>
          </cell>
          <cell r="R1398">
            <v>3.8853214975732797</v>
          </cell>
          <cell r="S1398">
            <v>5.4233525363125201</v>
          </cell>
          <cell r="T1398">
            <v>6.9597321839223181</v>
          </cell>
          <cell r="U1398">
            <v>8.4467097511914382</v>
          </cell>
          <cell r="V1398">
            <v>9.8548846834243484</v>
          </cell>
          <cell r="W1398">
            <v>11.189274681578599</v>
          </cell>
          <cell r="X1398">
            <v>12.45903004049298</v>
          </cell>
          <cell r="Y1398">
            <v>13.664032724299702</v>
          </cell>
          <cell r="Z1398">
            <v>14.788819833892397</v>
          </cell>
          <cell r="AA1398">
            <v>15.818120821773229</v>
          </cell>
          <cell r="AB1398">
            <v>16.716046584801415</v>
          </cell>
          <cell r="AC1398">
            <v>17.465106727680269</v>
          </cell>
          <cell r="AD1398">
            <v>18.056620083916442</v>
          </cell>
          <cell r="AE1398">
            <v>18.487247651027737</v>
          </cell>
          <cell r="AF1398">
            <v>18.758598184839425</v>
          </cell>
          <cell r="AG1398">
            <v>18.868988885240292</v>
          </cell>
          <cell r="AH1398">
            <v>18.838924974079774</v>
          </cell>
          <cell r="AI1398">
            <v>18.693344491935449</v>
          </cell>
          <cell r="AJ1398">
            <v>18.457686184208001</v>
          </cell>
          <cell r="AK1398">
            <v>18.156130441177588</v>
          </cell>
          <cell r="AL1398">
            <v>17.807777910397359</v>
          </cell>
          <cell r="AM1398">
            <v>17.437935008943107</v>
          </cell>
          <cell r="AN1398">
            <v>17.070175182085336</v>
          </cell>
          <cell r="AO1398">
            <v>16.724141420072037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-9.7746266636278278E-8</v>
          </cell>
          <cell r="H1399">
            <v>-7.2959194241661862E-8</v>
          </cell>
          <cell r="I1399">
            <v>-4.9520920697432302E-8</v>
          </cell>
          <cell r="J1399">
            <v>-2.7731672513908734E-8</v>
          </cell>
          <cell r="K1399">
            <v>-9.7279706512409803E-8</v>
          </cell>
          <cell r="L1399">
            <v>-7.6504169665980726E-8</v>
          </cell>
          <cell r="M1399">
            <v>-0.55619328153492242</v>
          </cell>
          <cell r="N1399">
            <v>-1.2985332722311171</v>
          </cell>
          <cell r="O1399">
            <v>-2.222948486811327</v>
          </cell>
          <cell r="P1399">
            <v>-3.3248617359947663</v>
          </cell>
          <cell r="Q1399">
            <v>-3.5276113116480046</v>
          </cell>
          <cell r="R1399">
            <v>-3.3984664607002446</v>
          </cell>
          <cell r="S1399">
            <v>-3.1100171914667518</v>
          </cell>
          <cell r="T1399">
            <v>-2.7620259437296846</v>
          </cell>
          <cell r="U1399">
            <v>-2.403991878446432</v>
          </cell>
          <cell r="V1399">
            <v>-2.1295327621263183</v>
          </cell>
          <cell r="W1399">
            <v>-1.9204920154911043</v>
          </cell>
          <cell r="X1399">
            <v>-1.7352383929288173</v>
          </cell>
          <cell r="Y1399">
            <v>-1.5322835661365275</v>
          </cell>
          <cell r="Z1399">
            <v>-1.3236203712993833</v>
          </cell>
          <cell r="AA1399">
            <v>-1.0414777810679232</v>
          </cell>
          <cell r="AB1399">
            <v>-0.75429103313009449</v>
          </cell>
          <cell r="AC1399">
            <v>-0.47294046250662136</v>
          </cell>
          <cell r="AD1399">
            <v>-0.20419054114926283</v>
          </cell>
          <cell r="AE1399">
            <v>4.508674991183792E-2</v>
          </cell>
          <cell r="AF1399">
            <v>0.29291465488492374</v>
          </cell>
          <cell r="AG1399">
            <v>0.47587131829056606</v>
          </cell>
          <cell r="AH1399">
            <v>0.60116014760007719</v>
          </cell>
          <cell r="AI1399">
            <v>0.6755511419347382</v>
          </cell>
          <cell r="AJ1399">
            <v>0.70531043194577148</v>
          </cell>
          <cell r="AK1399">
            <v>0.70933321786459391</v>
          </cell>
          <cell r="AL1399">
            <v>0.66676916104861927</v>
          </cell>
          <cell r="AM1399">
            <v>0.58770666350242973</v>
          </cell>
          <cell r="AN1399">
            <v>0.4831638125464055</v>
          </cell>
          <cell r="AO1399">
            <v>0.36280862042827877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0</v>
          </cell>
          <cell r="H1400">
            <v>1.7900880777688144E-8</v>
          </cell>
          <cell r="I1400">
            <v>3.4657232639290214E-8</v>
          </cell>
          <cell r="J1400">
            <v>5.026532523544347E-8</v>
          </cell>
          <cell r="K1400">
            <v>6.4764105189851762E-8</v>
          </cell>
          <cell r="L1400">
            <v>9.3816976409755171E-8</v>
          </cell>
          <cell r="M1400">
            <v>-2.3419491194442976E-2</v>
          </cell>
          <cell r="N1400">
            <v>8.321945675007214E-2</v>
          </cell>
          <cell r="O1400">
            <v>0.45842378792895211</v>
          </cell>
          <cell r="P1400">
            <v>1.2122583006379806</v>
          </cell>
          <cell r="Q1400">
            <v>2.4320540132184876</v>
          </cell>
          <cell r="R1400">
            <v>3.8853214930321567</v>
          </cell>
          <cell r="S1400">
            <v>5.4233525367349156</v>
          </cell>
          <cell r="T1400">
            <v>6.9597321994702588</v>
          </cell>
          <cell r="U1400">
            <v>8.4467097439805841</v>
          </cell>
          <cell r="V1400">
            <v>9.854884686930987</v>
          </cell>
          <cell r="W1400">
            <v>11.189274645734182</v>
          </cell>
          <cell r="X1400">
            <v>12.459030042649566</v>
          </cell>
          <cell r="Y1400">
            <v>13.664032775407353</v>
          </cell>
          <cell r="Z1400">
            <v>14.788819847532796</v>
          </cell>
          <cell r="AA1400">
            <v>15.818120829351766</v>
          </cell>
          <cell r="AB1400">
            <v>16.716046607329815</v>
          </cell>
          <cell r="AC1400">
            <v>17.46510672137067</v>
          </cell>
          <cell r="AD1400">
            <v>18.05662009868092</v>
          </cell>
          <cell r="AE1400">
            <v>18.487247583388179</v>
          </cell>
          <cell r="AF1400">
            <v>18.758598089036994</v>
          </cell>
          <cell r="AG1400">
            <v>18.868988830929911</v>
          </cell>
          <cell r="AH1400">
            <v>18.838924937605771</v>
          </cell>
          <cell r="AI1400">
            <v>18.693344477769113</v>
          </cell>
          <cell r="AJ1400">
            <v>18.457686073804581</v>
          </cell>
          <cell r="AK1400">
            <v>18.156130440606443</v>
          </cell>
          <cell r="AL1400">
            <v>17.807777928223878</v>
          </cell>
          <cell r="AM1400">
            <v>17.437934991644678</v>
          </cell>
          <cell r="AN1400">
            <v>17.070175213835668</v>
          </cell>
          <cell r="AO1400">
            <v>16.724141461882525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0</v>
          </cell>
          <cell r="H1401">
            <v>-7.7793349539945211E-8</v>
          </cell>
          <cell r="I1401">
            <v>-5.881577447297559E-8</v>
          </cell>
          <cell r="J1401">
            <v>-4.0948777701999006E-8</v>
          </cell>
          <cell r="K1401">
            <v>-2.4253765662507476E-8</v>
          </cell>
          <cell r="L1401">
            <v>-7.9894191262752656E-8</v>
          </cell>
          <cell r="M1401">
            <v>-0.11385602746611934</v>
          </cell>
          <cell r="N1401">
            <v>-0.39828429004703514</v>
          </cell>
          <cell r="O1401">
            <v>-0.84113161825446481</v>
          </cell>
          <cell r="P1401">
            <v>-1.4330839289774633</v>
          </cell>
          <cell r="Q1401">
            <v>-1.9075290123455879</v>
          </cell>
          <cell r="R1401">
            <v>-2.0607336878933014</v>
          </cell>
          <cell r="S1401">
            <v>-2.0465882933435098</v>
          </cell>
          <cell r="T1401">
            <v>-1.9653742372763738</v>
          </cell>
          <cell r="U1401">
            <v>-1.868491135038397</v>
          </cell>
          <cell r="V1401">
            <v>-1.7914876069203722</v>
          </cell>
          <cell r="W1401">
            <v>-1.7461308286670807</v>
          </cell>
          <cell r="X1401">
            <v>-1.714052126682819</v>
          </cell>
          <cell r="Y1401">
            <v>-1.6669426669028931</v>
          </cell>
          <cell r="Z1401">
            <v>-1.5953479952837801</v>
          </cell>
          <cell r="AA1401">
            <v>-1.484078056508209</v>
          </cell>
          <cell r="AB1401">
            <v>-1.3277493014930086</v>
          </cell>
          <cell r="AC1401">
            <v>-1.1485981976501525</v>
          </cell>
          <cell r="AD1401">
            <v>-0.95783299429283986</v>
          </cell>
          <cell r="AE1401">
            <v>-0.763030760750949</v>
          </cell>
          <cell r="AF1401">
            <v>-0.57173685059085377</v>
          </cell>
          <cell r="AG1401">
            <v>-0.39060283787484273</v>
          </cell>
          <cell r="AH1401">
            <v>-0.2391688661246949</v>
          </cell>
          <cell r="AI1401">
            <v>-0.12217487706819297</v>
          </cell>
          <cell r="AJ1401">
            <v>-4.0208667370833506E-2</v>
          </cell>
          <cell r="AK1401">
            <v>8.8380008968602652E-3</v>
          </cell>
          <cell r="AL1401">
            <v>3.0603974808185441E-2</v>
          </cell>
          <cell r="AM1401">
            <v>2.0748810082382718E-2</v>
          </cell>
          <cell r="AN1401">
            <v>-1.6670162141507738E-2</v>
          </cell>
          <cell r="AO1401">
            <v>-7.5219584257302241E-2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-0.10587053191812856</v>
          </cell>
          <cell r="N1402">
            <v>-0.24595456193965415</v>
          </cell>
          <cell r="O1402">
            <v>-0.17323488617650984</v>
          </cell>
          <cell r="P1402">
            <v>7.8580395654315183E-2</v>
          </cell>
          <cell r="Q1402">
            <v>0.30995730125182863</v>
          </cell>
          <cell r="R1402">
            <v>0.46271631826746429</v>
          </cell>
          <cell r="S1402">
            <v>0.54258761032195402</v>
          </cell>
          <cell r="T1402">
            <v>0.57571994719343156</v>
          </cell>
          <cell r="U1402">
            <v>0.57886980183967651</v>
          </cell>
          <cell r="V1402">
            <v>0.55017828536889635</v>
          </cell>
          <cell r="W1402">
            <v>0.49022607132267471</v>
          </cell>
          <cell r="X1402">
            <v>0.40105965393302245</v>
          </cell>
          <cell r="Y1402">
            <v>0.28660897259198403</v>
          </cell>
          <cell r="Z1402">
            <v>0.1530849669968859</v>
          </cell>
          <cell r="AA1402">
            <v>-3.1115159771277767E-3</v>
          </cell>
          <cell r="AB1402">
            <v>-0.17286680387720299</v>
          </cell>
          <cell r="AC1402">
            <v>-0.34567904272532202</v>
          </cell>
          <cell r="AD1402">
            <v>-0.51248136133164035</v>
          </cell>
          <cell r="AE1402">
            <v>-0.66665329452029187</v>
          </cell>
          <cell r="AF1402">
            <v>-0.81177222483658218</v>
          </cell>
          <cell r="AG1402">
            <v>-0.94260842035316372</v>
          </cell>
          <cell r="AH1402">
            <v>-1.0526343262384663</v>
          </cell>
          <cell r="AI1402">
            <v>-1.1364378281046195</v>
          </cell>
          <cell r="AJ1402">
            <v>-1.1908829325481762</v>
          </cell>
          <cell r="AK1402">
            <v>-1.2189040116549199</v>
          </cell>
          <cell r="AL1402">
            <v>-1.2198955755360008</v>
          </cell>
          <cell r="AM1402">
            <v>-1.1941823532062523</v>
          </cell>
          <cell r="AN1402">
            <v>-1.1436368862626556</v>
          </cell>
          <cell r="AO1402">
            <v>-1.0712772485516053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-30.990850000001956</v>
          </cell>
          <cell r="N1403">
            <v>-72.883280000001832</v>
          </cell>
          <cell r="O1403">
            <v>-51.966310000003432</v>
          </cell>
          <cell r="P1403">
            <v>23.853759999998147</v>
          </cell>
          <cell r="Q1403">
            <v>95.037720000000263</v>
          </cell>
          <cell r="R1403">
            <v>142.97244999999748</v>
          </cell>
          <cell r="S1403">
            <v>168.56629999999859</v>
          </cell>
          <cell r="T1403">
            <v>179.4988400000002</v>
          </cell>
          <cell r="U1403">
            <v>180.88169999999809</v>
          </cell>
          <cell r="V1403">
            <v>172.16461999999956</v>
          </cell>
          <cell r="W1403">
            <v>153.59089999999924</v>
          </cell>
          <cell r="X1403">
            <v>125.8397100000002</v>
          </cell>
          <cell r="Y1403">
            <v>90.11739000000307</v>
          </cell>
          <cell r="Z1403">
            <v>48.275109999998676</v>
          </cell>
          <cell r="AA1403">
            <v>-0.98515000000043074</v>
          </cell>
          <cell r="AB1403">
            <v>-55.020469999999477</v>
          </cell>
          <cell r="AC1403">
            <v>-110.75213000000076</v>
          </cell>
          <cell r="AD1403">
            <v>-165.50330000000031</v>
          </cell>
          <cell r="AE1403">
            <v>-217.25321000000258</v>
          </cell>
          <cell r="AF1403">
            <v>-267.1194800000012</v>
          </cell>
          <cell r="AG1403">
            <v>-313.35222999999678</v>
          </cell>
          <cell r="AH1403">
            <v>-353.71121999999741</v>
          </cell>
          <cell r="AI1403">
            <v>-386.18923000000359</v>
          </cell>
          <cell r="AJ1403">
            <v>-409.39050000000134</v>
          </cell>
          <cell r="AK1403">
            <v>-423.91186000000016</v>
          </cell>
          <cell r="AL1403">
            <v>-429.12260000000242</v>
          </cell>
          <cell r="AM1403">
            <v>-424.71486999999615</v>
          </cell>
          <cell r="AN1403">
            <v>-410.96844000000419</v>
          </cell>
          <cell r="AO1403">
            <v>-388.65247999999701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0</v>
          </cell>
          <cell r="H1404">
            <v>-1.000000082740371E-8</v>
          </cell>
          <cell r="I1404">
            <v>-1.000000082740371E-8</v>
          </cell>
          <cell r="J1404">
            <v>-1.000000082740371E-8</v>
          </cell>
          <cell r="K1404">
            <v>-9.9999980518461484E-9</v>
          </cell>
          <cell r="L1404">
            <v>-9.9999994396249292E-9</v>
          </cell>
          <cell r="M1404">
            <v>7.9451050000001189E-2</v>
          </cell>
          <cell r="N1404">
            <v>0.17967928999999966</v>
          </cell>
          <cell r="O1404">
            <v>0.11484291000000008</v>
          </cell>
          <cell r="P1404">
            <v>-7.7099899999999444E-2</v>
          </cell>
          <cell r="Q1404">
            <v>-0.24001297000000033</v>
          </cell>
          <cell r="R1404">
            <v>-0.33802155000000056</v>
          </cell>
          <cell r="S1404">
            <v>-0.38226652999999999</v>
          </cell>
          <cell r="T1404">
            <v>-0.39552382000000025</v>
          </cell>
          <cell r="U1404">
            <v>-0.39046860999999988</v>
          </cell>
          <cell r="V1404">
            <v>-0.36478253999999988</v>
          </cell>
          <cell r="W1404">
            <v>-0.31877675000000077</v>
          </cell>
          <cell r="X1404">
            <v>-0.25398343999999962</v>
          </cell>
          <cell r="Y1404">
            <v>-0.17323497000000104</v>
          </cell>
          <cell r="Z1404">
            <v>-8.0925429999999243E-2</v>
          </cell>
          <cell r="AA1404">
            <v>2.6587969999999905E-2</v>
          </cell>
          <cell r="AB1404">
            <v>0.1424776099999997</v>
          </cell>
          <cell r="AC1404">
            <v>0.25957026999999938</v>
          </cell>
          <cell r="AD1404">
            <v>0.37202784999999933</v>
          </cell>
          <cell r="AE1404">
            <v>0.47672331999999984</v>
          </cell>
          <cell r="AF1404">
            <v>0.57577335999999946</v>
          </cell>
          <cell r="AG1404">
            <v>0.66566868000000057</v>
          </cell>
          <cell r="AH1404">
            <v>0.74154887000000003</v>
          </cell>
          <cell r="AI1404">
            <v>0.7994373500000006</v>
          </cell>
          <cell r="AJ1404">
            <v>0.83698292999999924</v>
          </cell>
          <cell r="AK1404">
            <v>0.85647318000000028</v>
          </cell>
          <cell r="AL1404">
            <v>0.85695621000000044</v>
          </cell>
          <cell r="AM1404">
            <v>0.83829771000000008</v>
          </cell>
          <cell r="AN1404">
            <v>0.80165472999999965</v>
          </cell>
          <cell r="AO1404">
            <v>0.74911711000000025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-4.5384702940243216E-10</v>
          </cell>
          <cell r="G1405">
            <v>2.6586753198304391E-9</v>
          </cell>
          <cell r="H1405">
            <v>5.2692394284653554E-9</v>
          </cell>
          <cell r="I1405">
            <v>7.9986134035592293E-9</v>
          </cell>
          <cell r="J1405">
            <v>9.1153530903942404E-9</v>
          </cell>
          <cell r="K1405">
            <v>8.3132549455466886E-9</v>
          </cell>
          <cell r="L1405">
            <v>5.4129565413285619E-9</v>
          </cell>
          <cell r="M1405">
            <v>-0.24259806191837818</v>
          </cell>
          <cell r="N1405">
            <v>-0.34635438584345069</v>
          </cell>
          <cell r="O1405">
            <v>-0.1193174848669494</v>
          </cell>
          <cell r="P1405">
            <v>9.7861560688886767E-2</v>
          </cell>
          <cell r="Q1405">
            <v>0.20284472070561457</v>
          </cell>
          <cell r="R1405">
            <v>0.22724703570678462</v>
          </cell>
          <cell r="S1405">
            <v>0.20372589421192994</v>
          </cell>
          <cell r="T1405">
            <v>0.17516135190204576</v>
          </cell>
          <cell r="U1405">
            <v>0.15458162459557404</v>
          </cell>
          <cell r="V1405">
            <v>0.12117009466374312</v>
          </cell>
          <cell r="W1405">
            <v>8.4430771446274838E-2</v>
          </cell>
          <cell r="X1405">
            <v>5.7128427962659795E-2</v>
          </cell>
          <cell r="Y1405">
            <v>3.7428334434057298E-2</v>
          </cell>
          <cell r="Z1405">
            <v>1.9331485769725348E-2</v>
          </cell>
          <cell r="AA1405">
            <v>-8.5264427801913512E-3</v>
          </cell>
          <cell r="AB1405">
            <v>-4.287526579465073E-2</v>
          </cell>
          <cell r="AC1405">
            <v>-7.6281001538804766E-2</v>
          </cell>
          <cell r="AD1405">
            <v>-0.10643711923511226</v>
          </cell>
          <cell r="AE1405">
            <v>-0.13464289703274887</v>
          </cell>
          <cell r="AF1405">
            <v>-0.18089006739314406</v>
          </cell>
          <cell r="AG1405">
            <v>-0.23841388038582031</v>
          </cell>
          <cell r="AH1405">
            <v>-0.28806777024993557</v>
          </cell>
          <cell r="AI1405">
            <v>-0.32614786785909522</v>
          </cell>
          <cell r="AJ1405">
            <v>-0.35293151961931779</v>
          </cell>
          <cell r="AK1405">
            <v>-0.37508191283889269</v>
          </cell>
          <cell r="AL1405">
            <v>-0.39381789471797379</v>
          </cell>
          <cell r="AM1405">
            <v>-0.40390738181622088</v>
          </cell>
          <cell r="AN1405">
            <v>-0.40586228049432904</v>
          </cell>
          <cell r="AO1405">
            <v>-0.4020055100342465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1.8153877706650334E-9</v>
          </cell>
          <cell r="G1406">
            <v>0</v>
          </cell>
          <cell r="H1406">
            <v>-2.830063267067473E-9</v>
          </cell>
          <cell r="I1406">
            <v>-5.0766472622920666E-9</v>
          </cell>
          <cell r="J1406">
            <v>-5.6040262708112465E-9</v>
          </cell>
          <cell r="K1406">
            <v>-6.8054201163292305E-9</v>
          </cell>
          <cell r="L1406">
            <v>-7.7902075415470229E-9</v>
          </cell>
          <cell r="M1406">
            <v>-2.3498318911868363E-2</v>
          </cell>
          <cell r="N1406">
            <v>-5.671043995958986E-2</v>
          </cell>
          <cell r="O1406">
            <v>-0.11719601872410418</v>
          </cell>
          <cell r="P1406">
            <v>-0.19774843872051551</v>
          </cell>
          <cell r="Q1406">
            <v>-0.26361914990232677</v>
          </cell>
          <cell r="R1406">
            <v>-0.32510055545311339</v>
          </cell>
          <cell r="S1406">
            <v>-0.38191273025355288</v>
          </cell>
          <cell r="T1406">
            <v>-0.43509333689971691</v>
          </cell>
          <cell r="U1406">
            <v>-0.48620226762126056</v>
          </cell>
          <cell r="V1406">
            <v>-0.53582140313365501</v>
          </cell>
          <cell r="W1406">
            <v>-0.58469524168284193</v>
          </cell>
          <cell r="X1406">
            <v>-0.63675339870323688</v>
          </cell>
          <cell r="Y1406">
            <v>-0.69578471411676956</v>
          </cell>
          <cell r="Z1406">
            <v>-0.75714194293985837</v>
          </cell>
          <cell r="AA1406">
            <v>-0.81798010190450454</v>
          </cell>
          <cell r="AB1406">
            <v>-0.87701829436455725</v>
          </cell>
          <cell r="AC1406">
            <v>-0.93495070830713867</v>
          </cell>
          <cell r="AD1406">
            <v>-0.99245442617764357</v>
          </cell>
          <cell r="AE1406">
            <v>-1.0495946116220838</v>
          </cell>
          <cell r="AF1406">
            <v>-1.0939276549157928</v>
          </cell>
          <cell r="AG1406">
            <v>-1.127718636763158</v>
          </cell>
          <cell r="AH1406">
            <v>-1.1555711882807522</v>
          </cell>
          <cell r="AI1406">
            <v>-1.1796706656717479</v>
          </cell>
          <cell r="AJ1406">
            <v>-1.2005515418041364</v>
          </cell>
          <cell r="AK1406">
            <v>-1.2171515066006668</v>
          </cell>
          <cell r="AL1406">
            <v>-1.2286029482245235</v>
          </cell>
          <cell r="AM1406">
            <v>-1.2360359177064482</v>
          </cell>
          <cell r="AN1406">
            <v>-1.2404445452930448</v>
          </cell>
          <cell r="AO1406">
            <v>-1.242443388570482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1.8153877706650334E-9</v>
          </cell>
          <cell r="G1407">
            <v>8.7169681195486959E-10</v>
          </cell>
          <cell r="H1407">
            <v>-1.2946807688429818E-9</v>
          </cell>
          <cell r="I1407">
            <v>-3.4771164029653856E-9</v>
          </cell>
          <cell r="J1407">
            <v>-7.7560465862325234E-9</v>
          </cell>
          <cell r="K1407">
            <v>-1.1584079875892606E-8</v>
          </cell>
          <cell r="L1407">
            <v>-1.2926780826316708E-8</v>
          </cell>
          <cell r="M1407">
            <v>0.14816630164490829</v>
          </cell>
          <cell r="N1407">
            <v>0.31993422530111548</v>
          </cell>
          <cell r="O1407">
            <v>0.36212806542123488</v>
          </cell>
          <cell r="P1407">
            <v>0.30819113124932046</v>
          </cell>
          <cell r="Q1407">
            <v>9.1980539911456355E-2</v>
          </cell>
          <cell r="R1407">
            <v>-0.13586608298322006</v>
          </cell>
          <cell r="S1407">
            <v>-0.33603831569065101</v>
          </cell>
          <cell r="T1407">
            <v>-0.50022014436042483</v>
          </cell>
          <cell r="U1407">
            <v>-0.62962600486219034</v>
          </cell>
          <cell r="V1407">
            <v>-0.7115721977936238</v>
          </cell>
          <cell r="W1407">
            <v>-0.756456094719548</v>
          </cell>
          <cell r="X1407">
            <v>-0.77602629333614481</v>
          </cell>
          <cell r="Y1407">
            <v>-0.7820619156338402</v>
          </cell>
          <cell r="Z1407">
            <v>-0.76917434821199704</v>
          </cell>
          <cell r="AA1407">
            <v>-0.7451197521451659</v>
          </cell>
          <cell r="AB1407">
            <v>-0.69871470976956007</v>
          </cell>
          <cell r="AC1407">
            <v>-0.63323646645025644</v>
          </cell>
          <cell r="AD1407">
            <v>-0.55397019108799217</v>
          </cell>
          <cell r="AE1407">
            <v>-0.4637484852763718</v>
          </cell>
          <cell r="AF1407">
            <v>-0.3706579590411388</v>
          </cell>
          <cell r="AG1407">
            <v>-0.26922567615612208</v>
          </cell>
          <cell r="AH1407">
            <v>-0.16544646657149636</v>
          </cell>
          <cell r="AI1407">
            <v>-6.4858124383772309E-2</v>
          </cell>
          <cell r="AJ1407">
            <v>2.8796059576924327E-2</v>
          </cell>
          <cell r="AK1407">
            <v>0.11242822610077613</v>
          </cell>
          <cell r="AL1407">
            <v>0.18793697637604356</v>
          </cell>
          <cell r="AM1407">
            <v>0.25290493990060281</v>
          </cell>
          <cell r="AN1407">
            <v>0.3051993847337231</v>
          </cell>
          <cell r="AO1407">
            <v>0.34365332128103165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1.8153877706650334E-9</v>
          </cell>
          <cell r="G1408">
            <v>1.046036209040313E-8</v>
          </cell>
          <cell r="H1408">
            <v>1.0245027742827872E-8</v>
          </cell>
          <cell r="I1408">
            <v>1.1017995543705084E-8</v>
          </cell>
          <cell r="J1408">
            <v>1.1759075137229846E-8</v>
          </cell>
          <cell r="K1408">
            <v>5.2774621478457462E-9</v>
          </cell>
          <cell r="L1408">
            <v>-5.7223204039807962E-10</v>
          </cell>
          <cell r="M1408">
            <v>0.14578771830716392</v>
          </cell>
          <cell r="N1408">
            <v>0.50920928371279184</v>
          </cell>
          <cell r="O1408">
            <v>0.72658244250186665</v>
          </cell>
          <cell r="P1408">
            <v>0.85894957705174269</v>
          </cell>
          <cell r="Q1408">
            <v>0.85443098497640513</v>
          </cell>
          <cell r="R1408">
            <v>0.5455631396336369</v>
          </cell>
          <cell r="S1408">
            <v>0.22829122409317379</v>
          </cell>
          <cell r="T1408">
            <v>-5.7674920207264474E-2</v>
          </cell>
          <cell r="U1408">
            <v>-0.30108086505571052</v>
          </cell>
          <cell r="V1408">
            <v>-0.48615215136835688</v>
          </cell>
          <cell r="W1408">
            <v>-0.615507877484893</v>
          </cell>
          <cell r="X1408">
            <v>-0.71000742053407495</v>
          </cell>
          <cell r="Y1408">
            <v>-0.78532650901887369</v>
          </cell>
          <cell r="Z1408">
            <v>-0.83520015556342586</v>
          </cell>
          <cell r="AA1408">
            <v>-0.8649975600709674</v>
          </cell>
          <cell r="AB1408">
            <v>-0.85793186245055331</v>
          </cell>
          <cell r="AC1408">
            <v>-0.81774436879961798</v>
          </cell>
          <cell r="AD1408">
            <v>-0.75022863789827721</v>
          </cell>
          <cell r="AE1408">
            <v>-0.65913871209963704</v>
          </cell>
          <cell r="AF1408">
            <v>-0.55484338123691224</v>
          </cell>
          <cell r="AG1408">
            <v>-0.42644676869984938</v>
          </cell>
          <cell r="AH1408">
            <v>-0.29441979120529704</v>
          </cell>
          <cell r="AI1408">
            <v>-0.16365172277166967</v>
          </cell>
          <cell r="AJ1408">
            <v>-3.8532549059899779E-2</v>
          </cell>
          <cell r="AK1408">
            <v>7.6210212315476478E-2</v>
          </cell>
          <cell r="AL1408">
            <v>0.18620035878460089</v>
          </cell>
          <cell r="AM1408">
            <v>0.27668549045032076</v>
          </cell>
          <cell r="AN1408">
            <v>0.34629377601641254</v>
          </cell>
          <cell r="AO1408">
            <v>0.39398471971174298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0</v>
          </cell>
          <cell r="H1409">
            <v>-8.8690221833331861E-8</v>
          </cell>
          <cell r="I1409">
            <v>-4.4478298821815088E-8</v>
          </cell>
          <cell r="J1409">
            <v>-4.1814496309910965E-8</v>
          </cell>
          <cell r="K1409">
            <v>-3.8694347725964917E-8</v>
          </cell>
          <cell r="L1409">
            <v>-1.0500926794776433E-7</v>
          </cell>
          <cell r="M1409">
            <v>4.1121095770901839E-2</v>
          </cell>
          <cell r="N1409">
            <v>0.14448816216019456</v>
          </cell>
          <cell r="O1409">
            <v>-0.14428733375765335</v>
          </cell>
          <cell r="P1409">
            <v>-0.6495136829917425</v>
          </cell>
          <cell r="Q1409">
            <v>-0.74571478197430485</v>
          </cell>
          <cell r="R1409">
            <v>-0.97105905220107869</v>
          </cell>
          <cell r="S1409">
            <v>-1.3651809470488385</v>
          </cell>
          <cell r="T1409">
            <v>-1.9154846512998092</v>
          </cell>
          <cell r="U1409">
            <v>-2.5827390001455228</v>
          </cell>
          <cell r="V1409">
            <v>-3.3197040120314547</v>
          </cell>
          <cell r="W1409">
            <v>-4.075059156821828</v>
          </cell>
          <cell r="X1409">
            <v>-4.8222169738944602</v>
          </cell>
          <cell r="Y1409">
            <v>-5.5510682025074374</v>
          </cell>
          <cell r="Z1409">
            <v>-6.2499020357327035</v>
          </cell>
          <cell r="AA1409">
            <v>-6.9157342370529369</v>
          </cell>
          <cell r="AB1409">
            <v>-7.5283720782145336</v>
          </cell>
          <cell r="AC1409">
            <v>-8.068114980148497</v>
          </cell>
          <cell r="AD1409">
            <v>-8.5197830969685029</v>
          </cell>
          <cell r="AE1409">
            <v>-8.8716322944865649</v>
          </cell>
          <cell r="AF1409">
            <v>-9.1445725585481306</v>
          </cell>
          <cell r="AG1409">
            <v>-9.3100099415666548</v>
          </cell>
          <cell r="AH1409">
            <v>-9.3593797986329772</v>
          </cell>
          <cell r="AI1409">
            <v>-9.2923051121681191</v>
          </cell>
          <cell r="AJ1409">
            <v>-9.1142746405817547</v>
          </cell>
          <cell r="AK1409">
            <v>-8.8544840851436764</v>
          </cell>
          <cell r="AL1409">
            <v>-8.5026254198931834</v>
          </cell>
          <cell r="AM1409">
            <v>-8.0675686788283958</v>
          </cell>
          <cell r="AN1409">
            <v>-7.562433982634154</v>
          </cell>
          <cell r="AO1409">
            <v>-7.0019887875341302</v>
          </cell>
        </row>
        <row r="1410">
          <cell r="C1410" t="str">
            <v>PIB</v>
          </cell>
          <cell r="E1410" t="str">
            <v>GDP_2</v>
          </cell>
          <cell r="F1410">
            <v>2197796.3160000001</v>
          </cell>
          <cell r="G1410">
            <v>2237820.7209999999</v>
          </cell>
          <cell r="H1410">
            <v>2281813.1490000002</v>
          </cell>
          <cell r="I1410">
            <v>2330046.6430000002</v>
          </cell>
          <cell r="J1410">
            <v>2380725.5290000001</v>
          </cell>
          <cell r="K1410">
            <v>2434166.0150000001</v>
          </cell>
          <cell r="L1410">
            <v>2489672.9019999998</v>
          </cell>
          <cell r="M1410">
            <v>2540965.517</v>
          </cell>
          <cell r="N1410">
            <v>2594471.5660000001</v>
          </cell>
          <cell r="O1410">
            <v>2659801.3480000002</v>
          </cell>
          <cell r="P1410">
            <v>2727155.52</v>
          </cell>
          <cell r="Q1410">
            <v>2784788.1740000001</v>
          </cell>
          <cell r="R1410">
            <v>2836967.0649999999</v>
          </cell>
          <cell r="S1410">
            <v>2885479.5129999998</v>
          </cell>
          <cell r="T1410">
            <v>2931852.2390000001</v>
          </cell>
          <cell r="U1410">
            <v>2976886.0669999998</v>
          </cell>
          <cell r="V1410">
            <v>3020757.0040000002</v>
          </cell>
          <cell r="W1410">
            <v>3064701.9449999998</v>
          </cell>
          <cell r="X1410">
            <v>3109904.9559999998</v>
          </cell>
          <cell r="Y1410">
            <v>3157370.4219999998</v>
          </cell>
          <cell r="Z1410">
            <v>3207560.443</v>
          </cell>
          <cell r="AA1410">
            <v>3261375.1090000002</v>
          </cell>
          <cell r="AB1410">
            <v>3319875.7450000001</v>
          </cell>
          <cell r="AC1410">
            <v>3383647.9410000001</v>
          </cell>
          <cell r="AD1410">
            <v>3452899.2969999998</v>
          </cell>
          <cell r="AE1410">
            <v>3526588.3810000001</v>
          </cell>
          <cell r="AF1410">
            <v>3605385.5729999999</v>
          </cell>
          <cell r="AG1410">
            <v>3689313.128</v>
          </cell>
          <cell r="AH1410">
            <v>3778647.3629999999</v>
          </cell>
          <cell r="AI1410">
            <v>3873118.8939999999</v>
          </cell>
          <cell r="AJ1410">
            <v>3972057.983</v>
          </cell>
          <cell r="AK1410">
            <v>4074524.514</v>
          </cell>
          <cell r="AL1410">
            <v>4180046.4539999999</v>
          </cell>
          <cell r="AM1410">
            <v>4287980.4309999999</v>
          </cell>
          <cell r="AN1410">
            <v>4397619.3269999996</v>
          </cell>
          <cell r="AO1410">
            <v>4508204.6359999999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3.9355119163531072E-8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-3.5248914898033945E-8</v>
          </cell>
          <cell r="S1411">
            <v>-3.4656277847489037E-8</v>
          </cell>
          <cell r="T1411">
            <v>-3.4108138535771104E-8</v>
          </cell>
          <cell r="U1411">
            <v>0</v>
          </cell>
          <cell r="V1411">
            <v>-3.3104285979135284E-8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-2.7105317990105959E-8</v>
          </cell>
          <cell r="AH1411">
            <v>0</v>
          </cell>
          <cell r="AI1411">
            <v>0</v>
          </cell>
          <cell r="AJ1411">
            <v>0</v>
          </cell>
          <cell r="AK1411">
            <v>-2.4542745613587158E-8</v>
          </cell>
          <cell r="AL1411">
            <v>-2.3923174552464843E-8</v>
          </cell>
          <cell r="AM1411">
            <v>-2.3321000686138404E-8</v>
          </cell>
          <cell r="AN1411">
            <v>-2.2739554683681718E-8</v>
          </cell>
          <cell r="AO1411">
            <v>-2.2181778636110039E-8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1178732.7069999999</v>
          </cell>
          <cell r="G1412">
            <v>1219449.203</v>
          </cell>
          <cell r="H1412">
            <v>1258068.987</v>
          </cell>
          <cell r="I1412">
            <v>1299225.0249999999</v>
          </cell>
          <cell r="J1412">
            <v>1341866.2860000001</v>
          </cell>
          <cell r="K1412">
            <v>1382158.219</v>
          </cell>
          <cell r="L1412">
            <v>1422073.713</v>
          </cell>
          <cell r="M1412">
            <v>1467436.932</v>
          </cell>
          <cell r="N1412">
            <v>1523665.5490000001</v>
          </cell>
          <cell r="O1412">
            <v>1586389.3770000001</v>
          </cell>
          <cell r="P1412">
            <v>1660133.452</v>
          </cell>
          <cell r="Q1412">
            <v>1732342.8219999999</v>
          </cell>
          <cell r="R1412">
            <v>1792729.16</v>
          </cell>
          <cell r="S1412">
            <v>1848958.6850000001</v>
          </cell>
          <cell r="T1412">
            <v>1901688.6529999999</v>
          </cell>
          <cell r="U1412">
            <v>1951306.5009999999</v>
          </cell>
          <cell r="V1412">
            <v>1998809.8859999999</v>
          </cell>
          <cell r="W1412">
            <v>2044696.757</v>
          </cell>
          <cell r="X1412">
            <v>2088424.088</v>
          </cell>
          <cell r="Y1412">
            <v>2129529.6239999998</v>
          </cell>
          <cell r="Z1412">
            <v>2166662.929</v>
          </cell>
          <cell r="AA1412">
            <v>2202294.8620000002</v>
          </cell>
          <cell r="AB1412">
            <v>2235507.1889999998</v>
          </cell>
          <cell r="AC1412">
            <v>2266399.3190000001</v>
          </cell>
          <cell r="AD1412">
            <v>2295168.4040000001</v>
          </cell>
          <cell r="AE1412">
            <v>2317218.2659999998</v>
          </cell>
          <cell r="AF1412">
            <v>2339900.693</v>
          </cell>
          <cell r="AG1412">
            <v>2361709.5529999998</v>
          </cell>
          <cell r="AH1412">
            <v>2381648.0699999998</v>
          </cell>
          <cell r="AI1412">
            <v>2399492.4550000001</v>
          </cell>
          <cell r="AJ1412">
            <v>2415022.6120000002</v>
          </cell>
          <cell r="AK1412">
            <v>2427650.6370000001</v>
          </cell>
          <cell r="AL1412">
            <v>2437760.2829999998</v>
          </cell>
          <cell r="AM1412">
            <v>2443957.037</v>
          </cell>
          <cell r="AN1412">
            <v>2445837.9879999999</v>
          </cell>
          <cell r="AO1412">
            <v>2442995.477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1011419.124</v>
          </cell>
          <cell r="G1413">
            <v>1049138.2379999999</v>
          </cell>
          <cell r="H1413">
            <v>1092135.2949999999</v>
          </cell>
          <cell r="I1413">
            <v>1140670.9339999999</v>
          </cell>
          <cell r="J1413">
            <v>1193300.1170000001</v>
          </cell>
          <cell r="K1413">
            <v>1249660.9110000001</v>
          </cell>
          <cell r="L1413">
            <v>1309530.05</v>
          </cell>
          <cell r="M1413">
            <v>1373510.183</v>
          </cell>
          <cell r="N1413">
            <v>1444177.2590000001</v>
          </cell>
          <cell r="O1413">
            <v>1528639.987</v>
          </cell>
          <cell r="P1413">
            <v>1628909.574</v>
          </cell>
          <cell r="Q1413">
            <v>1734026.46</v>
          </cell>
          <cell r="R1413">
            <v>1839218.102</v>
          </cell>
          <cell r="S1413">
            <v>1940984.676</v>
          </cell>
          <cell r="T1413">
            <v>2037621.9909999999</v>
          </cell>
          <cell r="U1413">
            <v>2128472.6540000001</v>
          </cell>
          <cell r="V1413">
            <v>2213836.0929999999</v>
          </cell>
          <cell r="W1413">
            <v>2294753.719</v>
          </cell>
          <cell r="X1413">
            <v>2372439.952</v>
          </cell>
          <cell r="Y1413">
            <v>2448079.1490000002</v>
          </cell>
          <cell r="Z1413">
            <v>2522280.75</v>
          </cell>
          <cell r="AA1413">
            <v>2596108.2519999999</v>
          </cell>
          <cell r="AB1413">
            <v>2670564.9950000001</v>
          </cell>
          <cell r="AC1413">
            <v>2747245.426</v>
          </cell>
          <cell r="AD1413">
            <v>2827807.1710000001</v>
          </cell>
          <cell r="AE1413">
            <v>2912800.659</v>
          </cell>
          <cell r="AF1413">
            <v>3003054.906</v>
          </cell>
          <cell r="AG1413">
            <v>3100331.6069999998</v>
          </cell>
          <cell r="AH1413">
            <v>3207093.3640000001</v>
          </cell>
          <cell r="AI1413">
            <v>3325175.5639999998</v>
          </cell>
          <cell r="AJ1413">
            <v>3455675.9959999998</v>
          </cell>
          <cell r="AK1413">
            <v>3598791.52</v>
          </cell>
          <cell r="AL1413">
            <v>3754957.03</v>
          </cell>
          <cell r="AM1413">
            <v>3924283.9559999998</v>
          </cell>
          <cell r="AN1413">
            <v>4106539.6660000002</v>
          </cell>
          <cell r="AO1413">
            <v>4301079.0429999996</v>
          </cell>
        </row>
        <row r="1414">
          <cell r="C1414" t="str">
            <v>Solde public</v>
          </cell>
          <cell r="E1414" t="str">
            <v>Bal_G_tot_VAL_2</v>
          </cell>
          <cell r="F1414">
            <v>-65336.51528</v>
          </cell>
          <cell r="G1414">
            <v>-65067.071459999999</v>
          </cell>
          <cell r="H1414">
            <v>-57436.44526</v>
          </cell>
          <cell r="I1414">
            <v>-47185.021509999999</v>
          </cell>
          <cell r="J1414">
            <v>-34837.848050000001</v>
          </cell>
          <cell r="K1414">
            <v>-17027.095379999999</v>
          </cell>
          <cell r="L1414">
            <v>3777.9042979999999</v>
          </cell>
          <cell r="M1414">
            <v>22205.923419999999</v>
          </cell>
          <cell r="N1414">
            <v>35534.086600000002</v>
          </cell>
          <cell r="O1414">
            <v>55496.281320000002</v>
          </cell>
          <cell r="P1414">
            <v>79246.979980000004</v>
          </cell>
          <cell r="Q1414">
            <v>108192.1473</v>
          </cell>
          <cell r="R1414">
            <v>147587.8431</v>
          </cell>
          <cell r="S1414">
            <v>185745.5001</v>
          </cell>
          <cell r="T1414">
            <v>220365.5724</v>
          </cell>
          <cell r="U1414">
            <v>250580.1091</v>
          </cell>
          <cell r="V1414">
            <v>275911.15710000001</v>
          </cell>
          <cell r="W1414">
            <v>297146.35430000001</v>
          </cell>
          <cell r="X1414">
            <v>316247.93939999997</v>
          </cell>
          <cell r="Y1414">
            <v>334969.20240000001</v>
          </cell>
          <cell r="Z1414">
            <v>355289.03840000002</v>
          </cell>
          <cell r="AA1414">
            <v>375720.15519999998</v>
          </cell>
          <cell r="AB1414">
            <v>398178.5638</v>
          </cell>
          <cell r="AC1414">
            <v>424057.93689999997</v>
          </cell>
          <cell r="AD1414">
            <v>454647.69959999999</v>
          </cell>
          <cell r="AE1414">
            <v>494858.94130000001</v>
          </cell>
          <cell r="AF1414">
            <v>537687.81440000003</v>
          </cell>
          <cell r="AG1414">
            <v>586271.26439999999</v>
          </cell>
          <cell r="AH1414">
            <v>643780.94050000003</v>
          </cell>
          <cell r="AI1414">
            <v>711829.70889999997</v>
          </cell>
          <cell r="AJ1414">
            <v>791208.49820000003</v>
          </cell>
          <cell r="AK1414">
            <v>882135.57279999997</v>
          </cell>
          <cell r="AL1414">
            <v>984084.65800000005</v>
          </cell>
          <cell r="AM1414">
            <v>1098010.5959999999</v>
          </cell>
          <cell r="AN1414">
            <v>1223484.8259999999</v>
          </cell>
          <cell r="AO1414">
            <v>1359692.473</v>
          </cell>
        </row>
        <row r="1415">
          <cell r="C1415" t="str">
            <v>Dette publique</v>
          </cell>
          <cell r="E1415" t="str">
            <v>DEBT_G_VAL_2</v>
          </cell>
          <cell r="F1415">
            <v>2104877.8689999999</v>
          </cell>
          <cell r="G1415">
            <v>2169944.94</v>
          </cell>
          <cell r="H1415">
            <v>2227381.3849999998</v>
          </cell>
          <cell r="I1415">
            <v>2274566.4070000001</v>
          </cell>
          <cell r="J1415">
            <v>2309404.2549999999</v>
          </cell>
          <cell r="K1415">
            <v>2326431.35</v>
          </cell>
          <cell r="L1415">
            <v>2322653.446</v>
          </cell>
          <cell r="M1415">
            <v>2300447.523</v>
          </cell>
          <cell r="N1415">
            <v>2264913.4360000002</v>
          </cell>
          <cell r="O1415">
            <v>2209417.1549999998</v>
          </cell>
          <cell r="P1415">
            <v>2130170.1749999998</v>
          </cell>
          <cell r="Q1415">
            <v>2021978.027</v>
          </cell>
          <cell r="R1415">
            <v>1874390.1839999999</v>
          </cell>
          <cell r="S1415">
            <v>1688644.6839999999</v>
          </cell>
          <cell r="T1415">
            <v>1468279.112</v>
          </cell>
          <cell r="U1415">
            <v>1217699.003</v>
          </cell>
          <cell r="V1415">
            <v>941787.84569999995</v>
          </cell>
          <cell r="W1415">
            <v>644641.49140000006</v>
          </cell>
          <cell r="X1415">
            <v>328393.55200000003</v>
          </cell>
          <cell r="Y1415">
            <v>-6575.6504020000002</v>
          </cell>
          <cell r="Z1415">
            <v>-361864.6888</v>
          </cell>
          <cell r="AA1415">
            <v>-737584.84400000004</v>
          </cell>
          <cell r="AB1415">
            <v>-1135763.4080000001</v>
          </cell>
          <cell r="AC1415">
            <v>-1559821.345</v>
          </cell>
          <cell r="AD1415">
            <v>-2014469.044</v>
          </cell>
          <cell r="AE1415">
            <v>-2509327.986</v>
          </cell>
          <cell r="AF1415">
            <v>-3047015.8</v>
          </cell>
          <cell r="AG1415">
            <v>-3633287.0639999998</v>
          </cell>
          <cell r="AH1415">
            <v>-4277068.0049999999</v>
          </cell>
          <cell r="AI1415">
            <v>-4988897.7139999997</v>
          </cell>
          <cell r="AJ1415">
            <v>-5780106.2120000003</v>
          </cell>
          <cell r="AK1415">
            <v>-6662241.7850000001</v>
          </cell>
          <cell r="AL1415">
            <v>-7646326.443</v>
          </cell>
          <cell r="AM1415">
            <v>-8744337.0390000008</v>
          </cell>
          <cell r="AN1415">
            <v>-9967821.8650000002</v>
          </cell>
          <cell r="AO1415">
            <v>-11327514.34</v>
          </cell>
        </row>
        <row r="1512">
          <cell r="F1512">
            <v>1966664.7720000001</v>
          </cell>
          <cell r="G1512">
            <v>2002915.014</v>
          </cell>
          <cell r="H1512">
            <v>2042371.557</v>
          </cell>
          <cell r="I1512">
            <v>2085410.699</v>
          </cell>
          <cell r="J1512">
            <v>2130524.5359999998</v>
          </cell>
          <cell r="K1512">
            <v>2178018.5159999998</v>
          </cell>
          <cell r="L1512">
            <v>2227187.8829999999</v>
          </cell>
          <cell r="M1512">
            <v>2272290.69</v>
          </cell>
          <cell r="N1512">
            <v>2319503.8149999999</v>
          </cell>
          <cell r="O1512">
            <v>2377645.1510000001</v>
          </cell>
          <cell r="P1512">
            <v>2437035.0410000002</v>
          </cell>
          <cell r="Q1512">
            <v>2487212.156</v>
          </cell>
          <cell r="R1512">
            <v>2532116.1370000001</v>
          </cell>
          <cell r="S1512">
            <v>2573605.554</v>
          </cell>
          <cell r="T1512">
            <v>2613285.855</v>
          </cell>
          <cell r="U1512">
            <v>2651983.6839999999</v>
          </cell>
          <cell r="V1512">
            <v>2689904.2850000001</v>
          </cell>
          <cell r="W1512">
            <v>2728175.5010000002</v>
          </cell>
          <cell r="X1512">
            <v>2767778.65</v>
          </cell>
          <cell r="Y1512">
            <v>2809479.8450000002</v>
          </cell>
          <cell r="Z1512">
            <v>2853746.3790000002</v>
          </cell>
          <cell r="AA1512">
            <v>2901340.2379999999</v>
          </cell>
          <cell r="AB1512">
            <v>2953190.3730000001</v>
          </cell>
          <cell r="AC1512">
            <v>3009775.179</v>
          </cell>
          <cell r="AD1512">
            <v>3071224.875</v>
          </cell>
          <cell r="AE1512">
            <v>3136647.628</v>
          </cell>
          <cell r="AF1512">
            <v>3207150.338</v>
          </cell>
          <cell r="AG1512">
            <v>3282460.0729999999</v>
          </cell>
          <cell r="AH1512">
            <v>3362653.2889999999</v>
          </cell>
          <cell r="AI1512">
            <v>3447364.5830000001</v>
          </cell>
          <cell r="AJ1512">
            <v>3535916.03</v>
          </cell>
          <cell r="AK1512">
            <v>3627467.6510000001</v>
          </cell>
          <cell r="AL1512">
            <v>3721602.41</v>
          </cell>
          <cell r="AM1512">
            <v>3817745.6490000002</v>
          </cell>
          <cell r="AN1512">
            <v>3915269.2289999998</v>
          </cell>
          <cell r="AO1512">
            <v>4013506.4440000001</v>
          </cell>
        </row>
        <row r="1513">
          <cell r="F1513">
            <v>36109.890729999999</v>
          </cell>
          <cell r="G1513">
            <v>36627.220650000003</v>
          </cell>
          <cell r="H1513">
            <v>37226.910170000003</v>
          </cell>
          <cell r="I1513">
            <v>37916.346969999999</v>
          </cell>
          <cell r="J1513">
            <v>38677.675380000001</v>
          </cell>
          <cell r="K1513">
            <v>39508.816160000002</v>
          </cell>
          <cell r="L1513">
            <v>40420.376490000002</v>
          </cell>
          <cell r="M1513">
            <v>41179.172279999999</v>
          </cell>
          <cell r="N1513">
            <v>41985.978049999998</v>
          </cell>
          <cell r="O1513">
            <v>43018.938320000001</v>
          </cell>
          <cell r="P1513">
            <v>44057.139990000003</v>
          </cell>
          <cell r="Q1513">
            <v>44899.816700000003</v>
          </cell>
          <cell r="R1513">
            <v>45644.366280000002</v>
          </cell>
          <cell r="S1513">
            <v>46329.501020000003</v>
          </cell>
          <cell r="T1513">
            <v>46984.316019999998</v>
          </cell>
          <cell r="U1513">
            <v>47622.249320000003</v>
          </cell>
          <cell r="V1513">
            <v>48297.379379999998</v>
          </cell>
          <cell r="W1513">
            <v>48983.434159999997</v>
          </cell>
          <cell r="X1513">
            <v>49700.501830000001</v>
          </cell>
          <cell r="Y1513">
            <v>50464.18288</v>
          </cell>
          <cell r="Z1513">
            <v>51284.479919999998</v>
          </cell>
          <cell r="AA1513">
            <v>52181.642099999997</v>
          </cell>
          <cell r="AB1513">
            <v>53177.624020000003</v>
          </cell>
          <cell r="AC1513">
            <v>54284.44397</v>
          </cell>
          <cell r="AD1513">
            <v>55506.664299999997</v>
          </cell>
          <cell r="AE1513">
            <v>56822.93015</v>
          </cell>
          <cell r="AF1513">
            <v>58085.668010000001</v>
          </cell>
          <cell r="AG1513">
            <v>59419.755550000002</v>
          </cell>
          <cell r="AH1513">
            <v>60860.795709999999</v>
          </cell>
          <cell r="AI1513">
            <v>62406.962310000003</v>
          </cell>
          <cell r="AJ1513">
            <v>64041.69182</v>
          </cell>
          <cell r="AK1513">
            <v>65742.721789999996</v>
          </cell>
          <cell r="AL1513">
            <v>67498.746880000006</v>
          </cell>
          <cell r="AM1513">
            <v>69294.701060000007</v>
          </cell>
          <cell r="AN1513">
            <v>71114.349390000003</v>
          </cell>
          <cell r="AO1513">
            <v>72940.988400000002</v>
          </cell>
        </row>
        <row r="1516">
          <cell r="F1516">
            <v>331661.67540000001</v>
          </cell>
          <cell r="G1516">
            <v>339598.63290000003</v>
          </cell>
          <cell r="H1516">
            <v>347763.66960000002</v>
          </cell>
          <cell r="I1516">
            <v>356445.8737</v>
          </cell>
          <cell r="J1516">
            <v>365545.24939999997</v>
          </cell>
          <cell r="K1516">
            <v>375119.84230000002</v>
          </cell>
          <cell r="L1516">
            <v>385206.96889999998</v>
          </cell>
          <cell r="M1516">
            <v>393803.65740000003</v>
          </cell>
          <cell r="N1516">
            <v>403088.0306</v>
          </cell>
          <cell r="O1516">
            <v>415265.63709999999</v>
          </cell>
          <cell r="P1516">
            <v>426915.48139999999</v>
          </cell>
          <cell r="Q1516">
            <v>436408.02899999998</v>
          </cell>
          <cell r="R1516">
            <v>444866.0882</v>
          </cell>
          <cell r="S1516">
            <v>452847.13929999998</v>
          </cell>
          <cell r="T1516">
            <v>460845.67070000002</v>
          </cell>
          <cell r="U1516">
            <v>469061.76429999998</v>
          </cell>
          <cell r="V1516">
            <v>477449.4425</v>
          </cell>
          <cell r="W1516">
            <v>486294.10369999998</v>
          </cell>
          <cell r="X1516">
            <v>495765.3983</v>
          </cell>
          <cell r="Y1516">
            <v>505993.3357</v>
          </cell>
          <cell r="Z1516">
            <v>517065.97810000001</v>
          </cell>
          <cell r="AA1516">
            <v>529168.06129999994</v>
          </cell>
          <cell r="AB1516">
            <v>542477.1666</v>
          </cell>
          <cell r="AC1516">
            <v>557079.25769999996</v>
          </cell>
          <cell r="AD1516">
            <v>572987.32120000001</v>
          </cell>
          <cell r="AE1516">
            <v>590084.57189999998</v>
          </cell>
          <cell r="AF1516">
            <v>607958.9044</v>
          </cell>
          <cell r="AG1516">
            <v>626786.54379999998</v>
          </cell>
          <cell r="AH1516">
            <v>646665.38710000005</v>
          </cell>
          <cell r="AI1516">
            <v>667484.42700000003</v>
          </cell>
          <cell r="AJ1516">
            <v>689054.56599999999</v>
          </cell>
          <cell r="AK1516">
            <v>711219.00379999995</v>
          </cell>
          <cell r="AL1516">
            <v>733874.26229999994</v>
          </cell>
          <cell r="AM1516">
            <v>756881.9706</v>
          </cell>
          <cell r="AN1516">
            <v>780098.73789999995</v>
          </cell>
          <cell r="AO1516">
            <v>803377.60320000001</v>
          </cell>
        </row>
        <row r="1528">
          <cell r="F1528">
            <v>48469.954230000003</v>
          </cell>
          <cell r="G1528">
            <v>49477.770960000002</v>
          </cell>
          <cell r="H1528">
            <v>50489.629639999999</v>
          </cell>
          <cell r="I1528">
            <v>51552.663710000001</v>
          </cell>
          <cell r="J1528">
            <v>52671.70983</v>
          </cell>
          <cell r="K1528">
            <v>53860.529450000002</v>
          </cell>
          <cell r="L1528">
            <v>55112.8799</v>
          </cell>
          <cell r="M1528">
            <v>56127.685899999997</v>
          </cell>
          <cell r="N1528">
            <v>57176.035649999998</v>
          </cell>
          <cell r="O1528">
            <v>58523.620450000002</v>
          </cell>
          <cell r="P1528">
            <v>59711.737229999999</v>
          </cell>
          <cell r="Q1528">
            <v>60591.222750000001</v>
          </cell>
          <cell r="R1528">
            <v>61337.208070000001</v>
          </cell>
          <cell r="S1528">
            <v>62013.222829999999</v>
          </cell>
          <cell r="T1528">
            <v>62668.302530000001</v>
          </cell>
          <cell r="U1528">
            <v>63318.637280000003</v>
          </cell>
          <cell r="V1528">
            <v>63959.59218</v>
          </cell>
          <cell r="W1528">
            <v>64612.176169999999</v>
          </cell>
          <cell r="X1528">
            <v>65307.922440000002</v>
          </cell>
          <cell r="Y1528">
            <v>66077.760550000006</v>
          </cell>
          <cell r="Z1528">
            <v>66935.712849999996</v>
          </cell>
          <cell r="AA1528">
            <v>67917.882310000001</v>
          </cell>
          <cell r="AB1528">
            <v>69050.491940000007</v>
          </cell>
          <cell r="AC1528">
            <v>70343.387449999995</v>
          </cell>
          <cell r="AD1528">
            <v>71796.652830000006</v>
          </cell>
          <cell r="AE1528">
            <v>73389.779299999995</v>
          </cell>
          <cell r="AF1528">
            <v>75123.231390000001</v>
          </cell>
          <cell r="AG1528">
            <v>77025.568190000005</v>
          </cell>
          <cell r="AH1528">
            <v>79104.837480000002</v>
          </cell>
          <cell r="AI1528">
            <v>81342.604210000005</v>
          </cell>
          <cell r="AJ1528">
            <v>83710.568679999997</v>
          </cell>
          <cell r="AK1528">
            <v>86186.510890000005</v>
          </cell>
          <cell r="AL1528">
            <v>88754.650819999995</v>
          </cell>
          <cell r="AM1528">
            <v>91392.080619999993</v>
          </cell>
          <cell r="AN1528">
            <v>94074.039059999996</v>
          </cell>
          <cell r="AO1528">
            <v>96774.959369999997</v>
          </cell>
        </row>
        <row r="1533">
          <cell r="F1533">
            <v>1511803.8160000001</v>
          </cell>
          <cell r="G1533">
            <v>1538010.648</v>
          </cell>
          <cell r="H1533">
            <v>1567152.371</v>
          </cell>
          <cell r="I1533">
            <v>1599174.8970000001</v>
          </cell>
          <cell r="J1533">
            <v>1632793.736</v>
          </cell>
          <cell r="K1533">
            <v>1668176.6869999999</v>
          </cell>
          <cell r="L1533">
            <v>1705178.0830000001</v>
          </cell>
          <cell r="M1533">
            <v>1740108.4080000001</v>
          </cell>
          <cell r="N1533">
            <v>1776377.4509999999</v>
          </cell>
          <cell r="O1533">
            <v>1819988.1980000001</v>
          </cell>
          <cell r="P1533">
            <v>1865571.3330000001</v>
          </cell>
          <cell r="Q1533">
            <v>1904888.862</v>
          </cell>
          <cell r="R1533">
            <v>1940416.095</v>
          </cell>
          <cell r="S1533">
            <v>1973304.808</v>
          </cell>
          <cell r="T1533">
            <v>2004536.993</v>
          </cell>
          <cell r="U1533">
            <v>2034687.108</v>
          </cell>
          <cell r="V1533">
            <v>2063948.4280000001</v>
          </cell>
          <cell r="W1533">
            <v>2093153.801</v>
          </cell>
          <cell r="X1533">
            <v>2123081.6030000001</v>
          </cell>
          <cell r="Y1533">
            <v>2154370.4449999998</v>
          </cell>
          <cell r="Z1533">
            <v>2187389.253</v>
          </cell>
          <cell r="AA1533">
            <v>2222656.9029999999</v>
          </cell>
          <cell r="AB1533">
            <v>2260879.716</v>
          </cell>
          <cell r="AC1533">
            <v>2302469.2880000002</v>
          </cell>
          <cell r="AD1533">
            <v>2347596.7710000002</v>
          </cell>
          <cell r="AE1533">
            <v>2395614.301</v>
          </cell>
          <cell r="AF1533">
            <v>2445819.8689999999</v>
          </cell>
          <cell r="AG1533">
            <v>2498914.19</v>
          </cell>
          <cell r="AH1533">
            <v>2555410.87</v>
          </cell>
          <cell r="AI1533">
            <v>2615265.355</v>
          </cell>
          <cell r="AJ1533">
            <v>2678081.2050000001</v>
          </cell>
          <cell r="AK1533">
            <v>2743222.2510000002</v>
          </cell>
          <cell r="AL1533">
            <v>2810378.193</v>
          </cell>
          <cell r="AM1533">
            <v>2879136.3829999999</v>
          </cell>
          <cell r="AN1533">
            <v>2949041.3629999999</v>
          </cell>
          <cell r="AO1533">
            <v>3019605.202</v>
          </cell>
        </row>
        <row r="1537">
          <cell r="F1537">
            <v>-2125.090991</v>
          </cell>
          <cell r="G1537">
            <v>-2143.8752530000002</v>
          </cell>
          <cell r="H1537">
            <v>-2161.6439519999999</v>
          </cell>
          <cell r="I1537">
            <v>-2179.7148950000001</v>
          </cell>
          <cell r="J1537">
            <v>-2198.0483880000002</v>
          </cell>
          <cell r="K1537">
            <v>-2224.954315</v>
          </cell>
          <cell r="L1537">
            <v>-2259.2361900000001</v>
          </cell>
          <cell r="M1537">
            <v>-2306.6030679999999</v>
          </cell>
          <cell r="N1537">
            <v>-2345.1960749999998</v>
          </cell>
          <cell r="O1537">
            <v>-2374.3108309999998</v>
          </cell>
          <cell r="P1537">
            <v>-2415.0923389999998</v>
          </cell>
          <cell r="Q1537">
            <v>-2443.1837890000002</v>
          </cell>
          <cell r="R1537">
            <v>-2466.34503</v>
          </cell>
          <cell r="S1537">
            <v>-2486.3369210000001</v>
          </cell>
          <cell r="T1537">
            <v>-2505.2368799999999</v>
          </cell>
          <cell r="U1537">
            <v>-2525.390461</v>
          </cell>
          <cell r="V1537">
            <v>-2550.9575920000002</v>
          </cell>
          <cell r="W1537">
            <v>-2564.984997</v>
          </cell>
          <cell r="X1537">
            <v>-2581.3301160000001</v>
          </cell>
          <cell r="Y1537">
            <v>-2594.5562009999999</v>
          </cell>
          <cell r="Z1537">
            <v>-2576.4307749999998</v>
          </cell>
          <cell r="AA1537">
            <v>-2557.1608470000001</v>
          </cell>
          <cell r="AB1537">
            <v>-2539.0069389999999</v>
          </cell>
          <cell r="AC1537">
            <v>-2521.7733579999999</v>
          </cell>
          <cell r="AD1537">
            <v>-2505.210325</v>
          </cell>
          <cell r="AE1537">
            <v>-2489.100261</v>
          </cell>
          <cell r="AF1537">
            <v>-2473.971043</v>
          </cell>
          <cell r="AG1537">
            <v>-2453.4811930000001</v>
          </cell>
          <cell r="AH1537">
            <v>-2431.0832679999999</v>
          </cell>
          <cell r="AI1537">
            <v>-2409.6632330000002</v>
          </cell>
          <cell r="AJ1537">
            <v>-2389.855708</v>
          </cell>
          <cell r="AK1537">
            <v>-2371.2562779999998</v>
          </cell>
          <cell r="AL1537">
            <v>-2353.9402869999999</v>
          </cell>
          <cell r="AM1537">
            <v>-2338.329831</v>
          </cell>
          <cell r="AN1537">
            <v>-2324.9879350000001</v>
          </cell>
          <cell r="AO1537">
            <v>-2314.5027719999998</v>
          </cell>
        </row>
        <row r="1541">
          <cell r="F1541">
            <v>40654.788650000002</v>
          </cell>
          <cell r="G1541">
            <v>41254.523200000003</v>
          </cell>
          <cell r="H1541">
            <v>41807.002030000003</v>
          </cell>
          <cell r="I1541">
            <v>42404.110410000001</v>
          </cell>
          <cell r="J1541">
            <v>42933.1077</v>
          </cell>
          <cell r="K1541">
            <v>43472.020320000003</v>
          </cell>
          <cell r="L1541">
            <v>43403.428110000001</v>
          </cell>
          <cell r="M1541">
            <v>43234.444159999999</v>
          </cell>
          <cell r="N1541">
            <v>43058.023009999997</v>
          </cell>
          <cell r="O1541">
            <v>43036.024129999998</v>
          </cell>
          <cell r="P1541">
            <v>42952.31983</v>
          </cell>
          <cell r="Q1541">
            <v>42578.04997</v>
          </cell>
          <cell r="R1541">
            <v>41981.458250000003</v>
          </cell>
          <cell r="S1541">
            <v>41209.46974</v>
          </cell>
          <cell r="T1541">
            <v>40314.241840000002</v>
          </cell>
          <cell r="U1541">
            <v>39320.293060000004</v>
          </cell>
          <cell r="V1541">
            <v>38167.5095</v>
          </cell>
          <cell r="W1541">
            <v>36913.98515</v>
          </cell>
          <cell r="X1541">
            <v>35569.253349999999</v>
          </cell>
          <cell r="Y1541">
            <v>34126.750189999999</v>
          </cell>
          <cell r="Z1541">
            <v>32575.11406</v>
          </cell>
          <cell r="AA1541">
            <v>30892.59217</v>
          </cell>
          <cell r="AB1541">
            <v>29077.141940000001</v>
          </cell>
          <cell r="AC1541">
            <v>27094.040280000001</v>
          </cell>
          <cell r="AD1541">
            <v>24892.06755</v>
          </cell>
          <cell r="AE1541">
            <v>22393.776290000002</v>
          </cell>
          <cell r="AF1541">
            <v>22016.494009999999</v>
          </cell>
          <cell r="AG1541">
            <v>22434.420569999998</v>
          </cell>
          <cell r="AH1541">
            <v>23063.099849999999</v>
          </cell>
          <cell r="AI1541">
            <v>23712.139029999998</v>
          </cell>
          <cell r="AJ1541">
            <v>24330.67815</v>
          </cell>
          <cell r="AK1541">
            <v>24908.581419999999</v>
          </cell>
          <cell r="AL1541">
            <v>25461.190559999999</v>
          </cell>
          <cell r="AM1541">
            <v>25993.021929999999</v>
          </cell>
          <cell r="AN1541">
            <v>26505.357479999999</v>
          </cell>
          <cell r="AO1541">
            <v>26998.307809999998</v>
          </cell>
        </row>
        <row r="1551">
          <cell r="F1551">
            <v>1966664.7720000001</v>
          </cell>
          <cell r="G1551">
            <v>2002915.014</v>
          </cell>
          <cell r="H1551">
            <v>2042371.557</v>
          </cell>
          <cell r="I1551">
            <v>2085410.699</v>
          </cell>
          <cell r="J1551">
            <v>2130524.5359999998</v>
          </cell>
          <cell r="K1551">
            <v>2178018.5159999998</v>
          </cell>
          <cell r="L1551">
            <v>2227187.8829999999</v>
          </cell>
          <cell r="M1551">
            <v>2278088.844</v>
          </cell>
          <cell r="N1551">
            <v>2330572.2549999999</v>
          </cell>
          <cell r="O1551">
            <v>2384506.835</v>
          </cell>
          <cell r="P1551">
            <v>2438500.048</v>
          </cell>
          <cell r="Q1551">
            <v>2486852.9270000001</v>
          </cell>
          <cell r="R1551">
            <v>2531144.7200000002</v>
          </cell>
          <cell r="S1551">
            <v>2572180.4360000002</v>
          </cell>
          <cell r="T1551">
            <v>2611074.1660000002</v>
          </cell>
          <cell r="U1551">
            <v>2648942.5440000002</v>
          </cell>
          <cell r="V1551">
            <v>2686893.7930000001</v>
          </cell>
          <cell r="W1551">
            <v>2726057.3089999999</v>
          </cell>
          <cell r="X1551">
            <v>2767386.639</v>
          </cell>
          <cell r="Y1551">
            <v>2811519.8259999999</v>
          </cell>
          <cell r="Z1551">
            <v>2858690.3640000001</v>
          </cell>
          <cell r="AA1551">
            <v>2909818.5040000002</v>
          </cell>
          <cell r="AB1551">
            <v>2965369.395</v>
          </cell>
          <cell r="AC1551">
            <v>3025633.5460000001</v>
          </cell>
          <cell r="AD1551">
            <v>3090605.8450000002</v>
          </cell>
          <cell r="AE1551">
            <v>3159309.1839999999</v>
          </cell>
          <cell r="AF1551">
            <v>3233161.6140000001</v>
          </cell>
          <cell r="AG1551">
            <v>3311684.1660000002</v>
          </cell>
          <cell r="AH1551">
            <v>3394789.284</v>
          </cell>
          <cell r="AI1551">
            <v>3481970.0639999998</v>
          </cell>
          <cell r="AJ1551">
            <v>3572463.6370000001</v>
          </cell>
          <cell r="AK1551">
            <v>3665585.3790000002</v>
          </cell>
          <cell r="AL1551">
            <v>3760751.4619999998</v>
          </cell>
          <cell r="AM1551">
            <v>3857372.5189999999</v>
          </cell>
          <cell r="AN1551">
            <v>3954836.2030000002</v>
          </cell>
          <cell r="AO1551">
            <v>4052503.2289999998</v>
          </cell>
        </row>
        <row r="1552">
          <cell r="F1552">
            <v>36109.890729999999</v>
          </cell>
          <cell r="G1552">
            <v>36627.220650000003</v>
          </cell>
          <cell r="H1552">
            <v>37226.910170000003</v>
          </cell>
          <cell r="I1552">
            <v>37916.346960000003</v>
          </cell>
          <cell r="J1552">
            <v>38677.675380000001</v>
          </cell>
          <cell r="K1552">
            <v>39508.816160000002</v>
          </cell>
          <cell r="L1552">
            <v>40420.376479999999</v>
          </cell>
          <cell r="M1552">
            <v>41383.20347</v>
          </cell>
          <cell r="N1552">
            <v>42386.636769999997</v>
          </cell>
          <cell r="O1552">
            <v>43424.763429999999</v>
          </cell>
          <cell r="P1552">
            <v>44464.342559999997</v>
          </cell>
          <cell r="Q1552">
            <v>45358.875050000002</v>
          </cell>
          <cell r="R1552">
            <v>46159.790489999999</v>
          </cell>
          <cell r="S1552">
            <v>46888.262490000001</v>
          </cell>
          <cell r="T1552">
            <v>47569.816209999997</v>
          </cell>
          <cell r="U1552">
            <v>48229.634989999999</v>
          </cell>
          <cell r="V1552">
            <v>48910.377589999996</v>
          </cell>
          <cell r="W1552">
            <v>49623.308019999997</v>
          </cell>
          <cell r="X1552">
            <v>50387.931170000003</v>
          </cell>
          <cell r="Y1552">
            <v>51218.247170000002</v>
          </cell>
          <cell r="Z1552">
            <v>52118.31695</v>
          </cell>
          <cell r="AA1552">
            <v>53112.925560000003</v>
          </cell>
          <cell r="AB1552">
            <v>54212.83698</v>
          </cell>
          <cell r="AC1552">
            <v>55425.549290000003</v>
          </cell>
          <cell r="AD1552">
            <v>56752.344299999997</v>
          </cell>
          <cell r="AE1552">
            <v>58169.032619999998</v>
          </cell>
          <cell r="AF1552">
            <v>59563.223579999998</v>
          </cell>
          <cell r="AG1552">
            <v>61026.925380000001</v>
          </cell>
          <cell r="AH1552">
            <v>62589.783629999998</v>
          </cell>
          <cell r="AI1552">
            <v>64245.960760000002</v>
          </cell>
          <cell r="AJ1552">
            <v>65977.030759999994</v>
          </cell>
          <cell r="AK1552">
            <v>67765.583459999994</v>
          </cell>
          <cell r="AL1552">
            <v>69596.735180000003</v>
          </cell>
          <cell r="AM1552">
            <v>71455.697660000005</v>
          </cell>
          <cell r="AN1552">
            <v>73327.493719999999</v>
          </cell>
          <cell r="AO1552">
            <v>75196.886450000005</v>
          </cell>
        </row>
        <row r="1555">
          <cell r="F1555">
            <v>331661.67540000001</v>
          </cell>
          <cell r="G1555">
            <v>339598.63290000003</v>
          </cell>
          <cell r="H1555">
            <v>347763.66960000002</v>
          </cell>
          <cell r="I1555">
            <v>356445.8737</v>
          </cell>
          <cell r="J1555">
            <v>365545.24939999997</v>
          </cell>
          <cell r="K1555">
            <v>375119.84230000002</v>
          </cell>
          <cell r="L1555">
            <v>385206.96889999998</v>
          </cell>
          <cell r="M1555">
            <v>395771.46220000001</v>
          </cell>
          <cell r="N1555">
            <v>406787.24349999998</v>
          </cell>
          <cell r="O1555">
            <v>418245.48969999998</v>
          </cell>
          <cell r="P1555">
            <v>429706.37160000001</v>
          </cell>
          <cell r="Q1555">
            <v>439654.26270000002</v>
          </cell>
          <cell r="R1555">
            <v>448880.4522</v>
          </cell>
          <cell r="S1555">
            <v>457658.64990000002</v>
          </cell>
          <cell r="T1555">
            <v>466296.08299999998</v>
          </cell>
          <cell r="U1555">
            <v>475050.92790000001</v>
          </cell>
          <cell r="V1555">
            <v>484161.17070000002</v>
          </cell>
          <cell r="W1555">
            <v>493845.24080000003</v>
          </cell>
          <cell r="X1555">
            <v>504271.94870000001</v>
          </cell>
          <cell r="Y1555">
            <v>515534.0931</v>
          </cell>
          <cell r="Z1555">
            <v>527680.96180000005</v>
          </cell>
          <cell r="AA1555">
            <v>540850.19929999998</v>
          </cell>
          <cell r="AB1555">
            <v>555149.55570000003</v>
          </cell>
          <cell r="AC1555">
            <v>570634.62109999999</v>
          </cell>
          <cell r="AD1555">
            <v>587290.76870000002</v>
          </cell>
          <cell r="AE1555">
            <v>604982.576</v>
          </cell>
          <cell r="AF1555">
            <v>623282.57389999996</v>
          </cell>
          <cell r="AG1555">
            <v>642351.24710000004</v>
          </cell>
          <cell r="AH1555">
            <v>662296.6949</v>
          </cell>
          <cell r="AI1555">
            <v>683010.50490000006</v>
          </cell>
          <cell r="AJ1555">
            <v>704312.71990000003</v>
          </cell>
          <cell r="AK1555">
            <v>726066.4915</v>
          </cell>
          <cell r="AL1555">
            <v>748171.97199999995</v>
          </cell>
          <cell r="AM1555">
            <v>770528.74179999996</v>
          </cell>
          <cell r="AN1555">
            <v>793031.7402</v>
          </cell>
          <cell r="AO1555">
            <v>815569.3763</v>
          </cell>
        </row>
        <row r="1567">
          <cell r="F1567">
            <v>48469.954230000003</v>
          </cell>
          <cell r="G1567">
            <v>49477.770960000002</v>
          </cell>
          <cell r="H1567">
            <v>50489.629639999999</v>
          </cell>
          <cell r="I1567">
            <v>51552.663710000001</v>
          </cell>
          <cell r="J1567">
            <v>52671.70983</v>
          </cell>
          <cell r="K1567">
            <v>53860.529459999998</v>
          </cell>
          <cell r="L1567">
            <v>55112.8799</v>
          </cell>
          <cell r="M1567">
            <v>56418.250139999996</v>
          </cell>
          <cell r="N1567">
            <v>57768.304120000001</v>
          </cell>
          <cell r="O1567">
            <v>59157.382850000002</v>
          </cell>
          <cell r="P1567">
            <v>60525.600339999997</v>
          </cell>
          <cell r="Q1567">
            <v>61666.119789999997</v>
          </cell>
          <cell r="R1567">
            <v>62677.015570000003</v>
          </cell>
          <cell r="S1567">
            <v>63591.312850000002</v>
          </cell>
          <cell r="T1567">
            <v>64449.184650000003</v>
          </cell>
          <cell r="U1567">
            <v>65287.261299999998</v>
          </cell>
          <cell r="V1567">
            <v>66140.440990000003</v>
          </cell>
          <cell r="W1567">
            <v>67042.13076</v>
          </cell>
          <cell r="X1567">
            <v>68019.285340000002</v>
          </cell>
          <cell r="Y1567">
            <v>69088.403529999996</v>
          </cell>
          <cell r="Z1567">
            <v>70257.830100000006</v>
          </cell>
          <cell r="AA1567">
            <v>71551.594729999997</v>
          </cell>
          <cell r="AB1567">
            <v>72984.298150000002</v>
          </cell>
          <cell r="AC1567">
            <v>74563.164680000002</v>
          </cell>
          <cell r="AD1567">
            <v>76285.701610000004</v>
          </cell>
          <cell r="AE1567">
            <v>78128.136140000002</v>
          </cell>
          <cell r="AF1567">
            <v>80085.012050000005</v>
          </cell>
          <cell r="AG1567">
            <v>82175.745930000005</v>
          </cell>
          <cell r="AH1567">
            <v>84405.686189999993</v>
          </cell>
          <cell r="AI1567">
            <v>86753.046109999996</v>
          </cell>
          <cell r="AJ1567">
            <v>89187.787450000003</v>
          </cell>
          <cell r="AK1567">
            <v>91686.122820000004</v>
          </cell>
          <cell r="AL1567">
            <v>94229.559569999998</v>
          </cell>
          <cell r="AM1567">
            <v>96799.985799999995</v>
          </cell>
          <cell r="AN1567">
            <v>99379.178069999994</v>
          </cell>
          <cell r="AO1567">
            <v>101948.68640000001</v>
          </cell>
        </row>
        <row r="1572">
          <cell r="F1572">
            <v>1511803.8160000001</v>
          </cell>
          <cell r="G1572">
            <v>1538010.648</v>
          </cell>
          <cell r="H1572">
            <v>1567152.371</v>
          </cell>
          <cell r="I1572">
            <v>1599174.8970000001</v>
          </cell>
          <cell r="J1572">
            <v>1632793.736</v>
          </cell>
          <cell r="K1572">
            <v>1668176.6869999999</v>
          </cell>
          <cell r="L1572">
            <v>1705178.0830000001</v>
          </cell>
          <cell r="M1572">
            <v>1743525.656</v>
          </cell>
          <cell r="N1572">
            <v>1783013.3529999999</v>
          </cell>
          <cell r="O1572">
            <v>1823510.6910000001</v>
          </cell>
          <cell r="P1572">
            <v>1864181.754</v>
          </cell>
          <cell r="Q1572">
            <v>1901023.24</v>
          </cell>
          <cell r="R1572">
            <v>1934815.4950000001</v>
          </cell>
          <cell r="S1572">
            <v>1966092.612</v>
          </cell>
          <cell r="T1572">
            <v>1995595.1470000001</v>
          </cell>
          <cell r="U1572">
            <v>2024108.0560000001</v>
          </cell>
          <cell r="V1572">
            <v>2052467.352</v>
          </cell>
          <cell r="W1572">
            <v>2081500.72</v>
          </cell>
          <cell r="X1572">
            <v>2111925.7050000001</v>
          </cell>
          <cell r="Y1572">
            <v>2144254.5580000002</v>
          </cell>
          <cell r="Z1572">
            <v>2178673.4169999999</v>
          </cell>
          <cell r="AA1572">
            <v>2215922.0019999999</v>
          </cell>
          <cell r="AB1572">
            <v>2256361.1719999998</v>
          </cell>
          <cell r="AC1572">
            <v>2300249.5559999999</v>
          </cell>
          <cell r="AD1572">
            <v>2347647.5619999999</v>
          </cell>
          <cell r="AE1572">
            <v>2397836.3390000002</v>
          </cell>
          <cell r="AF1572">
            <v>2450405.1290000002</v>
          </cell>
          <cell r="AG1572">
            <v>2505883.0490000001</v>
          </cell>
          <cell r="AH1572">
            <v>2564615.4679999999</v>
          </cell>
          <cell r="AI1572">
            <v>2626417.301</v>
          </cell>
          <cell r="AJ1572">
            <v>2690803.341</v>
          </cell>
          <cell r="AK1572">
            <v>2757273.818</v>
          </cell>
          <cell r="AL1572">
            <v>2825374.6940000001</v>
          </cell>
          <cell r="AM1572">
            <v>2894646.4139999999</v>
          </cell>
          <cell r="AN1572">
            <v>2964613.0389999999</v>
          </cell>
          <cell r="AO1572">
            <v>3034780.551</v>
          </cell>
        </row>
        <row r="1575">
          <cell r="F1575">
            <v>-2035.3530370000001</v>
          </cell>
          <cell r="G1575">
            <v>-2053.7817530000002</v>
          </cell>
          <cell r="H1575">
            <v>-2068.0253739999998</v>
          </cell>
          <cell r="I1575">
            <v>-2083.1929460000001</v>
          </cell>
          <cell r="J1575">
            <v>-2096.9415949999998</v>
          </cell>
          <cell r="K1575">
            <v>-2119.3789860000002</v>
          </cell>
          <cell r="L1575">
            <v>-2133.8534049999998</v>
          </cell>
          <cell r="M1575">
            <v>-2153.750618</v>
          </cell>
          <cell r="N1575">
            <v>-2177.0017969999999</v>
          </cell>
          <cell r="O1575">
            <v>-2201.537284</v>
          </cell>
          <cell r="P1575">
            <v>-2227.0259999999998</v>
          </cell>
          <cell r="Q1575">
            <v>-2269.775983</v>
          </cell>
          <cell r="R1575">
            <v>-2306.246181</v>
          </cell>
          <cell r="S1575">
            <v>-2335.1017299999999</v>
          </cell>
          <cell r="T1575">
            <v>-2357.9729400000001</v>
          </cell>
          <cell r="U1575">
            <v>-2376.7213769999998</v>
          </cell>
          <cell r="V1575">
            <v>-2393.2134890000002</v>
          </cell>
          <cell r="W1575">
            <v>-2407.3094970000002</v>
          </cell>
          <cell r="X1575">
            <v>-2421.8316150000001</v>
          </cell>
          <cell r="Y1575">
            <v>-2437.8805459999999</v>
          </cell>
          <cell r="Z1575">
            <v>-2455.9417389999999</v>
          </cell>
          <cell r="AA1575">
            <v>-2475.709625</v>
          </cell>
          <cell r="AB1575">
            <v>-2497.6987770000001</v>
          </cell>
          <cell r="AC1575">
            <v>-2522.373329</v>
          </cell>
          <cell r="AD1575">
            <v>-2550.0060410000001</v>
          </cell>
          <cell r="AE1575">
            <v>-2580.8870489999999</v>
          </cell>
          <cell r="AF1575">
            <v>-2635.0015739999999</v>
          </cell>
          <cell r="AG1575">
            <v>-2689.7698099999998</v>
          </cell>
          <cell r="AH1575">
            <v>-2745.3846920000001</v>
          </cell>
          <cell r="AI1575">
            <v>-2804.7492929999999</v>
          </cell>
          <cell r="AJ1575">
            <v>-2868.5962279999999</v>
          </cell>
          <cell r="AK1575">
            <v>-2936.1546819999999</v>
          </cell>
          <cell r="AL1575">
            <v>-3006.4366989999999</v>
          </cell>
          <cell r="AM1575">
            <v>-3078.7029349999998</v>
          </cell>
          <cell r="AN1575">
            <v>-3152.3215540000001</v>
          </cell>
          <cell r="AO1575">
            <v>-3226.6775520000001</v>
          </cell>
        </row>
        <row r="1580">
          <cell r="F1580">
            <v>40654.788639999999</v>
          </cell>
          <cell r="G1580">
            <v>41254.523200000003</v>
          </cell>
          <cell r="H1580">
            <v>41807.002030000003</v>
          </cell>
          <cell r="I1580">
            <v>42404.110410000001</v>
          </cell>
          <cell r="J1580">
            <v>42933.1077</v>
          </cell>
          <cell r="K1580">
            <v>43472.020320000003</v>
          </cell>
          <cell r="L1580">
            <v>43403.42813</v>
          </cell>
          <cell r="M1580">
            <v>43144.02246</v>
          </cell>
          <cell r="N1580">
            <v>42793.718789999999</v>
          </cell>
          <cell r="O1580">
            <v>42370.045270000002</v>
          </cell>
          <cell r="P1580">
            <v>41849.00578</v>
          </cell>
          <cell r="Q1580">
            <v>41420.205710000002</v>
          </cell>
          <cell r="R1580">
            <v>40918.212480000002</v>
          </cell>
          <cell r="S1580">
            <v>40284.700539999998</v>
          </cell>
          <cell r="T1580">
            <v>39521.908439999999</v>
          </cell>
          <cell r="U1580">
            <v>38643.385600000001</v>
          </cell>
          <cell r="V1580">
            <v>37607.664960000002</v>
          </cell>
          <cell r="W1580">
            <v>36453.219729999997</v>
          </cell>
          <cell r="X1580">
            <v>35203.600460000001</v>
          </cell>
          <cell r="Y1580">
            <v>33862.404999999999</v>
          </cell>
          <cell r="Z1580">
            <v>32415.7798</v>
          </cell>
          <cell r="AA1580">
            <v>30857.49195</v>
          </cell>
          <cell r="AB1580">
            <v>29159.231299999999</v>
          </cell>
          <cell r="AC1580">
            <v>27283.02823</v>
          </cell>
          <cell r="AD1580">
            <v>25179.473999999998</v>
          </cell>
          <cell r="AE1580">
            <v>22773.98705</v>
          </cell>
          <cell r="AF1580">
            <v>22460.677049999998</v>
          </cell>
          <cell r="AG1580">
            <v>22936.968079999999</v>
          </cell>
          <cell r="AH1580">
            <v>23627.036110000001</v>
          </cell>
          <cell r="AI1580">
            <v>24348.00016</v>
          </cell>
          <cell r="AJ1580">
            <v>25051.353419999999</v>
          </cell>
          <cell r="AK1580">
            <v>25729.517899999999</v>
          </cell>
          <cell r="AL1580">
            <v>26384.938539999999</v>
          </cell>
          <cell r="AM1580">
            <v>27020.38335</v>
          </cell>
          <cell r="AN1580">
            <v>27637.073199999999</v>
          </cell>
          <cell r="AO1580">
            <v>28234.40683</v>
          </cell>
        </row>
        <row r="1760">
          <cell r="F1760">
            <v>1.0026519949999999</v>
          </cell>
          <cell r="G1760">
            <v>1.023057036</v>
          </cell>
          <cell r="H1760">
            <v>1.0443057389999999</v>
          </cell>
          <cell r="I1760">
            <v>1.0676952369999999</v>
          </cell>
          <cell r="J1760">
            <v>1.0899348980000001</v>
          </cell>
          <cell r="K1760">
            <v>1.112582363</v>
          </cell>
          <cell r="L1760">
            <v>1.1358878699999999</v>
          </cell>
          <cell r="M1760">
            <v>1.1661700589999999</v>
          </cell>
          <cell r="N1760">
            <v>1.2013748609999999</v>
          </cell>
          <cell r="O1760">
            <v>1.243551552</v>
          </cell>
          <cell r="P1760">
            <v>1.29442485</v>
          </cell>
          <cell r="Q1760">
            <v>1.340113557</v>
          </cell>
          <cell r="R1760">
            <v>1.383904327</v>
          </cell>
          <cell r="S1760">
            <v>1.4254229220000001</v>
          </cell>
          <cell r="T1760">
            <v>1.464487721</v>
          </cell>
          <cell r="U1760">
            <v>1.5009553579999999</v>
          </cell>
          <cell r="V1760">
            <v>1.535733963</v>
          </cell>
          <cell r="W1760">
            <v>1.5686619040000001</v>
          </cell>
          <cell r="X1760">
            <v>1.59945373</v>
          </cell>
          <cell r="Y1760">
            <v>1.627788577</v>
          </cell>
          <cell r="Z1760">
            <v>1.654167604</v>
          </cell>
          <cell r="AA1760">
            <v>1.6776501159999999</v>
          </cell>
          <cell r="AB1760">
            <v>1.6993773759999999</v>
          </cell>
          <cell r="AC1760">
            <v>1.719863658</v>
          </cell>
          <cell r="AD1760">
            <v>1.7397504989999999</v>
          </cell>
          <cell r="AE1760">
            <v>1.759956514</v>
          </cell>
          <cell r="AF1760">
            <v>1.780331981</v>
          </cell>
          <cell r="AG1760">
            <v>1.8022492429999999</v>
          </cell>
          <cell r="AH1760">
            <v>1.8261677919999999</v>
          </cell>
          <cell r="AI1760">
            <v>1.852435013</v>
          </cell>
          <cell r="AJ1760">
            <v>1.881350072</v>
          </cell>
          <cell r="AK1760">
            <v>1.9128627380000001</v>
          </cell>
          <cell r="AL1760">
            <v>1.9475206060000001</v>
          </cell>
          <cell r="AM1760">
            <v>1.985343635</v>
          </cell>
          <cell r="AN1760">
            <v>2.0262533249999999</v>
          </cell>
          <cell r="AO1760">
            <v>2.0700823499999998</v>
          </cell>
        </row>
        <row r="1789">
          <cell r="F1789">
            <v>1.0026519949999999</v>
          </cell>
          <cell r="G1789">
            <v>1.0230570349999999</v>
          </cell>
          <cell r="H1789">
            <v>1.044305738</v>
          </cell>
          <cell r="I1789">
            <v>1.067695236</v>
          </cell>
          <cell r="J1789">
            <v>1.089934897</v>
          </cell>
          <cell r="K1789">
            <v>1.1125823610000001</v>
          </cell>
          <cell r="L1789">
            <v>1.135887868</v>
          </cell>
          <cell r="M1789">
            <v>1.159955555</v>
          </cell>
          <cell r="N1789">
            <v>1.184788634</v>
          </cell>
          <cell r="O1789">
            <v>1.2103594660000001</v>
          </cell>
          <cell r="P1789">
            <v>1.2363986680000001</v>
          </cell>
          <cell r="Q1789">
            <v>1.262143547</v>
          </cell>
          <cell r="R1789">
            <v>1.2868736249999999</v>
          </cell>
          <cell r="S1789">
            <v>1.310043734</v>
          </cell>
          <cell r="T1789">
            <v>1.3313778570000001</v>
          </cell>
          <cell r="U1789">
            <v>1.350776355</v>
          </cell>
          <cell r="V1789">
            <v>1.3681958789999999</v>
          </cell>
          <cell r="W1789">
            <v>1.383708889</v>
          </cell>
          <cell r="X1789">
            <v>1.397575094</v>
          </cell>
          <cell r="Y1789">
            <v>1.4101613340000001</v>
          </cell>
          <cell r="Z1789">
            <v>1.421978819</v>
          </cell>
          <cell r="AA1789">
            <v>1.433435244</v>
          </cell>
          <cell r="AB1789">
            <v>1.4450104969999999</v>
          </cell>
          <cell r="AC1789">
            <v>1.4572240000000001</v>
          </cell>
          <cell r="AD1789">
            <v>1.470648653</v>
          </cell>
          <cell r="AE1789">
            <v>1.486024915</v>
          </cell>
          <cell r="AF1789">
            <v>1.503509524</v>
          </cell>
          <cell r="AG1789">
            <v>1.5233793499999999</v>
          </cell>
          <cell r="AH1789">
            <v>1.5459126590000001</v>
          </cell>
          <cell r="AI1789">
            <v>1.571233136</v>
          </cell>
          <cell r="AJ1789">
            <v>1.599406076</v>
          </cell>
          <cell r="AK1789">
            <v>1.630411644</v>
          </cell>
          <cell r="AL1789">
            <v>1.6641567370000001</v>
          </cell>
          <cell r="AM1789">
            <v>1.700482584</v>
          </cell>
          <cell r="AN1789">
            <v>1.739164945</v>
          </cell>
          <cell r="AO1789">
            <v>1.779916958</v>
          </cell>
        </row>
      </sheetData>
      <sheetData sheetId="5" refreshError="1"/>
      <sheetData sheetId="6">
        <row r="820">
          <cell r="B820">
            <v>348.06035179999998</v>
          </cell>
          <cell r="C820">
            <v>348.40595430000002</v>
          </cell>
          <cell r="D820">
            <v>348.84820539999998</v>
          </cell>
          <cell r="E820">
            <v>349.09550089999999</v>
          </cell>
          <cell r="F820">
            <v>351.27043859999998</v>
          </cell>
          <cell r="G820">
            <v>354.93011469999999</v>
          </cell>
          <cell r="H820">
            <v>359.91382590000001</v>
          </cell>
          <cell r="I820">
            <v>365.9466481</v>
          </cell>
          <cell r="J820">
            <v>372.73322569999999</v>
          </cell>
          <cell r="K820">
            <v>380.09761420000001</v>
          </cell>
          <cell r="L820">
            <v>387.77010899999999</v>
          </cell>
          <cell r="M820">
            <v>395.8555763</v>
          </cell>
          <cell r="N820">
            <v>403.35205459999997</v>
          </cell>
          <cell r="O820">
            <v>410.37041900000003</v>
          </cell>
          <cell r="P820">
            <v>417.06547369999998</v>
          </cell>
          <cell r="Q820">
            <v>423.60929399999998</v>
          </cell>
          <cell r="R820">
            <v>430.21343059999998</v>
          </cell>
          <cell r="S820">
            <v>437.14605030000001</v>
          </cell>
          <cell r="T820">
            <v>444.54048949999998</v>
          </cell>
          <cell r="U820">
            <v>452.51809680000002</v>
          </cell>
          <cell r="V820">
            <v>461.16061530000002</v>
          </cell>
          <cell r="W820">
            <v>470.68547610000002</v>
          </cell>
          <cell r="X820">
            <v>481.24626619999998</v>
          </cell>
          <cell r="Y820">
            <v>492.98746449999999</v>
          </cell>
          <cell r="Z820">
            <v>506.03204579999999</v>
          </cell>
          <cell r="AA820">
            <v>520.35877289999996</v>
          </cell>
          <cell r="AB820">
            <v>532.17556190000005</v>
          </cell>
          <cell r="AC820">
            <v>543.73546690000001</v>
          </cell>
          <cell r="AD820">
            <v>556.04277009999998</v>
          </cell>
          <cell r="AE820">
            <v>569.30712689999996</v>
          </cell>
          <cell r="AF820">
            <v>583.43526220000001</v>
          </cell>
          <cell r="AG820">
            <v>598.26351490000002</v>
          </cell>
          <cell r="AH820">
            <v>613.62866359999998</v>
          </cell>
          <cell r="AI820">
            <v>629.37060829999996</v>
          </cell>
          <cell r="AJ820">
            <v>645.32935269999996</v>
          </cell>
          <cell r="AK820">
            <v>661.34198279999998</v>
          </cell>
        </row>
        <row r="825">
          <cell r="B825">
            <v>348.06037450000002</v>
          </cell>
          <cell r="C825">
            <v>348.40597639999999</v>
          </cell>
          <cell r="D825">
            <v>348.84822700000001</v>
          </cell>
          <cell r="E825">
            <v>349.09552189999999</v>
          </cell>
          <cell r="F825">
            <v>351.27045939999999</v>
          </cell>
          <cell r="G825">
            <v>354.93013550000001</v>
          </cell>
          <cell r="H825">
            <v>359.91384720000002</v>
          </cell>
          <cell r="I825">
            <v>362.81604290000001</v>
          </cell>
          <cell r="J825">
            <v>363.49235019999998</v>
          </cell>
          <cell r="K825">
            <v>363.3966734</v>
          </cell>
          <cell r="L825">
            <v>360.37722280000003</v>
          </cell>
          <cell r="M825">
            <v>360.00741579999999</v>
          </cell>
          <cell r="N825">
            <v>360.51318259999999</v>
          </cell>
          <cell r="O825">
            <v>361.60123920000001</v>
          </cell>
          <cell r="P825">
            <v>363.16208230000001</v>
          </cell>
          <cell r="Q825">
            <v>365.09694459999997</v>
          </cell>
          <cell r="R825">
            <v>364.67873379999997</v>
          </cell>
          <cell r="S825">
            <v>364.0897099</v>
          </cell>
          <cell r="T825">
            <v>362.5062451</v>
          </cell>
          <cell r="U825">
            <v>358.15189729999997</v>
          </cell>
          <cell r="V825">
            <v>353.42323979999998</v>
          </cell>
          <cell r="W825">
            <v>348.71331140000001</v>
          </cell>
          <cell r="X825">
            <v>344.14305280000002</v>
          </cell>
          <cell r="Y825">
            <v>339.88966169999998</v>
          </cell>
          <cell r="Z825">
            <v>336.16649519999999</v>
          </cell>
          <cell r="AA825">
            <v>333.1173101</v>
          </cell>
          <cell r="AB825">
            <v>328.47628350000002</v>
          </cell>
          <cell r="AC825">
            <v>324.04043910000001</v>
          </cell>
          <cell r="AD825">
            <v>320.498244</v>
          </cell>
          <cell r="AE825">
            <v>317.96537940000002</v>
          </cell>
          <cell r="AF825">
            <v>316.34579189999999</v>
          </cell>
          <cell r="AG825">
            <v>315.58800789999998</v>
          </cell>
          <cell r="AH825">
            <v>315.55430919999998</v>
          </cell>
          <cell r="AI825">
            <v>316.11614989999998</v>
          </cell>
          <cell r="AJ825">
            <v>317.16266189999999</v>
          </cell>
          <cell r="AK825">
            <v>318.60202529999998</v>
          </cell>
        </row>
        <row r="826">
          <cell r="B826">
            <v>213.32079419999999</v>
          </cell>
          <cell r="C826">
            <v>214.48808220000001</v>
          </cell>
          <cell r="D826">
            <v>215.82419150000001</v>
          </cell>
          <cell r="E826">
            <v>216.88667659999999</v>
          </cell>
          <cell r="F826">
            <v>219.21695059999999</v>
          </cell>
          <cell r="G826">
            <v>222.61337940000001</v>
          </cell>
          <cell r="H826">
            <v>227.0861922</v>
          </cell>
          <cell r="I826">
            <v>229.9256546</v>
          </cell>
          <cell r="J826">
            <v>231.1012274</v>
          </cell>
          <cell r="K826">
            <v>231.76866480000001</v>
          </cell>
          <cell r="L826">
            <v>230.01484669999999</v>
          </cell>
          <cell r="M826">
            <v>229.98351890000001</v>
          </cell>
          <cell r="N826">
            <v>230.4091181</v>
          </cell>
          <cell r="O826">
            <v>231.24460999999999</v>
          </cell>
          <cell r="P826">
            <v>232.507857</v>
          </cell>
          <cell r="Q826">
            <v>234.16817320000001</v>
          </cell>
          <cell r="R826">
            <v>234.11465229999999</v>
          </cell>
          <cell r="S826">
            <v>234.05832939999999</v>
          </cell>
          <cell r="T826">
            <v>233.58093779999999</v>
          </cell>
          <cell r="U826">
            <v>231.7886226</v>
          </cell>
          <cell r="V826">
            <v>229.9571492</v>
          </cell>
          <cell r="W826">
            <v>228.3494172</v>
          </cell>
          <cell r="X826">
            <v>227.0672189</v>
          </cell>
          <cell r="Y826">
            <v>226.24133710000001</v>
          </cell>
          <cell r="Z826">
            <v>226.02394530000001</v>
          </cell>
          <cell r="AA826">
            <v>226.54323400000001</v>
          </cell>
          <cell r="AB826">
            <v>225.42013180000001</v>
          </cell>
          <cell r="AC826">
            <v>224.4018763</v>
          </cell>
          <cell r="AD826">
            <v>224.14522210000001</v>
          </cell>
          <cell r="AE826">
            <v>224.72812909999999</v>
          </cell>
          <cell r="AF826">
            <v>226.02365660000001</v>
          </cell>
          <cell r="AG826">
            <v>227.9344342</v>
          </cell>
          <cell r="AH826">
            <v>230.31704740000001</v>
          </cell>
          <cell r="AI826">
            <v>233.0377014</v>
          </cell>
          <cell r="AJ826">
            <v>235.98312999999999</v>
          </cell>
          <cell r="AK826">
            <v>239.06391730000001</v>
          </cell>
        </row>
        <row r="827">
          <cell r="B827">
            <v>2.7544918200000001E-2</v>
          </cell>
          <cell r="C827">
            <v>2.8010612399999999E-2</v>
          </cell>
          <cell r="D827">
            <v>2.85534923E-2</v>
          </cell>
          <cell r="E827">
            <v>2.9175439500000001E-2</v>
          </cell>
          <cell r="F827">
            <v>2.9848708200000001E-2</v>
          </cell>
          <cell r="G827">
            <v>3.0576793500000001E-2</v>
          </cell>
          <cell r="H827">
            <v>3.1351321000000001E-2</v>
          </cell>
          <cell r="I827">
            <v>3.20453526E-2</v>
          </cell>
          <cell r="J827">
            <v>3.2764352599999998E-2</v>
          </cell>
          <cell r="K827">
            <v>3.36581517E-2</v>
          </cell>
          <cell r="L827">
            <v>3.4570802099999999E-2</v>
          </cell>
          <cell r="M827">
            <v>3.5302437399999997E-2</v>
          </cell>
          <cell r="N827">
            <v>3.5920069999999998E-2</v>
          </cell>
          <cell r="O827">
            <v>3.64678555E-2</v>
          </cell>
          <cell r="P827">
            <v>3.6978580099999998E-2</v>
          </cell>
          <cell r="Q827">
            <v>3.7468462600000002E-2</v>
          </cell>
          <cell r="R827">
            <v>3.7951295400000001E-2</v>
          </cell>
          <cell r="S827">
            <v>3.8435209200000001E-2</v>
          </cell>
          <cell r="T827">
            <v>3.8936713900000003E-2</v>
          </cell>
          <cell r="U827">
            <v>3.9470423800000001E-2</v>
          </cell>
          <cell r="V827">
            <v>4.0046784699999997E-2</v>
          </cell>
          <cell r="W827">
            <v>4.0679705199999999E-2</v>
          </cell>
          <cell r="X827">
            <v>4.1388671299999999E-2</v>
          </cell>
          <cell r="Y827">
            <v>4.2184561099999997E-2</v>
          </cell>
          <cell r="Z827">
            <v>4.3070910499999997E-2</v>
          </cell>
          <cell r="AA827">
            <v>4.4032806399999999E-2</v>
          </cell>
          <cell r="AB827">
            <v>4.5063794800000001E-2</v>
          </cell>
          <cell r="AC827">
            <v>4.6183190800000003E-2</v>
          </cell>
          <cell r="AD827">
            <v>4.7398696599999998E-2</v>
          </cell>
          <cell r="AE827">
            <v>4.8705174599999998E-2</v>
          </cell>
          <cell r="AF827">
            <v>5.0089546899999997E-2</v>
          </cell>
          <cell r="AG827">
            <v>5.1534716299999998E-2</v>
          </cell>
          <cell r="AH827">
            <v>5.3031701799999997E-2</v>
          </cell>
          <cell r="AI827">
            <v>5.4569061199999998E-2</v>
          </cell>
          <cell r="AJ827">
            <v>5.6133896699999998E-2</v>
          </cell>
          <cell r="AK827">
            <v>5.77124018E-2</v>
          </cell>
        </row>
        <row r="828">
          <cell r="B828">
            <v>15.221542230000001</v>
          </cell>
          <cell r="C828">
            <v>15.4653372</v>
          </cell>
          <cell r="D828">
            <v>15.74001891</v>
          </cell>
          <cell r="E828">
            <v>16.03442488</v>
          </cell>
          <cell r="F828">
            <v>16.348982800000002</v>
          </cell>
          <cell r="G828">
            <v>16.686492569999999</v>
          </cell>
          <cell r="H828">
            <v>17.05031001</v>
          </cell>
          <cell r="I828">
            <v>17.376440760000001</v>
          </cell>
          <cell r="J828">
            <v>17.693928849999999</v>
          </cell>
          <cell r="K828">
            <v>18.04900855</v>
          </cell>
          <cell r="L828">
            <v>18.389333879999999</v>
          </cell>
          <cell r="M828">
            <v>18.683628800000001</v>
          </cell>
          <cell r="N828">
            <v>18.950998009999999</v>
          </cell>
          <cell r="O828">
            <v>19.21001004</v>
          </cell>
          <cell r="P828">
            <v>19.47466227</v>
          </cell>
          <cell r="Q828">
            <v>19.75154049</v>
          </cell>
          <cell r="R828">
            <v>20.04434393</v>
          </cell>
          <cell r="S828">
            <v>20.351656420000001</v>
          </cell>
          <cell r="T828">
            <v>20.67704565</v>
          </cell>
          <cell r="U828">
            <v>21.024834689999999</v>
          </cell>
          <cell r="V828">
            <v>21.397829730000002</v>
          </cell>
          <cell r="W828">
            <v>21.80423923</v>
          </cell>
          <cell r="X828">
            <v>22.251318950000002</v>
          </cell>
          <cell r="Y828">
            <v>22.742964929999999</v>
          </cell>
          <cell r="Z828">
            <v>23.280319049999999</v>
          </cell>
          <cell r="AA828">
            <v>23.85992096</v>
          </cell>
          <cell r="AB828">
            <v>24.458786539999998</v>
          </cell>
          <cell r="AC828">
            <v>25.082379840000002</v>
          </cell>
          <cell r="AD828">
            <v>25.735674769999999</v>
          </cell>
          <cell r="AE828">
            <v>26.418100320000001</v>
          </cell>
          <cell r="AF828">
            <v>27.125045230000001</v>
          </cell>
          <cell r="AG828">
            <v>27.852924760000001</v>
          </cell>
          <cell r="AH828">
            <v>28.598289909999998</v>
          </cell>
          <cell r="AI828">
            <v>29.356529980000001</v>
          </cell>
          <cell r="AJ828">
            <v>30.122572170000002</v>
          </cell>
          <cell r="AK828">
            <v>30.891244929999999</v>
          </cell>
        </row>
        <row r="829">
          <cell r="B829">
            <v>119.49049309999999</v>
          </cell>
          <cell r="C829">
            <v>118.4245464</v>
          </cell>
          <cell r="D829">
            <v>117.25546319999999</v>
          </cell>
          <cell r="E829">
            <v>116.145245</v>
          </cell>
          <cell r="F829">
            <v>115.6746773</v>
          </cell>
          <cell r="G829">
            <v>115.5996868</v>
          </cell>
          <cell r="H829">
            <v>115.7459937</v>
          </cell>
          <cell r="I829">
            <v>115.48190219999999</v>
          </cell>
          <cell r="J829">
            <v>114.66442960000001</v>
          </cell>
          <cell r="K829">
            <v>113.5453419</v>
          </cell>
          <cell r="L829">
            <v>111.93847150000001</v>
          </cell>
          <cell r="M829">
            <v>111.3049656</v>
          </cell>
          <cell r="N829">
            <v>111.1171464</v>
          </cell>
          <cell r="O829">
            <v>111.1101513</v>
          </cell>
          <cell r="P829">
            <v>111.1425844</v>
          </cell>
          <cell r="Q829">
            <v>111.1397625</v>
          </cell>
          <cell r="R829">
            <v>110.4817862</v>
          </cell>
          <cell r="S829">
            <v>109.64128890000001</v>
          </cell>
          <cell r="T829">
            <v>108.2093249</v>
          </cell>
          <cell r="U829">
            <v>105.2989697</v>
          </cell>
          <cell r="V829">
            <v>102.0282141</v>
          </cell>
          <cell r="W829">
            <v>98.518975310000002</v>
          </cell>
          <cell r="X829">
            <v>94.783126240000001</v>
          </cell>
          <cell r="Y829">
            <v>90.863175130000002</v>
          </cell>
          <cell r="Z829">
            <v>86.819159929999998</v>
          </cell>
          <cell r="AA829">
            <v>82.67012235</v>
          </cell>
          <cell r="AB829">
            <v>78.552301349999993</v>
          </cell>
          <cell r="AC829">
            <v>74.509999739999998</v>
          </cell>
          <cell r="AD829">
            <v>70.56994847</v>
          </cell>
          <cell r="AE829">
            <v>66.770444819999994</v>
          </cell>
          <cell r="AF829">
            <v>63.147000519999999</v>
          </cell>
          <cell r="AG829">
            <v>59.749114179999999</v>
          </cell>
          <cell r="AH829">
            <v>56.585940209999997</v>
          </cell>
          <cell r="AI829">
            <v>53.667349440000002</v>
          </cell>
          <cell r="AJ829">
            <v>51.000825759999998</v>
          </cell>
          <cell r="AK829">
            <v>48.589150660000001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62" sqref="A62:A63"/>
    </sheetView>
  </sheetViews>
  <sheetFormatPr baseColWidth="10" defaultRowHeight="14.5" x14ac:dyDescent="0.35"/>
  <cols>
    <col min="1" max="1" width="26.90625" customWidth="1"/>
    <col min="2" max="2" width="43.08984375" customWidth="1"/>
    <col min="3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3" spans="1:38" x14ac:dyDescent="0.35">
      <c r="B3" t="s">
        <v>0</v>
      </c>
      <c r="C3" s="2">
        <v>42005</v>
      </c>
      <c r="D3" s="2">
        <v>42370</v>
      </c>
      <c r="E3" s="2">
        <v>42736</v>
      </c>
      <c r="F3" s="2">
        <v>43101</v>
      </c>
      <c r="G3" s="2">
        <v>43466</v>
      </c>
      <c r="H3" s="2">
        <v>43831</v>
      </c>
      <c r="I3" s="2">
        <v>44197</v>
      </c>
      <c r="J3" s="2">
        <v>44562</v>
      </c>
      <c r="K3" s="2">
        <v>44927</v>
      </c>
      <c r="L3" s="2">
        <v>45292</v>
      </c>
      <c r="M3" s="2">
        <v>45658</v>
      </c>
      <c r="N3" s="2">
        <v>46023</v>
      </c>
      <c r="O3" s="2">
        <v>46388</v>
      </c>
      <c r="P3" s="2">
        <v>46753</v>
      </c>
      <c r="Q3" s="2">
        <v>47119</v>
      </c>
      <c r="R3" s="2">
        <v>47484</v>
      </c>
      <c r="S3" s="2">
        <v>47849</v>
      </c>
      <c r="T3" s="2">
        <v>48214</v>
      </c>
      <c r="U3" s="2">
        <v>48580</v>
      </c>
      <c r="V3" s="2">
        <v>48945</v>
      </c>
      <c r="W3" s="2">
        <v>49310</v>
      </c>
      <c r="X3" s="2">
        <v>49675</v>
      </c>
      <c r="Y3" s="2">
        <v>50041</v>
      </c>
      <c r="Z3" s="2">
        <v>50406</v>
      </c>
      <c r="AA3" s="2">
        <v>50771</v>
      </c>
      <c r="AB3" s="2">
        <v>51136</v>
      </c>
      <c r="AC3" s="2">
        <v>51502</v>
      </c>
      <c r="AD3" s="2">
        <v>51867</v>
      </c>
      <c r="AE3" s="2">
        <v>52232</v>
      </c>
      <c r="AF3" s="2">
        <v>52597</v>
      </c>
      <c r="AG3" s="2">
        <v>52963</v>
      </c>
      <c r="AH3" s="2">
        <v>53328</v>
      </c>
      <c r="AI3" s="2">
        <v>53693</v>
      </c>
      <c r="AJ3" s="2">
        <v>54058</v>
      </c>
      <c r="AK3" s="2">
        <v>54424</v>
      </c>
      <c r="AL3" s="2">
        <v>54789</v>
      </c>
    </row>
    <row r="4" spans="1:38" x14ac:dyDescent="0.35">
      <c r="A4" s="3" t="str">
        <f>[1]Results!E1365</f>
        <v>100*(GDP_2/GDP_0-1)</v>
      </c>
      <c r="B4" t="s">
        <v>20</v>
      </c>
      <c r="C4" s="1">
        <f>[1]Results!F1365</f>
        <v>0</v>
      </c>
      <c r="D4" s="1">
        <f>[1]Results!G1365</f>
        <v>0</v>
      </c>
      <c r="E4" s="1">
        <f>[1]Results!H1365</f>
        <v>0</v>
      </c>
      <c r="F4" s="1">
        <f>[1]Results!I1365</f>
        <v>0</v>
      </c>
      <c r="G4" s="1">
        <f>[1]Results!J1365</f>
        <v>0</v>
      </c>
      <c r="H4" s="1">
        <f>[1]Results!K1365</f>
        <v>0</v>
      </c>
      <c r="I4" s="1">
        <f>[1]Results!L1365</f>
        <v>0</v>
      </c>
      <c r="J4" s="1">
        <f>[1]Results!M1365</f>
        <v>-0.24436262122941033</v>
      </c>
      <c r="K4" s="1">
        <f>[1]Results!N1365</f>
        <v>-0.46217413376153926</v>
      </c>
      <c r="L4" s="1">
        <f>[1]Results!O1365</f>
        <v>-0.28857158046116105</v>
      </c>
      <c r="M4" s="1">
        <f>[1]Results!P1365</f>
        <v>-5.6825943301386239E-2</v>
      </c>
      <c r="N4" s="1">
        <f>[1]Results!Q1365</f>
        <v>3.3819247326971613E-2</v>
      </c>
      <c r="O4" s="1">
        <f>[1]Results!R1365</f>
        <v>8.8446615170378884E-2</v>
      </c>
      <c r="P4" s="1">
        <f>[1]Results!S1365</f>
        <v>0.14397964081447334</v>
      </c>
      <c r="Q4" s="1">
        <f>[1]Results!T1365</f>
        <v>0.21342817095029165</v>
      </c>
      <c r="R4" s="1">
        <f>[1]Results!U1365</f>
        <v>0.28280523492465459</v>
      </c>
      <c r="S4" s="1">
        <f>[1]Results!V1365</f>
        <v>0.31677668209286747</v>
      </c>
      <c r="T4" s="1">
        <f>[1]Results!W1365</f>
        <v>0.31502583789799754</v>
      </c>
      <c r="U4" s="1">
        <f>[1]Results!X1365</f>
        <v>0.28172383319136074</v>
      </c>
      <c r="V4" s="1">
        <f>[1]Results!Y1365</f>
        <v>0.22604422535787982</v>
      </c>
      <c r="W4" s="1">
        <f>[1]Results!Z1365</f>
        <v>0.15522139974248894</v>
      </c>
      <c r="X4" s="1">
        <f>[1]Results!AA1365</f>
        <v>6.3214975175829302E-2</v>
      </c>
      <c r="Y4" s="1">
        <f>[1]Results!AB1365</f>
        <v>-3.2938392261749883E-2</v>
      </c>
      <c r="Z4" s="1">
        <f>[1]Results!AC1365</f>
        <v>-0.12613059206071364</v>
      </c>
      <c r="AA4" s="1">
        <f>[1]Results!AD1365</f>
        <v>-0.21141407920471922</v>
      </c>
      <c r="AB4" s="1">
        <f>[1]Results!AE1365</f>
        <v>-0.28612883006401413</v>
      </c>
      <c r="AC4" s="1">
        <f>[1]Results!AF1365</f>
        <v>-0.3620532310855018</v>
      </c>
      <c r="AD4" s="1">
        <f>[1]Results!AG1365</f>
        <v>-0.43315581935930991</v>
      </c>
      <c r="AE4" s="1">
        <f>[1]Results!AH1365</f>
        <v>-0.49389074723554804</v>
      </c>
      <c r="AF4" s="1">
        <f>[1]Results!AI1365</f>
        <v>-0.53999465269298774</v>
      </c>
      <c r="AG4" s="1">
        <f>[1]Results!AJ1365</f>
        <v>-0.56954754137442665</v>
      </c>
      <c r="AH4" s="1">
        <f>[1]Results!AK1365</f>
        <v>-0.58852825527057062</v>
      </c>
      <c r="AI4" s="1">
        <f>[1]Results!AL1365</f>
        <v>-0.59321266184695354</v>
      </c>
      <c r="AJ4" s="1">
        <f>[1]Results!AM1365</f>
        <v>-0.58381039646923094</v>
      </c>
      <c r="AK4" s="1">
        <f>[1]Results!AN1365</f>
        <v>-0.56122182550749633</v>
      </c>
      <c r="AL4" s="1">
        <f>[1]Results!AO1365</f>
        <v>-0.52661430280968036</v>
      </c>
    </row>
    <row r="5" spans="1:38" x14ac:dyDescent="0.35">
      <c r="A5" s="3" t="str">
        <f>[1]Results!E1366</f>
        <v>100*((VA_2-VA_spub_2)/(VA_0-VA_spub_0)-1)</v>
      </c>
      <c r="B5" t="str">
        <f>[1]Results!C1366</f>
        <v>VA du secteur marchand</v>
      </c>
      <c r="C5" s="1">
        <f>[1]Results!F1366</f>
        <v>0</v>
      </c>
      <c r="D5" s="1">
        <f>[1]Results!G1366</f>
        <v>0</v>
      </c>
      <c r="E5" s="1">
        <f>[1]Results!H1366</f>
        <v>0</v>
      </c>
      <c r="F5" s="1">
        <f>[1]Results!I1366</f>
        <v>0</v>
      </c>
      <c r="G5" s="1">
        <f>[1]Results!J1366</f>
        <v>0</v>
      </c>
      <c r="H5" s="1">
        <f>[1]Results!K1366</f>
        <v>-5.6947668802820317E-9</v>
      </c>
      <c r="I5" s="1">
        <f>[1]Results!L1366</f>
        <v>-5.558631333002495E-9</v>
      </c>
      <c r="J5" s="1">
        <f>[1]Results!M1366</f>
        <v>-0.30535829167093187</v>
      </c>
      <c r="K5" s="1">
        <f>[1]Results!N1366</f>
        <v>-0.56937155320880839</v>
      </c>
      <c r="L5" s="1">
        <f>[1]Results!O1366</f>
        <v>-0.3528913923367627</v>
      </c>
      <c r="M5" s="1">
        <f>[1]Results!P1366</f>
        <v>-9.7681649662140213E-2</v>
      </c>
      <c r="N5" s="1">
        <f>[1]Results!Q1366</f>
        <v>-2.0602001618275079E-2</v>
      </c>
      <c r="O5" s="1">
        <f>[1]Results!R1366</f>
        <v>-2.4478098761937517E-3</v>
      </c>
      <c r="P5" s="1">
        <f>[1]Results!S1366</f>
        <v>8.2889579964051663E-3</v>
      </c>
      <c r="Q5" s="1">
        <f>[1]Results!T1366</f>
        <v>3.4552335618109886E-2</v>
      </c>
      <c r="R5" s="1">
        <f>[1]Results!U1366</f>
        <v>6.2901408390847457E-2</v>
      </c>
      <c r="S5" s="1">
        <f>[1]Results!V1366</f>
        <v>5.3481644482422652E-2</v>
      </c>
      <c r="T5" s="1">
        <f>[1]Results!W1366</f>
        <v>8.2790435733448575E-3</v>
      </c>
      <c r="U5" s="1">
        <f>[1]Results!X1366</f>
        <v>-6.9966169941027001E-2</v>
      </c>
      <c r="V5" s="1">
        <f>[1]Results!Y1366</f>
        <v>-0.17418203488323014</v>
      </c>
      <c r="W5" s="1">
        <f>[1]Results!Z1366</f>
        <v>-0.29344275582191548</v>
      </c>
      <c r="X5" s="1">
        <f>[1]Results!AA1366</f>
        <v>-0.43188432442202718</v>
      </c>
      <c r="Y5" s="1">
        <f>[1]Results!AB1366</f>
        <v>-0.56986849608868795</v>
      </c>
      <c r="Z5" s="1">
        <f>[1]Results!AC1366</f>
        <v>-0.69968102269812871</v>
      </c>
      <c r="AA5" s="1">
        <f>[1]Results!AD1366</f>
        <v>-0.816260995070206</v>
      </c>
      <c r="AB5" s="1">
        <f>[1]Results!AE1366</f>
        <v>-0.91723651033421838</v>
      </c>
      <c r="AC5" s="1">
        <f>[1]Results!AF1366</f>
        <v>-1.013133230921115</v>
      </c>
      <c r="AD5" s="1">
        <f>[1]Results!AG1366</f>
        <v>-1.0972077958171456</v>
      </c>
      <c r="AE5" s="1">
        <f>[1]Results!AH1366</f>
        <v>-1.1648315351533212</v>
      </c>
      <c r="AF5" s="1">
        <f>[1]Results!AI1366</f>
        <v>-1.2128014967154988</v>
      </c>
      <c r="AG5" s="1">
        <f>[1]Results!AJ1366</f>
        <v>-1.2402468404893674</v>
      </c>
      <c r="AH5" s="1">
        <f>[1]Results!AK1366</f>
        <v>-1.253618030853676</v>
      </c>
      <c r="AI5" s="1">
        <f>[1]Results!AL1366</f>
        <v>-1.2493253667000159</v>
      </c>
      <c r="AJ5" s="1">
        <f>[1]Results!AM1366</f>
        <v>-1.2287082336369104</v>
      </c>
      <c r="AK5" s="1">
        <f>[1]Results!AN1366</f>
        <v>-1.1938500395910601</v>
      </c>
      <c r="AL5" s="1">
        <f>[1]Results!AO1366</f>
        <v>-1.1469280813031668</v>
      </c>
    </row>
    <row r="6" spans="1:38" x14ac:dyDescent="0.35">
      <c r="A6" s="3" t="str">
        <f>[1]Results!E1367</f>
        <v>100*((CH_2-CH_0)/GDP_0)</v>
      </c>
      <c r="B6" t="s">
        <v>21</v>
      </c>
      <c r="C6" s="1">
        <f>[1]Results!F1367</f>
        <v>0</v>
      </c>
      <c r="D6" s="1">
        <f>[1]Results!G1367</f>
        <v>4.4686339460915783E-8</v>
      </c>
      <c r="E6" s="1">
        <f>[1]Results!H1367</f>
        <v>0</v>
      </c>
      <c r="F6" s="1">
        <f>[1]Results!I1367</f>
        <v>4.2917592833875703E-8</v>
      </c>
      <c r="G6" s="1">
        <f>[1]Results!J1367</f>
        <v>0</v>
      </c>
      <c r="H6" s="1">
        <f>[1]Results!K1367</f>
        <v>4.108183902620024E-8</v>
      </c>
      <c r="I6" s="1">
        <f>[1]Results!L1367</f>
        <v>4.0165916184363461E-8</v>
      </c>
      <c r="J6" s="1">
        <f>[1]Results!M1367</f>
        <v>-2.7663779635349887E-2</v>
      </c>
      <c r="K6" s="1">
        <f>[1]Results!N1367</f>
        <v>-5.3048200082430601E-2</v>
      </c>
      <c r="L6" s="1">
        <f>[1]Results!O1367</f>
        <v>4.7475781764043053E-2</v>
      </c>
      <c r="M6" s="1">
        <f>[1]Results!P1367</f>
        <v>0.33080674722842895</v>
      </c>
      <c r="N6" s="1">
        <f>[1]Results!Q1367</f>
        <v>0.57876735854655326</v>
      </c>
      <c r="O6" s="1">
        <f>[1]Results!R1367</f>
        <v>0.88925923384701544</v>
      </c>
      <c r="P6" s="1">
        <f>[1]Results!S1367</f>
        <v>1.2412318893944936</v>
      </c>
      <c r="Q6" s="1">
        <f>[1]Results!T1367</f>
        <v>1.598868964327719</v>
      </c>
      <c r="R6" s="1">
        <f>[1]Results!U1367</f>
        <v>1.937303654682206</v>
      </c>
      <c r="S6" s="1">
        <f>[1]Results!V1367</f>
        <v>2.241185170161073</v>
      </c>
      <c r="T6" s="1">
        <f>[1]Results!W1367</f>
        <v>2.4928310324874547</v>
      </c>
      <c r="U6" s="1">
        <f>[1]Results!X1367</f>
        <v>2.6975431483735326</v>
      </c>
      <c r="V6" s="1">
        <f>[1]Results!Y1367</f>
        <v>2.862061846267149</v>
      </c>
      <c r="W6" s="1">
        <f>[1]Results!Z1367</f>
        <v>2.9965597784062372</v>
      </c>
      <c r="X6" s="1">
        <f>[1]Results!AA1367</f>
        <v>3.0838812205363415</v>
      </c>
      <c r="Y6" s="1">
        <f>[1]Results!AB1367</f>
        <v>3.1364440494750596</v>
      </c>
      <c r="Z6" s="1">
        <f>[1]Results!AC1367</f>
        <v>3.1611761721918175</v>
      </c>
      <c r="AA6" s="1">
        <f>[1]Results!AD1367</f>
        <v>3.1643218467383174</v>
      </c>
      <c r="AB6" s="1">
        <f>[1]Results!AE1367</f>
        <v>3.151177039719371</v>
      </c>
      <c r="AC6" s="1">
        <f>[1]Results!AF1367</f>
        <v>3.0953720975965404</v>
      </c>
      <c r="AD6" s="1">
        <f>[1]Results!AG1367</f>
        <v>3.0034026700158813</v>
      </c>
      <c r="AE6" s="1">
        <f>[1]Results!AH1367</f>
        <v>2.888657639231452</v>
      </c>
      <c r="AF6" s="1">
        <f>[1]Results!AI1367</f>
        <v>2.7632205920686506</v>
      </c>
      <c r="AG6" s="1">
        <f>[1]Results!AJ1367</f>
        <v>2.6356781769679314</v>
      </c>
      <c r="AH6" s="1">
        <f>[1]Results!AK1367</f>
        <v>2.5004474373752381</v>
      </c>
      <c r="AI6" s="1">
        <f>[1]Results!AL1367</f>
        <v>2.3639061097984109</v>
      </c>
      <c r="AJ6" s="1">
        <f>[1]Results!AM1367</f>
        <v>2.2323483972688041</v>
      </c>
      <c r="AK6" s="1">
        <f>[1]Results!AN1367</f>
        <v>2.111727387933541</v>
      </c>
      <c r="AL6" s="1">
        <f>[1]Results!AO1367</f>
        <v>2.0068288331829431</v>
      </c>
    </row>
    <row r="7" spans="1:38" x14ac:dyDescent="0.35">
      <c r="A7" s="3" t="str">
        <f>[1]Results!E1368</f>
        <v>100*((CH_cveh_2-CH_cveh_0)/GDP_0)</v>
      </c>
      <c r="B7" t="str">
        <f>[1]Results!C1368</f>
        <v>Consommation des ménages automobile</v>
      </c>
      <c r="C7" s="1">
        <f>[1]Results!F1368</f>
        <v>0</v>
      </c>
      <c r="D7" s="1">
        <f>[1]Results!G1368</f>
        <v>4.4686282237004683E-10</v>
      </c>
      <c r="E7" s="1">
        <f>[1]Results!H1368</f>
        <v>8.7649625384445173E-10</v>
      </c>
      <c r="F7" s="1">
        <f>[1]Results!I1368</f>
        <v>2.5750553701819134E-9</v>
      </c>
      <c r="G7" s="1">
        <f>[1]Results!J1368</f>
        <v>2.940280527633544E-9</v>
      </c>
      <c r="H7" s="1">
        <f>[1]Results!K1368</f>
        <v>3.6973649623642273E-9</v>
      </c>
      <c r="I7" s="1">
        <f>[1]Results!L1368</f>
        <v>3.6149327605280563E-9</v>
      </c>
      <c r="J7" s="1">
        <f>[1]Results!M1368</f>
        <v>-2.6218283559720463E-2</v>
      </c>
      <c r="K7" s="1">
        <f>[1]Results!N1368</f>
        <v>-6.3498085220942135E-2</v>
      </c>
      <c r="L7" s="1">
        <f>[1]Results!O1368</f>
        <v>-9.3468848066204105E-2</v>
      </c>
      <c r="M7" s="1">
        <f>[1]Results!P1368</f>
        <v>-0.11772209001004946</v>
      </c>
      <c r="N7" s="1">
        <f>[1]Results!Q1368</f>
        <v>-8.9815517923321944E-2</v>
      </c>
      <c r="O7" s="1">
        <f>[1]Results!R1368</f>
        <v>-3.8993809699731666E-2</v>
      </c>
      <c r="P7" s="1">
        <f>[1]Results!S1368</f>
        <v>8.5706158527783551E-3</v>
      </c>
      <c r="Q7" s="1">
        <f>[1]Results!T1368</f>
        <v>4.3158924159511711E-2</v>
      </c>
      <c r="R7" s="1">
        <f>[1]Results!U1368</f>
        <v>6.392550147041566E-2</v>
      </c>
      <c r="S7" s="1">
        <f>[1]Results!V1368</f>
        <v>6.6908129476624625E-2</v>
      </c>
      <c r="T7" s="1">
        <f>[1]Results!W1368</f>
        <v>5.8548053060442334E-2</v>
      </c>
      <c r="U7" s="1">
        <f>[1]Results!X1368</f>
        <v>4.6514514366109753E-2</v>
      </c>
      <c r="V7" s="1">
        <f>[1]Results!Y1368</f>
        <v>3.727579428380276E-2</v>
      </c>
      <c r="W7" s="1">
        <f>[1]Results!Z1368</f>
        <v>2.8941826187725148E-2</v>
      </c>
      <c r="X7" s="1">
        <f>[1]Results!AA1368</f>
        <v>2.5935792919347118E-2</v>
      </c>
      <c r="Y7" s="1">
        <f>[1]Results!AB1368</f>
        <v>2.3877932681563581E-2</v>
      </c>
      <c r="Z7" s="1">
        <f>[1]Results!AC1368</f>
        <v>2.1273965329770241E-2</v>
      </c>
      <c r="AA7" s="1">
        <f>[1]Results!AD1368</f>
        <v>1.8183726402885361E-2</v>
      </c>
      <c r="AB7" s="1">
        <f>[1]Results!AE1368</f>
        <v>1.4756900244814491E-2</v>
      </c>
      <c r="AC7" s="1">
        <f>[1]Results!AF1368</f>
        <v>1.1781412185042797E-2</v>
      </c>
      <c r="AD7" s="1">
        <f>[1]Results!AG1368</f>
        <v>7.0828793620822126E-3</v>
      </c>
      <c r="AE7" s="1">
        <f>[1]Results!AH1368</f>
        <v>1.2475738737762739E-3</v>
      </c>
      <c r="AF7" s="1">
        <f>[1]Results!AI1368</f>
        <v>-4.7467775665011513E-3</v>
      </c>
      <c r="AG7" s="1">
        <f>[1]Results!AJ1368</f>
        <v>-1.0470564701731581E-2</v>
      </c>
      <c r="AH7" s="1">
        <f>[1]Results!AK1368</f>
        <v>-1.5608426978146352E-2</v>
      </c>
      <c r="AI7" s="1">
        <f>[1]Results!AL1368</f>
        <v>-2.1319346497825166E-2</v>
      </c>
      <c r="AJ7" s="1">
        <f>[1]Results!AM1368</f>
        <v>-2.7699788355274483E-2</v>
      </c>
      <c r="AK7" s="1">
        <f>[1]Results!AN1368</f>
        <v>-3.4370210490771297E-2</v>
      </c>
      <c r="AL7" s="1">
        <f>[1]Results!AO1368</f>
        <v>-4.1024170403523234E-2</v>
      </c>
    </row>
    <row r="8" spans="1:38" x14ac:dyDescent="0.35">
      <c r="A8" s="3" t="str">
        <f>[1]Results!E1369</f>
        <v>100*((G_2-G_0)/GDP_0)</v>
      </c>
      <c r="B8" t="str">
        <f>[1]Results!C1369</f>
        <v>Dépenses publiques</v>
      </c>
      <c r="C8" s="1">
        <f>[1]Results!F1369</f>
        <v>0</v>
      </c>
      <c r="D8" s="1">
        <f>[1]Results!G1369</f>
        <v>0</v>
      </c>
      <c r="E8" s="1">
        <f>[1]Results!H1369</f>
        <v>0</v>
      </c>
      <c r="F8" s="1">
        <f>[1]Results!I1369</f>
        <v>0</v>
      </c>
      <c r="G8" s="1">
        <f>[1]Results!J1369</f>
        <v>0</v>
      </c>
      <c r="H8" s="1">
        <f>[1]Results!K1369</f>
        <v>0</v>
      </c>
      <c r="I8" s="1">
        <f>[1]Results!L1369</f>
        <v>0</v>
      </c>
      <c r="J8" s="1">
        <f>[1]Results!M1369</f>
        <v>0</v>
      </c>
      <c r="K8" s="1">
        <f>[1]Results!N1369</f>
        <v>0</v>
      </c>
      <c r="L8" s="1">
        <f>[1]Results!O1369</f>
        <v>0</v>
      </c>
      <c r="M8" s="1">
        <f>[1]Results!P1369</f>
        <v>0</v>
      </c>
      <c r="N8" s="1">
        <f>[1]Results!Q1369</f>
        <v>0</v>
      </c>
      <c r="O8" s="1">
        <f>[1]Results!R1369</f>
        <v>0</v>
      </c>
      <c r="P8" s="1">
        <f>[1]Results!S1369</f>
        <v>0</v>
      </c>
      <c r="Q8" s="1">
        <f>[1]Results!T1369</f>
        <v>0</v>
      </c>
      <c r="R8" s="1">
        <f>[1]Results!U1369</f>
        <v>0</v>
      </c>
      <c r="S8" s="1">
        <f>[1]Results!V1369</f>
        <v>0</v>
      </c>
      <c r="T8" s="1">
        <f>[1]Results!W1369</f>
        <v>0</v>
      </c>
      <c r="U8" s="1">
        <f>[1]Results!X1369</f>
        <v>0</v>
      </c>
      <c r="V8" s="1">
        <f>[1]Results!Y1369</f>
        <v>0</v>
      </c>
      <c r="W8" s="1">
        <f>[1]Results!Z1369</f>
        <v>0</v>
      </c>
      <c r="X8" s="1">
        <f>[1]Results!AA1369</f>
        <v>0</v>
      </c>
      <c r="Y8" s="1">
        <f>[1]Results!AB1369</f>
        <v>0</v>
      </c>
      <c r="Z8" s="1">
        <f>[1]Results!AC1369</f>
        <v>0</v>
      </c>
      <c r="AA8" s="1">
        <f>[1]Results!AD1369</f>
        <v>0</v>
      </c>
      <c r="AB8" s="1">
        <f>[1]Results!AE1369</f>
        <v>0</v>
      </c>
      <c r="AC8" s="1">
        <f>[1]Results!AF1369</f>
        <v>0</v>
      </c>
      <c r="AD8" s="1">
        <f>[1]Results!AG1369</f>
        <v>0</v>
      </c>
      <c r="AE8" s="1">
        <f>[1]Results!AH1369</f>
        <v>0</v>
      </c>
      <c r="AF8" s="1">
        <f>[1]Results!AI1369</f>
        <v>0</v>
      </c>
      <c r="AG8" s="1">
        <f>[1]Results!AJ1369</f>
        <v>0</v>
      </c>
      <c r="AH8" s="1">
        <f>[1]Results!AK1369</f>
        <v>0</v>
      </c>
      <c r="AI8" s="1">
        <f>[1]Results!AL1369</f>
        <v>0</v>
      </c>
      <c r="AJ8" s="1">
        <f>[1]Results!AM1369</f>
        <v>0</v>
      </c>
      <c r="AK8" s="1">
        <f>[1]Results!AN1369</f>
        <v>0</v>
      </c>
      <c r="AL8" s="1">
        <f>[1]Results!AO1369</f>
        <v>0</v>
      </c>
    </row>
    <row r="9" spans="1:38" x14ac:dyDescent="0.35">
      <c r="A9" s="3" t="str">
        <f>[1]Results!E1370</f>
        <v>100*((I_2-I_0)/GDP_0)</v>
      </c>
      <c r="B9" t="s">
        <v>23</v>
      </c>
      <c r="C9" s="1">
        <f>[1]Results!F1370</f>
        <v>0</v>
      </c>
      <c r="D9" s="1">
        <f>[1]Results!G1370</f>
        <v>0</v>
      </c>
      <c r="E9" s="1">
        <f>[1]Results!H1370</f>
        <v>0</v>
      </c>
      <c r="F9" s="1">
        <f>[1]Results!I1370</f>
        <v>0</v>
      </c>
      <c r="G9" s="1">
        <f>[1]Results!J1370</f>
        <v>0</v>
      </c>
      <c r="H9" s="1">
        <f>[1]Results!K1370</f>
        <v>0</v>
      </c>
      <c r="I9" s="1">
        <f>[1]Results!L1370</f>
        <v>0</v>
      </c>
      <c r="J9" s="1">
        <f>[1]Results!M1370</f>
        <v>-5.5068732867233267E-2</v>
      </c>
      <c r="K9" s="1">
        <f>[1]Results!N1370</f>
        <v>-0.13964753338253894</v>
      </c>
      <c r="L9" s="1">
        <f>[1]Results!O1370</f>
        <v>-0.18535163517692191</v>
      </c>
      <c r="M9" s="1">
        <f>[1]Results!P1370</f>
        <v>-0.21594455440761243</v>
      </c>
      <c r="N9" s="1">
        <f>[1]Results!Q1370</f>
        <v>-0.24192212541151881</v>
      </c>
      <c r="O9" s="1">
        <f>[1]Results!R1370</f>
        <v>-0.26320258133139401</v>
      </c>
      <c r="P9" s="1">
        <f>[1]Results!S1370</f>
        <v>-0.27571357636006605</v>
      </c>
      <c r="Q9" s="1">
        <f>[1]Results!T1370</f>
        <v>-0.27596689437324651</v>
      </c>
      <c r="R9" s="1">
        <f>[1]Results!U1370</f>
        <v>-0.26496748515175361</v>
      </c>
      <c r="S9" s="1">
        <f>[1]Results!V1370</f>
        <v>-0.2531512157949849</v>
      </c>
      <c r="T9" s="1">
        <f>[1]Results!W1370</f>
        <v>-0.24425253063967908</v>
      </c>
      <c r="U9" s="1">
        <f>[1]Results!X1370</f>
        <v>-0.23859892984728215</v>
      </c>
      <c r="V9" s="1">
        <f>[1]Results!Y1370</f>
        <v>-0.23411805261587437</v>
      </c>
      <c r="W9" s="1">
        <f>[1]Results!Z1370</f>
        <v>-0.22868344095240034</v>
      </c>
      <c r="X9" s="1">
        <f>[1]Results!AA1370</f>
        <v>-0.21934211892529817</v>
      </c>
      <c r="Y9" s="1">
        <f>[1]Results!AB1370</f>
        <v>-0.20428827355677143</v>
      </c>
      <c r="Z9" s="1">
        <f>[1]Results!AC1370</f>
        <v>-0.18208432646915096</v>
      </c>
      <c r="AA9" s="1">
        <f>[1]Results!AD1370</f>
        <v>-0.15186590685862525</v>
      </c>
      <c r="AB9" s="1">
        <f>[1]Results!AE1370</f>
        <v>-0.1135354965283427</v>
      </c>
      <c r="AC9" s="1">
        <f>[1]Results!AF1370</f>
        <v>-6.7425216425158044E-2</v>
      </c>
      <c r="AD9" s="1">
        <f>[1]Results!AG1370</f>
        <v>-1.6683061263176303E-2</v>
      </c>
      <c r="AE9" s="1">
        <f>[1]Results!AH1370</f>
        <v>3.7130839931094825E-2</v>
      </c>
      <c r="AF9" s="1">
        <f>[1]Results!AI1370</f>
        <v>9.3033183533476838E-2</v>
      </c>
      <c r="AG9" s="1">
        <f>[1]Results!AJ1370</f>
        <v>0.15019549137157084</v>
      </c>
      <c r="AH9" s="1">
        <f>[1]Results!AK1370</f>
        <v>0.2073952855367327</v>
      </c>
      <c r="AI9" s="1">
        <f>[1]Results!AL1370</f>
        <v>0.26331490408498043</v>
      </c>
      <c r="AJ9" s="1">
        <f>[1]Results!AM1370</f>
        <v>0.31718597192194026</v>
      </c>
      <c r="AK9" s="1">
        <f>[1]Results!AN1370</f>
        <v>0.36852438046732106</v>
      </c>
      <c r="AL9" s="1">
        <f>[1]Results!AO1370</f>
        <v>0.41704442156475569</v>
      </c>
    </row>
    <row r="10" spans="1:38" x14ac:dyDescent="0.35">
      <c r="A10" s="3" t="str">
        <f>[1]Results!E1371</f>
        <v>100*((DS_2-DS_0)/GDP_0)</v>
      </c>
      <c r="B10" t="str">
        <f>[1]Results!C1371</f>
        <v>Variations de stocks</v>
      </c>
      <c r="C10" s="1">
        <f>[1]Results!F1371</f>
        <v>0</v>
      </c>
      <c r="D10" s="1">
        <f>[1]Results!G1371</f>
        <v>0</v>
      </c>
      <c r="E10" s="1">
        <f>[1]Results!H1371</f>
        <v>0</v>
      </c>
      <c r="F10" s="1">
        <f>[1]Results!I1371</f>
        <v>0</v>
      </c>
      <c r="G10" s="1">
        <f>[1]Results!J1371</f>
        <v>0</v>
      </c>
      <c r="H10" s="1">
        <f>[1]Results!K1371</f>
        <v>0</v>
      </c>
      <c r="I10" s="1">
        <f>[1]Results!L1371</f>
        <v>0</v>
      </c>
      <c r="J10" s="1">
        <f>[1]Results!M1371</f>
        <v>0</v>
      </c>
      <c r="K10" s="1">
        <f>[1]Results!N1371</f>
        <v>0</v>
      </c>
      <c r="L10" s="1">
        <f>[1]Results!O1371</f>
        <v>0</v>
      </c>
      <c r="M10" s="1">
        <f>[1]Results!P1371</f>
        <v>0</v>
      </c>
      <c r="N10" s="1">
        <f>[1]Results!Q1371</f>
        <v>0</v>
      </c>
      <c r="O10" s="1">
        <f>[1]Results!R1371</f>
        <v>0</v>
      </c>
      <c r="P10" s="1">
        <f>[1]Results!S1371</f>
        <v>0</v>
      </c>
      <c r="Q10" s="1">
        <f>[1]Results!T1371</f>
        <v>0</v>
      </c>
      <c r="R10" s="1">
        <f>[1]Results!U1371</f>
        <v>0</v>
      </c>
      <c r="S10" s="1">
        <f>[1]Results!V1371</f>
        <v>0</v>
      </c>
      <c r="T10" s="1">
        <f>[1]Results!W1371</f>
        <v>0</v>
      </c>
      <c r="U10" s="1">
        <f>[1]Results!X1371</f>
        <v>0</v>
      </c>
      <c r="V10" s="1">
        <f>[1]Results!Y1371</f>
        <v>0</v>
      </c>
      <c r="W10" s="1">
        <f>[1]Results!Z1371</f>
        <v>0</v>
      </c>
      <c r="X10" s="1">
        <f>[1]Results!AA1371</f>
        <v>0</v>
      </c>
      <c r="Y10" s="1">
        <f>[1]Results!AB1371</f>
        <v>0</v>
      </c>
      <c r="Z10" s="1">
        <f>[1]Results!AC1371</f>
        <v>0</v>
      </c>
      <c r="AA10" s="1">
        <f>[1]Results!AD1371</f>
        <v>0</v>
      </c>
      <c r="AB10" s="1">
        <f>[1]Results!AE1371</f>
        <v>0</v>
      </c>
      <c r="AC10" s="1">
        <f>[1]Results!AF1371</f>
        <v>0</v>
      </c>
      <c r="AD10" s="1">
        <f>[1]Results!AG1371</f>
        <v>0</v>
      </c>
      <c r="AE10" s="1">
        <f>[1]Results!AH1371</f>
        <v>0</v>
      </c>
      <c r="AF10" s="1">
        <f>[1]Results!AI1371</f>
        <v>0</v>
      </c>
      <c r="AG10" s="1">
        <f>[1]Results!AJ1371</f>
        <v>0</v>
      </c>
      <c r="AH10" s="1">
        <f>[1]Results!AK1371</f>
        <v>0</v>
      </c>
      <c r="AI10" s="1">
        <f>[1]Results!AL1371</f>
        <v>0</v>
      </c>
      <c r="AJ10" s="1">
        <f>[1]Results!AM1371</f>
        <v>0</v>
      </c>
      <c r="AK10" s="1">
        <f>[1]Results!AN1371</f>
        <v>0</v>
      </c>
      <c r="AL10" s="1">
        <f>[1]Results!AO1371</f>
        <v>0</v>
      </c>
    </row>
    <row r="11" spans="1:38" x14ac:dyDescent="0.35">
      <c r="A11" s="3" t="str">
        <f>[1]Results!E1372</f>
        <v>100*((X_2-X_0)/GDP_0)-100*((M_2-M_0)/GDP_0)</v>
      </c>
      <c r="B11" t="s">
        <v>22</v>
      </c>
      <c r="C11" s="1">
        <f>[1]Results!F1372</f>
        <v>-4.5500097444919102E-9</v>
      </c>
      <c r="D11" s="1">
        <f>[1]Results!G1372</f>
        <v>0</v>
      </c>
      <c r="E11" s="1">
        <f>[1]Results!H1372</f>
        <v>-8.7649548856275962E-9</v>
      </c>
      <c r="F11" s="1">
        <f>[1]Results!I1372</f>
        <v>-1.2875276850909565E-8</v>
      </c>
      <c r="G11" s="1">
        <f>[1]Results!J1372</f>
        <v>-2.1001999577460101E-8</v>
      </c>
      <c r="H11" s="1">
        <f>[1]Results!K1372</f>
        <v>-2.4649100546187302E-8</v>
      </c>
      <c r="I11" s="1">
        <f>[1]Results!L1372</f>
        <v>-3.2132736688233483E-8</v>
      </c>
      <c r="J11" s="1">
        <f>[1]Results!M1372</f>
        <v>-0.16163013228220155</v>
      </c>
      <c r="K11" s="1">
        <f>[1]Results!N1372</f>
        <v>-0.26947837727736307</v>
      </c>
      <c r="L11" s="1">
        <f>[1]Results!O1372</f>
        <v>-0.15069572329945113</v>
      </c>
      <c r="M11" s="1">
        <f>[1]Results!P1372</f>
        <v>-0.17168811779850074</v>
      </c>
      <c r="N11" s="1">
        <f>[1]Results!Q1372</f>
        <v>-0.30302598940022457</v>
      </c>
      <c r="O11" s="1">
        <f>[1]Results!R1372</f>
        <v>-0.53761003734523927</v>
      </c>
      <c r="P11" s="1">
        <f>[1]Results!S1372</f>
        <v>-0.82153866527870434</v>
      </c>
      <c r="Q11" s="1">
        <f>[1]Results!T1372</f>
        <v>-1.1094738648232618</v>
      </c>
      <c r="R11" s="1">
        <f>[1]Results!U1372</f>
        <v>-1.3895309042873691</v>
      </c>
      <c r="S11" s="1">
        <f>[1]Results!V1372</f>
        <v>-1.6712572888778019</v>
      </c>
      <c r="T11" s="1">
        <f>[1]Results!W1372</f>
        <v>-1.9335526377638608</v>
      </c>
      <c r="U11" s="1">
        <f>[1]Results!X1372</f>
        <v>-2.1772203853348815</v>
      </c>
      <c r="V11" s="1">
        <f>[1]Results!Y1372</f>
        <v>-2.4018995651190398</v>
      </c>
      <c r="W11" s="1">
        <f>[1]Results!Z1372</f>
        <v>-2.6126549533236907</v>
      </c>
      <c r="X11" s="1">
        <f>[1]Results!AA1372</f>
        <v>-2.8013241172308341</v>
      </c>
      <c r="Y11" s="1">
        <f>[1]Results!AB1372</f>
        <v>-2.9650942133475722</v>
      </c>
      <c r="Z11" s="1">
        <f>[1]Results!AC1372</f>
        <v>-3.1052224495900353</v>
      </c>
      <c r="AA11" s="1">
        <f>[1]Results!AD1372</f>
        <v>-3.2238700017444435</v>
      </c>
      <c r="AB11" s="1">
        <f>[1]Results!AE1372</f>
        <v>-3.3237703987024343</v>
      </c>
      <c r="AC11" s="1">
        <f>[1]Results!AF1372</f>
        <v>-3.3900000929117753</v>
      </c>
      <c r="AD11" s="1">
        <f>[1]Results!AG1372</f>
        <v>-3.4198754281120243</v>
      </c>
      <c r="AE11" s="1">
        <f>[1]Results!AH1372</f>
        <v>-3.4196792685321444</v>
      </c>
      <c r="AF11" s="1">
        <f>[1]Results!AI1372</f>
        <v>-3.39624845397468</v>
      </c>
      <c r="AG11" s="1">
        <f>[1]Results!AJ1372</f>
        <v>-3.3554211846814495</v>
      </c>
      <c r="AH11" s="1">
        <f>[1]Results!AK1372</f>
        <v>-3.2963710025808379</v>
      </c>
      <c r="AI11" s="1">
        <f>[1]Results!AL1372</f>
        <v>-3.2204336757303489</v>
      </c>
      <c r="AJ11" s="1">
        <f>[1]Results!AM1372</f>
        <v>-3.1333447424751162</v>
      </c>
      <c r="AK11" s="1">
        <f>[1]Results!AN1372</f>
        <v>-3.0414735939083668</v>
      </c>
      <c r="AL11" s="1">
        <f>[1]Results!AO1372</f>
        <v>-2.9504875796223442</v>
      </c>
    </row>
    <row r="12" spans="1:38" x14ac:dyDescent="0.35">
      <c r="A12" s="3" t="str">
        <f>[1]Results!E1373</f>
        <v>100*((CH_2-CH_ccon_2-(CH_0-CH_ccon_0))/GDP_0)</v>
      </c>
      <c r="B12" t="str">
        <f>[1]Results!C1373</f>
        <v>Consommation des ménages</v>
      </c>
      <c r="C12" s="1">
        <f>[1]Results!F1373</f>
        <v>0</v>
      </c>
      <c r="D12" s="1">
        <f>[1]Results!G1373</f>
        <v>4.4239483141262916E-8</v>
      </c>
      <c r="E12" s="1">
        <f>[1]Results!H1373</f>
        <v>0</v>
      </c>
      <c r="F12" s="1">
        <f>[1]Results!I1373</f>
        <v>4.2488413608001565E-8</v>
      </c>
      <c r="G12" s="1">
        <f>[1]Results!J1373</f>
        <v>0</v>
      </c>
      <c r="H12" s="1">
        <f>[1]Results!K1373</f>
        <v>4.0671017575103207E-8</v>
      </c>
      <c r="I12" s="1">
        <f>[1]Results!L1373</f>
        <v>3.9764263288263866E-8</v>
      </c>
      <c r="J12" s="1">
        <f>[1]Results!M1373</f>
        <v>-2.6604319952671679E-2</v>
      </c>
      <c r="K12" s="1">
        <f>[1]Results!N1373</f>
        <v>-4.9961206121926074E-2</v>
      </c>
      <c r="L12" s="1">
        <f>[1]Results!O1373</f>
        <v>5.1764206252414117E-2</v>
      </c>
      <c r="M12" s="1">
        <f>[1]Results!P1373</f>
        <v>0.33457205668251477</v>
      </c>
      <c r="N12" s="1">
        <f>[1]Results!Q1373</f>
        <v>0.58225908997235021</v>
      </c>
      <c r="O12" s="1">
        <f>[1]Results!R1373</f>
        <v>0.89017247937739052</v>
      </c>
      <c r="P12" s="1">
        <f>[1]Results!S1373</f>
        <v>1.2374907069119496</v>
      </c>
      <c r="Q12" s="1">
        <f>[1]Results!T1373</f>
        <v>1.5893544352414337</v>
      </c>
      <c r="R12" s="1">
        <f>[1]Results!U1373</f>
        <v>1.9217560327744492</v>
      </c>
      <c r="S12" s="1">
        <f>[1]Results!V1373</f>
        <v>2.2199876499350313</v>
      </c>
      <c r="T12" s="1">
        <f>[1]Results!W1373</f>
        <v>2.4669386458519882</v>
      </c>
      <c r="U12" s="1">
        <f>[1]Results!X1373</f>
        <v>2.6679115007803489</v>
      </c>
      <c r="V12" s="1">
        <f>[1]Results!Y1373</f>
        <v>2.829459406955249</v>
      </c>
      <c r="W12" s="1">
        <f>[1]Results!Z1373</f>
        <v>2.9614334349721725</v>
      </c>
      <c r="X12" s="1">
        <f>[1]Results!AA1373</f>
        <v>3.0467758913889549</v>
      </c>
      <c r="Y12" s="1">
        <f>[1]Results!AB1373</f>
        <v>3.0976505476426679</v>
      </c>
      <c r="Z12" s="1">
        <f>[1]Results!AC1373</f>
        <v>3.120952821609734</v>
      </c>
      <c r="AA12" s="1">
        <f>[1]Results!AD1373</f>
        <v>3.1229359717778729</v>
      </c>
      <c r="AB12" s="1">
        <f>[1]Results!AE1373</f>
        <v>3.1089046476255788</v>
      </c>
      <c r="AC12" s="1">
        <f>[1]Results!AF1373</f>
        <v>3.0529200046023663</v>
      </c>
      <c r="AD12" s="1">
        <f>[1]Results!AG1373</f>
        <v>2.9614699779151801</v>
      </c>
      <c r="AE12" s="1">
        <f>[1]Results!AH1373</f>
        <v>2.8478331965190207</v>
      </c>
      <c r="AF12" s="1">
        <f>[1]Results!AI1373</f>
        <v>2.7239380809417248</v>
      </c>
      <c r="AG12" s="1">
        <f>[1]Results!AJ1373</f>
        <v>2.598222894801292</v>
      </c>
      <c r="AH12" s="1">
        <f>[1]Results!AK1373</f>
        <v>2.4651186459261543</v>
      </c>
      <c r="AI12" s="1">
        <f>[1]Results!AL1373</f>
        <v>2.3308740621124038</v>
      </c>
      <c r="AJ12" s="1">
        <f>[1]Results!AM1373</f>
        <v>2.2016718673403113</v>
      </c>
      <c r="AK12" s="1">
        <f>[1]Results!AN1373</f>
        <v>2.0833449904754087</v>
      </c>
      <c r="AL12" s="1">
        <f>[1]Results!AO1373</f>
        <v>1.9805656315453291</v>
      </c>
    </row>
    <row r="13" spans="1:38" x14ac:dyDescent="0.35">
      <c r="A13" s="3" t="str">
        <f>[1]Results!E1374</f>
        <v>100*((I_2+CH_ccon_2-(I_0+CH_ccon_0))/GDP_0)</v>
      </c>
      <c r="B13" t="s">
        <v>23</v>
      </c>
      <c r="C13" s="1">
        <f>[1]Results!F1374</f>
        <v>0</v>
      </c>
      <c r="D13" s="1">
        <f>[1]Results!G1374</f>
        <v>4.4686412291348102E-10</v>
      </c>
      <c r="E13" s="1">
        <f>[1]Results!H1374</f>
        <v>0</v>
      </c>
      <c r="F13" s="1">
        <f>[1]Results!I1374</f>
        <v>4.2917422960841017E-10</v>
      </c>
      <c r="G13" s="1">
        <f>[1]Results!J1374</f>
        <v>0</v>
      </c>
      <c r="H13" s="1">
        <f>[1]Results!K1374</f>
        <v>4.1081666854230038E-10</v>
      </c>
      <c r="I13" s="1">
        <f>[1]Results!L1374</f>
        <v>4.0166224795636632E-10</v>
      </c>
      <c r="J13" s="1">
        <f>[1]Results!M1374</f>
        <v>-5.6128192549911471E-2</v>
      </c>
      <c r="K13" s="1">
        <f>[1]Results!N1374</f>
        <v>-0.14273452734304345</v>
      </c>
      <c r="L13" s="1">
        <f>[1]Results!O1374</f>
        <v>-0.18964005966529296</v>
      </c>
      <c r="M13" s="1">
        <f>[1]Results!P1374</f>
        <v>-0.219709863861694</v>
      </c>
      <c r="N13" s="1">
        <f>[1]Results!Q1374</f>
        <v>-0.24541385683731162</v>
      </c>
      <c r="O13" s="1">
        <f>[1]Results!R1374</f>
        <v>-0.26411582686176921</v>
      </c>
      <c r="P13" s="1">
        <f>[1]Results!S1374</f>
        <v>-0.27197239387752603</v>
      </c>
      <c r="Q13" s="1">
        <f>[1]Results!T1374</f>
        <v>-0.2664523652869572</v>
      </c>
      <c r="R13" s="1">
        <f>[1]Results!U1374</f>
        <v>-0.24941986324398918</v>
      </c>
      <c r="S13" s="1">
        <f>[1]Results!V1374</f>
        <v>-0.23195369556894327</v>
      </c>
      <c r="T13" s="1">
        <f>[1]Results!W1374</f>
        <v>-0.21836014400420858</v>
      </c>
      <c r="U13" s="1">
        <f>[1]Results!X1374</f>
        <v>-0.20896728225410222</v>
      </c>
      <c r="V13" s="1">
        <f>[1]Results!Y1374</f>
        <v>-0.20151561330397769</v>
      </c>
      <c r="W13" s="1">
        <f>[1]Results!Z1374</f>
        <v>-0.19355709751833169</v>
      </c>
      <c r="X13" s="1">
        <f>[1]Results!AA1374</f>
        <v>-0.18223678977791161</v>
      </c>
      <c r="Y13" s="1">
        <f>[1]Results!AB1374</f>
        <v>-0.16549477172438001</v>
      </c>
      <c r="Z13" s="1">
        <f>[1]Results!AC1374</f>
        <v>-0.14186097588707086</v>
      </c>
      <c r="AA13" s="1">
        <f>[1]Results!AD1374</f>
        <v>-0.11048003189818097</v>
      </c>
      <c r="AB13" s="1">
        <f>[1]Results!AE1374</f>
        <v>-7.1263104434550542E-2</v>
      </c>
      <c r="AC13" s="1">
        <f>[1]Results!AF1374</f>
        <v>-2.4973123430981028E-2</v>
      </c>
      <c r="AD13" s="1">
        <f>[1]Results!AG1374</f>
        <v>2.5249630837531085E-2</v>
      </c>
      <c r="AE13" s="1">
        <f>[1]Results!AH1374</f>
        <v>7.7955282643523388E-2</v>
      </c>
      <c r="AF13" s="1">
        <f>[1]Results!AI1374</f>
        <v>0.1323156946604053</v>
      </c>
      <c r="AG13" s="1">
        <f>[1]Results!AJ1374</f>
        <v>0.18765077353821666</v>
      </c>
      <c r="AH13" s="1">
        <f>[1]Results!AK1374</f>
        <v>0.2427240769858105</v>
      </c>
      <c r="AI13" s="1">
        <f>[1]Results!AL1374</f>
        <v>0.29634695177098264</v>
      </c>
      <c r="AJ13" s="1">
        <f>[1]Results!AM1374</f>
        <v>0.347862501850422</v>
      </c>
      <c r="AK13" s="1">
        <f>[1]Results!AN1374</f>
        <v>0.39690677792545892</v>
      </c>
      <c r="AL13" s="1">
        <f>[1]Results!AO1374</f>
        <v>0.44330762320236999</v>
      </c>
    </row>
    <row r="14" spans="1:38" x14ac:dyDescent="0.35">
      <c r="A14" s="3" t="str">
        <f>[1]Results!E1375</f>
        <v>100*((I_2-IA_spub_2-(I_0-IA_spub_0))/GDP_0)</v>
      </c>
      <c r="B14" t="str">
        <f>[1]Results!C1375</f>
        <v>Investissement entreprises</v>
      </c>
      <c r="C14" s="1">
        <f>[1]Results!F1375</f>
        <v>0</v>
      </c>
      <c r="D14" s="1">
        <f>[1]Results!G1375</f>
        <v>0</v>
      </c>
      <c r="E14" s="1">
        <f>[1]Results!H1375</f>
        <v>0</v>
      </c>
      <c r="F14" s="1">
        <f>[1]Results!I1375</f>
        <v>-4.2917672774127319E-10</v>
      </c>
      <c r="G14" s="1">
        <f>[1]Results!J1375</f>
        <v>-4.2004077393470869E-10</v>
      </c>
      <c r="H14" s="1">
        <f>[1]Results!K1375</f>
        <v>-4.1081905981966422E-10</v>
      </c>
      <c r="I14" s="1">
        <f>[1]Results!L1375</f>
        <v>0</v>
      </c>
      <c r="J14" s="1">
        <f>[1]Results!M1375</f>
        <v>-5.2513569623351936E-2</v>
      </c>
      <c r="K14" s="1">
        <f>[1]Results!N1375</f>
        <v>-0.13287269487526357</v>
      </c>
      <c r="L14" s="1">
        <f>[1]Results!O1375</f>
        <v>-0.17387887770193308</v>
      </c>
      <c r="M14" s="1">
        <f>[1]Results!P1375</f>
        <v>-0.19920518755253075</v>
      </c>
      <c r="N14" s="1">
        <f>[1]Results!Q1375</f>
        <v>-0.22163661829628467</v>
      </c>
      <c r="O14" s="1">
        <f>[1]Results!R1375</f>
        <v>-0.24110233994154104</v>
      </c>
      <c r="P14" s="1">
        <f>[1]Results!S1375</f>
        <v>-0.25327820451927308</v>
      </c>
      <c r="Q14" s="1">
        <f>[1]Results!T1375</f>
        <v>-0.25433812852765081</v>
      </c>
      <c r="R14" s="1">
        <f>[1]Results!U1375</f>
        <v>-0.24496326461683607</v>
      </c>
      <c r="S14" s="1">
        <f>[1]Results!V1375</f>
        <v>-0.23499798213059722</v>
      </c>
      <c r="T14" s="1">
        <f>[1]Results!W1375</f>
        <v>-0.22791892326955807</v>
      </c>
      <c r="U14" s="1">
        <f>[1]Results!X1375</f>
        <v>-0.22408697250724177</v>
      </c>
      <c r="V14" s="1">
        <f>[1]Results!Y1375</f>
        <v>-0.22161286296734609</v>
      </c>
      <c r="W14" s="1">
        <f>[1]Results!Z1375</f>
        <v>-0.21844660677551747</v>
      </c>
      <c r="X14" s="1">
        <f>[1]Results!AA1375</f>
        <v>-0.21187230610052399</v>
      </c>
      <c r="Y14" s="1">
        <f>[1]Results!AB1375</f>
        <v>-0.20000931029294178</v>
      </c>
      <c r="Z14" s="1">
        <f>[1]Results!AC1375</f>
        <v>-0.18136217536392482</v>
      </c>
      <c r="AA14" s="1">
        <f>[1]Results!AD1375</f>
        <v>-0.15499696345719077</v>
      </c>
      <c r="AB14" s="1">
        <f>[1]Results!AE1375</f>
        <v>-0.12072600746700474</v>
      </c>
      <c r="AC14" s="1">
        <f>[1]Results!AF1375</f>
        <v>-7.8755968635083926E-2</v>
      </c>
      <c r="AD14" s="1">
        <f>[1]Results!AG1375</f>
        <v>-3.1913247647468591E-2</v>
      </c>
      <c r="AE14" s="1">
        <f>[1]Results!AH1375</f>
        <v>1.8359111831409335E-2</v>
      </c>
      <c r="AF14" s="1">
        <f>[1]Results!AI1375</f>
        <v>7.1118914183384133E-2</v>
      </c>
      <c r="AG14" s="1">
        <f>[1]Results!AJ1375</f>
        <v>0.12554728308631202</v>
      </c>
      <c r="AH14" s="1">
        <f>[1]Results!AK1375</f>
        <v>0.18041625942193756</v>
      </c>
      <c r="AI14" s="1">
        <f>[1]Results!AL1375</f>
        <v>0.23447350390079771</v>
      </c>
      <c r="AJ14" s="1">
        <f>[1]Results!AM1375</f>
        <v>0.2869337637267837</v>
      </c>
      <c r="AK14" s="1">
        <f>[1]Results!AN1375</f>
        <v>0.33725947384572852</v>
      </c>
      <c r="AL14" s="1">
        <f>[1]Results!AO1375</f>
        <v>0.38509769973777563</v>
      </c>
    </row>
    <row r="15" spans="1:38" x14ac:dyDescent="0.35">
      <c r="A15" s="3" t="str">
        <f>[1]Results!E1376</f>
        <v>100*((CH_ccon_2-CH_ccon_0)/GDP_0)</v>
      </c>
      <c r="B15" t="str">
        <f>[1]Results!C1376</f>
        <v>Investissement ménages</v>
      </c>
      <c r="C15" s="1">
        <f>[1]Results!F1376</f>
        <v>0</v>
      </c>
      <c r="D15" s="1">
        <f>[1]Results!G1376</f>
        <v>4.4686331007383461E-10</v>
      </c>
      <c r="E15" s="1">
        <f>[1]Results!H1376</f>
        <v>0</v>
      </c>
      <c r="F15" s="1">
        <f>[1]Results!I1376</f>
        <v>4.2917594707475353E-10</v>
      </c>
      <c r="G15" s="1">
        <f>[1]Results!J1376</f>
        <v>0</v>
      </c>
      <c r="H15" s="1">
        <f>[1]Results!K1376</f>
        <v>4.1081831254548802E-10</v>
      </c>
      <c r="I15" s="1">
        <f>[1]Results!L1376</f>
        <v>4.0165917937836607E-10</v>
      </c>
      <c r="J15" s="1">
        <f>[1]Results!M1376</f>
        <v>-1.0594596826794941E-3</v>
      </c>
      <c r="K15" s="1">
        <f>[1]Results!N1376</f>
        <v>-3.0869939605053594E-3</v>
      </c>
      <c r="L15" s="1">
        <f>[1]Results!O1376</f>
        <v>-4.2884244883717431E-3</v>
      </c>
      <c r="M15" s="1">
        <f>[1]Results!P1376</f>
        <v>-3.7653094540833158E-3</v>
      </c>
      <c r="N15" s="1">
        <f>[1]Results!Q1376</f>
        <v>-3.4917314257942337E-3</v>
      </c>
      <c r="O15" s="1">
        <f>[1]Results!R1376</f>
        <v>-9.1324553037507744E-4</v>
      </c>
      <c r="P15" s="1">
        <f>[1]Results!S1376</f>
        <v>3.7411824825403003E-3</v>
      </c>
      <c r="Q15" s="1">
        <f>[1]Results!T1376</f>
        <v>9.5145290862867962E-3</v>
      </c>
      <c r="R15" s="1">
        <f>[1]Results!U1376</f>
        <v>1.554762190776221E-2</v>
      </c>
      <c r="S15" s="1">
        <f>[1]Results!V1376</f>
        <v>2.1197520226039466E-2</v>
      </c>
      <c r="T15" s="1">
        <f>[1]Results!W1376</f>
        <v>2.5892386635470239E-2</v>
      </c>
      <c r="U15" s="1">
        <f>[1]Results!X1376</f>
        <v>2.963164759318029E-2</v>
      </c>
      <c r="V15" s="1">
        <f>[1]Results!Y1376</f>
        <v>3.2602439311897491E-2</v>
      </c>
      <c r="W15" s="1">
        <f>[1]Results!Z1376</f>
        <v>3.5126343434068327E-2</v>
      </c>
      <c r="X15" s="1">
        <f>[1]Results!AA1376</f>
        <v>3.7105329147387581E-2</v>
      </c>
      <c r="Y15" s="1">
        <f>[1]Results!AB1376</f>
        <v>3.879350183239362E-2</v>
      </c>
      <c r="Z15" s="1">
        <f>[1]Results!AC1376</f>
        <v>4.0223350582079861E-2</v>
      </c>
      <c r="AA15" s="1">
        <f>[1]Results!AD1376</f>
        <v>4.1385874960443651E-2</v>
      </c>
      <c r="AB15" s="1">
        <f>[1]Results!AE1376</f>
        <v>4.2272392093790731E-2</v>
      </c>
      <c r="AC15" s="1">
        <f>[1]Results!AF1376</f>
        <v>4.2452092994175211E-2</v>
      </c>
      <c r="AD15" s="1">
        <f>[1]Results!AG1376</f>
        <v>4.1932692100705424E-2</v>
      </c>
      <c r="AE15" s="1">
        <f>[1]Results!AH1376</f>
        <v>4.0824442712428931E-2</v>
      </c>
      <c r="AF15" s="1">
        <f>[1]Results!AI1376</f>
        <v>3.9282511126929487E-2</v>
      </c>
      <c r="AG15" s="1">
        <f>[1]Results!AJ1376</f>
        <v>3.7455282166641957E-2</v>
      </c>
      <c r="AH15" s="1">
        <f>[1]Results!AK1376</f>
        <v>3.5328791449077995E-2</v>
      </c>
      <c r="AI15" s="1">
        <f>[1]Results!AL1376</f>
        <v>3.3032047686005532E-2</v>
      </c>
      <c r="AJ15" s="1">
        <f>[1]Results!AM1376</f>
        <v>3.0676529928485304E-2</v>
      </c>
      <c r="AK15" s="1">
        <f>[1]Results!AN1376</f>
        <v>2.8382397458133809E-2</v>
      </c>
      <c r="AL15" s="1">
        <f>[1]Results!AO1376</f>
        <v>2.6263201637616199E-2</v>
      </c>
    </row>
    <row r="16" spans="1:38" x14ac:dyDescent="0.35">
      <c r="A16" s="3" t="str">
        <f>[1]Results!E1377</f>
        <v>100*((IA_spub_2-IA_spub_0)/GDP_0)</v>
      </c>
      <c r="B16" t="str">
        <f>[1]Results!C1377</f>
        <v>Investissement public</v>
      </c>
      <c r="C16" s="1">
        <f>[1]Results!F1377</f>
        <v>0</v>
      </c>
      <c r="D16" s="1">
        <f>[1]Results!G1377</f>
        <v>0</v>
      </c>
      <c r="E16" s="1">
        <f>[1]Results!H1377</f>
        <v>0</v>
      </c>
      <c r="F16" s="1">
        <f>[1]Results!I1377</f>
        <v>4.2917579094144954E-10</v>
      </c>
      <c r="G16" s="1">
        <f>[1]Results!J1377</f>
        <v>4.2003985707669303E-10</v>
      </c>
      <c r="H16" s="1">
        <f>[1]Results!K1377</f>
        <v>4.1081846200032326E-10</v>
      </c>
      <c r="I16" s="1">
        <f>[1]Results!L1377</f>
        <v>0</v>
      </c>
      <c r="J16" s="1">
        <f>[1]Results!M1377</f>
        <v>-2.555163243881043E-3</v>
      </c>
      <c r="K16" s="1">
        <f>[1]Results!N1377</f>
        <v>-6.7748385072767718E-3</v>
      </c>
      <c r="L16" s="1">
        <f>[1]Results!O1377</f>
        <v>-1.147275747499155E-2</v>
      </c>
      <c r="M16" s="1">
        <f>[1]Results!P1377</f>
        <v>-1.6739366855082184E-2</v>
      </c>
      <c r="N16" s="1">
        <f>[1]Results!Q1377</f>
        <v>-2.0285507115234146E-2</v>
      </c>
      <c r="O16" s="1">
        <f>[1]Results!R1377</f>
        <v>-2.2100241389852195E-2</v>
      </c>
      <c r="P16" s="1">
        <f>[1]Results!S1377</f>
        <v>-2.2435371840791998E-2</v>
      </c>
      <c r="Q16" s="1">
        <f>[1]Results!T1377</f>
        <v>-2.1628765845593929E-2</v>
      </c>
      <c r="R16" s="1">
        <f>[1]Results!U1377</f>
        <v>-2.0004220534918023E-2</v>
      </c>
      <c r="S16" s="1">
        <f>[1]Results!V1377</f>
        <v>-1.815323366438765E-2</v>
      </c>
      <c r="T16" s="1">
        <f>[1]Results!W1377</f>
        <v>-1.6333607370120292E-2</v>
      </c>
      <c r="U16" s="1">
        <f>[1]Results!X1377</f>
        <v>-1.4511957340040127E-2</v>
      </c>
      <c r="V16" s="1">
        <f>[1]Results!Y1377</f>
        <v>-1.2505189648528267E-2</v>
      </c>
      <c r="W16" s="1">
        <f>[1]Results!Z1377</f>
        <v>-1.0236834176884249E-2</v>
      </c>
      <c r="X16" s="1">
        <f>[1]Results!AA1377</f>
        <v>-7.4698128247715325E-3</v>
      </c>
      <c r="Y16" s="1">
        <f>[1]Results!AB1377</f>
        <v>-4.2789632638311906E-3</v>
      </c>
      <c r="Z16" s="1">
        <f>[1]Results!AC1377</f>
        <v>-7.2215110522546558E-4</v>
      </c>
      <c r="AA16" s="1">
        <f>[1]Results!AD1377</f>
        <v>3.1310565985640431E-3</v>
      </c>
      <c r="AB16" s="1">
        <f>[1]Results!AE1377</f>
        <v>7.1905109386638877E-3</v>
      </c>
      <c r="AC16" s="1">
        <f>[1]Results!AF1377</f>
        <v>1.1330752209925285E-2</v>
      </c>
      <c r="AD16" s="1">
        <f>[1]Results!AG1377</f>
        <v>1.5230186384291305E-2</v>
      </c>
      <c r="AE16" s="1">
        <f>[1]Results!AH1377</f>
        <v>1.8771728099685109E-2</v>
      </c>
      <c r="AF16" s="1">
        <f>[1]Results!AI1377</f>
        <v>2.1914269350093451E-2</v>
      </c>
      <c r="AG16" s="1">
        <f>[1]Results!AJ1377</f>
        <v>2.4648208285259019E-2</v>
      </c>
      <c r="AH16" s="1">
        <f>[1]Results!AK1377</f>
        <v>2.6979026114794948E-2</v>
      </c>
      <c r="AI16" s="1">
        <f>[1]Results!AL1377</f>
        <v>2.8841400184183432E-2</v>
      </c>
      <c r="AJ16" s="1">
        <f>[1]Results!AM1377</f>
        <v>3.0252208195160953E-2</v>
      </c>
      <c r="AK16" s="1">
        <f>[1]Results!AN1377</f>
        <v>3.1264906621595485E-2</v>
      </c>
      <c r="AL16" s="1">
        <f>[1]Results!AO1377</f>
        <v>3.1946721826977179E-2</v>
      </c>
    </row>
    <row r="17" spans="1:38" x14ac:dyDescent="0.35">
      <c r="A17" s="3" t="str">
        <f>[1]Results!E1378</f>
        <v>100*(CH_2/CH_0-1)</v>
      </c>
      <c r="B17" t="str">
        <f>[1]Results!C1378</f>
        <v>Consommation des ménages</v>
      </c>
      <c r="C17" s="1">
        <f>[1]Results!F1378</f>
        <v>0</v>
      </c>
      <c r="D17" s="1">
        <f>[1]Results!G1378</f>
        <v>8.1743256608035608E-8</v>
      </c>
      <c r="E17" s="1">
        <f>[1]Results!H1378</f>
        <v>0</v>
      </c>
      <c r="F17" s="1">
        <f>[1]Results!I1378</f>
        <v>7.8392492497414423E-8</v>
      </c>
      <c r="G17" s="1">
        <f>[1]Results!J1378</f>
        <v>0</v>
      </c>
      <c r="H17" s="1">
        <f>[1]Results!K1378</f>
        <v>7.4782491310543264E-8</v>
      </c>
      <c r="I17" s="1">
        <f>[1]Results!L1378</f>
        <v>7.2989703170378561E-8</v>
      </c>
      <c r="J17" s="1">
        <f>[1]Results!M1378</f>
        <v>-5.0193634480610871E-2</v>
      </c>
      <c r="K17" s="1">
        <f>[1]Results!N1378</f>
        <v>-9.612595115428002E-2</v>
      </c>
      <c r="L17" s="1">
        <f>[1]Results!O1378</f>
        <v>8.5938083754188987E-2</v>
      </c>
      <c r="M17" s="1">
        <f>[1]Results!P1378</f>
        <v>0.59792769922277778</v>
      </c>
      <c r="N17" s="1">
        <f>[1]Results!Q1378</f>
        <v>1.0433669932143896</v>
      </c>
      <c r="O17" s="1">
        <f>[1]Results!R1378</f>
        <v>1.5988863772023576</v>
      </c>
      <c r="P17" s="1">
        <f>[1]Results!S1378</f>
        <v>2.2271597199623017</v>
      </c>
      <c r="Q17" s="1">
        <f>[1]Results!T1378</f>
        <v>2.8659010551061348</v>
      </c>
      <c r="R17" s="1">
        <f>[1]Results!U1378</f>
        <v>3.473136855048975</v>
      </c>
      <c r="S17" s="1">
        <f>[1]Results!V1378</f>
        <v>4.0234554057361649</v>
      </c>
      <c r="T17" s="1">
        <f>[1]Results!W1378</f>
        <v>4.4862989822192167</v>
      </c>
      <c r="U17" s="1">
        <f>[1]Results!X1378</f>
        <v>4.871317943483211</v>
      </c>
      <c r="V17" s="1">
        <f>[1]Results!Y1378</f>
        <v>5.1899096473139616</v>
      </c>
      <c r="W17" s="1">
        <f>[1]Results!Z1378</f>
        <v>5.4603043548343555</v>
      </c>
      <c r="X17" s="1">
        <f>[1]Results!AA1378</f>
        <v>5.6485647918311344</v>
      </c>
      <c r="Y17" s="1">
        <f>[1]Results!AB1378</f>
        <v>5.7760411792894262</v>
      </c>
      <c r="Z17" s="1">
        <f>[1]Results!AC1378</f>
        <v>5.8538622941217255</v>
      </c>
      <c r="AA17" s="1">
        <f>[1]Results!AD1378</f>
        <v>5.8919250098989906</v>
      </c>
      <c r="AB17" s="1">
        <f>[1]Results!AE1378</f>
        <v>5.9011318339304619</v>
      </c>
      <c r="AC17" s="1">
        <f>[1]Results!AF1378</f>
        <v>5.8288022458871991</v>
      </c>
      <c r="AD17" s="1">
        <f>[1]Results!AG1378</f>
        <v>5.6854401684967248</v>
      </c>
      <c r="AE17" s="1">
        <f>[1]Results!AH1378</f>
        <v>5.4948722940204142</v>
      </c>
      <c r="AF17" s="1">
        <f>[1]Results!AI1378</f>
        <v>5.2785403304264511</v>
      </c>
      <c r="AG17" s="1">
        <f>[1]Results!AJ1378</f>
        <v>5.0521711500228772</v>
      </c>
      <c r="AH17" s="1">
        <f>[1]Results!AK1378</f>
        <v>4.8053812147854646</v>
      </c>
      <c r="AI17" s="1">
        <f>[1]Results!AL1378</f>
        <v>4.5512780889243043</v>
      </c>
      <c r="AJ17" s="1">
        <f>[1]Results!AM1378</f>
        <v>4.3030611797295171</v>
      </c>
      <c r="AK17" s="1">
        <f>[1]Results!AN1378</f>
        <v>4.0732803232962134</v>
      </c>
      <c r="AL17" s="1">
        <f>[1]Results!AO1378</f>
        <v>3.8721115971114273</v>
      </c>
    </row>
    <row r="18" spans="1:38" x14ac:dyDescent="0.35">
      <c r="A18" s="3" t="str">
        <f>[1]Results!E1379</f>
        <v>100*(CH_cveh_2/CH_cveh_0-1)</v>
      </c>
      <c r="B18" t="str">
        <f>[1]Results!C1379</f>
        <v>Consommation des ménages automobile</v>
      </c>
      <c r="C18" s="1">
        <f>[1]Results!F1379</f>
        <v>0</v>
      </c>
      <c r="D18" s="1">
        <f>[1]Results!G1379</f>
        <v>1.5139356435156515E-8</v>
      </c>
      <c r="E18" s="1">
        <f>[1]Results!H1379</f>
        <v>2.8124746975777271E-8</v>
      </c>
      <c r="F18" s="1">
        <f>[1]Results!I1379</f>
        <v>7.9225848104158558E-8</v>
      </c>
      <c r="G18" s="1">
        <f>[1]Results!J1379</f>
        <v>8.77866002113592E-8</v>
      </c>
      <c r="H18" s="1">
        <f>[1]Results!K1379</f>
        <v>1.0841156861118861E-7</v>
      </c>
      <c r="I18" s="1">
        <f>[1]Results!L1379</f>
        <v>1.05152397900099E-7</v>
      </c>
      <c r="J18" s="1">
        <f>[1]Results!M1379</f>
        <v>-0.76193706296405761</v>
      </c>
      <c r="K18" s="1">
        <f>[1]Results!N1379</f>
        <v>-1.852050762205415</v>
      </c>
      <c r="L18" s="1">
        <f>[1]Results!O1379</f>
        <v>-2.7438749336752166</v>
      </c>
      <c r="M18" s="1">
        <f>[1]Results!P1379</f>
        <v>-3.4815356706734746</v>
      </c>
      <c r="N18" s="1">
        <f>[1]Results!Q1379</f>
        <v>-2.6781175781605104</v>
      </c>
      <c r="O18" s="1">
        <f>[1]Results!R1379</f>
        <v>-1.173773811388179</v>
      </c>
      <c r="P18" s="1">
        <f>[1]Results!S1379</f>
        <v>0.26077752342685834</v>
      </c>
      <c r="Q18" s="1">
        <f>[1]Results!T1379</f>
        <v>1.3290484393735147</v>
      </c>
      <c r="R18" s="1">
        <f>[1]Results!U1379</f>
        <v>1.994334095457595</v>
      </c>
      <c r="S18" s="1">
        <f>[1]Results!V1379</f>
        <v>2.1159302884402154</v>
      </c>
      <c r="T18" s="1">
        <f>[1]Results!W1379</f>
        <v>1.8771589476527906</v>
      </c>
      <c r="U18" s="1">
        <f>[1]Results!X1379</f>
        <v>1.5118230035329194</v>
      </c>
      <c r="V18" s="1">
        <f>[1]Results!Y1379</f>
        <v>1.2278821518212579</v>
      </c>
      <c r="W18" s="1">
        <f>[1]Results!Z1379</f>
        <v>0.96625207780032252</v>
      </c>
      <c r="X18" s="1">
        <f>[1]Results!AA1379</f>
        <v>0.87695335090123283</v>
      </c>
      <c r="Y18" s="1">
        <f>[1]Results!AB1379</f>
        <v>0.81729192709851795</v>
      </c>
      <c r="Z18" s="1">
        <f>[1]Results!AC1379</f>
        <v>0.73679512690072446</v>
      </c>
      <c r="AA18" s="1">
        <f>[1]Results!AD1379</f>
        <v>0.6369913461354848</v>
      </c>
      <c r="AB18" s="1">
        <f>[1]Results!AE1379</f>
        <v>0.52317377334947235</v>
      </c>
      <c r="AC18" s="1">
        <f>[1]Results!AF1379</f>
        <v>0.42246472921423361</v>
      </c>
      <c r="AD18" s="1">
        <f>[1]Results!AG1379</f>
        <v>0.25677845470357674</v>
      </c>
      <c r="AE18" s="1">
        <f>[1]Results!AH1379</f>
        <v>4.570462819322163E-2</v>
      </c>
      <c r="AF18" s="1">
        <f>[1]Results!AI1379</f>
        <v>-0.17561522110082217</v>
      </c>
      <c r="AG18" s="1">
        <f>[1]Results!AJ1379</f>
        <v>-0.39096939870082448</v>
      </c>
      <c r="AH18" s="1">
        <f>[1]Results!AK1379</f>
        <v>-0.58799931326968258</v>
      </c>
      <c r="AI18" s="1">
        <f>[1]Results!AL1379</f>
        <v>-0.81019927483817478</v>
      </c>
      <c r="AJ18" s="1">
        <f>[1]Results!AM1379</f>
        <v>-1.0620752601033678</v>
      </c>
      <c r="AK18" s="1">
        <f>[1]Results!AN1379</f>
        <v>-1.3300354765064415</v>
      </c>
      <c r="AL18" s="1">
        <f>[1]Results!AO1379</f>
        <v>-1.6029540700255307</v>
      </c>
    </row>
    <row r="19" spans="1:38" x14ac:dyDescent="0.35">
      <c r="A19" s="3" t="str">
        <f>[1]Results!E1380</f>
        <v>100*(G_2/G_0-1)</v>
      </c>
      <c r="B19" t="str">
        <f>[1]Results!C1380</f>
        <v>Dépenses publiques</v>
      </c>
      <c r="C19" s="1">
        <f>[1]Results!F1380</f>
        <v>0</v>
      </c>
      <c r="D19" s="1">
        <f>[1]Results!G1380</f>
        <v>0</v>
      </c>
      <c r="E19" s="1">
        <f>[1]Results!H1380</f>
        <v>0</v>
      </c>
      <c r="F19" s="1">
        <f>[1]Results!I1380</f>
        <v>0</v>
      </c>
      <c r="G19" s="1">
        <f>[1]Results!J1380</f>
        <v>0</v>
      </c>
      <c r="H19" s="1">
        <f>[1]Results!K1380</f>
        <v>0</v>
      </c>
      <c r="I19" s="1">
        <f>[1]Results!L1380</f>
        <v>0</v>
      </c>
      <c r="J19" s="1">
        <f>[1]Results!M1380</f>
        <v>0</v>
      </c>
      <c r="K19" s="1">
        <f>[1]Results!N1380</f>
        <v>0</v>
      </c>
      <c r="L19" s="1">
        <f>[1]Results!O1380</f>
        <v>0</v>
      </c>
      <c r="M19" s="1">
        <f>[1]Results!P1380</f>
        <v>0</v>
      </c>
      <c r="N19" s="1">
        <f>[1]Results!Q1380</f>
        <v>0</v>
      </c>
      <c r="O19" s="1">
        <f>[1]Results!R1380</f>
        <v>0</v>
      </c>
      <c r="P19" s="1">
        <f>[1]Results!S1380</f>
        <v>0</v>
      </c>
      <c r="Q19" s="1">
        <f>[1]Results!T1380</f>
        <v>0</v>
      </c>
      <c r="R19" s="1">
        <f>[1]Results!U1380</f>
        <v>0</v>
      </c>
      <c r="S19" s="1">
        <f>[1]Results!V1380</f>
        <v>0</v>
      </c>
      <c r="T19" s="1">
        <f>[1]Results!W1380</f>
        <v>0</v>
      </c>
      <c r="U19" s="1">
        <f>[1]Results!X1380</f>
        <v>0</v>
      </c>
      <c r="V19" s="1">
        <f>[1]Results!Y1380</f>
        <v>0</v>
      </c>
      <c r="W19" s="1">
        <f>[1]Results!Z1380</f>
        <v>0</v>
      </c>
      <c r="X19" s="1">
        <f>[1]Results!AA1380</f>
        <v>0</v>
      </c>
      <c r="Y19" s="1">
        <f>[1]Results!AB1380</f>
        <v>0</v>
      </c>
      <c r="Z19" s="1">
        <f>[1]Results!AC1380</f>
        <v>0</v>
      </c>
      <c r="AA19" s="1">
        <f>[1]Results!AD1380</f>
        <v>0</v>
      </c>
      <c r="AB19" s="1">
        <f>[1]Results!AE1380</f>
        <v>0</v>
      </c>
      <c r="AC19" s="1">
        <f>[1]Results!AF1380</f>
        <v>0</v>
      </c>
      <c r="AD19" s="1">
        <f>[1]Results!AG1380</f>
        <v>0</v>
      </c>
      <c r="AE19" s="1">
        <f>[1]Results!AH1380</f>
        <v>0</v>
      </c>
      <c r="AF19" s="1">
        <f>[1]Results!AI1380</f>
        <v>0</v>
      </c>
      <c r="AG19" s="1">
        <f>[1]Results!AJ1380</f>
        <v>0</v>
      </c>
      <c r="AH19" s="1">
        <f>[1]Results!AK1380</f>
        <v>0</v>
      </c>
      <c r="AI19" s="1">
        <f>[1]Results!AL1380</f>
        <v>0</v>
      </c>
      <c r="AJ19" s="1">
        <f>[1]Results!AM1380</f>
        <v>0</v>
      </c>
      <c r="AK19" s="1">
        <f>[1]Results!AN1380</f>
        <v>0</v>
      </c>
      <c r="AL19" s="1">
        <f>[1]Results!AO1380</f>
        <v>0</v>
      </c>
    </row>
    <row r="20" spans="1:38" x14ac:dyDescent="0.35">
      <c r="A20" s="3" t="str">
        <f>[1]Results!E1381</f>
        <v>100*(I_2/I_0-1)</v>
      </c>
      <c r="B20" t="str">
        <f>[1]Results!C1381</f>
        <v>Investissement</v>
      </c>
      <c r="C20" s="1">
        <f>[1]Results!F1381</f>
        <v>0</v>
      </c>
      <c r="D20" s="1">
        <f>[1]Results!G1381</f>
        <v>0</v>
      </c>
      <c r="E20" s="1">
        <f>[1]Results!H1381</f>
        <v>0</v>
      </c>
      <c r="F20" s="1">
        <f>[1]Results!I1381</f>
        <v>0</v>
      </c>
      <c r="G20" s="1">
        <f>[1]Results!J1381</f>
        <v>0</v>
      </c>
      <c r="H20" s="1">
        <f>[1]Results!K1381</f>
        <v>0</v>
      </c>
      <c r="I20" s="1">
        <f>[1]Results!L1381</f>
        <v>0</v>
      </c>
      <c r="J20" s="1">
        <f>[1]Results!M1381</f>
        <v>-0.25215111562715276</v>
      </c>
      <c r="K20" s="1">
        <f>[1]Results!N1381</f>
        <v>-0.63576803656463232</v>
      </c>
      <c r="L20" s="1">
        <f>[1]Results!O1381</f>
        <v>-0.83846114624609447</v>
      </c>
      <c r="M20" s="1">
        <f>[1]Results!P1381</f>
        <v>-0.96989509888620873</v>
      </c>
      <c r="N20" s="1">
        <f>[1]Results!Q1381</f>
        <v>-1.077560878187267</v>
      </c>
      <c r="O20" s="1">
        <f>[1]Results!R1381</f>
        <v>-1.1622695940538552</v>
      </c>
      <c r="P20" s="1">
        <f>[1]Results!S1381</f>
        <v>-1.2067908156772389</v>
      </c>
      <c r="Q20" s="1">
        <f>[1]Results!T1381</f>
        <v>-1.1970544458138832</v>
      </c>
      <c r="R20" s="1">
        <f>[1]Results!U1381</f>
        <v>-1.138864170081455</v>
      </c>
      <c r="S20" s="1">
        <f>[1]Results!V1381</f>
        <v>-1.0780187506394978</v>
      </c>
      <c r="T20" s="1">
        <f>[1]Results!W1381</f>
        <v>-1.0304406154689638</v>
      </c>
      <c r="U20" s="1">
        <f>[1]Results!X1381</f>
        <v>-0.99720018338801397</v>
      </c>
      <c r="V20" s="1">
        <f>[1]Results!Y1381</f>
        <v>-0.96935758667975325</v>
      </c>
      <c r="W20" s="1">
        <f>[1]Results!Z1381</f>
        <v>-0.93803762095220344</v>
      </c>
      <c r="X20" s="1">
        <f>[1]Results!AA1381</f>
        <v>-0.89148609664755352</v>
      </c>
      <c r="Y20" s="1">
        <f>[1]Results!AB1381</f>
        <v>-0.82282711180298174</v>
      </c>
      <c r="Z20" s="1">
        <f>[1]Results!AC1381</f>
        <v>-0.72688457573341081</v>
      </c>
      <c r="AA20" s="1">
        <f>[1]Results!AD1381</f>
        <v>-0.60092116055928679</v>
      </c>
      <c r="AB20" s="1">
        <f>[1]Results!AE1381</f>
        <v>-0.44525848775183174</v>
      </c>
      <c r="AC20" s="1">
        <f>[1]Results!AF1381</f>
        <v>-0.26242607228511572</v>
      </c>
      <c r="AD20" s="1">
        <f>[1]Results!AG1381</f>
        <v>-6.4513028360313474E-2</v>
      </c>
      <c r="AE20" s="1">
        <f>[1]Results!AH1381</f>
        <v>0.14276743079133514</v>
      </c>
      <c r="AF20" s="1">
        <f>[1]Results!AI1381</f>
        <v>0.35584387883738078</v>
      </c>
      <c r="AG20" s="1">
        <f>[1]Results!AJ1381</f>
        <v>0.57164279394521511</v>
      </c>
      <c r="AH20" s="1">
        <f>[1]Results!AK1381</f>
        <v>0.78557515064667793</v>
      </c>
      <c r="AI20" s="1">
        <f>[1]Results!AL1381</f>
        <v>0.99273723697002048</v>
      </c>
      <c r="AJ20" s="1">
        <f>[1]Results!AM1381</f>
        <v>1.1903372828569125</v>
      </c>
      <c r="AK20" s="1">
        <f>[1]Results!AN1381</f>
        <v>1.3766651286984066</v>
      </c>
      <c r="AL20" s="1">
        <f>[1]Results!AO1381</f>
        <v>1.5507622926576037</v>
      </c>
    </row>
    <row r="21" spans="1:38" x14ac:dyDescent="0.35">
      <c r="A21" s="3" t="str">
        <f>[1]Results!E1382</f>
        <v>100*((I_2-IA_spub_2)/(I_0-IA_spub_0)-1)</v>
      </c>
      <c r="B21" t="str">
        <f>[1]Results!C1382</f>
        <v>Investissement entreprises</v>
      </c>
      <c r="C21" s="1">
        <f>[1]Results!F1382</f>
        <v>0</v>
      </c>
      <c r="D21" s="1">
        <f>[1]Results!G1382</f>
        <v>0</v>
      </c>
      <c r="E21" s="1">
        <f>[1]Results!H1382</f>
        <v>0</v>
      </c>
      <c r="F21" s="1">
        <f>[1]Results!I1382</f>
        <v>-2.1724733123562601E-9</v>
      </c>
      <c r="G21" s="1">
        <f>[1]Results!J1382</f>
        <v>-2.1191937094044988E-9</v>
      </c>
      <c r="H21" s="1">
        <f>[1]Results!K1382</f>
        <v>-2.0642487719157998E-9</v>
      </c>
      <c r="I21" s="1">
        <f>[1]Results!L1382</f>
        <v>0</v>
      </c>
      <c r="J21" s="1">
        <f>[1]Results!M1382</f>
        <v>-0.26092163335745822</v>
      </c>
      <c r="K21" s="1">
        <f>[1]Results!N1382</f>
        <v>-0.65570199454265676</v>
      </c>
      <c r="L21" s="1">
        <f>[1]Results!O1382</f>
        <v>-0.85161660709418552</v>
      </c>
      <c r="M21" s="1">
        <f>[1]Results!P1382</f>
        <v>-0.96760463665843677</v>
      </c>
      <c r="N21" s="1">
        <f>[1]Results!Q1382</f>
        <v>-1.0665456082606606</v>
      </c>
      <c r="O21" s="1">
        <f>[1]Results!R1382</f>
        <v>-1.1492256127700218</v>
      </c>
      <c r="P21" s="1">
        <f>[1]Results!S1382</f>
        <v>-1.1957065391767663</v>
      </c>
      <c r="Q21" s="1">
        <f>[1]Results!T1382</f>
        <v>-1.189115780626171</v>
      </c>
      <c r="R21" s="1">
        <f>[1]Results!U1382</f>
        <v>-1.1341279075192778</v>
      </c>
      <c r="S21" s="1">
        <f>[1]Results!V1382</f>
        <v>-1.0772780546297267</v>
      </c>
      <c r="T21" s="1">
        <f>[1]Results!W1382</f>
        <v>-1.0344642219996092</v>
      </c>
      <c r="U21" s="1">
        <f>[1]Results!X1382</f>
        <v>-1.006940424732472</v>
      </c>
      <c r="V21" s="1">
        <f>[1]Results!Y1382</f>
        <v>-0.98587226518977999</v>
      </c>
      <c r="W21" s="1">
        <f>[1]Results!Z1382</f>
        <v>-0.96202728278157457</v>
      </c>
      <c r="X21" s="1">
        <f>[1]Results!AA1382</f>
        <v>-0.92379410209511015</v>
      </c>
      <c r="Y21" s="1">
        <f>[1]Results!AB1382</f>
        <v>-0.86346328722054499</v>
      </c>
      <c r="Z21" s="1">
        <f>[1]Results!AC1382</f>
        <v>-0.7752725642325653</v>
      </c>
      <c r="AA21" s="1">
        <f>[1]Results!AD1382</f>
        <v>-0.65606710138260693</v>
      </c>
      <c r="AB21" s="1">
        <f>[1]Results!AE1382</f>
        <v>-0.50590992841885729</v>
      </c>
      <c r="AC21" s="1">
        <f>[1]Results!AF1382</f>
        <v>-0.32718172969700143</v>
      </c>
      <c r="AD21" s="1">
        <f>[1]Results!AG1382</f>
        <v>-0.13158228301620722</v>
      </c>
      <c r="AE21" s="1">
        <f>[1]Results!AH1382</f>
        <v>7.5185584544401607E-2</v>
      </c>
      <c r="AF21" s="1">
        <f>[1]Results!AI1382</f>
        <v>0.28942051388931578</v>
      </c>
      <c r="AG21" s="1">
        <f>[1]Results!AJ1382</f>
        <v>0.50785068307868109</v>
      </c>
      <c r="AH21" s="1">
        <f>[1]Results!AK1382</f>
        <v>0.72555945540102584</v>
      </c>
      <c r="AI21" s="1">
        <f>[1]Results!AL1382</f>
        <v>0.93761045137772392</v>
      </c>
      <c r="AJ21" s="1">
        <f>[1]Results!AM1382</f>
        <v>1.1410017294623431</v>
      </c>
      <c r="AK21" s="1">
        <f>[1]Results!AN1382</f>
        <v>1.3337492539431617</v>
      </c>
      <c r="AL21" s="1">
        <f>[1]Results!AO1382</f>
        <v>1.5146222264591724</v>
      </c>
    </row>
    <row r="22" spans="1:38" x14ac:dyDescent="0.35">
      <c r="A22" s="3" t="str">
        <f>[1]Results!E1383</f>
        <v>100*(X_2/X_0-1)</v>
      </c>
      <c r="B22" t="s">
        <v>24</v>
      </c>
      <c r="C22" s="1">
        <f>[1]Results!F1383</f>
        <v>-1.5845802447955748E-8</v>
      </c>
      <c r="D22" s="1">
        <f>[1]Results!G1383</f>
        <v>0</v>
      </c>
      <c r="E22" s="1">
        <f>[1]Results!H1383</f>
        <v>-1.4756718069719454E-8</v>
      </c>
      <c r="F22" s="1">
        <f>[1]Results!I1383</f>
        <v>-2.8537283647267486E-8</v>
      </c>
      <c r="G22" s="1">
        <f>[1]Results!J1383</f>
        <v>-4.1419800922426475E-8</v>
      </c>
      <c r="H22" s="1">
        <f>[1]Results!K1383</f>
        <v>-5.3460036397723343E-8</v>
      </c>
      <c r="I22" s="1">
        <f>[1]Results!L1383</f>
        <v>-7.7646056251268192E-8</v>
      </c>
      <c r="J22" s="1">
        <f>[1]Results!M1383</f>
        <v>-0.93077514959710728</v>
      </c>
      <c r="K22" s="1">
        <f>[1]Results!N1383</f>
        <v>-1.7363180877643103</v>
      </c>
      <c r="L22" s="1">
        <f>[1]Results!O1383</f>
        <v>-1.3761169610354895</v>
      </c>
      <c r="M22" s="1">
        <f>[1]Results!P1383</f>
        <v>-1.3185092852606717</v>
      </c>
      <c r="N22" s="1">
        <f>[1]Results!Q1383</f>
        <v>-1.5623999273054467</v>
      </c>
      <c r="O22" s="1">
        <f>[1]Results!R1383</f>
        <v>-2.0709740250093422</v>
      </c>
      <c r="P22" s="1">
        <f>[1]Results!S1383</f>
        <v>-2.6891198224169188</v>
      </c>
      <c r="Q22" s="1">
        <f>[1]Results!T1383</f>
        <v>-3.2763450405172145</v>
      </c>
      <c r="R22" s="1">
        <f>[1]Results!U1383</f>
        <v>-3.8132252453229154</v>
      </c>
      <c r="S22" s="1">
        <f>[1]Results!V1383</f>
        <v>-4.3994434140943284</v>
      </c>
      <c r="T22" s="1">
        <f>[1]Results!W1383</f>
        <v>-4.9716794497477341</v>
      </c>
      <c r="U22" s="1">
        <f>[1]Results!X1383</f>
        <v>-5.5248145914177815</v>
      </c>
      <c r="V22" s="1">
        <f>[1]Results!Y1383</f>
        <v>-6.0530971833216434</v>
      </c>
      <c r="W22" s="1">
        <f>[1]Results!Z1383</f>
        <v>-6.5522007454590909</v>
      </c>
      <c r="X22" s="1">
        <f>[1]Results!AA1383</f>
        <v>-7.0020932400803311</v>
      </c>
      <c r="Y22" s="1">
        <f>[1]Results!AB1383</f>
        <v>-7.3927458368056476</v>
      </c>
      <c r="Z22" s="1">
        <f>[1]Results!AC1383</f>
        <v>-7.7251084930342273</v>
      </c>
      <c r="AA22" s="1">
        <f>[1]Results!AD1383</f>
        <v>-8.0029367658926542</v>
      </c>
      <c r="AB22" s="1">
        <f>[1]Results!AE1383</f>
        <v>-8.230828753463836</v>
      </c>
      <c r="AC22" s="1">
        <f>[1]Results!AF1383</f>
        <v>-8.3832079220265925</v>
      </c>
      <c r="AD22" s="1">
        <f>[1]Results!AG1383</f>
        <v>-8.4591431851992915</v>
      </c>
      <c r="AE22" s="1">
        <f>[1]Results!AH1383</f>
        <v>-8.4705661920155269</v>
      </c>
      <c r="AF22" s="1">
        <f>[1]Results!AI1383</f>
        <v>-8.4319596484708104</v>
      </c>
      <c r="AG22" s="1">
        <f>[1]Results!AJ1383</f>
        <v>-8.3565967658922542</v>
      </c>
      <c r="AH22" s="1">
        <f>[1]Results!AK1383</f>
        <v>-8.2464603453407115</v>
      </c>
      <c r="AI22" s="1">
        <f>[1]Results!AL1383</f>
        <v>-8.1036234417612434</v>
      </c>
      <c r="AJ22" s="1">
        <f>[1]Results!AM1383</f>
        <v>-7.9381318936121881</v>
      </c>
      <c r="AK22" s="1">
        <f>[1]Results!AN1383</f>
        <v>-7.7608959416660461</v>
      </c>
      <c r="AL22" s="1">
        <f>[1]Results!AO1383</f>
        <v>-7.5815829850952365</v>
      </c>
    </row>
    <row r="23" spans="1:38" x14ac:dyDescent="0.35">
      <c r="A23" s="3" t="str">
        <f>[1]Results!E1384</f>
        <v>100*(M_2/M_0-1)</v>
      </c>
      <c r="B23" t="s">
        <v>25</v>
      </c>
      <c r="C23" s="1">
        <f>[1]Results!F1384</f>
        <v>0</v>
      </c>
      <c r="D23" s="1">
        <f>[1]Results!G1384</f>
        <v>0</v>
      </c>
      <c r="E23" s="1">
        <f>[1]Results!H1384</f>
        <v>1.4633738665281726E-8</v>
      </c>
      <c r="F23" s="1">
        <f>[1]Results!I1384</f>
        <v>1.4268008996509707E-8</v>
      </c>
      <c r="G23" s="1">
        <f>[1]Results!J1384</f>
        <v>2.7790991730114456E-8</v>
      </c>
      <c r="H23" s="1">
        <f>[1]Results!K1384</f>
        <v>2.7043811634541726E-8</v>
      </c>
      <c r="I23" s="1">
        <f>[1]Results!L1384</f>
        <v>2.6295277066878953E-8</v>
      </c>
      <c r="J23" s="1">
        <f>[1]Results!M1384</f>
        <v>-0.42288616761929632</v>
      </c>
      <c r="K23" s="1">
        <f>[1]Results!N1384</f>
        <v>-0.90356676800104063</v>
      </c>
      <c r="L23" s="1">
        <f>[1]Results!O1384</f>
        <v>-0.92617659933725838</v>
      </c>
      <c r="M23" s="1">
        <f>[1]Results!P1384</f>
        <v>-0.8038264133880646</v>
      </c>
      <c r="N23" s="1">
        <f>[1]Results!Q1384</f>
        <v>-0.63256428773557083</v>
      </c>
      <c r="O23" s="1">
        <f>[1]Results!R1384</f>
        <v>-0.40141399499370456</v>
      </c>
      <c r="P23" s="1">
        <f>[1]Results!S1384</f>
        <v>-0.1236884926696713</v>
      </c>
      <c r="Q23" s="1">
        <f>[1]Results!T1384</f>
        <v>0.19724570076697923</v>
      </c>
      <c r="R23" s="1">
        <f>[1]Results!U1384</f>
        <v>0.53982299103021436</v>
      </c>
      <c r="S23" s="1">
        <f>[1]Results!V1384</f>
        <v>0.83090554886953161</v>
      </c>
      <c r="T23" s="1">
        <f>[1]Results!W1384</f>
        <v>1.0647885877618446</v>
      </c>
      <c r="U23" s="1">
        <f>[1]Results!X1384</f>
        <v>1.2467356330360335</v>
      </c>
      <c r="V23" s="1">
        <f>[1]Results!Y1384</f>
        <v>1.3803755191909461</v>
      </c>
      <c r="W23" s="1">
        <f>[1]Results!Z1384</f>
        <v>1.4840838702159909</v>
      </c>
      <c r="X23" s="1">
        <f>[1]Results!AA1384</f>
        <v>1.5539780488486254</v>
      </c>
      <c r="Y23" s="1">
        <f>[1]Results!AB1384</f>
        <v>1.5913958905219516</v>
      </c>
      <c r="Z23" s="1">
        <f>[1]Results!AC1384</f>
        <v>1.6009139355520619</v>
      </c>
      <c r="AA23" s="1">
        <f>[1]Results!AD1384</f>
        <v>1.5886578056325762</v>
      </c>
      <c r="AB23" s="1">
        <f>[1]Results!AE1384</f>
        <v>1.5583177787759084</v>
      </c>
      <c r="AC23" s="1">
        <f>[1]Results!AF1384</f>
        <v>1.4974919752177573</v>
      </c>
      <c r="AD23" s="1">
        <f>[1]Results!AG1384</f>
        <v>1.3989039527491309</v>
      </c>
      <c r="AE23" s="1">
        <f>[1]Results!AH1384</f>
        <v>1.2727529921415792</v>
      </c>
      <c r="AF23" s="1">
        <f>[1]Results!AI1384</f>
        <v>1.1316643035793605</v>
      </c>
      <c r="AG23" s="1">
        <f>[1]Results!AJ1384</f>
        <v>0.98563645404139422</v>
      </c>
      <c r="AH23" s="1">
        <f>[1]Results!AK1384</f>
        <v>0.83370893012026936</v>
      </c>
      <c r="AI23" s="1">
        <f>[1]Results!AL1384</f>
        <v>0.67910659881829094</v>
      </c>
      <c r="AJ23" s="1">
        <f>[1]Results!AM1384</f>
        <v>0.52825756004415414</v>
      </c>
      <c r="AK23" s="1">
        <f>[1]Results!AN1384</f>
        <v>0.38760255228855733</v>
      </c>
      <c r="AL23" s="1">
        <f>[1]Results!AO1384</f>
        <v>0.26226191867542159</v>
      </c>
    </row>
    <row r="24" spans="1:38" x14ac:dyDescent="0.35">
      <c r="A24" s="3" t="str">
        <f>[1]Results!E1385</f>
        <v>100*((CH_2-CH_ccon_2)/(CH_0-CH_ccon_0)-1)</v>
      </c>
      <c r="B24" t="str">
        <f>[1]Results!C1385</f>
        <v>Consommation des ménages</v>
      </c>
      <c r="C24" s="1">
        <f>[1]Results!F1385</f>
        <v>0</v>
      </c>
      <c r="D24" s="1">
        <f>[1]Results!G1385</f>
        <v>8.2145801272304197E-8</v>
      </c>
      <c r="E24" s="1">
        <f>[1]Results!H1385</f>
        <v>0</v>
      </c>
      <c r="F24" s="1">
        <f>[1]Results!I1385</f>
        <v>7.8772677269967062E-8</v>
      </c>
      <c r="G24" s="1">
        <f>[1]Results!J1385</f>
        <v>0</v>
      </c>
      <c r="H24" s="1">
        <f>[1]Results!K1385</f>
        <v>7.5142314592824277E-8</v>
      </c>
      <c r="I24" s="1">
        <f>[1]Results!L1385</f>
        <v>7.3340400419397156E-8</v>
      </c>
      <c r="J24" s="1">
        <f>[1]Results!M1385</f>
        <v>-4.8992952857962457E-2</v>
      </c>
      <c r="K24" s="1">
        <f>[1]Results!N1385</f>
        <v>-9.1885002089886481E-2</v>
      </c>
      <c r="L24" s="1">
        <f>[1]Results!O1385</f>
        <v>9.510018666500919E-2</v>
      </c>
      <c r="M24" s="1">
        <f>[1]Results!P1385</f>
        <v>0.61375959727774099</v>
      </c>
      <c r="N24" s="1">
        <f>[1]Results!Q1385</f>
        <v>1.0653220595332691</v>
      </c>
      <c r="O24" s="1">
        <f>[1]Results!R1385</f>
        <v>1.624407764376179</v>
      </c>
      <c r="P24" s="1">
        <f>[1]Results!S1385</f>
        <v>2.2535969013302903</v>
      </c>
      <c r="Q24" s="1">
        <f>[1]Results!T1385</f>
        <v>2.8914357441446104</v>
      </c>
      <c r="R24" s="1">
        <f>[1]Results!U1385</f>
        <v>3.4968696390974996</v>
      </c>
      <c r="S24" s="1">
        <f>[1]Results!V1385</f>
        <v>4.0452407411243119</v>
      </c>
      <c r="T24" s="1">
        <f>[1]Results!W1385</f>
        <v>4.5065384071045544</v>
      </c>
      <c r="U24" s="1">
        <f>[1]Results!X1385</f>
        <v>4.8905330251811874</v>
      </c>
      <c r="V24" s="1">
        <f>[1]Results!Y1385</f>
        <v>5.2084367915729235</v>
      </c>
      <c r="W24" s="1">
        <f>[1]Results!Z1385</f>
        <v>5.4781440390537117</v>
      </c>
      <c r="X24" s="1">
        <f>[1]Results!AA1385</f>
        <v>5.6653915674370392</v>
      </c>
      <c r="Y24" s="1">
        <f>[1]Results!AB1385</f>
        <v>5.7913793672378588</v>
      </c>
      <c r="Z24" s="1">
        <f>[1]Results!AC1385</f>
        <v>5.8673502728551208</v>
      </c>
      <c r="AA24" s="1">
        <f>[1]Results!AD1385</f>
        <v>5.9033822430761607</v>
      </c>
      <c r="AB24" s="1">
        <f>[1]Results!AE1385</f>
        <v>5.9105441725112229</v>
      </c>
      <c r="AC24" s="1">
        <f>[1]Results!AF1385</f>
        <v>5.8362296786747425</v>
      </c>
      <c r="AD24" s="1">
        <f>[1]Results!AG1385</f>
        <v>5.6911419702520227</v>
      </c>
      <c r="AE24" s="1">
        <f>[1]Results!AH1385</f>
        <v>5.4993073877090737</v>
      </c>
      <c r="AF24" s="1">
        <f>[1]Results!AI1385</f>
        <v>5.2822381312625621</v>
      </c>
      <c r="AG24" s="1">
        <f>[1]Results!AJ1385</f>
        <v>5.0556376869610231</v>
      </c>
      <c r="AH24" s="1">
        <f>[1]Results!AK1385</f>
        <v>4.8089985183282113</v>
      </c>
      <c r="AI24" s="1">
        <f>[1]Results!AL1385</f>
        <v>4.5553672733785078</v>
      </c>
      <c r="AJ24" s="1">
        <f>[1]Results!AM1385</f>
        <v>4.3079098173790298</v>
      </c>
      <c r="AK24" s="1">
        <f>[1]Results!AN1385</f>
        <v>4.0791127029591756</v>
      </c>
      <c r="AL24" s="1">
        <f>[1]Results!AO1385</f>
        <v>3.8790664701952249</v>
      </c>
    </row>
    <row r="25" spans="1:38" x14ac:dyDescent="0.35">
      <c r="A25" s="3" t="str">
        <f>[1]Results!E1386</f>
        <v>100*((I_2+CH_ccon_2)/(I_0+CH_ccon_0)-1)</v>
      </c>
      <c r="B25" t="str">
        <f>[1]Results!C1386</f>
        <v>Investissement</v>
      </c>
      <c r="C25" s="1">
        <f>[1]Results!F1386</f>
        <v>0</v>
      </c>
      <c r="D25" s="1">
        <f>[1]Results!G1386</f>
        <v>2.0049517601705702E-9</v>
      </c>
      <c r="E25" s="1">
        <f>[1]Results!H1386</f>
        <v>0</v>
      </c>
      <c r="F25" s="1">
        <f>[1]Results!I1386</f>
        <v>1.922195735915011E-9</v>
      </c>
      <c r="G25" s="1">
        <f>[1]Results!J1386</f>
        <v>0</v>
      </c>
      <c r="H25" s="1">
        <f>[1]Results!K1386</f>
        <v>1.829958407029153E-9</v>
      </c>
      <c r="I25" s="1">
        <f>[1]Results!L1386</f>
        <v>1.7819079545233762E-9</v>
      </c>
      <c r="J25" s="1">
        <f>[1]Results!M1386</f>
        <v>-0.2477917713858524</v>
      </c>
      <c r="K25" s="1">
        <f>[1]Results!N1386</f>
        <v>-0.62664197024648871</v>
      </c>
      <c r="L25" s="1">
        <f>[1]Results!O1386</f>
        <v>-0.82743224740650101</v>
      </c>
      <c r="M25" s="1">
        <f>[1]Results!P1386</f>
        <v>-0.95201639118199788</v>
      </c>
      <c r="N25" s="1">
        <f>[1]Results!Q1386</f>
        <v>-1.0548024250304766</v>
      </c>
      <c r="O25" s="1">
        <f>[1]Results!R1386</f>
        <v>-1.1256614835731482</v>
      </c>
      <c r="P25" s="1">
        <f>[1]Results!S1386</f>
        <v>-1.1491802540825269</v>
      </c>
      <c r="Q25" s="1">
        <f>[1]Results!T1386</f>
        <v>-1.1160040628370616</v>
      </c>
      <c r="R25" s="1">
        <f>[1]Results!U1386</f>
        <v>-1.0354043216941666</v>
      </c>
      <c r="S25" s="1">
        <f>[1]Results!V1386</f>
        <v>-0.95426697487553946</v>
      </c>
      <c r="T25" s="1">
        <f>[1]Results!W1386</f>
        <v>-0.89025570069480864</v>
      </c>
      <c r="U25" s="1">
        <f>[1]Results!X1386</f>
        <v>-0.84430009105680437</v>
      </c>
      <c r="V25" s="1">
        <f>[1]Results!Y1386</f>
        <v>-0.80690176304210048</v>
      </c>
      <c r="W25" s="1">
        <f>[1]Results!Z1386</f>
        <v>-0.76811897708384258</v>
      </c>
      <c r="X25" s="1">
        <f>[1]Results!AA1386</f>
        <v>-0.71686931515306807</v>
      </c>
      <c r="Y25" s="1">
        <f>[1]Results!AB1386</f>
        <v>-0.64542349678684552</v>
      </c>
      <c r="Z25" s="1">
        <f>[1]Results!AC1386</f>
        <v>-0.54858042833976217</v>
      </c>
      <c r="AA25" s="1">
        <f>[1]Results!AD1386</f>
        <v>-0.42366083985507785</v>
      </c>
      <c r="AB25" s="1">
        <f>[1]Results!AE1386</f>
        <v>-0.27097243849508734</v>
      </c>
      <c r="AC25" s="1">
        <f>[1]Results!AF1386</f>
        <v>-9.4280876958019455E-2</v>
      </c>
      <c r="AD25" s="1">
        <f>[1]Results!AG1386</f>
        <v>9.4746329600736701E-2</v>
      </c>
      <c r="AE25" s="1">
        <f>[1]Results!AH1386</f>
        <v>0.29095746221998731</v>
      </c>
      <c r="AF25" s="1">
        <f>[1]Results!AI1386</f>
        <v>0.49142866970672827</v>
      </c>
      <c r="AG25" s="1">
        <f>[1]Results!AJ1386</f>
        <v>0.69369271204220428</v>
      </c>
      <c r="AH25" s="1">
        <f>[1]Results!AK1386</f>
        <v>0.89321458456177449</v>
      </c>
      <c r="AI25" s="1">
        <f>[1]Results!AL1386</f>
        <v>1.0856839503946336</v>
      </c>
      <c r="AJ25" s="1">
        <f>[1]Results!AM1386</f>
        <v>1.2687738614007626</v>
      </c>
      <c r="AK25" s="1">
        <f>[1]Results!AN1386</f>
        <v>1.441238750630025</v>
      </c>
      <c r="AL25" s="1">
        <f>[1]Results!AO1386</f>
        <v>1.6025384461717529</v>
      </c>
    </row>
    <row r="26" spans="1:38" x14ac:dyDescent="0.35">
      <c r="A26" s="3" t="str">
        <f>[1]Results!E1387</f>
        <v>100*((CH_ccon_2)/(CH_ccon_0)-1)</v>
      </c>
      <c r="B26" t="str">
        <f>[1]Results!C1387</f>
        <v>Investissement ménages</v>
      </c>
      <c r="C26" s="1">
        <f>[1]Results!F1387</f>
        <v>0</v>
      </c>
      <c r="D26" s="1">
        <f>[1]Results!G1387</f>
        <v>5.5041349256157446E-8</v>
      </c>
      <c r="E26" s="1">
        <f>[1]Results!H1387</f>
        <v>0</v>
      </c>
      <c r="F26" s="1">
        <f>[1]Results!I1387</f>
        <v>5.304645611658998E-8</v>
      </c>
      <c r="G26" s="1">
        <f>[1]Results!J1387</f>
        <v>0</v>
      </c>
      <c r="H26" s="1">
        <f>[1]Results!K1387</f>
        <v>5.0732418266363766E-8</v>
      </c>
      <c r="I26" s="1">
        <f>[1]Results!L1387</f>
        <v>4.9538484425681872E-8</v>
      </c>
      <c r="J26" s="1">
        <f>[1]Results!M1387</f>
        <v>-0.13051082596791108</v>
      </c>
      <c r="K26" s="1">
        <f>[1]Results!N1387</f>
        <v>-0.37993145142317664</v>
      </c>
      <c r="L26" s="1">
        <f>[1]Results!O1387</f>
        <v>-0.52752326071935363</v>
      </c>
      <c r="M26" s="1">
        <f>[1]Results!P1387</f>
        <v>-0.46277519796956712</v>
      </c>
      <c r="N26" s="1">
        <f>[1]Results!Q1387</f>
        <v>-0.42820569635254602</v>
      </c>
      <c r="O26" s="1">
        <f>[1]Results!R1387</f>
        <v>-0.11169890165765306</v>
      </c>
      <c r="P26" s="1">
        <f>[1]Results!S1387</f>
        <v>0.45635156618668571</v>
      </c>
      <c r="Q26" s="1">
        <f>[1]Results!T1387</f>
        <v>1.1578469175010486</v>
      </c>
      <c r="R26" s="1">
        <f>[1]Results!U1387</f>
        <v>1.888716721009831</v>
      </c>
      <c r="S26" s="1">
        <f>[1]Results!V1387</f>
        <v>2.5725284177989138</v>
      </c>
      <c r="T26" s="1">
        <f>[1]Results!W1387</f>
        <v>3.1418879913425402</v>
      </c>
      <c r="U26" s="1">
        <f>[1]Results!X1387</f>
        <v>3.5983768589660903</v>
      </c>
      <c r="V26" s="1">
        <f>[1]Results!Y1387</f>
        <v>3.9656601146240478</v>
      </c>
      <c r="W26" s="1">
        <f>[1]Results!Z1387</f>
        <v>4.2841009258713481</v>
      </c>
      <c r="X26" s="1">
        <f>[1]Results!AA1387</f>
        <v>4.5410870210826682</v>
      </c>
      <c r="Y26" s="1">
        <f>[1]Results!AB1387</f>
        <v>4.7677634423998416</v>
      </c>
      <c r="Z26" s="1">
        <f>[1]Results!AC1387</f>
        <v>4.9677763425771904</v>
      </c>
      <c r="AA26" s="1">
        <f>[1]Results!AD1387</f>
        <v>5.1392771591131758</v>
      </c>
      <c r="AB26" s="1">
        <f>[1]Results!AE1387</f>
        <v>5.2824644320262459</v>
      </c>
      <c r="AC26" s="1">
        <f>[1]Results!AF1387</f>
        <v>5.3400714131510707</v>
      </c>
      <c r="AD26" s="1">
        <f>[1]Results!AG1387</f>
        <v>5.3097406877953945</v>
      </c>
      <c r="AE26" s="1">
        <f>[1]Results!AH1387</f>
        <v>5.2022034967672104</v>
      </c>
      <c r="AF26" s="1">
        <f>[1]Results!AI1387</f>
        <v>5.0341684273616849</v>
      </c>
      <c r="AG26" s="1">
        <f>[1]Results!AJ1387</f>
        <v>4.8227779759062672</v>
      </c>
      <c r="AH26" s="1">
        <f>[1]Results!AK1387</f>
        <v>4.5657457563814452</v>
      </c>
      <c r="AI26" s="1">
        <f>[1]Results!AL1387</f>
        <v>4.2801611005618634</v>
      </c>
      <c r="AJ26" s="1">
        <f>[1]Results!AM1387</f>
        <v>3.9814434105060803</v>
      </c>
      <c r="AK26" s="1">
        <f>[1]Results!AN1387</f>
        <v>3.6863854776400196</v>
      </c>
      <c r="AL26" s="1">
        <f>[1]Results!AO1387</f>
        <v>3.4109258878844972</v>
      </c>
    </row>
    <row r="27" spans="1:38" x14ac:dyDescent="0.35">
      <c r="A27" s="3" t="str">
        <f>[1]Results!E1388</f>
        <v>100*((IA_spub_2)/(IA_spub_0)-1)</v>
      </c>
      <c r="B27" t="str">
        <f>[1]Results!C1388</f>
        <v>Investissement public</v>
      </c>
      <c r="C27" s="1">
        <f>[1]Results!F1388</f>
        <v>0</v>
      </c>
      <c r="D27" s="1">
        <f>[1]Results!G1388</f>
        <v>0</v>
      </c>
      <c r="E27" s="1">
        <f>[1]Results!H1388</f>
        <v>0</v>
      </c>
      <c r="F27" s="1">
        <f>[1]Results!I1388</f>
        <v>2.434334955836448E-8</v>
      </c>
      <c r="G27" s="1">
        <f>[1]Results!J1388</f>
        <v>2.3992496878122438E-8</v>
      </c>
      <c r="H27" s="1">
        <f>[1]Results!K1388</f>
        <v>2.3634516566062302E-8</v>
      </c>
      <c r="I27" s="1">
        <f>[1]Results!L1388</f>
        <v>0</v>
      </c>
      <c r="J27" s="1">
        <f>[1]Results!M1388</f>
        <v>-0.14912904589019504</v>
      </c>
      <c r="K27" s="1">
        <f>[1]Results!N1388</f>
        <v>-0.39829007446269271</v>
      </c>
      <c r="L27" s="1">
        <f>[1]Results!O1388</f>
        <v>-0.67939928934105387</v>
      </c>
      <c r="M27" s="1">
        <f>[1]Results!P1388</f>
        <v>-0.99800901030309142</v>
      </c>
      <c r="N27" s="1">
        <f>[1]Results!Q1388</f>
        <v>-1.2146213665080174</v>
      </c>
      <c r="O27" s="1">
        <f>[1]Results!R1388</f>
        <v>-1.32652717808589</v>
      </c>
      <c r="P27" s="1">
        <f>[1]Results!S1388</f>
        <v>-1.3478454612342983</v>
      </c>
      <c r="Q27" s="1">
        <f>[1]Results!T1388</f>
        <v>-1.2990366717927304</v>
      </c>
      <c r="R27" s="1">
        <f>[1]Results!U1388</f>
        <v>-1.2002435417316382</v>
      </c>
      <c r="S27" s="1">
        <f>[1]Results!V1388</f>
        <v>-1.0877000011151883</v>
      </c>
      <c r="T27" s="1">
        <f>[1]Results!W1388</f>
        <v>-0.97739280767901171</v>
      </c>
      <c r="U27" s="1">
        <f>[1]Results!X1388</f>
        <v>-0.86760766286214652</v>
      </c>
      <c r="V27" s="1">
        <f>[1]Results!Y1388</f>
        <v>-0.74746412330763956</v>
      </c>
      <c r="W27" s="1">
        <f>[1]Results!Z1388</f>
        <v>-0.61224481613265658</v>
      </c>
      <c r="X27" s="1">
        <f>[1]Results!AA1388</f>
        <v>-0.44753946015348989</v>
      </c>
      <c r="Y27" s="1">
        <f>[1]Results!AB1388</f>
        <v>-0.25715060018939306</v>
      </c>
      <c r="Z27" s="1">
        <f>[1]Results!AC1388</f>
        <v>-4.3591822369970501E-2</v>
      </c>
      <c r="AA27" s="1">
        <f>[1]Results!AD1388</f>
        <v>0.19010485327410898</v>
      </c>
      <c r="AB27" s="1">
        <f>[1]Results!AE1388</f>
        <v>0.43961434601293981</v>
      </c>
      <c r="AC27" s="1">
        <f>[1]Results!AF1388</f>
        <v>0.69855983188749082</v>
      </c>
      <c r="AD27" s="1">
        <f>[1]Results!AG1388</f>
        <v>0.94801493526639469</v>
      </c>
      <c r="AE27" s="1">
        <f>[1]Results!AH1388</f>
        <v>1.1809630747781963</v>
      </c>
      <c r="AF27" s="1">
        <f>[1]Results!AI1388</f>
        <v>1.394466431719521</v>
      </c>
      <c r="AG27" s="1">
        <f>[1]Results!AJ1388</f>
        <v>1.5870711872078447</v>
      </c>
      <c r="AH27" s="1">
        <f>[1]Results!AK1388</f>
        <v>1.7580203621491153</v>
      </c>
      <c r="AI27" s="1">
        <f>[1]Results!AL1388</f>
        <v>1.9017544382601281</v>
      </c>
      <c r="AJ27" s="1">
        <f>[1]Results!AM1388</f>
        <v>2.0178903068263754</v>
      </c>
      <c r="AK27" s="1">
        <f>[1]Results!AN1388</f>
        <v>2.1085291854202159</v>
      </c>
      <c r="AL27" s="1">
        <f>[1]Results!AO1388</f>
        <v>2.176895675190349</v>
      </c>
    </row>
    <row r="28" spans="1:38" x14ac:dyDescent="0.35">
      <c r="A28" s="3" t="str">
        <f>[1]Results!E1389</f>
        <v>100*(DISPINC_AT_VAL_2/DISPINC_AT_VAL_0-1)</v>
      </c>
      <c r="B28" t="str">
        <f>[1]Results!C1389</f>
        <v>Revenu disponible des ménages</v>
      </c>
      <c r="C28" s="1">
        <f>[1]Results!F1389</f>
        <v>0</v>
      </c>
      <c r="D28" s="1">
        <f>[1]Results!G1389</f>
        <v>7.0677441676991748E-8</v>
      </c>
      <c r="E28" s="1">
        <f>[1]Results!H1389</f>
        <v>1.3566630041594863E-7</v>
      </c>
      <c r="F28" s="1">
        <f>[1]Results!I1389</f>
        <v>1.2970320373284494E-7</v>
      </c>
      <c r="G28" s="1">
        <f>[1]Results!J1389</f>
        <v>1.863338372487533E-7</v>
      </c>
      <c r="H28" s="1">
        <f>[1]Results!K1389</f>
        <v>1.7828407639086663E-7</v>
      </c>
      <c r="I28" s="1">
        <f>[1]Results!L1389</f>
        <v>1.7053403134070777E-7</v>
      </c>
      <c r="J28" s="1">
        <f>[1]Results!M1389</f>
        <v>0.46213047746881397</v>
      </c>
      <c r="K28" s="1">
        <f>[1]Results!N1389</f>
        <v>1.2870225597394036</v>
      </c>
      <c r="L28" s="1">
        <f>[1]Results!O1389</f>
        <v>2.9266339352680859</v>
      </c>
      <c r="M28" s="1">
        <f>[1]Results!P1389</f>
        <v>5.549010768912277</v>
      </c>
      <c r="N28" s="1">
        <f>[1]Results!Q1389</f>
        <v>7.4241663672523162</v>
      </c>
      <c r="O28" s="1">
        <f>[1]Results!R1389</f>
        <v>9.4189938638977502</v>
      </c>
      <c r="P28" s="1">
        <f>[1]Results!S1389</f>
        <v>11.387332986497878</v>
      </c>
      <c r="Q28" s="1">
        <f>[1]Results!T1389</f>
        <v>13.273064362586284</v>
      </c>
      <c r="R28" s="1">
        <f>[1]Results!U1389</f>
        <v>15.052414012868653</v>
      </c>
      <c r="S28" s="1">
        <f>[1]Results!V1389</f>
        <v>16.787759989483497</v>
      </c>
      <c r="T28" s="1">
        <f>[1]Results!W1389</f>
        <v>18.425359582712851</v>
      </c>
      <c r="U28" s="1">
        <f>[1]Results!X1389</f>
        <v>19.956879569135854</v>
      </c>
      <c r="V28" s="1">
        <f>[1]Results!Y1389</f>
        <v>21.339190336546189</v>
      </c>
      <c r="W28" s="1">
        <f>[1]Results!Z1389</f>
        <v>22.590193291041949</v>
      </c>
      <c r="X28" s="1">
        <f>[1]Results!AA1389</f>
        <v>23.534703838531911</v>
      </c>
      <c r="Y28" s="1">
        <f>[1]Results!AB1389</f>
        <v>24.2780023242249</v>
      </c>
      <c r="Z28" s="1">
        <f>[1]Results!AC1389</f>
        <v>24.817167414339146</v>
      </c>
      <c r="AA28" s="1">
        <f>[1]Results!AD1389</f>
        <v>25.160851946906316</v>
      </c>
      <c r="AB28" s="1">
        <f>[1]Results!AE1389</f>
        <v>25.327337259936165</v>
      </c>
      <c r="AC28" s="1">
        <f>[1]Results!AF1389</f>
        <v>25.198333392200233</v>
      </c>
      <c r="AD28" s="1">
        <f>[1]Results!AG1389</f>
        <v>24.908413450570045</v>
      </c>
      <c r="AE28" s="1">
        <f>[1]Results!AH1389</f>
        <v>24.502663721296901</v>
      </c>
      <c r="AF28" s="1">
        <f>[1]Results!AI1389</f>
        <v>24.019360396937174</v>
      </c>
      <c r="AG28" s="1">
        <f>[1]Results!AJ1389</f>
        <v>23.49061748460224</v>
      </c>
      <c r="AH28" s="1">
        <f>[1]Results!AK1389</f>
        <v>22.891240808361381</v>
      </c>
      <c r="AI28" s="1">
        <f>[1]Results!AL1389</f>
        <v>22.297711272757127</v>
      </c>
      <c r="AJ28" s="1">
        <f>[1]Results!AM1389</f>
        <v>21.737624399299271</v>
      </c>
      <c r="AK28" s="1">
        <f>[1]Results!AN1389</f>
        <v>21.234946479953255</v>
      </c>
      <c r="AL28" s="1">
        <f>[1]Results!AO1389</f>
        <v>20.807939202185821</v>
      </c>
    </row>
    <row r="29" spans="1:38" x14ac:dyDescent="0.35">
      <c r="A29" s="3" t="str">
        <f>[1]Results!E1390</f>
        <v>100*(DISPINC_AT_VAL_2/DISPINC_AT_VAL_0-1)-100*(PCH_2/PCH_0-1)</v>
      </c>
      <c r="B29" t="str">
        <f>[1]Results!C1390</f>
        <v>Revenu disponible réel des ménages</v>
      </c>
      <c r="C29" s="1">
        <f>[1]Results!F1390</f>
        <v>0</v>
      </c>
      <c r="D29" s="1">
        <f>[1]Results!G1390</f>
        <v>-2.7068836061516777E-8</v>
      </c>
      <c r="E29" s="1">
        <f>[1]Results!H1390</f>
        <v>3.9908920612674592E-8</v>
      </c>
      <c r="F29" s="1">
        <f>[1]Results!I1390</f>
        <v>3.6043523721218662E-8</v>
      </c>
      <c r="G29" s="1">
        <f>[1]Results!J1390</f>
        <v>9.4585228538335286E-8</v>
      </c>
      <c r="H29" s="1">
        <f>[1]Results!K1390</f>
        <v>-1.4778844814600234E-9</v>
      </c>
      <c r="I29" s="1">
        <f>[1]Results!L1390</f>
        <v>-5.5396798259721436E-9</v>
      </c>
      <c r="J29" s="1">
        <f>[1]Results!M1390</f>
        <v>-7.3623153195079283E-2</v>
      </c>
      <c r="K29" s="1">
        <f>[1]Results!N1390</f>
        <v>-0.11290874648883786</v>
      </c>
      <c r="L29" s="1">
        <f>[1]Results!O1390</f>
        <v>0.1843010224109376</v>
      </c>
      <c r="M29" s="1">
        <f>[1]Results!P1390</f>
        <v>0.85584961451996566</v>
      </c>
      <c r="N29" s="1">
        <f>[1]Results!Q1390</f>
        <v>1.2465798173446174</v>
      </c>
      <c r="O29" s="1">
        <f>[1]Results!R1390</f>
        <v>1.8789603971305571</v>
      </c>
      <c r="P29" s="1">
        <f>[1]Results!S1390</f>
        <v>2.5800554120531736</v>
      </c>
      <c r="Q29" s="1">
        <f>[1]Results!T1390</f>
        <v>3.2751615658598077</v>
      </c>
      <c r="R29" s="1">
        <f>[1]Results!U1390</f>
        <v>3.9344371217200127</v>
      </c>
      <c r="S29" s="1">
        <f>[1]Results!V1390</f>
        <v>4.5425773682310489</v>
      </c>
      <c r="T29" s="1">
        <f>[1]Results!W1390</f>
        <v>5.0588909222661655</v>
      </c>
      <c r="U29" s="1">
        <f>[1]Results!X1390</f>
        <v>5.5119572986478182</v>
      </c>
      <c r="V29" s="1">
        <f>[1]Results!Y1390</f>
        <v>5.9063999349906258</v>
      </c>
      <c r="W29" s="1">
        <f>[1]Results!Z1390</f>
        <v>6.2616248273227981</v>
      </c>
      <c r="X29" s="1">
        <f>[1]Results!AA1390</f>
        <v>6.4976682959622565</v>
      </c>
      <c r="Y29" s="1">
        <f>[1]Results!AB1390</f>
        <v>6.6748859781434291</v>
      </c>
      <c r="Z29" s="1">
        <f>[1]Results!AC1390</f>
        <v>6.7938808091226619</v>
      </c>
      <c r="AA29" s="1">
        <f>[1]Results!AD1390</f>
        <v>6.862678181809212</v>
      </c>
      <c r="AB29" s="1">
        <f>[1]Results!AE1390</f>
        <v>6.8934875825234592</v>
      </c>
      <c r="AC29" s="1">
        <f>[1]Results!AF1390</f>
        <v>6.7865805844408378</v>
      </c>
      <c r="AD29" s="1">
        <f>[1]Results!AG1390</f>
        <v>6.6024089087597631</v>
      </c>
      <c r="AE29" s="1">
        <f>[1]Results!AH1390</f>
        <v>6.3738819063340983</v>
      </c>
      <c r="AF29" s="1">
        <f>[1]Results!AI1390</f>
        <v>6.1224696964345284</v>
      </c>
      <c r="AG29" s="1">
        <f>[1]Results!AJ1390</f>
        <v>5.8625741608503432</v>
      </c>
      <c r="AH29" s="1">
        <f>[1]Results!AK1390</f>
        <v>5.5673278542657272</v>
      </c>
      <c r="AI29" s="1">
        <f>[1]Results!AL1390</f>
        <v>5.2702364742700532</v>
      </c>
      <c r="AJ29" s="1">
        <f>[1]Results!AM1390</f>
        <v>4.9858473637515814</v>
      </c>
      <c r="AK29" s="1">
        <f>[1]Results!AN1390</f>
        <v>4.7276921895903712</v>
      </c>
      <c r="AL29" s="1">
        <f>[1]Results!AO1390</f>
        <v>4.5057521425128968</v>
      </c>
    </row>
    <row r="30" spans="1:38" x14ac:dyDescent="0.35">
      <c r="A30" s="3" t="str">
        <f>[1]Results!E1391</f>
        <v>100*(DISPINC_AT_VAL_2/DISPINC_AT_VAL_0-1)-100*((F_L_2/F_L_0)-1)</v>
      </c>
      <c r="B30" t="str">
        <f>[1]Results!C1391</f>
        <v>Revenu disponible par emploi en valeur</v>
      </c>
      <c r="C30" s="1">
        <f>[1]Results!F1391</f>
        <v>0</v>
      </c>
      <c r="D30" s="1">
        <f>[1]Results!G1391</f>
        <v>7.0677441676991748E-8</v>
      </c>
      <c r="E30" s="1">
        <f>[1]Results!H1391</f>
        <v>1.3566630041594863E-7</v>
      </c>
      <c r="F30" s="1">
        <f>[1]Results!I1391</f>
        <v>1.2970320373284494E-7</v>
      </c>
      <c r="G30" s="1">
        <f>[1]Results!J1391</f>
        <v>1.863338372487533E-7</v>
      </c>
      <c r="H30" s="1">
        <f>[1]Results!K1391</f>
        <v>1.7828407639086663E-7</v>
      </c>
      <c r="I30" s="1">
        <f>[1]Results!L1391</f>
        <v>1.7053403134070777E-7</v>
      </c>
      <c r="J30" s="1">
        <f>[1]Results!M1391</f>
        <v>0.56800100938694253</v>
      </c>
      <c r="K30" s="1">
        <f>[1]Results!N1391</f>
        <v>1.5329771216790578</v>
      </c>
      <c r="L30" s="1">
        <f>[1]Results!O1391</f>
        <v>3.0998688214445957</v>
      </c>
      <c r="M30" s="1">
        <f>[1]Results!P1391</f>
        <v>5.4704303732579618</v>
      </c>
      <c r="N30" s="1">
        <f>[1]Results!Q1391</f>
        <v>7.1142090660004875</v>
      </c>
      <c r="O30" s="1">
        <f>[1]Results!R1391</f>
        <v>8.9562775456302859</v>
      </c>
      <c r="P30" s="1">
        <f>[1]Results!S1391</f>
        <v>10.844745376175924</v>
      </c>
      <c r="Q30" s="1">
        <f>[1]Results!T1391</f>
        <v>12.697344415392852</v>
      </c>
      <c r="R30" s="1">
        <f>[1]Results!U1391</f>
        <v>14.473544211028976</v>
      </c>
      <c r="S30" s="1">
        <f>[1]Results!V1391</f>
        <v>16.2375817041146</v>
      </c>
      <c r="T30" s="1">
        <f>[1]Results!W1391</f>
        <v>17.935133511390177</v>
      </c>
      <c r="U30" s="1">
        <f>[1]Results!X1391</f>
        <v>19.555819915202832</v>
      </c>
      <c r="V30" s="1">
        <f>[1]Results!Y1391</f>
        <v>21.052581363954204</v>
      </c>
      <c r="W30" s="1">
        <f>[1]Results!Z1391</f>
        <v>22.437108324045063</v>
      </c>
      <c r="X30" s="1">
        <f>[1]Results!AA1391</f>
        <v>23.537815354509039</v>
      </c>
      <c r="Y30" s="1">
        <f>[1]Results!AB1391</f>
        <v>24.450869128102102</v>
      </c>
      <c r="Z30" s="1">
        <f>[1]Results!AC1391</f>
        <v>25.162846457064468</v>
      </c>
      <c r="AA30" s="1">
        <f>[1]Results!AD1391</f>
        <v>25.673333308237957</v>
      </c>
      <c r="AB30" s="1">
        <f>[1]Results!AE1391</f>
        <v>25.993990554456456</v>
      </c>
      <c r="AC30" s="1">
        <f>[1]Results!AF1391</f>
        <v>26.010105617036814</v>
      </c>
      <c r="AD30" s="1">
        <f>[1]Results!AG1391</f>
        <v>25.851021870923208</v>
      </c>
      <c r="AE30" s="1">
        <f>[1]Results!AH1391</f>
        <v>25.555298047535366</v>
      </c>
      <c r="AF30" s="1">
        <f>[1]Results!AI1391</f>
        <v>25.155798225041792</v>
      </c>
      <c r="AG30" s="1">
        <f>[1]Results!AJ1391</f>
        <v>24.681500417150417</v>
      </c>
      <c r="AH30" s="1">
        <f>[1]Results!AK1391</f>
        <v>24.110144820016302</v>
      </c>
      <c r="AI30" s="1">
        <f>[1]Results!AL1391</f>
        <v>23.517606848293127</v>
      </c>
      <c r="AJ30" s="1">
        <f>[1]Results!AM1391</f>
        <v>22.931806752505523</v>
      </c>
      <c r="AK30" s="1">
        <f>[1]Results!AN1391</f>
        <v>22.37858336621591</v>
      </c>
      <c r="AL30" s="1">
        <f>[1]Results!AO1391</f>
        <v>21.879216450737427</v>
      </c>
    </row>
    <row r="31" spans="1:38" x14ac:dyDescent="0.35">
      <c r="A31" s="3" t="str">
        <f>[1]Results!E1392</f>
        <v>100*(DISPINC_AT_VAL_2/DISPINC_AT_VAL_0-1)-100*((F_L_2/F_L_0)-1)-100*(PCH_2/PCH_0-1)</v>
      </c>
      <c r="B31" t="str">
        <f>[1]Results!C1392</f>
        <v>Revenu disponible réel par emploi</v>
      </c>
      <c r="C31" s="1">
        <f>[1]Results!F1392</f>
        <v>0</v>
      </c>
      <c r="D31" s="1">
        <f>[1]Results!G1392</f>
        <v>-2.7068836061516777E-8</v>
      </c>
      <c r="E31" s="1">
        <f>[1]Results!H1392</f>
        <v>3.9908920612674592E-8</v>
      </c>
      <c r="F31" s="1">
        <f>[1]Results!I1392</f>
        <v>3.6043523721218662E-8</v>
      </c>
      <c r="G31" s="1">
        <f>[1]Results!J1392</f>
        <v>9.4585228538335286E-8</v>
      </c>
      <c r="H31" s="1">
        <f>[1]Results!K1392</f>
        <v>-1.4778844814600234E-9</v>
      </c>
      <c r="I31" s="1">
        <f>[1]Results!L1392</f>
        <v>-5.5396798259721436E-9</v>
      </c>
      <c r="J31" s="1">
        <f>[1]Results!M1392</f>
        <v>3.224737872304928E-2</v>
      </c>
      <c r="K31" s="1">
        <f>[1]Results!N1392</f>
        <v>0.13304581545081628</v>
      </c>
      <c r="L31" s="1">
        <f>[1]Results!O1392</f>
        <v>0.35753590858744744</v>
      </c>
      <c r="M31" s="1">
        <f>[1]Results!P1392</f>
        <v>0.77726921886565048</v>
      </c>
      <c r="N31" s="1">
        <f>[1]Results!Q1392</f>
        <v>0.93662251609278879</v>
      </c>
      <c r="O31" s="1">
        <f>[1]Results!R1392</f>
        <v>1.4162440788630928</v>
      </c>
      <c r="P31" s="1">
        <f>[1]Results!S1392</f>
        <v>2.0374678017312196</v>
      </c>
      <c r="Q31" s="1">
        <f>[1]Results!T1392</f>
        <v>2.6994416186663752</v>
      </c>
      <c r="R31" s="1">
        <f>[1]Results!U1392</f>
        <v>3.3555673198803362</v>
      </c>
      <c r="S31" s="1">
        <f>[1]Results!V1392</f>
        <v>3.9923990828621516</v>
      </c>
      <c r="T31" s="1">
        <f>[1]Results!W1392</f>
        <v>4.5686648509434917</v>
      </c>
      <c r="U31" s="1">
        <f>[1]Results!X1392</f>
        <v>5.1108976447147967</v>
      </c>
      <c r="V31" s="1">
        <f>[1]Results!Y1392</f>
        <v>5.6197909623986408</v>
      </c>
      <c r="W31" s="1">
        <f>[1]Results!Z1392</f>
        <v>6.1085398603259122</v>
      </c>
      <c r="X31" s="1">
        <f>[1]Results!AA1392</f>
        <v>6.5007798119393847</v>
      </c>
      <c r="Y31" s="1">
        <f>[1]Results!AB1392</f>
        <v>6.8477527820206312</v>
      </c>
      <c r="Z31" s="1">
        <f>[1]Results!AC1392</f>
        <v>7.1395598518479844</v>
      </c>
      <c r="AA31" s="1">
        <f>[1]Results!AD1392</f>
        <v>7.3751595431408532</v>
      </c>
      <c r="AB31" s="1">
        <f>[1]Results!AE1392</f>
        <v>7.5601408770437502</v>
      </c>
      <c r="AC31" s="1">
        <f>[1]Results!AF1392</f>
        <v>7.5983528092774186</v>
      </c>
      <c r="AD31" s="1">
        <f>[1]Results!AG1392</f>
        <v>7.5450173291129268</v>
      </c>
      <c r="AE31" s="1">
        <f>[1]Results!AH1392</f>
        <v>7.4265162325725633</v>
      </c>
      <c r="AF31" s="1">
        <f>[1]Results!AI1392</f>
        <v>7.258907524539147</v>
      </c>
      <c r="AG31" s="1">
        <f>[1]Results!AJ1392</f>
        <v>7.0534570933985208</v>
      </c>
      <c r="AH31" s="1">
        <f>[1]Results!AK1392</f>
        <v>6.786231865920648</v>
      </c>
      <c r="AI31" s="1">
        <f>[1]Results!AL1392</f>
        <v>6.4901320498060535</v>
      </c>
      <c r="AJ31" s="1">
        <f>[1]Results!AM1392</f>
        <v>6.1800297169578329</v>
      </c>
      <c r="AK31" s="1">
        <f>[1]Results!AN1392</f>
        <v>5.8713290758530263</v>
      </c>
      <c r="AL31" s="1">
        <f>[1]Results!AO1392</f>
        <v>5.577029391064503</v>
      </c>
    </row>
    <row r="32" spans="1:38" x14ac:dyDescent="0.35">
      <c r="A32" s="3" t="str">
        <f>[1]Results!E1393</f>
        <v>100*(MPS_n_2-MPS_n_0)</v>
      </c>
      <c r="B32" t="str">
        <f>[1]Results!C1393</f>
        <v>Taux d'épargne</v>
      </c>
      <c r="C32" s="1">
        <f>[1]Results!F1393</f>
        <v>0</v>
      </c>
      <c r="D32" s="1">
        <f>[1]Results!G1393</f>
        <v>0</v>
      </c>
      <c r="E32" s="1">
        <f>[1]Results!H1393</f>
        <v>0</v>
      </c>
      <c r="F32" s="1">
        <f>[1]Results!I1393</f>
        <v>0</v>
      </c>
      <c r="G32" s="1">
        <f>[1]Results!J1393</f>
        <v>0</v>
      </c>
      <c r="H32" s="1">
        <f>[1]Results!K1393</f>
        <v>0</v>
      </c>
      <c r="I32" s="1">
        <f>[1]Results!L1393</f>
        <v>0</v>
      </c>
      <c r="J32" s="1">
        <f>[1]Results!M1393</f>
        <v>0</v>
      </c>
      <c r="K32" s="1">
        <f>[1]Results!N1393</f>
        <v>0</v>
      </c>
      <c r="L32" s="1">
        <f>[1]Results!O1393</f>
        <v>0</v>
      </c>
      <c r="M32" s="1">
        <f>[1]Results!P1393</f>
        <v>0</v>
      </c>
      <c r="N32" s="1">
        <f>[1]Results!Q1393</f>
        <v>0</v>
      </c>
      <c r="O32" s="1">
        <f>[1]Results!R1393</f>
        <v>0</v>
      </c>
      <c r="P32" s="1">
        <f>[1]Results!S1393</f>
        <v>0</v>
      </c>
      <c r="Q32" s="1">
        <f>[1]Results!T1393</f>
        <v>0</v>
      </c>
      <c r="R32" s="1">
        <f>[1]Results!U1393</f>
        <v>0</v>
      </c>
      <c r="S32" s="1">
        <f>[1]Results!V1393</f>
        <v>0</v>
      </c>
      <c r="T32" s="1">
        <f>[1]Results!W1393</f>
        <v>0</v>
      </c>
      <c r="U32" s="1">
        <f>[1]Results!X1393</f>
        <v>0</v>
      </c>
      <c r="V32" s="1">
        <f>[1]Results!Y1393</f>
        <v>0</v>
      </c>
      <c r="W32" s="1">
        <f>[1]Results!Z1393</f>
        <v>0</v>
      </c>
      <c r="X32" s="1">
        <f>[1]Results!AA1393</f>
        <v>0</v>
      </c>
      <c r="Y32" s="1">
        <f>[1]Results!AB1393</f>
        <v>0</v>
      </c>
      <c r="Z32" s="1">
        <f>[1]Results!AC1393</f>
        <v>0</v>
      </c>
      <c r="AA32" s="1">
        <f>[1]Results!AD1393</f>
        <v>0</v>
      </c>
      <c r="AB32" s="1">
        <f>[1]Results!AE1393</f>
        <v>0</v>
      </c>
      <c r="AC32" s="1">
        <f>[1]Results!AF1393</f>
        <v>0</v>
      </c>
      <c r="AD32" s="1">
        <f>[1]Results!AG1393</f>
        <v>0</v>
      </c>
      <c r="AE32" s="1">
        <f>[1]Results!AH1393</f>
        <v>0</v>
      </c>
      <c r="AF32" s="1">
        <f>[1]Results!AI1393</f>
        <v>0</v>
      </c>
      <c r="AG32" s="1">
        <f>[1]Results!AJ1393</f>
        <v>0</v>
      </c>
      <c r="AH32" s="1">
        <f>[1]Results!AK1393</f>
        <v>0</v>
      </c>
      <c r="AI32" s="1">
        <f>[1]Results!AL1393</f>
        <v>0</v>
      </c>
      <c r="AJ32" s="1">
        <f>[1]Results!AM1393</f>
        <v>0</v>
      </c>
      <c r="AK32" s="1">
        <f>[1]Results!AN1393</f>
        <v>0</v>
      </c>
      <c r="AL32" s="1">
        <f>[1]Results!AO1393</f>
        <v>0</v>
      </c>
    </row>
    <row r="33" spans="1:38" x14ac:dyDescent="0.35">
      <c r="A33" s="3" t="str">
        <f>[1]Results!E1394</f>
        <v>100*(PCH_2/PCH_0-1)</v>
      </c>
      <c r="B33" t="str">
        <f>[1]Results!C1394</f>
        <v>Prix à la consommation des ménages</v>
      </c>
      <c r="C33" s="1">
        <f>[1]Results!F1394</f>
        <v>0</v>
      </c>
      <c r="D33" s="1">
        <f>[1]Results!G1394</f>
        <v>-2.7068836061516777E-8</v>
      </c>
      <c r="E33" s="1">
        <f>[1]Results!H1394</f>
        <v>3.9908920612674592E-8</v>
      </c>
      <c r="F33" s="1">
        <f>[1]Results!I1394</f>
        <v>3.6043523721218662E-8</v>
      </c>
      <c r="G33" s="1">
        <f>[1]Results!J1394</f>
        <v>9.4585228538335286E-8</v>
      </c>
      <c r="H33" s="1">
        <f>[1]Results!K1394</f>
        <v>-1.4778844814600234E-9</v>
      </c>
      <c r="I33" s="1">
        <f>[1]Results!L1394</f>
        <v>-5.5396798259721436E-9</v>
      </c>
      <c r="J33" s="1">
        <f>[1]Results!M1394</f>
        <v>-7.3623153195079283E-2</v>
      </c>
      <c r="K33" s="1">
        <f>[1]Results!N1394</f>
        <v>-0.11290874648883786</v>
      </c>
      <c r="L33" s="1">
        <f>[1]Results!O1394</f>
        <v>0.1843010224109376</v>
      </c>
      <c r="M33" s="1">
        <f>[1]Results!P1394</f>
        <v>0.85584961451996566</v>
      </c>
      <c r="N33" s="1">
        <f>[1]Results!Q1394</f>
        <v>1.2465798173446174</v>
      </c>
      <c r="O33" s="1">
        <f>[1]Results!R1394</f>
        <v>1.8789603971305571</v>
      </c>
      <c r="P33" s="1">
        <f>[1]Results!S1394</f>
        <v>2.5800554120531736</v>
      </c>
      <c r="Q33" s="1">
        <f>[1]Results!T1394</f>
        <v>3.2751615658598077</v>
      </c>
      <c r="R33" s="1">
        <f>[1]Results!U1394</f>
        <v>3.9344371217200127</v>
      </c>
      <c r="S33" s="1">
        <f>[1]Results!V1394</f>
        <v>4.5425773682310489</v>
      </c>
      <c r="T33" s="1">
        <f>[1]Results!W1394</f>
        <v>5.0588909222661655</v>
      </c>
      <c r="U33" s="1">
        <f>[1]Results!X1394</f>
        <v>5.5119572986478182</v>
      </c>
      <c r="V33" s="1">
        <f>[1]Results!Y1394</f>
        <v>5.9063999349906258</v>
      </c>
      <c r="W33" s="1">
        <f>[1]Results!Z1394</f>
        <v>6.2616248273227981</v>
      </c>
      <c r="X33" s="1">
        <f>[1]Results!AA1394</f>
        <v>6.4976682959622565</v>
      </c>
      <c r="Y33" s="1">
        <f>[1]Results!AB1394</f>
        <v>6.6748859781434291</v>
      </c>
      <c r="Z33" s="1">
        <f>[1]Results!AC1394</f>
        <v>6.7938808091226619</v>
      </c>
      <c r="AA33" s="1">
        <f>[1]Results!AD1394</f>
        <v>6.862678181809212</v>
      </c>
      <c r="AB33" s="1">
        <f>[1]Results!AE1394</f>
        <v>6.8934875825234592</v>
      </c>
      <c r="AC33" s="1">
        <f>[1]Results!AF1394</f>
        <v>6.7865805844408378</v>
      </c>
      <c r="AD33" s="1">
        <f>[1]Results!AG1394</f>
        <v>6.6024089087597631</v>
      </c>
      <c r="AE33" s="1">
        <f>[1]Results!AH1394</f>
        <v>6.3738819063340983</v>
      </c>
      <c r="AF33" s="1">
        <f>[1]Results!AI1394</f>
        <v>6.1224696964345284</v>
      </c>
      <c r="AG33" s="1">
        <f>[1]Results!AJ1394</f>
        <v>5.8625741608503432</v>
      </c>
      <c r="AH33" s="1">
        <f>[1]Results!AK1394</f>
        <v>5.5673278542657272</v>
      </c>
      <c r="AI33" s="1">
        <f>[1]Results!AL1394</f>
        <v>5.2702364742700532</v>
      </c>
      <c r="AJ33" s="1">
        <f>[1]Results!AM1394</f>
        <v>4.9858473637515814</v>
      </c>
      <c r="AK33" s="1">
        <f>[1]Results!AN1394</f>
        <v>4.7276921895903712</v>
      </c>
      <c r="AL33" s="1">
        <f>[1]Results!AO1394</f>
        <v>4.5057521425128968</v>
      </c>
    </row>
    <row r="34" spans="1:38" x14ac:dyDescent="0.35">
      <c r="A34" s="3" t="str">
        <f>[1]Results!E1395</f>
        <v>100*(PY_2/PY_0-1)</v>
      </c>
      <c r="B34" t="str">
        <f>[1]Results!C1395</f>
        <v>Prix à la production marchande</v>
      </c>
      <c r="C34" s="1">
        <f>[1]Results!F1395</f>
        <v>0</v>
      </c>
      <c r="D34" s="1">
        <f>[1]Results!G1395</f>
        <v>0</v>
      </c>
      <c r="E34" s="1">
        <f>[1]Results!H1395</f>
        <v>9.5713059700130998E-8</v>
      </c>
      <c r="F34" s="1">
        <f>[1]Results!I1395</f>
        <v>9.3547192214771258E-8</v>
      </c>
      <c r="G34" s="1">
        <f>[1]Results!J1395</f>
        <v>9.1466256790795342E-8</v>
      </c>
      <c r="H34" s="1">
        <f>[1]Results!K1395</f>
        <v>8.9439522454881626E-8</v>
      </c>
      <c r="I34" s="1">
        <f>[1]Results!L1395</f>
        <v>1.7488288595046697E-7</v>
      </c>
      <c r="J34" s="1">
        <f>[1]Results!M1395</f>
        <v>0.33625368895955354</v>
      </c>
      <c r="K34" s="1">
        <f>[1]Results!N1395</f>
        <v>1.0079447683740694</v>
      </c>
      <c r="L34" s="1">
        <f>[1]Results!O1395</f>
        <v>2.1520529468184613</v>
      </c>
      <c r="M34" s="1">
        <f>[1]Results!P1395</f>
        <v>3.8957329518317207</v>
      </c>
      <c r="N34" s="1">
        <f>[1]Results!Q1395</f>
        <v>5.5269125285303478</v>
      </c>
      <c r="O34" s="1">
        <f>[1]Results!R1395</f>
        <v>7.0328828662156395</v>
      </c>
      <c r="P34" s="1">
        <f>[1]Results!S1395</f>
        <v>8.4344168554674184</v>
      </c>
      <c r="Q34" s="1">
        <f>[1]Results!T1395</f>
        <v>9.7539180538013248</v>
      </c>
      <c r="R34" s="1">
        <f>[1]Results!U1395</f>
        <v>11.000990393871524</v>
      </c>
      <c r="S34" s="1">
        <f>[1]Results!V1395</f>
        <v>12.225884092178863</v>
      </c>
      <c r="T34" s="1">
        <f>[1]Results!W1395</f>
        <v>13.43233246305433</v>
      </c>
      <c r="U34" s="1">
        <f>[1]Results!X1395</f>
        <v>14.596308055463636</v>
      </c>
      <c r="V34" s="1">
        <f>[1]Results!Y1395</f>
        <v>15.679736733496718</v>
      </c>
      <c r="W34" s="1">
        <f>[1]Results!Z1395</f>
        <v>16.66604699508223</v>
      </c>
      <c r="X34" s="1">
        <f>[1]Results!AA1395</f>
        <v>17.47848495648774</v>
      </c>
      <c r="Y34" s="1">
        <f>[1]Results!AB1395</f>
        <v>18.127810282608927</v>
      </c>
      <c r="Z34" s="1">
        <f>[1]Results!AC1395</f>
        <v>18.619470117254444</v>
      </c>
      <c r="AA34" s="1">
        <f>[1]Results!AD1395</f>
        <v>18.959499014077362</v>
      </c>
      <c r="AB34" s="1">
        <f>[1]Results!AE1395</f>
        <v>19.157567540538189</v>
      </c>
      <c r="AC34" s="1">
        <f>[1]Results!AF1395</f>
        <v>19.175024286044163</v>
      </c>
      <c r="AD34" s="1">
        <f>[1]Results!AG1395</f>
        <v>19.08497442021746</v>
      </c>
      <c r="AE34" s="1">
        <f>[1]Results!AH1395</f>
        <v>18.921210852617044</v>
      </c>
      <c r="AF34" s="1">
        <f>[1]Results!AI1395</f>
        <v>18.707740426610584</v>
      </c>
      <c r="AG34" s="1">
        <f>[1]Results!AJ1395</f>
        <v>18.464711328175042</v>
      </c>
      <c r="AH34" s="1">
        <f>[1]Results!AK1395</f>
        <v>18.192441896972866</v>
      </c>
      <c r="AI34" s="1">
        <f>[1]Results!AL1395</f>
        <v>17.923774938308725</v>
      </c>
      <c r="AJ34" s="1">
        <f>[1]Results!AM1395</f>
        <v>17.677682249232408</v>
      </c>
      <c r="AK34" s="1">
        <f>[1]Results!AN1395</f>
        <v>17.46596191236933</v>
      </c>
      <c r="AL34" s="1">
        <f>[1]Results!AO1395</f>
        <v>17.296554194166003</v>
      </c>
    </row>
    <row r="35" spans="1:38" x14ac:dyDescent="0.35">
      <c r="A35" s="3" t="str">
        <f>[1]Results!E1396</f>
        <v>100*(PX_2/PX_0-1)</v>
      </c>
      <c r="B35" t="str">
        <f>[1]Results!C1396</f>
        <v>Prix des exportations</v>
      </c>
      <c r="C35" s="1">
        <f>[1]Results!F1396</f>
        <v>0</v>
      </c>
      <c r="D35" s="1">
        <f>[1]Results!G1396</f>
        <v>0</v>
      </c>
      <c r="E35" s="1">
        <f>[1]Results!H1396</f>
        <v>0</v>
      </c>
      <c r="F35" s="1">
        <f>[1]Results!I1396</f>
        <v>0</v>
      </c>
      <c r="G35" s="1">
        <f>[1]Results!J1396</f>
        <v>9.1705443239220585E-8</v>
      </c>
      <c r="H35" s="1">
        <f>[1]Results!K1396</f>
        <v>1.796024884370695E-7</v>
      </c>
      <c r="I35" s="1">
        <f>[1]Results!L1396</f>
        <v>1.7588708267624042E-7</v>
      </c>
      <c r="J35" s="1">
        <f>[1]Results!M1396</f>
        <v>0.41960432418852722</v>
      </c>
      <c r="K35" s="1">
        <f>[1]Results!N1396</f>
        <v>1.1896011684735086</v>
      </c>
      <c r="L35" s="1">
        <f>[1]Results!O1396</f>
        <v>2.4523380528261418</v>
      </c>
      <c r="M35" s="1">
        <f>[1]Results!P1396</f>
        <v>4.3080410986349182</v>
      </c>
      <c r="N35" s="1">
        <f>[1]Results!Q1396</f>
        <v>5.9451105015469574</v>
      </c>
      <c r="O35" s="1">
        <f>[1]Results!R1396</f>
        <v>7.3542901613224299</v>
      </c>
      <c r="P35" s="1">
        <f>[1]Results!S1396</f>
        <v>8.5880677019682494</v>
      </c>
      <c r="Q35" s="1">
        <f>[1]Results!T1396</f>
        <v>9.6956180174795357</v>
      </c>
      <c r="R35" s="1">
        <f>[1]Results!U1396</f>
        <v>10.706900941829378</v>
      </c>
      <c r="S35" s="1">
        <f>[1]Results!V1396</f>
        <v>11.700303077316644</v>
      </c>
      <c r="T35" s="1">
        <f>[1]Results!W1396</f>
        <v>12.693887499560796</v>
      </c>
      <c r="U35" s="1">
        <f>[1]Results!X1396</f>
        <v>13.661035649310316</v>
      </c>
      <c r="V35" s="1">
        <f>[1]Results!Y1396</f>
        <v>14.564387510436516</v>
      </c>
      <c r="W35" s="1">
        <f>[1]Results!Z1396</f>
        <v>15.386621430495829</v>
      </c>
      <c r="X35" s="1">
        <f>[1]Results!AA1396</f>
        <v>16.053065537931531</v>
      </c>
      <c r="Y35" s="1">
        <f>[1]Results!AB1396</f>
        <v>16.578134765034136</v>
      </c>
      <c r="Z35" s="1">
        <f>[1]Results!AC1396</f>
        <v>16.964343522406033</v>
      </c>
      <c r="AA35" s="1">
        <f>[1]Results!AD1396</f>
        <v>17.215170655441135</v>
      </c>
      <c r="AB35" s="1">
        <f>[1]Results!AE1396</f>
        <v>17.337732385675576</v>
      </c>
      <c r="AC35" s="1">
        <f>[1]Results!AF1396</f>
        <v>17.323084784050803</v>
      </c>
      <c r="AD35" s="1">
        <f>[1]Results!AG1396</f>
        <v>17.233251728450472</v>
      </c>
      <c r="AE35" s="1">
        <f>[1]Results!AH1396</f>
        <v>17.087793064822399</v>
      </c>
      <c r="AF35" s="1">
        <f>[1]Results!AI1396</f>
        <v>16.902704730760988</v>
      </c>
      <c r="AG35" s="1">
        <f>[1]Results!AJ1396</f>
        <v>16.692521610098954</v>
      </c>
      <c r="AH35" s="1">
        <f>[1]Results!AK1396</f>
        <v>16.458304539284963</v>
      </c>
      <c r="AI35" s="1">
        <f>[1]Results!AL1396</f>
        <v>16.234223675002202</v>
      </c>
      <c r="AJ35" s="1">
        <f>[1]Results!AM1396</f>
        <v>16.034636635996446</v>
      </c>
      <c r="AK35" s="1">
        <f>[1]Results!AN1396</f>
        <v>15.868019883939844</v>
      </c>
      <c r="AL35" s="1">
        <f>[1]Results!AO1396</f>
        <v>15.739866093368793</v>
      </c>
    </row>
    <row r="36" spans="1:38" x14ac:dyDescent="0.35">
      <c r="A36" s="3" t="str">
        <f>[1]Results!E1397</f>
        <v>100*(PM_2/PM_0-1)</v>
      </c>
      <c r="B36" t="str">
        <f>[1]Results!C1397</f>
        <v>Prix des importations</v>
      </c>
      <c r="C36" s="1">
        <f>[1]Results!F1397</f>
        <v>0</v>
      </c>
      <c r="D36" s="1">
        <f>[1]Results!G1397</f>
        <v>0</v>
      </c>
      <c r="E36" s="1">
        <f>[1]Results!H1397</f>
        <v>0</v>
      </c>
      <c r="F36" s="1">
        <f>[1]Results!I1397</f>
        <v>0</v>
      </c>
      <c r="G36" s="1">
        <f>[1]Results!J1397</f>
        <v>0</v>
      </c>
      <c r="H36" s="1">
        <f>[1]Results!K1397</f>
        <v>0</v>
      </c>
      <c r="I36" s="1">
        <f>[1]Results!L1397</f>
        <v>0</v>
      </c>
      <c r="J36" s="1">
        <f>[1]Results!M1397</f>
        <v>0.71356622172094042</v>
      </c>
      <c r="K36" s="1">
        <f>[1]Results!N1397</f>
        <v>1.4650527727576357</v>
      </c>
      <c r="L36" s="1">
        <f>[1]Results!O1397</f>
        <v>2.294605404291894</v>
      </c>
      <c r="M36" s="1">
        <f>[1]Results!P1397</f>
        <v>3.196653872289823</v>
      </c>
      <c r="N36" s="1">
        <f>[1]Results!Q1397</f>
        <v>3.8944685033807547</v>
      </c>
      <c r="O36" s="1">
        <f>[1]Results!R1397</f>
        <v>4.2623407282948111</v>
      </c>
      <c r="P36" s="1">
        <f>[1]Results!S1397</f>
        <v>4.4393313309870841</v>
      </c>
      <c r="Q36" s="1">
        <f>[1]Results!T1397</f>
        <v>4.4878064851526567</v>
      </c>
      <c r="R36" s="1">
        <f>[1]Results!U1397</f>
        <v>4.4367910476070582</v>
      </c>
      <c r="S36" s="1">
        <f>[1]Results!V1397</f>
        <v>4.404890252965421</v>
      </c>
      <c r="T36" s="1">
        <f>[1]Results!W1397</f>
        <v>4.4543745583975447</v>
      </c>
      <c r="U36" s="1">
        <f>[1]Results!X1397</f>
        <v>4.5022780586599476</v>
      </c>
      <c r="V36" s="1">
        <f>[1]Results!Y1397</f>
        <v>4.5247620697220103</v>
      </c>
      <c r="W36" s="1">
        <f>[1]Results!Z1397</f>
        <v>4.5138523253333007</v>
      </c>
      <c r="X36" s="1">
        <f>[1]Results!AA1397</f>
        <v>4.4914279117367117</v>
      </c>
      <c r="Y36" s="1">
        <f>[1]Results!AB1397</f>
        <v>4.4647746489783202</v>
      </c>
      <c r="Z36" s="1">
        <f>[1]Results!AC1397</f>
        <v>4.3990102015891264</v>
      </c>
      <c r="AA36" s="1">
        <f>[1]Results!AD1397</f>
        <v>4.2809577357064033</v>
      </c>
      <c r="AB36" s="1">
        <f>[1]Results!AE1397</f>
        <v>4.1081622227913339</v>
      </c>
      <c r="AC36" s="1">
        <f>[1]Results!AF1397</f>
        <v>4.0104220838628413</v>
      </c>
      <c r="AD36" s="1">
        <f>[1]Results!AG1397</f>
        <v>4.0284652715356195</v>
      </c>
      <c r="AE36" s="1">
        <f>[1]Results!AH1397</f>
        <v>4.0738907905395472</v>
      </c>
      <c r="AF36" s="1">
        <f>[1]Results!AI1397</f>
        <v>4.119304392140144</v>
      </c>
      <c r="AG36" s="1">
        <f>[1]Results!AJ1397</f>
        <v>4.158196408845849</v>
      </c>
      <c r="AH36" s="1">
        <f>[1]Results!AK1397</f>
        <v>4.2275692135815834</v>
      </c>
      <c r="AI36" s="1">
        <f>[1]Results!AL1397</f>
        <v>4.3578451137387786</v>
      </c>
      <c r="AJ36" s="1">
        <f>[1]Results!AM1397</f>
        <v>4.5162846801903189</v>
      </c>
      <c r="AK36" s="1">
        <f>[1]Results!AN1397</f>
        <v>4.6880375315070832</v>
      </c>
      <c r="AL36" s="1">
        <f>[1]Results!AO1397</f>
        <v>4.8663729584135007</v>
      </c>
    </row>
    <row r="37" spans="1:38" x14ac:dyDescent="0.35">
      <c r="A37" s="3" t="str">
        <f>[1]Results!E1398</f>
        <v>100*(W_2/W_0-1)</v>
      </c>
      <c r="B37" t="str">
        <f>[1]Results!C1398</f>
        <v>Salaire net nominal (hors cotisations employeurs et employés, unitaire)</v>
      </c>
      <c r="C37" s="1">
        <f>[1]Results!F1398</f>
        <v>0</v>
      </c>
      <c r="D37" s="1">
        <f>[1]Results!G1398</f>
        <v>0</v>
      </c>
      <c r="E37" s="1">
        <f>[1]Results!H1398</f>
        <v>2.2798207766072665E-8</v>
      </c>
      <c r="F37" s="1">
        <f>[1]Results!I1398</f>
        <v>4.4138759314193976E-8</v>
      </c>
      <c r="G37" s="1">
        <f>[1]Results!J1398</f>
        <v>6.4016925094279031E-8</v>
      </c>
      <c r="H37" s="1">
        <f>[1]Results!K1398</f>
        <v>8.2482265462147097E-8</v>
      </c>
      <c r="I37" s="1">
        <f>[1]Results!L1398</f>
        <v>9.9569530398468942E-8</v>
      </c>
      <c r="J37" s="1">
        <f>[1]Results!M1398</f>
        <v>-2.3419476570363251E-2</v>
      </c>
      <c r="K37" s="1">
        <f>[1]Results!N1398</f>
        <v>8.3219460197381245E-2</v>
      </c>
      <c r="L37" s="1">
        <f>[1]Results!O1398</f>
        <v>0.45842377805613843</v>
      </c>
      <c r="M37" s="1">
        <f>[1]Results!P1398</f>
        <v>1.212258298966562</v>
      </c>
      <c r="N37" s="1">
        <f>[1]Results!Q1398</f>
        <v>2.4320539963383014</v>
      </c>
      <c r="O37" s="1">
        <f>[1]Results!R1398</f>
        <v>3.8853214975732797</v>
      </c>
      <c r="P37" s="1">
        <f>[1]Results!S1398</f>
        <v>5.4233525363125201</v>
      </c>
      <c r="Q37" s="1">
        <f>[1]Results!T1398</f>
        <v>6.9597321839223181</v>
      </c>
      <c r="R37" s="1">
        <f>[1]Results!U1398</f>
        <v>8.4467097511914382</v>
      </c>
      <c r="S37" s="1">
        <f>[1]Results!V1398</f>
        <v>9.8548846834243484</v>
      </c>
      <c r="T37" s="1">
        <f>[1]Results!W1398</f>
        <v>11.189274681578599</v>
      </c>
      <c r="U37" s="1">
        <f>[1]Results!X1398</f>
        <v>12.45903004049298</v>
      </c>
      <c r="V37" s="1">
        <f>[1]Results!Y1398</f>
        <v>13.664032724299702</v>
      </c>
      <c r="W37" s="1">
        <f>[1]Results!Z1398</f>
        <v>14.788819833892397</v>
      </c>
      <c r="X37" s="1">
        <f>[1]Results!AA1398</f>
        <v>15.818120821773229</v>
      </c>
      <c r="Y37" s="1">
        <f>[1]Results!AB1398</f>
        <v>16.716046584801415</v>
      </c>
      <c r="Z37" s="1">
        <f>[1]Results!AC1398</f>
        <v>17.465106727680269</v>
      </c>
      <c r="AA37" s="1">
        <f>[1]Results!AD1398</f>
        <v>18.056620083916442</v>
      </c>
      <c r="AB37" s="1">
        <f>[1]Results!AE1398</f>
        <v>18.487247651027737</v>
      </c>
      <c r="AC37" s="1">
        <f>[1]Results!AF1398</f>
        <v>18.758598184839425</v>
      </c>
      <c r="AD37" s="1">
        <f>[1]Results!AG1398</f>
        <v>18.868988885240292</v>
      </c>
      <c r="AE37" s="1">
        <f>[1]Results!AH1398</f>
        <v>18.838924974079774</v>
      </c>
      <c r="AF37" s="1">
        <f>[1]Results!AI1398</f>
        <v>18.693344491935449</v>
      </c>
      <c r="AG37" s="1">
        <f>[1]Results!AJ1398</f>
        <v>18.457686184208001</v>
      </c>
      <c r="AH37" s="1">
        <f>[1]Results!AK1398</f>
        <v>18.156130441177588</v>
      </c>
      <c r="AI37" s="1">
        <f>[1]Results!AL1398</f>
        <v>17.807777910397359</v>
      </c>
      <c r="AJ37" s="1">
        <f>[1]Results!AM1398</f>
        <v>17.437935008943107</v>
      </c>
      <c r="AK37" s="1">
        <f>[1]Results!AN1398</f>
        <v>17.070175182085336</v>
      </c>
      <c r="AL37" s="1">
        <f>[1]Results!AO1398</f>
        <v>16.724141420072037</v>
      </c>
    </row>
    <row r="38" spans="1:38" x14ac:dyDescent="0.35">
      <c r="A38" s="3" t="str">
        <f>[1]Results!E1399</f>
        <v>100*((W_2/PCH_2)/(W_0/PCH_0)-1)</v>
      </c>
      <c r="B38" t="str">
        <f>[1]Results!C1399</f>
        <v>Salaire net réel (hors cotisations employeurs et employés, unitaire)</v>
      </c>
      <c r="C38" s="1">
        <f>[1]Results!F1399</f>
        <v>0</v>
      </c>
      <c r="D38" s="1">
        <f>[1]Results!G1399</f>
        <v>-9.7746266636278278E-8</v>
      </c>
      <c r="E38" s="1">
        <f>[1]Results!H1399</f>
        <v>-7.2959194241661862E-8</v>
      </c>
      <c r="F38" s="1">
        <f>[1]Results!I1399</f>
        <v>-4.9520920697432302E-8</v>
      </c>
      <c r="G38" s="1">
        <f>[1]Results!J1399</f>
        <v>-2.7731672513908734E-8</v>
      </c>
      <c r="H38" s="1">
        <f>[1]Results!K1399</f>
        <v>-9.7279706512409803E-8</v>
      </c>
      <c r="I38" s="1">
        <f>[1]Results!L1399</f>
        <v>-7.6504169665980726E-8</v>
      </c>
      <c r="J38" s="1">
        <f>[1]Results!M1399</f>
        <v>-0.55619328153492242</v>
      </c>
      <c r="K38" s="1">
        <f>[1]Results!N1399</f>
        <v>-1.2985332722311171</v>
      </c>
      <c r="L38" s="1">
        <f>[1]Results!O1399</f>
        <v>-2.222948486811327</v>
      </c>
      <c r="M38" s="1">
        <f>[1]Results!P1399</f>
        <v>-3.3248617359947663</v>
      </c>
      <c r="N38" s="1">
        <f>[1]Results!Q1399</f>
        <v>-3.5276113116480046</v>
      </c>
      <c r="O38" s="1">
        <f>[1]Results!R1399</f>
        <v>-3.3984664607002446</v>
      </c>
      <c r="P38" s="1">
        <f>[1]Results!S1399</f>
        <v>-3.1100171914667518</v>
      </c>
      <c r="Q38" s="1">
        <f>[1]Results!T1399</f>
        <v>-2.7620259437296846</v>
      </c>
      <c r="R38" s="1">
        <f>[1]Results!U1399</f>
        <v>-2.403991878446432</v>
      </c>
      <c r="S38" s="1">
        <f>[1]Results!V1399</f>
        <v>-2.1295327621263183</v>
      </c>
      <c r="T38" s="1">
        <f>[1]Results!W1399</f>
        <v>-1.9204920154911043</v>
      </c>
      <c r="U38" s="1">
        <f>[1]Results!X1399</f>
        <v>-1.7352383929288173</v>
      </c>
      <c r="V38" s="1">
        <f>[1]Results!Y1399</f>
        <v>-1.5322835661365275</v>
      </c>
      <c r="W38" s="1">
        <f>[1]Results!Z1399</f>
        <v>-1.3236203712993833</v>
      </c>
      <c r="X38" s="1">
        <f>[1]Results!AA1399</f>
        <v>-1.0414777810679232</v>
      </c>
      <c r="Y38" s="1">
        <f>[1]Results!AB1399</f>
        <v>-0.75429103313009449</v>
      </c>
      <c r="Z38" s="1">
        <f>[1]Results!AC1399</f>
        <v>-0.47294046250662136</v>
      </c>
      <c r="AA38" s="1">
        <f>[1]Results!AD1399</f>
        <v>-0.20419054114926283</v>
      </c>
      <c r="AB38" s="1">
        <f>[1]Results!AE1399</f>
        <v>4.508674991183792E-2</v>
      </c>
      <c r="AC38" s="1">
        <f>[1]Results!AF1399</f>
        <v>0.29291465488492374</v>
      </c>
      <c r="AD38" s="1">
        <f>[1]Results!AG1399</f>
        <v>0.47587131829056606</v>
      </c>
      <c r="AE38" s="1">
        <f>[1]Results!AH1399</f>
        <v>0.60116014760007719</v>
      </c>
      <c r="AF38" s="1">
        <f>[1]Results!AI1399</f>
        <v>0.6755511419347382</v>
      </c>
      <c r="AG38" s="1">
        <f>[1]Results!AJ1399</f>
        <v>0.70531043194577148</v>
      </c>
      <c r="AH38" s="1">
        <f>[1]Results!AK1399</f>
        <v>0.70933321786459391</v>
      </c>
      <c r="AI38" s="1">
        <f>[1]Results!AL1399</f>
        <v>0.66676916104861927</v>
      </c>
      <c r="AJ38" s="1">
        <f>[1]Results!AM1399</f>
        <v>0.58770666350242973</v>
      </c>
      <c r="AK38" s="1">
        <f>[1]Results!AN1399</f>
        <v>0.4831638125464055</v>
      </c>
      <c r="AL38" s="1">
        <f>[1]Results!AO1399</f>
        <v>0.36280862042827877</v>
      </c>
    </row>
    <row r="39" spans="1:38" x14ac:dyDescent="0.35">
      <c r="A39" s="3" t="str">
        <f>[1]Results!E1400</f>
        <v>100*(C_L_2/C_L_0-1)</v>
      </c>
      <c r="B39" t="str">
        <f>[1]Results!C1400</f>
        <v>Coût du travail nominal (yc. Cotisations employeurs et employés, unitaire)</v>
      </c>
      <c r="C39" s="1">
        <f>[1]Results!F1400</f>
        <v>0</v>
      </c>
      <c r="D39" s="1">
        <f>[1]Results!G1400</f>
        <v>0</v>
      </c>
      <c r="E39" s="1">
        <f>[1]Results!H1400</f>
        <v>1.7900880777688144E-8</v>
      </c>
      <c r="F39" s="1">
        <f>[1]Results!I1400</f>
        <v>3.4657232639290214E-8</v>
      </c>
      <c r="G39" s="1">
        <f>[1]Results!J1400</f>
        <v>5.026532523544347E-8</v>
      </c>
      <c r="H39" s="1">
        <f>[1]Results!K1400</f>
        <v>6.4764105189851762E-8</v>
      </c>
      <c r="I39" s="1">
        <f>[1]Results!L1400</f>
        <v>9.3816976409755171E-8</v>
      </c>
      <c r="J39" s="1">
        <f>[1]Results!M1400</f>
        <v>-2.3419491194442976E-2</v>
      </c>
      <c r="K39" s="1">
        <f>[1]Results!N1400</f>
        <v>8.321945675007214E-2</v>
      </c>
      <c r="L39" s="1">
        <f>[1]Results!O1400</f>
        <v>0.45842378792895211</v>
      </c>
      <c r="M39" s="1">
        <f>[1]Results!P1400</f>
        <v>1.2122583006379806</v>
      </c>
      <c r="N39" s="1">
        <f>[1]Results!Q1400</f>
        <v>2.4320540132184876</v>
      </c>
      <c r="O39" s="1">
        <f>[1]Results!R1400</f>
        <v>3.8853214930321567</v>
      </c>
      <c r="P39" s="1">
        <f>[1]Results!S1400</f>
        <v>5.4233525367349156</v>
      </c>
      <c r="Q39" s="1">
        <f>[1]Results!T1400</f>
        <v>6.9597321994702588</v>
      </c>
      <c r="R39" s="1">
        <f>[1]Results!U1400</f>
        <v>8.4467097439805841</v>
      </c>
      <c r="S39" s="1">
        <f>[1]Results!V1400</f>
        <v>9.854884686930987</v>
      </c>
      <c r="T39" s="1">
        <f>[1]Results!W1400</f>
        <v>11.189274645734182</v>
      </c>
      <c r="U39" s="1">
        <f>[1]Results!X1400</f>
        <v>12.459030042649566</v>
      </c>
      <c r="V39" s="1">
        <f>[1]Results!Y1400</f>
        <v>13.664032775407353</v>
      </c>
      <c r="W39" s="1">
        <f>[1]Results!Z1400</f>
        <v>14.788819847532796</v>
      </c>
      <c r="X39" s="1">
        <f>[1]Results!AA1400</f>
        <v>15.818120829351766</v>
      </c>
      <c r="Y39" s="1">
        <f>[1]Results!AB1400</f>
        <v>16.716046607329815</v>
      </c>
      <c r="Z39" s="1">
        <f>[1]Results!AC1400</f>
        <v>17.46510672137067</v>
      </c>
      <c r="AA39" s="1">
        <f>[1]Results!AD1400</f>
        <v>18.05662009868092</v>
      </c>
      <c r="AB39" s="1">
        <f>[1]Results!AE1400</f>
        <v>18.487247583388179</v>
      </c>
      <c r="AC39" s="1">
        <f>[1]Results!AF1400</f>
        <v>18.758598089036994</v>
      </c>
      <c r="AD39" s="1">
        <f>[1]Results!AG1400</f>
        <v>18.868988830929911</v>
      </c>
      <c r="AE39" s="1">
        <f>[1]Results!AH1400</f>
        <v>18.838924937605771</v>
      </c>
      <c r="AF39" s="1">
        <f>[1]Results!AI1400</f>
        <v>18.693344477769113</v>
      </c>
      <c r="AG39" s="1">
        <f>[1]Results!AJ1400</f>
        <v>18.457686073804581</v>
      </c>
      <c r="AH39" s="1">
        <f>[1]Results!AK1400</f>
        <v>18.156130440606443</v>
      </c>
      <c r="AI39" s="1">
        <f>[1]Results!AL1400</f>
        <v>17.807777928223878</v>
      </c>
      <c r="AJ39" s="1">
        <f>[1]Results!AM1400</f>
        <v>17.437934991644678</v>
      </c>
      <c r="AK39" s="1">
        <f>[1]Results!AN1400</f>
        <v>17.070175213835668</v>
      </c>
      <c r="AL39" s="1">
        <f>[1]Results!AO1400</f>
        <v>16.724141461882525</v>
      </c>
    </row>
    <row r="40" spans="1:38" x14ac:dyDescent="0.35">
      <c r="A40" s="3" t="str">
        <f>[1]Results!E1401</f>
        <v>100*((C_L_2/PVA_2)/(C_L_0/PVA_0)-1)</v>
      </c>
      <c r="B40" t="str">
        <f>[1]Results!C1401</f>
        <v>Coût réel du travail (yc. Cotisations employeurs et employés, unitaire)</v>
      </c>
      <c r="C40" s="1">
        <f>[1]Results!F1401</f>
        <v>0</v>
      </c>
      <c r="D40" s="1">
        <f>[1]Results!G1401</f>
        <v>0</v>
      </c>
      <c r="E40" s="1">
        <f>[1]Results!H1401</f>
        <v>-7.7793349539945211E-8</v>
      </c>
      <c r="F40" s="1">
        <f>[1]Results!I1401</f>
        <v>-5.881577447297559E-8</v>
      </c>
      <c r="G40" s="1">
        <f>[1]Results!J1401</f>
        <v>-4.0948777701999006E-8</v>
      </c>
      <c r="H40" s="1">
        <f>[1]Results!K1401</f>
        <v>-2.4253765662507476E-8</v>
      </c>
      <c r="I40" s="1">
        <f>[1]Results!L1401</f>
        <v>-7.9894191262752656E-8</v>
      </c>
      <c r="J40" s="1">
        <f>[1]Results!M1401</f>
        <v>-0.11385602746611934</v>
      </c>
      <c r="K40" s="1">
        <f>[1]Results!N1401</f>
        <v>-0.39828429004703514</v>
      </c>
      <c r="L40" s="1">
        <f>[1]Results!O1401</f>
        <v>-0.84113161825446481</v>
      </c>
      <c r="M40" s="1">
        <f>[1]Results!P1401</f>
        <v>-1.4330839289774633</v>
      </c>
      <c r="N40" s="1">
        <f>[1]Results!Q1401</f>
        <v>-1.9075290123455879</v>
      </c>
      <c r="O40" s="1">
        <f>[1]Results!R1401</f>
        <v>-2.0607336878933014</v>
      </c>
      <c r="P40" s="1">
        <f>[1]Results!S1401</f>
        <v>-2.0465882933435098</v>
      </c>
      <c r="Q40" s="1">
        <f>[1]Results!T1401</f>
        <v>-1.9653742372763738</v>
      </c>
      <c r="R40" s="1">
        <f>[1]Results!U1401</f>
        <v>-1.868491135038397</v>
      </c>
      <c r="S40" s="1">
        <f>[1]Results!V1401</f>
        <v>-1.7914876069203722</v>
      </c>
      <c r="T40" s="1">
        <f>[1]Results!W1401</f>
        <v>-1.7461308286670807</v>
      </c>
      <c r="U40" s="1">
        <f>[1]Results!X1401</f>
        <v>-1.714052126682819</v>
      </c>
      <c r="V40" s="1">
        <f>[1]Results!Y1401</f>
        <v>-1.6669426669028931</v>
      </c>
      <c r="W40" s="1">
        <f>[1]Results!Z1401</f>
        <v>-1.5953479952837801</v>
      </c>
      <c r="X40" s="1">
        <f>[1]Results!AA1401</f>
        <v>-1.484078056508209</v>
      </c>
      <c r="Y40" s="1">
        <f>[1]Results!AB1401</f>
        <v>-1.3277493014930086</v>
      </c>
      <c r="Z40" s="1">
        <f>[1]Results!AC1401</f>
        <v>-1.1485981976501525</v>
      </c>
      <c r="AA40" s="1">
        <f>[1]Results!AD1401</f>
        <v>-0.95783299429283986</v>
      </c>
      <c r="AB40" s="1">
        <f>[1]Results!AE1401</f>
        <v>-0.763030760750949</v>
      </c>
      <c r="AC40" s="1">
        <f>[1]Results!AF1401</f>
        <v>-0.57173685059085377</v>
      </c>
      <c r="AD40" s="1">
        <f>[1]Results!AG1401</f>
        <v>-0.39060283787484273</v>
      </c>
      <c r="AE40" s="1">
        <f>[1]Results!AH1401</f>
        <v>-0.2391688661246949</v>
      </c>
      <c r="AF40" s="1">
        <f>[1]Results!AI1401</f>
        <v>-0.12217487706819297</v>
      </c>
      <c r="AG40" s="1">
        <f>[1]Results!AJ1401</f>
        <v>-4.0208667370833506E-2</v>
      </c>
      <c r="AH40" s="1">
        <f>[1]Results!AK1401</f>
        <v>8.8380008968602652E-3</v>
      </c>
      <c r="AI40" s="1">
        <f>[1]Results!AL1401</f>
        <v>3.0603974808185441E-2</v>
      </c>
      <c r="AJ40" s="1">
        <f>[1]Results!AM1401</f>
        <v>2.0748810082382718E-2</v>
      </c>
      <c r="AK40" s="1">
        <f>[1]Results!AN1401</f>
        <v>-1.6670162141507738E-2</v>
      </c>
      <c r="AL40" s="1">
        <f>[1]Results!AO1401</f>
        <v>-7.5219584257302241E-2</v>
      </c>
    </row>
    <row r="41" spans="1:38" x14ac:dyDescent="0.35">
      <c r="A41" s="3" t="str">
        <f>[1]Results!E1402</f>
        <v>((F_L_2/F_L_0)-1)*100</v>
      </c>
      <c r="B41" t="str">
        <f>[1]Results!C1402</f>
        <v>Emploi en %</v>
      </c>
      <c r="C41" s="1">
        <f>[1]Results!F1402</f>
        <v>0</v>
      </c>
      <c r="D41" s="1">
        <f>[1]Results!G1402</f>
        <v>0</v>
      </c>
      <c r="E41" s="1">
        <f>[1]Results!H1402</f>
        <v>0</v>
      </c>
      <c r="F41" s="1">
        <f>[1]Results!I1402</f>
        <v>0</v>
      </c>
      <c r="G41" s="1">
        <f>[1]Results!J1402</f>
        <v>0</v>
      </c>
      <c r="H41" s="1">
        <f>[1]Results!K1402</f>
        <v>0</v>
      </c>
      <c r="I41" s="1">
        <f>[1]Results!L1402</f>
        <v>0</v>
      </c>
      <c r="J41" s="1">
        <f>[1]Results!M1402</f>
        <v>-0.10587053191812856</v>
      </c>
      <c r="K41" s="1">
        <f>[1]Results!N1402</f>
        <v>-0.24595456193965415</v>
      </c>
      <c r="L41" s="1">
        <f>[1]Results!O1402</f>
        <v>-0.17323488617650984</v>
      </c>
      <c r="M41" s="1">
        <f>[1]Results!P1402</f>
        <v>7.8580395654315183E-2</v>
      </c>
      <c r="N41" s="1">
        <f>[1]Results!Q1402</f>
        <v>0.30995730125182863</v>
      </c>
      <c r="O41" s="1">
        <f>[1]Results!R1402</f>
        <v>0.46271631826746429</v>
      </c>
      <c r="P41" s="1">
        <f>[1]Results!S1402</f>
        <v>0.54258761032195402</v>
      </c>
      <c r="Q41" s="1">
        <f>[1]Results!T1402</f>
        <v>0.57571994719343156</v>
      </c>
      <c r="R41" s="1">
        <f>[1]Results!U1402</f>
        <v>0.57886980183967651</v>
      </c>
      <c r="S41" s="1">
        <f>[1]Results!V1402</f>
        <v>0.55017828536889635</v>
      </c>
      <c r="T41" s="1">
        <f>[1]Results!W1402</f>
        <v>0.49022607132267471</v>
      </c>
      <c r="U41" s="1">
        <f>[1]Results!X1402</f>
        <v>0.40105965393302245</v>
      </c>
      <c r="V41" s="1">
        <f>[1]Results!Y1402</f>
        <v>0.28660897259198403</v>
      </c>
      <c r="W41" s="1">
        <f>[1]Results!Z1402</f>
        <v>0.1530849669968859</v>
      </c>
      <c r="X41" s="1">
        <f>[1]Results!AA1402</f>
        <v>-3.1115159771277767E-3</v>
      </c>
      <c r="Y41" s="1">
        <f>[1]Results!AB1402</f>
        <v>-0.17286680387720299</v>
      </c>
      <c r="Z41" s="1">
        <f>[1]Results!AC1402</f>
        <v>-0.34567904272532202</v>
      </c>
      <c r="AA41" s="1">
        <f>[1]Results!AD1402</f>
        <v>-0.51248136133164035</v>
      </c>
      <c r="AB41" s="1">
        <f>[1]Results!AE1402</f>
        <v>-0.66665329452029187</v>
      </c>
      <c r="AC41" s="1">
        <f>[1]Results!AF1402</f>
        <v>-0.81177222483658218</v>
      </c>
      <c r="AD41" s="1">
        <f>[1]Results!AG1402</f>
        <v>-0.94260842035316372</v>
      </c>
      <c r="AE41" s="1">
        <f>[1]Results!AH1402</f>
        <v>-1.0526343262384663</v>
      </c>
      <c r="AF41" s="1">
        <f>[1]Results!AI1402</f>
        <v>-1.1364378281046195</v>
      </c>
      <c r="AG41" s="1">
        <f>[1]Results!AJ1402</f>
        <v>-1.1908829325481762</v>
      </c>
      <c r="AH41" s="1">
        <f>[1]Results!AK1402</f>
        <v>-1.2189040116549199</v>
      </c>
      <c r="AI41" s="1">
        <f>[1]Results!AL1402</f>
        <v>-1.2198955755360008</v>
      </c>
      <c r="AJ41" s="1">
        <f>[1]Results!AM1402</f>
        <v>-1.1941823532062523</v>
      </c>
      <c r="AK41" s="1">
        <f>[1]Results!AN1402</f>
        <v>-1.1436368862626556</v>
      </c>
      <c r="AL41" s="1">
        <f>[1]Results!AO1402</f>
        <v>-1.0712772485516053</v>
      </c>
    </row>
    <row r="42" spans="1:38" x14ac:dyDescent="0.35">
      <c r="A42" s="3" t="str">
        <f>[1]Results!E1403</f>
        <v>F_L_2-F_L_0</v>
      </c>
      <c r="B42" t="str">
        <f>[1]Results!C1403</f>
        <v>Emploi en millier</v>
      </c>
      <c r="C42" s="1">
        <f>[1]Results!F1403</f>
        <v>0</v>
      </c>
      <c r="D42" s="1">
        <f>[1]Results!G1403</f>
        <v>0</v>
      </c>
      <c r="E42" s="1">
        <f>[1]Results!H1403</f>
        <v>0</v>
      </c>
      <c r="F42" s="1">
        <f>[1]Results!I1403</f>
        <v>0</v>
      </c>
      <c r="G42" s="1">
        <f>[1]Results!J1403</f>
        <v>0</v>
      </c>
      <c r="H42" s="1">
        <f>[1]Results!K1403</f>
        <v>0</v>
      </c>
      <c r="I42" s="1">
        <f>[1]Results!L1403</f>
        <v>0</v>
      </c>
      <c r="J42" s="1">
        <f>[1]Results!M1403</f>
        <v>-30.990850000001956</v>
      </c>
      <c r="K42" s="1">
        <f>[1]Results!N1403</f>
        <v>-72.883280000001832</v>
      </c>
      <c r="L42" s="1">
        <f>[1]Results!O1403</f>
        <v>-51.966310000003432</v>
      </c>
      <c r="M42" s="1">
        <f>[1]Results!P1403</f>
        <v>23.853759999998147</v>
      </c>
      <c r="N42" s="1">
        <f>[1]Results!Q1403</f>
        <v>95.037720000000263</v>
      </c>
      <c r="O42" s="1">
        <f>[1]Results!R1403</f>
        <v>142.97244999999748</v>
      </c>
      <c r="P42" s="1">
        <f>[1]Results!S1403</f>
        <v>168.56629999999859</v>
      </c>
      <c r="Q42" s="1">
        <f>[1]Results!T1403</f>
        <v>179.4988400000002</v>
      </c>
      <c r="R42" s="1">
        <f>[1]Results!U1403</f>
        <v>180.88169999999809</v>
      </c>
      <c r="S42" s="1">
        <f>[1]Results!V1403</f>
        <v>172.16461999999956</v>
      </c>
      <c r="T42" s="1">
        <f>[1]Results!W1403</f>
        <v>153.59089999999924</v>
      </c>
      <c r="U42" s="1">
        <f>[1]Results!X1403</f>
        <v>125.8397100000002</v>
      </c>
      <c r="V42" s="1">
        <f>[1]Results!Y1403</f>
        <v>90.11739000000307</v>
      </c>
      <c r="W42" s="1">
        <f>[1]Results!Z1403</f>
        <v>48.275109999998676</v>
      </c>
      <c r="X42" s="1">
        <f>[1]Results!AA1403</f>
        <v>-0.98515000000043074</v>
      </c>
      <c r="Y42" s="1">
        <f>[1]Results!AB1403</f>
        <v>-55.020469999999477</v>
      </c>
      <c r="Z42" s="1">
        <f>[1]Results!AC1403</f>
        <v>-110.75213000000076</v>
      </c>
      <c r="AA42" s="1">
        <f>[1]Results!AD1403</f>
        <v>-165.50330000000031</v>
      </c>
      <c r="AB42" s="1">
        <f>[1]Results!AE1403</f>
        <v>-217.25321000000258</v>
      </c>
      <c r="AC42" s="1">
        <f>[1]Results!AF1403</f>
        <v>-267.1194800000012</v>
      </c>
      <c r="AD42" s="1">
        <f>[1]Results!AG1403</f>
        <v>-313.35222999999678</v>
      </c>
      <c r="AE42" s="1">
        <f>[1]Results!AH1403</f>
        <v>-353.71121999999741</v>
      </c>
      <c r="AF42" s="1">
        <f>[1]Results!AI1403</f>
        <v>-386.18923000000359</v>
      </c>
      <c r="AG42" s="1">
        <f>[1]Results!AJ1403</f>
        <v>-409.39050000000134</v>
      </c>
      <c r="AH42" s="1">
        <f>[1]Results!AK1403</f>
        <v>-423.91186000000016</v>
      </c>
      <c r="AI42" s="1">
        <f>[1]Results!AL1403</f>
        <v>-429.12260000000242</v>
      </c>
      <c r="AJ42" s="1">
        <f>[1]Results!AM1403</f>
        <v>-424.71486999999615</v>
      </c>
      <c r="AK42" s="1">
        <f>[1]Results!AN1403</f>
        <v>-410.96844000000419</v>
      </c>
      <c r="AL42" s="1">
        <f>[1]Results!AO1403</f>
        <v>-388.65247999999701</v>
      </c>
    </row>
    <row r="43" spans="1:38" x14ac:dyDescent="0.35">
      <c r="A43" s="3" t="str">
        <f>[1]Results!E1404</f>
        <v>100*(UnR_2-UnR_0)</v>
      </c>
      <c r="B43" t="str">
        <f>[1]Results!C1404</f>
        <v>Taux de chômage (en point)</v>
      </c>
      <c r="C43" s="1">
        <f>[1]Results!F1404</f>
        <v>0</v>
      </c>
      <c r="D43" s="1">
        <f>[1]Results!G1404</f>
        <v>0</v>
      </c>
      <c r="E43" s="1">
        <f>[1]Results!H1404</f>
        <v>-1.000000082740371E-8</v>
      </c>
      <c r="F43" s="1">
        <f>[1]Results!I1404</f>
        <v>-1.000000082740371E-8</v>
      </c>
      <c r="G43" s="1">
        <f>[1]Results!J1404</f>
        <v>-1.000000082740371E-8</v>
      </c>
      <c r="H43" s="1">
        <f>[1]Results!K1404</f>
        <v>-9.9999980518461484E-9</v>
      </c>
      <c r="I43" s="1">
        <f>[1]Results!L1404</f>
        <v>-9.9999994396249292E-9</v>
      </c>
      <c r="J43" s="1">
        <f>[1]Results!M1404</f>
        <v>7.9451050000001189E-2</v>
      </c>
      <c r="K43" s="1">
        <f>[1]Results!N1404</f>
        <v>0.17967928999999966</v>
      </c>
      <c r="L43" s="1">
        <f>[1]Results!O1404</f>
        <v>0.11484291000000008</v>
      </c>
      <c r="M43" s="1">
        <f>[1]Results!P1404</f>
        <v>-7.7099899999999444E-2</v>
      </c>
      <c r="N43" s="1">
        <f>[1]Results!Q1404</f>
        <v>-0.24001297000000033</v>
      </c>
      <c r="O43" s="1">
        <f>[1]Results!R1404</f>
        <v>-0.33802155000000056</v>
      </c>
      <c r="P43" s="1">
        <f>[1]Results!S1404</f>
        <v>-0.38226652999999999</v>
      </c>
      <c r="Q43" s="1">
        <f>[1]Results!T1404</f>
        <v>-0.39552382000000025</v>
      </c>
      <c r="R43" s="1">
        <f>[1]Results!U1404</f>
        <v>-0.39046860999999988</v>
      </c>
      <c r="S43" s="1">
        <f>[1]Results!V1404</f>
        <v>-0.36478253999999988</v>
      </c>
      <c r="T43" s="1">
        <f>[1]Results!W1404</f>
        <v>-0.31877675000000077</v>
      </c>
      <c r="U43" s="1">
        <f>[1]Results!X1404</f>
        <v>-0.25398343999999962</v>
      </c>
      <c r="V43" s="1">
        <f>[1]Results!Y1404</f>
        <v>-0.17323497000000104</v>
      </c>
      <c r="W43" s="1">
        <f>[1]Results!Z1404</f>
        <v>-8.0925429999999243E-2</v>
      </c>
      <c r="X43" s="1">
        <f>[1]Results!AA1404</f>
        <v>2.6587969999999905E-2</v>
      </c>
      <c r="Y43" s="1">
        <f>[1]Results!AB1404</f>
        <v>0.1424776099999997</v>
      </c>
      <c r="Z43" s="1">
        <f>[1]Results!AC1404</f>
        <v>0.25957026999999938</v>
      </c>
      <c r="AA43" s="1">
        <f>[1]Results!AD1404</f>
        <v>0.37202784999999933</v>
      </c>
      <c r="AB43" s="1">
        <f>[1]Results!AE1404</f>
        <v>0.47672331999999984</v>
      </c>
      <c r="AC43" s="1">
        <f>[1]Results!AF1404</f>
        <v>0.57577335999999946</v>
      </c>
      <c r="AD43" s="1">
        <f>[1]Results!AG1404</f>
        <v>0.66566868000000057</v>
      </c>
      <c r="AE43" s="1">
        <f>[1]Results!AH1404</f>
        <v>0.74154887000000003</v>
      </c>
      <c r="AF43" s="1">
        <f>[1]Results!AI1404</f>
        <v>0.7994373500000006</v>
      </c>
      <c r="AG43" s="1">
        <f>[1]Results!AJ1404</f>
        <v>0.83698292999999924</v>
      </c>
      <c r="AH43" s="1">
        <f>[1]Results!AK1404</f>
        <v>0.85647318000000028</v>
      </c>
      <c r="AI43" s="1">
        <f>[1]Results!AL1404</f>
        <v>0.85695621000000044</v>
      </c>
      <c r="AJ43" s="1">
        <f>[1]Results!AM1404</f>
        <v>0.83829771000000008</v>
      </c>
      <c r="AK43" s="1">
        <f>[1]Results!AN1404</f>
        <v>0.80165472999999965</v>
      </c>
      <c r="AL43" s="1">
        <f>[1]Results!AO1404</f>
        <v>0.74911711000000025</v>
      </c>
    </row>
    <row r="44" spans="1:38" x14ac:dyDescent="0.35">
      <c r="A44" s="3" t="str">
        <f>[1]Results!E1405</f>
        <v>100*(Bal_Trade_VAL_2/(GDP_2*PGDP_2)-Bal_Trade_VAL_0/(GDP_0*PGDP_0))</v>
      </c>
      <c r="B44" t="str">
        <f>[1]Results!C1405</f>
        <v>Balance commerciale</v>
      </c>
      <c r="C44" s="1">
        <f>[1]Results!F1405</f>
        <v>-4.5384702940243216E-10</v>
      </c>
      <c r="D44" s="1">
        <f>[1]Results!G1405</f>
        <v>2.6586753198304391E-9</v>
      </c>
      <c r="E44" s="1">
        <f>[1]Results!H1405</f>
        <v>5.2692394284653554E-9</v>
      </c>
      <c r="F44" s="1">
        <f>[1]Results!I1405</f>
        <v>7.9986134035592293E-9</v>
      </c>
      <c r="G44" s="1">
        <f>[1]Results!J1405</f>
        <v>9.1153530903942404E-9</v>
      </c>
      <c r="H44" s="1">
        <f>[1]Results!K1405</f>
        <v>8.3132549455466886E-9</v>
      </c>
      <c r="I44" s="1">
        <f>[1]Results!L1405</f>
        <v>5.4129565413285619E-9</v>
      </c>
      <c r="J44" s="1">
        <f>[1]Results!M1405</f>
        <v>-0.24259806191837818</v>
      </c>
      <c r="K44" s="1">
        <f>[1]Results!N1405</f>
        <v>-0.34635438584345069</v>
      </c>
      <c r="L44" s="1">
        <f>[1]Results!O1405</f>
        <v>-0.1193174848669494</v>
      </c>
      <c r="M44" s="1">
        <f>[1]Results!P1405</f>
        <v>9.7861560688886767E-2</v>
      </c>
      <c r="N44" s="1">
        <f>[1]Results!Q1405</f>
        <v>0.20284472070561457</v>
      </c>
      <c r="O44" s="1">
        <f>[1]Results!R1405</f>
        <v>0.22724703570678462</v>
      </c>
      <c r="P44" s="1">
        <f>[1]Results!S1405</f>
        <v>0.20372589421192994</v>
      </c>
      <c r="Q44" s="1">
        <f>[1]Results!T1405</f>
        <v>0.17516135190204576</v>
      </c>
      <c r="R44" s="1">
        <f>[1]Results!U1405</f>
        <v>0.15458162459557404</v>
      </c>
      <c r="S44" s="1">
        <f>[1]Results!V1405</f>
        <v>0.12117009466374312</v>
      </c>
      <c r="T44" s="1">
        <f>[1]Results!W1405</f>
        <v>8.4430771446274838E-2</v>
      </c>
      <c r="U44" s="1">
        <f>[1]Results!X1405</f>
        <v>5.7128427962659795E-2</v>
      </c>
      <c r="V44" s="1">
        <f>[1]Results!Y1405</f>
        <v>3.7428334434057298E-2</v>
      </c>
      <c r="W44" s="1">
        <f>[1]Results!Z1405</f>
        <v>1.9331485769725348E-2</v>
      </c>
      <c r="X44" s="1">
        <f>[1]Results!AA1405</f>
        <v>-8.5264427801913512E-3</v>
      </c>
      <c r="Y44" s="1">
        <f>[1]Results!AB1405</f>
        <v>-4.287526579465073E-2</v>
      </c>
      <c r="Z44" s="1">
        <f>[1]Results!AC1405</f>
        <v>-7.6281001538804766E-2</v>
      </c>
      <c r="AA44" s="1">
        <f>[1]Results!AD1405</f>
        <v>-0.10643711923511226</v>
      </c>
      <c r="AB44" s="1">
        <f>[1]Results!AE1405</f>
        <v>-0.13464289703274887</v>
      </c>
      <c r="AC44" s="1">
        <f>[1]Results!AF1405</f>
        <v>-0.18089006739314406</v>
      </c>
      <c r="AD44" s="1">
        <f>[1]Results!AG1405</f>
        <v>-0.23841388038582031</v>
      </c>
      <c r="AE44" s="1">
        <f>[1]Results!AH1405</f>
        <v>-0.28806777024993557</v>
      </c>
      <c r="AF44" s="1">
        <f>[1]Results!AI1405</f>
        <v>-0.32614786785909522</v>
      </c>
      <c r="AG44" s="1">
        <f>[1]Results!AJ1405</f>
        <v>-0.35293151961931779</v>
      </c>
      <c r="AH44" s="1">
        <f>[1]Results!AK1405</f>
        <v>-0.37508191283889269</v>
      </c>
      <c r="AI44" s="1">
        <f>[1]Results!AL1405</f>
        <v>-0.39381789471797379</v>
      </c>
      <c r="AJ44" s="1">
        <f>[1]Results!AM1405</f>
        <v>-0.40390738181622088</v>
      </c>
      <c r="AK44" s="1">
        <f>[1]Results!AN1405</f>
        <v>-0.40586228049432904</v>
      </c>
      <c r="AL44" s="1">
        <f>[1]Results!AO1405</f>
        <v>-0.4020055100342465</v>
      </c>
    </row>
    <row r="45" spans="1:38" x14ac:dyDescent="0.35">
      <c r="A45" s="3" t="str">
        <f>[1]Results!E1406</f>
        <v>100*(ENER_BILL_2/(GDP_2*PGDP_2)-ENER_BILL_0/(GDP_0*PGDP_0))</v>
      </c>
      <c r="B45" t="str">
        <f>[1]Results!C1406</f>
        <v>Facture énergétique</v>
      </c>
      <c r="C45" s="1">
        <f>[1]Results!F1406</f>
        <v>1.8153877706650334E-9</v>
      </c>
      <c r="D45" s="1">
        <f>[1]Results!G1406</f>
        <v>0</v>
      </c>
      <c r="E45" s="1">
        <f>[1]Results!H1406</f>
        <v>-2.830063267067473E-9</v>
      </c>
      <c r="F45" s="1">
        <f>[1]Results!I1406</f>
        <v>-5.0766472622920666E-9</v>
      </c>
      <c r="G45" s="1">
        <f>[1]Results!J1406</f>
        <v>-5.6040262708112465E-9</v>
      </c>
      <c r="H45" s="1">
        <f>[1]Results!K1406</f>
        <v>-6.8054201163292305E-9</v>
      </c>
      <c r="I45" s="1">
        <f>[1]Results!L1406</f>
        <v>-7.7902075415470229E-9</v>
      </c>
      <c r="J45" s="1">
        <f>[1]Results!M1406</f>
        <v>-2.3498318911868363E-2</v>
      </c>
      <c r="K45" s="1">
        <f>[1]Results!N1406</f>
        <v>-5.671043995958986E-2</v>
      </c>
      <c r="L45" s="1">
        <f>[1]Results!O1406</f>
        <v>-0.11719601872410418</v>
      </c>
      <c r="M45" s="1">
        <f>[1]Results!P1406</f>
        <v>-0.19774843872051551</v>
      </c>
      <c r="N45" s="1">
        <f>[1]Results!Q1406</f>
        <v>-0.26361914990232677</v>
      </c>
      <c r="O45" s="1">
        <f>[1]Results!R1406</f>
        <v>-0.32510055545311339</v>
      </c>
      <c r="P45" s="1">
        <f>[1]Results!S1406</f>
        <v>-0.38191273025355288</v>
      </c>
      <c r="Q45" s="1">
        <f>[1]Results!T1406</f>
        <v>-0.43509333689971691</v>
      </c>
      <c r="R45" s="1">
        <f>[1]Results!U1406</f>
        <v>-0.48620226762126056</v>
      </c>
      <c r="S45" s="1">
        <f>[1]Results!V1406</f>
        <v>-0.53582140313365501</v>
      </c>
      <c r="T45" s="1">
        <f>[1]Results!W1406</f>
        <v>-0.58469524168284193</v>
      </c>
      <c r="U45" s="1">
        <f>[1]Results!X1406</f>
        <v>-0.63675339870323688</v>
      </c>
      <c r="V45" s="1">
        <f>[1]Results!Y1406</f>
        <v>-0.69578471411676956</v>
      </c>
      <c r="W45" s="1">
        <f>[1]Results!Z1406</f>
        <v>-0.75714194293985837</v>
      </c>
      <c r="X45" s="1">
        <f>[1]Results!AA1406</f>
        <v>-0.81798010190450454</v>
      </c>
      <c r="Y45" s="1">
        <f>[1]Results!AB1406</f>
        <v>-0.87701829436455725</v>
      </c>
      <c r="Z45" s="1">
        <f>[1]Results!AC1406</f>
        <v>-0.93495070830713867</v>
      </c>
      <c r="AA45" s="1">
        <f>[1]Results!AD1406</f>
        <v>-0.99245442617764357</v>
      </c>
      <c r="AB45" s="1">
        <f>[1]Results!AE1406</f>
        <v>-1.0495946116220838</v>
      </c>
      <c r="AC45" s="1">
        <f>[1]Results!AF1406</f>
        <v>-1.0939276549157928</v>
      </c>
      <c r="AD45" s="1">
        <f>[1]Results!AG1406</f>
        <v>-1.127718636763158</v>
      </c>
      <c r="AE45" s="1">
        <f>[1]Results!AH1406</f>
        <v>-1.1555711882807522</v>
      </c>
      <c r="AF45" s="1">
        <f>[1]Results!AI1406</f>
        <v>-1.1796706656717479</v>
      </c>
      <c r="AG45" s="1">
        <f>[1]Results!AJ1406</f>
        <v>-1.2005515418041364</v>
      </c>
      <c r="AH45" s="1">
        <f>[1]Results!AK1406</f>
        <v>-1.2171515066006668</v>
      </c>
      <c r="AI45" s="1">
        <f>[1]Results!AL1406</f>
        <v>-1.2286029482245235</v>
      </c>
      <c r="AJ45" s="1">
        <f>[1]Results!AM1406</f>
        <v>-1.2360359177064482</v>
      </c>
      <c r="AK45" s="1">
        <f>[1]Results!AN1406</f>
        <v>-1.2404445452930448</v>
      </c>
      <c r="AL45" s="1">
        <f>[1]Results!AO1406</f>
        <v>-1.242443388570482</v>
      </c>
    </row>
    <row r="46" spans="1:38" x14ac:dyDescent="0.35">
      <c r="A46" s="3" t="str">
        <f>[1]Results!E1407</f>
        <v>100*((-Bal_G_prim_VAL_2)/(GDP_2*PGDP_2)-(-Bal_G_prim_VAL_0)/(GDP_0*PGDP_0))</v>
      </c>
      <c r="B46" t="str">
        <f>[1]Results!C1407</f>
        <v>Solde public primaire</v>
      </c>
      <c r="C46" s="1">
        <f>[1]Results!F1407</f>
        <v>1.8153877706650334E-9</v>
      </c>
      <c r="D46" s="1">
        <f>[1]Results!G1407</f>
        <v>8.7169681195486959E-10</v>
      </c>
      <c r="E46" s="1">
        <f>[1]Results!H1407</f>
        <v>-1.2946807688429818E-9</v>
      </c>
      <c r="F46" s="1">
        <f>[1]Results!I1407</f>
        <v>-3.4771164029653856E-9</v>
      </c>
      <c r="G46" s="1">
        <f>[1]Results!J1407</f>
        <v>-7.7560465862325234E-9</v>
      </c>
      <c r="H46" s="1">
        <f>[1]Results!K1407</f>
        <v>-1.1584079875892606E-8</v>
      </c>
      <c r="I46" s="1">
        <f>[1]Results!L1407</f>
        <v>-1.2926780826316708E-8</v>
      </c>
      <c r="J46" s="1">
        <f>[1]Results!M1407</f>
        <v>0.14816630164490829</v>
      </c>
      <c r="K46" s="1">
        <f>[1]Results!N1407</f>
        <v>0.31993422530111548</v>
      </c>
      <c r="L46" s="1">
        <f>[1]Results!O1407</f>
        <v>0.36212806542123488</v>
      </c>
      <c r="M46" s="1">
        <f>[1]Results!P1407</f>
        <v>0.30819113124932046</v>
      </c>
      <c r="N46" s="1">
        <f>[1]Results!Q1407</f>
        <v>9.1980539911456355E-2</v>
      </c>
      <c r="O46" s="1">
        <f>[1]Results!R1407</f>
        <v>-0.13586608298322006</v>
      </c>
      <c r="P46" s="1">
        <f>[1]Results!S1407</f>
        <v>-0.33603831569065101</v>
      </c>
      <c r="Q46" s="1">
        <f>[1]Results!T1407</f>
        <v>-0.50022014436042483</v>
      </c>
      <c r="R46" s="1">
        <f>[1]Results!U1407</f>
        <v>-0.62962600486219034</v>
      </c>
      <c r="S46" s="1">
        <f>[1]Results!V1407</f>
        <v>-0.7115721977936238</v>
      </c>
      <c r="T46" s="1">
        <f>[1]Results!W1407</f>
        <v>-0.756456094719548</v>
      </c>
      <c r="U46" s="1">
        <f>[1]Results!X1407</f>
        <v>-0.77602629333614481</v>
      </c>
      <c r="V46" s="1">
        <f>[1]Results!Y1407</f>
        <v>-0.7820619156338402</v>
      </c>
      <c r="W46" s="1">
        <f>[1]Results!Z1407</f>
        <v>-0.76917434821199704</v>
      </c>
      <c r="X46" s="1">
        <f>[1]Results!AA1407</f>
        <v>-0.7451197521451659</v>
      </c>
      <c r="Y46" s="1">
        <f>[1]Results!AB1407</f>
        <v>-0.69871470976956007</v>
      </c>
      <c r="Z46" s="1">
        <f>[1]Results!AC1407</f>
        <v>-0.63323646645025644</v>
      </c>
      <c r="AA46" s="1">
        <f>[1]Results!AD1407</f>
        <v>-0.55397019108799217</v>
      </c>
      <c r="AB46" s="1">
        <f>[1]Results!AE1407</f>
        <v>-0.4637484852763718</v>
      </c>
      <c r="AC46" s="1">
        <f>[1]Results!AF1407</f>
        <v>-0.3706579590411388</v>
      </c>
      <c r="AD46" s="1">
        <f>[1]Results!AG1407</f>
        <v>-0.26922567615612208</v>
      </c>
      <c r="AE46" s="1">
        <f>[1]Results!AH1407</f>
        <v>-0.16544646657149636</v>
      </c>
      <c r="AF46" s="1">
        <f>[1]Results!AI1407</f>
        <v>-6.4858124383772309E-2</v>
      </c>
      <c r="AG46" s="1">
        <f>[1]Results!AJ1407</f>
        <v>2.8796059576924327E-2</v>
      </c>
      <c r="AH46" s="1">
        <f>[1]Results!AK1407</f>
        <v>0.11242822610077613</v>
      </c>
      <c r="AI46" s="1">
        <f>[1]Results!AL1407</f>
        <v>0.18793697637604356</v>
      </c>
      <c r="AJ46" s="1">
        <f>[1]Results!AM1407</f>
        <v>0.25290493990060281</v>
      </c>
      <c r="AK46" s="1">
        <f>[1]Results!AN1407</f>
        <v>0.3051993847337231</v>
      </c>
      <c r="AL46" s="1">
        <f>[1]Results!AO1407</f>
        <v>0.34365332128103165</v>
      </c>
    </row>
    <row r="47" spans="1:38" x14ac:dyDescent="0.35">
      <c r="A47" s="3" t="str">
        <f>[1]Results!E1408</f>
        <v>100*((-Bal_G_tot_VAL_2)/(GDP_2*PGDP_2)-(-Bal_G_tot_VAL_0)/(GDP_0*PGDP_0))</v>
      </c>
      <c r="B47" t="str">
        <f>[1]Results!C1408</f>
        <v xml:space="preserve">Solde public </v>
      </c>
      <c r="C47" s="1">
        <f>[1]Results!F1408</f>
        <v>1.8153877706650334E-9</v>
      </c>
      <c r="D47" s="1">
        <f>[1]Results!G1408</f>
        <v>1.046036209040313E-8</v>
      </c>
      <c r="E47" s="1">
        <f>[1]Results!H1408</f>
        <v>1.0245027742827872E-8</v>
      </c>
      <c r="F47" s="1">
        <f>[1]Results!I1408</f>
        <v>1.1017995543705084E-8</v>
      </c>
      <c r="G47" s="1">
        <f>[1]Results!J1408</f>
        <v>1.1759075137229846E-8</v>
      </c>
      <c r="H47" s="1">
        <f>[1]Results!K1408</f>
        <v>5.2774621478457462E-9</v>
      </c>
      <c r="I47" s="1">
        <f>[1]Results!L1408</f>
        <v>-5.7223204039807962E-10</v>
      </c>
      <c r="J47" s="1">
        <f>[1]Results!M1408</f>
        <v>0.14578771830716392</v>
      </c>
      <c r="K47" s="1">
        <f>[1]Results!N1408</f>
        <v>0.50920928371279184</v>
      </c>
      <c r="L47" s="1">
        <f>[1]Results!O1408</f>
        <v>0.72658244250186665</v>
      </c>
      <c r="M47" s="1">
        <f>[1]Results!P1408</f>
        <v>0.85894957705174269</v>
      </c>
      <c r="N47" s="1">
        <f>[1]Results!Q1408</f>
        <v>0.85443098497640513</v>
      </c>
      <c r="O47" s="1">
        <f>[1]Results!R1408</f>
        <v>0.5455631396336369</v>
      </c>
      <c r="P47" s="1">
        <f>[1]Results!S1408</f>
        <v>0.22829122409317379</v>
      </c>
      <c r="Q47" s="1">
        <f>[1]Results!T1408</f>
        <v>-5.7674920207264474E-2</v>
      </c>
      <c r="R47" s="1">
        <f>[1]Results!U1408</f>
        <v>-0.30108086505571052</v>
      </c>
      <c r="S47" s="1">
        <f>[1]Results!V1408</f>
        <v>-0.48615215136835688</v>
      </c>
      <c r="T47" s="1">
        <f>[1]Results!W1408</f>
        <v>-0.615507877484893</v>
      </c>
      <c r="U47" s="1">
        <f>[1]Results!X1408</f>
        <v>-0.71000742053407495</v>
      </c>
      <c r="V47" s="1">
        <f>[1]Results!Y1408</f>
        <v>-0.78532650901887369</v>
      </c>
      <c r="W47" s="1">
        <f>[1]Results!Z1408</f>
        <v>-0.83520015556342586</v>
      </c>
      <c r="X47" s="1">
        <f>[1]Results!AA1408</f>
        <v>-0.8649975600709674</v>
      </c>
      <c r="Y47" s="1">
        <f>[1]Results!AB1408</f>
        <v>-0.85793186245055331</v>
      </c>
      <c r="Z47" s="1">
        <f>[1]Results!AC1408</f>
        <v>-0.81774436879961798</v>
      </c>
      <c r="AA47" s="1">
        <f>[1]Results!AD1408</f>
        <v>-0.75022863789827721</v>
      </c>
      <c r="AB47" s="1">
        <f>[1]Results!AE1408</f>
        <v>-0.65913871209963704</v>
      </c>
      <c r="AC47" s="1">
        <f>[1]Results!AF1408</f>
        <v>-0.55484338123691224</v>
      </c>
      <c r="AD47" s="1">
        <f>[1]Results!AG1408</f>
        <v>-0.42644676869984938</v>
      </c>
      <c r="AE47" s="1">
        <f>[1]Results!AH1408</f>
        <v>-0.29441979120529704</v>
      </c>
      <c r="AF47" s="1">
        <f>[1]Results!AI1408</f>
        <v>-0.16365172277166967</v>
      </c>
      <c r="AG47" s="1">
        <f>[1]Results!AJ1408</f>
        <v>-3.8532549059899779E-2</v>
      </c>
      <c r="AH47" s="1">
        <f>[1]Results!AK1408</f>
        <v>7.6210212315476478E-2</v>
      </c>
      <c r="AI47" s="1">
        <f>[1]Results!AL1408</f>
        <v>0.18620035878460089</v>
      </c>
      <c r="AJ47" s="1">
        <f>[1]Results!AM1408</f>
        <v>0.27668549045032076</v>
      </c>
      <c r="AK47" s="1">
        <f>[1]Results!AN1408</f>
        <v>0.34629377601641254</v>
      </c>
      <c r="AL47" s="1">
        <f>[1]Results!AO1408</f>
        <v>0.39398471971174298</v>
      </c>
    </row>
    <row r="48" spans="1:38" x14ac:dyDescent="0.35">
      <c r="A48" s="3" t="str">
        <f>[1]Results!E1409</f>
        <v>(DEBT_G_VAL_2/(PGDP_2*GDP_2)-DEBT_G_VAL_0/(PGDP_0*GDP_0))*100</v>
      </c>
      <c r="B48" t="str">
        <f>[1]Results!C1409</f>
        <v>Dette publique</v>
      </c>
      <c r="C48" s="1">
        <f>[1]Results!F1409</f>
        <v>0</v>
      </c>
      <c r="D48" s="1">
        <f>[1]Results!G1409</f>
        <v>0</v>
      </c>
      <c r="E48" s="1">
        <f>[1]Results!H1409</f>
        <v>-8.8690221833331861E-8</v>
      </c>
      <c r="F48" s="1">
        <f>[1]Results!I1409</f>
        <v>-4.4478298821815088E-8</v>
      </c>
      <c r="G48" s="1">
        <f>[1]Results!J1409</f>
        <v>-4.1814496309910965E-8</v>
      </c>
      <c r="H48" s="1">
        <f>[1]Results!K1409</f>
        <v>-3.8694347725964917E-8</v>
      </c>
      <c r="I48" s="1">
        <f>[1]Results!L1409</f>
        <v>-1.0500926794776433E-7</v>
      </c>
      <c r="J48" s="1">
        <f>[1]Results!M1409</f>
        <v>4.1121095770901839E-2</v>
      </c>
      <c r="K48" s="1">
        <f>[1]Results!N1409</f>
        <v>0.14448816216019456</v>
      </c>
      <c r="L48" s="1">
        <f>[1]Results!O1409</f>
        <v>-0.14428733375765335</v>
      </c>
      <c r="M48" s="1">
        <f>[1]Results!P1409</f>
        <v>-0.6495136829917425</v>
      </c>
      <c r="N48" s="1">
        <f>[1]Results!Q1409</f>
        <v>-0.74571478197430485</v>
      </c>
      <c r="O48" s="1">
        <f>[1]Results!R1409</f>
        <v>-0.97105905220107869</v>
      </c>
      <c r="P48" s="1">
        <f>[1]Results!S1409</f>
        <v>-1.3651809470488385</v>
      </c>
      <c r="Q48" s="1">
        <f>[1]Results!T1409</f>
        <v>-1.9154846512998092</v>
      </c>
      <c r="R48" s="1">
        <f>[1]Results!U1409</f>
        <v>-2.5827390001455228</v>
      </c>
      <c r="S48" s="1">
        <f>[1]Results!V1409</f>
        <v>-3.3197040120314547</v>
      </c>
      <c r="T48" s="1">
        <f>[1]Results!W1409</f>
        <v>-4.075059156821828</v>
      </c>
      <c r="U48" s="1">
        <f>[1]Results!X1409</f>
        <v>-4.8222169738944602</v>
      </c>
      <c r="V48" s="1">
        <f>[1]Results!Y1409</f>
        <v>-5.5510682025074374</v>
      </c>
      <c r="W48" s="1">
        <f>[1]Results!Z1409</f>
        <v>-6.2499020357327035</v>
      </c>
      <c r="X48" s="1">
        <f>[1]Results!AA1409</f>
        <v>-6.9157342370529369</v>
      </c>
      <c r="Y48" s="1">
        <f>[1]Results!AB1409</f>
        <v>-7.5283720782145336</v>
      </c>
      <c r="Z48" s="1">
        <f>[1]Results!AC1409</f>
        <v>-8.068114980148497</v>
      </c>
      <c r="AA48" s="1">
        <f>[1]Results!AD1409</f>
        <v>-8.5197830969685029</v>
      </c>
      <c r="AB48" s="1">
        <f>[1]Results!AE1409</f>
        <v>-8.8716322944865649</v>
      </c>
      <c r="AC48" s="1">
        <f>[1]Results!AF1409</f>
        <v>-9.1445725585481306</v>
      </c>
      <c r="AD48" s="1">
        <f>[1]Results!AG1409</f>
        <v>-9.3100099415666548</v>
      </c>
      <c r="AE48" s="1">
        <f>[1]Results!AH1409</f>
        <v>-9.3593797986329772</v>
      </c>
      <c r="AF48" s="1">
        <f>[1]Results!AI1409</f>
        <v>-9.2923051121681191</v>
      </c>
      <c r="AG48" s="1">
        <f>[1]Results!AJ1409</f>
        <v>-9.1142746405817547</v>
      </c>
      <c r="AH48" s="1">
        <f>[1]Results!AK1409</f>
        <v>-8.8544840851436764</v>
      </c>
      <c r="AI48" s="1">
        <f>[1]Results!AL1409</f>
        <v>-8.5026254198931834</v>
      </c>
      <c r="AJ48" s="1">
        <f>[1]Results!AM1409</f>
        <v>-8.0675686788283958</v>
      </c>
      <c r="AK48" s="1">
        <f>[1]Results!AN1409</f>
        <v>-7.562433982634154</v>
      </c>
      <c r="AL48" s="1">
        <f>[1]Results!AO1409</f>
        <v>-7.0019887875341302</v>
      </c>
    </row>
    <row r="49" spans="1:38" x14ac:dyDescent="0.35">
      <c r="A49" s="3" t="str">
        <f>[1]Results!E1410</f>
        <v>GDP_2</v>
      </c>
      <c r="B49" t="str">
        <f>[1]Results!C1410</f>
        <v>PIB</v>
      </c>
      <c r="C49" s="1">
        <f>[1]Results!F1410</f>
        <v>2197796.3160000001</v>
      </c>
      <c r="D49" s="1">
        <f>[1]Results!G1410</f>
        <v>2237820.7209999999</v>
      </c>
      <c r="E49" s="1">
        <f>[1]Results!H1410</f>
        <v>2281813.1490000002</v>
      </c>
      <c r="F49" s="1">
        <f>[1]Results!I1410</f>
        <v>2330046.6430000002</v>
      </c>
      <c r="G49" s="1">
        <f>[1]Results!J1410</f>
        <v>2380725.5290000001</v>
      </c>
      <c r="H49" s="1">
        <f>[1]Results!K1410</f>
        <v>2434166.0150000001</v>
      </c>
      <c r="I49" s="1">
        <f>[1]Results!L1410</f>
        <v>2489672.9019999998</v>
      </c>
      <c r="J49" s="1">
        <f>[1]Results!M1410</f>
        <v>2540965.517</v>
      </c>
      <c r="K49" s="1">
        <f>[1]Results!N1410</f>
        <v>2594471.5660000001</v>
      </c>
      <c r="L49" s="1">
        <f>[1]Results!O1410</f>
        <v>2659801.3480000002</v>
      </c>
      <c r="M49" s="1">
        <f>[1]Results!P1410</f>
        <v>2727155.52</v>
      </c>
      <c r="N49" s="1">
        <f>[1]Results!Q1410</f>
        <v>2784788.1740000001</v>
      </c>
      <c r="O49" s="1">
        <f>[1]Results!R1410</f>
        <v>2836967.0649999999</v>
      </c>
      <c r="P49" s="1">
        <f>[1]Results!S1410</f>
        <v>2885479.5129999998</v>
      </c>
      <c r="Q49" s="1">
        <f>[1]Results!T1410</f>
        <v>2931852.2390000001</v>
      </c>
      <c r="R49" s="1">
        <f>[1]Results!U1410</f>
        <v>2976886.0669999998</v>
      </c>
      <c r="S49" s="1">
        <f>[1]Results!V1410</f>
        <v>3020757.0040000002</v>
      </c>
      <c r="T49" s="1">
        <f>[1]Results!W1410</f>
        <v>3064701.9449999998</v>
      </c>
      <c r="U49" s="1">
        <f>[1]Results!X1410</f>
        <v>3109904.9559999998</v>
      </c>
      <c r="V49" s="1">
        <f>[1]Results!Y1410</f>
        <v>3157370.4219999998</v>
      </c>
      <c r="W49" s="1">
        <f>[1]Results!Z1410</f>
        <v>3207560.443</v>
      </c>
      <c r="X49" s="1">
        <f>[1]Results!AA1410</f>
        <v>3261375.1090000002</v>
      </c>
      <c r="Y49" s="1">
        <f>[1]Results!AB1410</f>
        <v>3319875.7450000001</v>
      </c>
      <c r="Z49" s="1">
        <f>[1]Results!AC1410</f>
        <v>3383647.9410000001</v>
      </c>
      <c r="AA49" s="1">
        <f>[1]Results!AD1410</f>
        <v>3452899.2969999998</v>
      </c>
      <c r="AB49" s="1">
        <f>[1]Results!AE1410</f>
        <v>3526588.3810000001</v>
      </c>
      <c r="AC49" s="1">
        <f>[1]Results!AF1410</f>
        <v>3605385.5729999999</v>
      </c>
      <c r="AD49" s="1">
        <f>[1]Results!AG1410</f>
        <v>3689313.128</v>
      </c>
      <c r="AE49" s="1">
        <f>[1]Results!AH1410</f>
        <v>3778647.3629999999</v>
      </c>
      <c r="AF49" s="1">
        <f>[1]Results!AI1410</f>
        <v>3873118.8939999999</v>
      </c>
      <c r="AG49" s="1">
        <f>[1]Results!AJ1410</f>
        <v>3972057.983</v>
      </c>
      <c r="AH49" s="1">
        <f>[1]Results!AK1410</f>
        <v>4074524.514</v>
      </c>
      <c r="AI49" s="1">
        <f>[1]Results!AL1410</f>
        <v>4180046.4539999999</v>
      </c>
      <c r="AJ49" s="1">
        <f>[1]Results!AM1410</f>
        <v>4287980.4309999999</v>
      </c>
      <c r="AK49" s="1">
        <f>[1]Results!AN1410</f>
        <v>4397619.3269999996</v>
      </c>
      <c r="AL49" s="1">
        <f>[1]Results!AO1410</f>
        <v>4508204.6359999999</v>
      </c>
    </row>
    <row r="50" spans="1:38" x14ac:dyDescent="0.35">
      <c r="A50" s="3" t="str">
        <f>[1]Results!E1411</f>
        <v>(GDPter_2/GDPbis_2-1)*100</v>
      </c>
      <c r="B50" t="str">
        <f>[1]Results!C1411</f>
        <v>Ecart PIB</v>
      </c>
      <c r="C50" s="1">
        <f>[1]Results!F1411</f>
        <v>0</v>
      </c>
      <c r="D50" s="1">
        <f>[1]Results!G1411</f>
        <v>0</v>
      </c>
      <c r="E50" s="1">
        <f>[1]Results!H1411</f>
        <v>0</v>
      </c>
      <c r="F50" s="1">
        <f>[1]Results!I1411</f>
        <v>0</v>
      </c>
      <c r="G50" s="1">
        <f>[1]Results!J1411</f>
        <v>0</v>
      </c>
      <c r="H50" s="1">
        <f>[1]Results!K1411</f>
        <v>0</v>
      </c>
      <c r="I50" s="1">
        <f>[1]Results!L1411</f>
        <v>0</v>
      </c>
      <c r="J50" s="1">
        <f>[1]Results!M1411</f>
        <v>3.9355119163531072E-8</v>
      </c>
      <c r="K50" s="1">
        <f>[1]Results!N1411</f>
        <v>0</v>
      </c>
      <c r="L50" s="1">
        <f>[1]Results!O1411</f>
        <v>0</v>
      </c>
      <c r="M50" s="1">
        <f>[1]Results!P1411</f>
        <v>0</v>
      </c>
      <c r="N50" s="1">
        <f>[1]Results!Q1411</f>
        <v>0</v>
      </c>
      <c r="O50" s="1">
        <f>[1]Results!R1411</f>
        <v>-3.5248914898033945E-8</v>
      </c>
      <c r="P50" s="1">
        <f>[1]Results!S1411</f>
        <v>-3.4656277847489037E-8</v>
      </c>
      <c r="Q50" s="1">
        <f>[1]Results!T1411</f>
        <v>-3.4108138535771104E-8</v>
      </c>
      <c r="R50" s="1">
        <f>[1]Results!U1411</f>
        <v>0</v>
      </c>
      <c r="S50" s="1">
        <f>[1]Results!V1411</f>
        <v>-3.3104285979135284E-8</v>
      </c>
      <c r="T50" s="1">
        <f>[1]Results!W1411</f>
        <v>0</v>
      </c>
      <c r="U50" s="1">
        <f>[1]Results!X1411</f>
        <v>0</v>
      </c>
      <c r="V50" s="1">
        <f>[1]Results!Y1411</f>
        <v>0</v>
      </c>
      <c r="W50" s="1">
        <f>[1]Results!Z1411</f>
        <v>0</v>
      </c>
      <c r="X50" s="1">
        <f>[1]Results!AA1411</f>
        <v>0</v>
      </c>
      <c r="Y50" s="1">
        <f>[1]Results!AB1411</f>
        <v>0</v>
      </c>
      <c r="Z50" s="1">
        <f>[1]Results!AC1411</f>
        <v>0</v>
      </c>
      <c r="AA50" s="1">
        <f>[1]Results!AD1411</f>
        <v>0</v>
      </c>
      <c r="AB50" s="1">
        <f>[1]Results!AE1411</f>
        <v>0</v>
      </c>
      <c r="AC50" s="1">
        <f>[1]Results!AF1411</f>
        <v>0</v>
      </c>
      <c r="AD50" s="1">
        <f>[1]Results!AG1411</f>
        <v>-2.7105317990105959E-8</v>
      </c>
      <c r="AE50" s="1">
        <f>[1]Results!AH1411</f>
        <v>0</v>
      </c>
      <c r="AF50" s="1">
        <f>[1]Results!AI1411</f>
        <v>0</v>
      </c>
      <c r="AG50" s="1">
        <f>[1]Results!AJ1411</f>
        <v>0</v>
      </c>
      <c r="AH50" s="1">
        <f>[1]Results!AK1411</f>
        <v>-2.4542745613587158E-8</v>
      </c>
      <c r="AI50" s="1">
        <f>[1]Results!AL1411</f>
        <v>-2.3923174552464843E-8</v>
      </c>
      <c r="AJ50" s="1">
        <f>[1]Results!AM1411</f>
        <v>-2.3321000686138404E-8</v>
      </c>
      <c r="AK50" s="1">
        <f>[1]Results!AN1411</f>
        <v>-2.2739554683681718E-8</v>
      </c>
      <c r="AL50" s="1">
        <f>[1]Results!AO1411</f>
        <v>-2.2181778636110039E-8</v>
      </c>
    </row>
    <row r="51" spans="1:38" x14ac:dyDescent="0.35">
      <c r="A51" s="3" t="str">
        <f>[1]Results!E1412</f>
        <v>SPEND_G_VAL_2</v>
      </c>
      <c r="B51" t="str">
        <f>[1]Results!C1412</f>
        <v>Dépenses publiques</v>
      </c>
      <c r="C51" s="1">
        <f>[1]Results!F1412</f>
        <v>1178732.7069999999</v>
      </c>
      <c r="D51" s="1">
        <f>[1]Results!G1412</f>
        <v>1219449.203</v>
      </c>
      <c r="E51" s="1">
        <f>[1]Results!H1412</f>
        <v>1258068.987</v>
      </c>
      <c r="F51" s="1">
        <f>[1]Results!I1412</f>
        <v>1299225.0249999999</v>
      </c>
      <c r="G51" s="1">
        <f>[1]Results!J1412</f>
        <v>1341866.2860000001</v>
      </c>
      <c r="H51" s="1">
        <f>[1]Results!K1412</f>
        <v>1382158.219</v>
      </c>
      <c r="I51" s="1">
        <f>[1]Results!L1412</f>
        <v>1422073.713</v>
      </c>
      <c r="J51" s="1">
        <f>[1]Results!M1412</f>
        <v>1467436.932</v>
      </c>
      <c r="K51" s="1">
        <f>[1]Results!N1412</f>
        <v>1523665.5490000001</v>
      </c>
      <c r="L51" s="1">
        <f>[1]Results!O1412</f>
        <v>1586389.3770000001</v>
      </c>
      <c r="M51" s="1">
        <f>[1]Results!P1412</f>
        <v>1660133.452</v>
      </c>
      <c r="N51" s="1">
        <f>[1]Results!Q1412</f>
        <v>1732342.8219999999</v>
      </c>
      <c r="O51" s="1">
        <f>[1]Results!R1412</f>
        <v>1792729.16</v>
      </c>
      <c r="P51" s="1">
        <f>[1]Results!S1412</f>
        <v>1848958.6850000001</v>
      </c>
      <c r="Q51" s="1">
        <f>[1]Results!T1412</f>
        <v>1901688.6529999999</v>
      </c>
      <c r="R51" s="1">
        <f>[1]Results!U1412</f>
        <v>1951306.5009999999</v>
      </c>
      <c r="S51" s="1">
        <f>[1]Results!V1412</f>
        <v>1998809.8859999999</v>
      </c>
      <c r="T51" s="1">
        <f>[1]Results!W1412</f>
        <v>2044696.757</v>
      </c>
      <c r="U51" s="1">
        <f>[1]Results!X1412</f>
        <v>2088424.088</v>
      </c>
      <c r="V51" s="1">
        <f>[1]Results!Y1412</f>
        <v>2129529.6239999998</v>
      </c>
      <c r="W51" s="1">
        <f>[1]Results!Z1412</f>
        <v>2166662.929</v>
      </c>
      <c r="X51" s="1">
        <f>[1]Results!AA1412</f>
        <v>2202294.8620000002</v>
      </c>
      <c r="Y51" s="1">
        <f>[1]Results!AB1412</f>
        <v>2235507.1889999998</v>
      </c>
      <c r="Z51" s="1">
        <f>[1]Results!AC1412</f>
        <v>2266399.3190000001</v>
      </c>
      <c r="AA51" s="1">
        <f>[1]Results!AD1412</f>
        <v>2295168.4040000001</v>
      </c>
      <c r="AB51" s="1">
        <f>[1]Results!AE1412</f>
        <v>2317218.2659999998</v>
      </c>
      <c r="AC51" s="1">
        <f>[1]Results!AF1412</f>
        <v>2339900.693</v>
      </c>
      <c r="AD51" s="1">
        <f>[1]Results!AG1412</f>
        <v>2361709.5529999998</v>
      </c>
      <c r="AE51" s="1">
        <f>[1]Results!AH1412</f>
        <v>2381648.0699999998</v>
      </c>
      <c r="AF51" s="1">
        <f>[1]Results!AI1412</f>
        <v>2399492.4550000001</v>
      </c>
      <c r="AG51" s="1">
        <f>[1]Results!AJ1412</f>
        <v>2415022.6120000002</v>
      </c>
      <c r="AH51" s="1">
        <f>[1]Results!AK1412</f>
        <v>2427650.6370000001</v>
      </c>
      <c r="AI51" s="1">
        <f>[1]Results!AL1412</f>
        <v>2437760.2829999998</v>
      </c>
      <c r="AJ51" s="1">
        <f>[1]Results!AM1412</f>
        <v>2443957.037</v>
      </c>
      <c r="AK51" s="1">
        <f>[1]Results!AN1412</f>
        <v>2445837.9879999999</v>
      </c>
      <c r="AL51" s="1">
        <f>[1]Results!AO1412</f>
        <v>2442995.477</v>
      </c>
    </row>
    <row r="52" spans="1:38" x14ac:dyDescent="0.35">
      <c r="A52" s="3" t="str">
        <f>[1]Results!E1413</f>
        <v>INC_G_VAL_2</v>
      </c>
      <c r="B52" t="str">
        <f>[1]Results!C1413</f>
        <v>Recettes publiques</v>
      </c>
      <c r="C52" s="1">
        <f>[1]Results!F1413</f>
        <v>1011419.124</v>
      </c>
      <c r="D52" s="1">
        <f>[1]Results!G1413</f>
        <v>1049138.2379999999</v>
      </c>
      <c r="E52" s="1">
        <f>[1]Results!H1413</f>
        <v>1092135.2949999999</v>
      </c>
      <c r="F52" s="1">
        <f>[1]Results!I1413</f>
        <v>1140670.9339999999</v>
      </c>
      <c r="G52" s="1">
        <f>[1]Results!J1413</f>
        <v>1193300.1170000001</v>
      </c>
      <c r="H52" s="1">
        <f>[1]Results!K1413</f>
        <v>1249660.9110000001</v>
      </c>
      <c r="I52" s="1">
        <f>[1]Results!L1413</f>
        <v>1309530.05</v>
      </c>
      <c r="J52" s="1">
        <f>[1]Results!M1413</f>
        <v>1373510.183</v>
      </c>
      <c r="K52" s="1">
        <f>[1]Results!N1413</f>
        <v>1444177.2590000001</v>
      </c>
      <c r="L52" s="1">
        <f>[1]Results!O1413</f>
        <v>1528639.987</v>
      </c>
      <c r="M52" s="1">
        <f>[1]Results!P1413</f>
        <v>1628909.574</v>
      </c>
      <c r="N52" s="1">
        <f>[1]Results!Q1413</f>
        <v>1734026.46</v>
      </c>
      <c r="O52" s="1">
        <f>[1]Results!R1413</f>
        <v>1839218.102</v>
      </c>
      <c r="P52" s="1">
        <f>[1]Results!S1413</f>
        <v>1940984.676</v>
      </c>
      <c r="Q52" s="1">
        <f>[1]Results!T1413</f>
        <v>2037621.9909999999</v>
      </c>
      <c r="R52" s="1">
        <f>[1]Results!U1413</f>
        <v>2128472.6540000001</v>
      </c>
      <c r="S52" s="1">
        <f>[1]Results!V1413</f>
        <v>2213836.0929999999</v>
      </c>
      <c r="T52" s="1">
        <f>[1]Results!W1413</f>
        <v>2294753.719</v>
      </c>
      <c r="U52" s="1">
        <f>[1]Results!X1413</f>
        <v>2372439.952</v>
      </c>
      <c r="V52" s="1">
        <f>[1]Results!Y1413</f>
        <v>2448079.1490000002</v>
      </c>
      <c r="W52" s="1">
        <f>[1]Results!Z1413</f>
        <v>2522280.75</v>
      </c>
      <c r="X52" s="1">
        <f>[1]Results!AA1413</f>
        <v>2596108.2519999999</v>
      </c>
      <c r="Y52" s="1">
        <f>[1]Results!AB1413</f>
        <v>2670564.9950000001</v>
      </c>
      <c r="Z52" s="1">
        <f>[1]Results!AC1413</f>
        <v>2747245.426</v>
      </c>
      <c r="AA52" s="1">
        <f>[1]Results!AD1413</f>
        <v>2827807.1710000001</v>
      </c>
      <c r="AB52" s="1">
        <f>[1]Results!AE1413</f>
        <v>2912800.659</v>
      </c>
      <c r="AC52" s="1">
        <f>[1]Results!AF1413</f>
        <v>3003054.906</v>
      </c>
      <c r="AD52" s="1">
        <f>[1]Results!AG1413</f>
        <v>3100331.6069999998</v>
      </c>
      <c r="AE52" s="1">
        <f>[1]Results!AH1413</f>
        <v>3207093.3640000001</v>
      </c>
      <c r="AF52" s="1">
        <f>[1]Results!AI1413</f>
        <v>3325175.5639999998</v>
      </c>
      <c r="AG52" s="1">
        <f>[1]Results!AJ1413</f>
        <v>3455675.9959999998</v>
      </c>
      <c r="AH52" s="1">
        <f>[1]Results!AK1413</f>
        <v>3598791.52</v>
      </c>
      <c r="AI52" s="1">
        <f>[1]Results!AL1413</f>
        <v>3754957.03</v>
      </c>
      <c r="AJ52" s="1">
        <f>[1]Results!AM1413</f>
        <v>3924283.9559999998</v>
      </c>
      <c r="AK52" s="1">
        <f>[1]Results!AN1413</f>
        <v>4106539.6660000002</v>
      </c>
      <c r="AL52" s="1">
        <f>[1]Results!AO1413</f>
        <v>4301079.0429999996</v>
      </c>
    </row>
    <row r="53" spans="1:38" x14ac:dyDescent="0.35">
      <c r="A53" s="3" t="str">
        <f>[1]Results!E1414</f>
        <v>Bal_G_tot_VAL_2</v>
      </c>
      <c r="B53" t="str">
        <f>[1]Results!C1414</f>
        <v>Solde public</v>
      </c>
      <c r="C53" s="1">
        <f>[1]Results!F1414</f>
        <v>-65336.51528</v>
      </c>
      <c r="D53" s="1">
        <f>[1]Results!G1414</f>
        <v>-65067.071459999999</v>
      </c>
      <c r="E53" s="1">
        <f>[1]Results!H1414</f>
        <v>-57436.44526</v>
      </c>
      <c r="F53" s="1">
        <f>[1]Results!I1414</f>
        <v>-47185.021509999999</v>
      </c>
      <c r="G53" s="1">
        <f>[1]Results!J1414</f>
        <v>-34837.848050000001</v>
      </c>
      <c r="H53" s="1">
        <f>[1]Results!K1414</f>
        <v>-17027.095379999999</v>
      </c>
      <c r="I53" s="1">
        <f>[1]Results!L1414</f>
        <v>3777.9042979999999</v>
      </c>
      <c r="J53" s="1">
        <f>[1]Results!M1414</f>
        <v>22205.923419999999</v>
      </c>
      <c r="K53" s="1">
        <f>[1]Results!N1414</f>
        <v>35534.086600000002</v>
      </c>
      <c r="L53" s="1">
        <f>[1]Results!O1414</f>
        <v>55496.281320000002</v>
      </c>
      <c r="M53" s="1">
        <f>[1]Results!P1414</f>
        <v>79246.979980000004</v>
      </c>
      <c r="N53" s="1">
        <f>[1]Results!Q1414</f>
        <v>108192.1473</v>
      </c>
      <c r="O53" s="1">
        <f>[1]Results!R1414</f>
        <v>147587.8431</v>
      </c>
      <c r="P53" s="1">
        <f>[1]Results!S1414</f>
        <v>185745.5001</v>
      </c>
      <c r="Q53" s="1">
        <f>[1]Results!T1414</f>
        <v>220365.5724</v>
      </c>
      <c r="R53" s="1">
        <f>[1]Results!U1414</f>
        <v>250580.1091</v>
      </c>
      <c r="S53" s="1">
        <f>[1]Results!V1414</f>
        <v>275911.15710000001</v>
      </c>
      <c r="T53" s="1">
        <f>[1]Results!W1414</f>
        <v>297146.35430000001</v>
      </c>
      <c r="U53" s="1">
        <f>[1]Results!X1414</f>
        <v>316247.93939999997</v>
      </c>
      <c r="V53" s="1">
        <f>[1]Results!Y1414</f>
        <v>334969.20240000001</v>
      </c>
      <c r="W53" s="1">
        <f>[1]Results!Z1414</f>
        <v>355289.03840000002</v>
      </c>
      <c r="X53" s="1">
        <f>[1]Results!AA1414</f>
        <v>375720.15519999998</v>
      </c>
      <c r="Y53" s="1">
        <f>[1]Results!AB1414</f>
        <v>398178.5638</v>
      </c>
      <c r="Z53" s="1">
        <f>[1]Results!AC1414</f>
        <v>424057.93689999997</v>
      </c>
      <c r="AA53" s="1">
        <f>[1]Results!AD1414</f>
        <v>454647.69959999999</v>
      </c>
      <c r="AB53" s="1">
        <f>[1]Results!AE1414</f>
        <v>494858.94130000001</v>
      </c>
      <c r="AC53" s="1">
        <f>[1]Results!AF1414</f>
        <v>537687.81440000003</v>
      </c>
      <c r="AD53" s="1">
        <f>[1]Results!AG1414</f>
        <v>586271.26439999999</v>
      </c>
      <c r="AE53" s="1">
        <f>[1]Results!AH1414</f>
        <v>643780.94050000003</v>
      </c>
      <c r="AF53" s="1">
        <f>[1]Results!AI1414</f>
        <v>711829.70889999997</v>
      </c>
      <c r="AG53" s="1">
        <f>[1]Results!AJ1414</f>
        <v>791208.49820000003</v>
      </c>
      <c r="AH53" s="1">
        <f>[1]Results!AK1414</f>
        <v>882135.57279999997</v>
      </c>
      <c r="AI53" s="1">
        <f>[1]Results!AL1414</f>
        <v>984084.65800000005</v>
      </c>
      <c r="AJ53" s="1">
        <f>[1]Results!AM1414</f>
        <v>1098010.5959999999</v>
      </c>
      <c r="AK53" s="1">
        <f>[1]Results!AN1414</f>
        <v>1223484.8259999999</v>
      </c>
      <c r="AL53" s="1">
        <f>[1]Results!AO1414</f>
        <v>1359692.473</v>
      </c>
    </row>
    <row r="54" spans="1:38" x14ac:dyDescent="0.35">
      <c r="A54" s="3" t="str">
        <f>[1]Results!E1415</f>
        <v>DEBT_G_VAL_2</v>
      </c>
      <c r="B54" t="str">
        <f>[1]Results!C1415</f>
        <v>Dette publique</v>
      </c>
      <c r="C54" s="1">
        <f>[1]Results!F1415</f>
        <v>2104877.8689999999</v>
      </c>
      <c r="D54" s="1">
        <f>[1]Results!G1415</f>
        <v>2169944.94</v>
      </c>
      <c r="E54" s="1">
        <f>[1]Results!H1415</f>
        <v>2227381.3849999998</v>
      </c>
      <c r="F54" s="1">
        <f>[1]Results!I1415</f>
        <v>2274566.4070000001</v>
      </c>
      <c r="G54" s="1">
        <f>[1]Results!J1415</f>
        <v>2309404.2549999999</v>
      </c>
      <c r="H54" s="1">
        <f>[1]Results!K1415</f>
        <v>2326431.35</v>
      </c>
      <c r="I54" s="1">
        <f>[1]Results!L1415</f>
        <v>2322653.446</v>
      </c>
      <c r="J54" s="1">
        <f>[1]Results!M1415</f>
        <v>2300447.523</v>
      </c>
      <c r="K54" s="1">
        <f>[1]Results!N1415</f>
        <v>2264913.4360000002</v>
      </c>
      <c r="L54" s="1">
        <f>[1]Results!O1415</f>
        <v>2209417.1549999998</v>
      </c>
      <c r="M54" s="1">
        <f>[1]Results!P1415</f>
        <v>2130170.1749999998</v>
      </c>
      <c r="N54" s="1">
        <f>[1]Results!Q1415</f>
        <v>2021978.027</v>
      </c>
      <c r="O54" s="1">
        <f>[1]Results!R1415</f>
        <v>1874390.1839999999</v>
      </c>
      <c r="P54" s="1">
        <f>[1]Results!S1415</f>
        <v>1688644.6839999999</v>
      </c>
      <c r="Q54" s="1">
        <f>[1]Results!T1415</f>
        <v>1468279.112</v>
      </c>
      <c r="R54" s="1">
        <f>[1]Results!U1415</f>
        <v>1217699.003</v>
      </c>
      <c r="S54" s="1">
        <f>[1]Results!V1415</f>
        <v>941787.84569999995</v>
      </c>
      <c r="T54" s="1">
        <f>[1]Results!W1415</f>
        <v>644641.49140000006</v>
      </c>
      <c r="U54" s="1">
        <f>[1]Results!X1415</f>
        <v>328393.55200000003</v>
      </c>
      <c r="V54" s="1">
        <f>[1]Results!Y1415</f>
        <v>-6575.6504020000002</v>
      </c>
      <c r="W54" s="1">
        <f>[1]Results!Z1415</f>
        <v>-361864.6888</v>
      </c>
      <c r="X54" s="1">
        <f>[1]Results!AA1415</f>
        <v>-737584.84400000004</v>
      </c>
      <c r="Y54" s="1">
        <f>[1]Results!AB1415</f>
        <v>-1135763.4080000001</v>
      </c>
      <c r="Z54" s="1">
        <f>[1]Results!AC1415</f>
        <v>-1559821.345</v>
      </c>
      <c r="AA54" s="1">
        <f>[1]Results!AD1415</f>
        <v>-2014469.044</v>
      </c>
      <c r="AB54" s="1">
        <f>[1]Results!AE1415</f>
        <v>-2509327.986</v>
      </c>
      <c r="AC54" s="1">
        <f>[1]Results!AF1415</f>
        <v>-3047015.8</v>
      </c>
      <c r="AD54" s="1">
        <f>[1]Results!AG1415</f>
        <v>-3633287.0639999998</v>
      </c>
      <c r="AE54" s="1">
        <f>[1]Results!AH1415</f>
        <v>-4277068.0049999999</v>
      </c>
      <c r="AF54" s="1">
        <f>[1]Results!AI1415</f>
        <v>-4988897.7139999997</v>
      </c>
      <c r="AG54" s="1">
        <f>[1]Results!AJ1415</f>
        <v>-5780106.2120000003</v>
      </c>
      <c r="AH54" s="1">
        <f>[1]Results!AK1415</f>
        <v>-6662241.7850000001</v>
      </c>
      <c r="AI54" s="1">
        <f>[1]Results!AL1415</f>
        <v>-7646326.443</v>
      </c>
      <c r="AJ54" s="1">
        <f>[1]Results!AM1415</f>
        <v>-8744337.0390000008</v>
      </c>
      <c r="AK54" s="1">
        <f>[1]Results!AN1415</f>
        <v>-9967821.8650000002</v>
      </c>
      <c r="AL54" s="1">
        <f>[1]Results!AO1415</f>
        <v>-11327514.34</v>
      </c>
    </row>
    <row r="55" spans="1:38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A56" s="10" t="s">
        <v>3</v>
      </c>
      <c r="B56" t="s">
        <v>4</v>
      </c>
      <c r="C56" s="1">
        <f>[1]Results!F1789</f>
        <v>1.0026519949999999</v>
      </c>
      <c r="D56" s="1">
        <f>[1]Results!G1789</f>
        <v>1.0230570349999999</v>
      </c>
      <c r="E56" s="1">
        <f>[1]Results!H1789</f>
        <v>1.044305738</v>
      </c>
      <c r="F56" s="1">
        <f>[1]Results!I1789</f>
        <v>1.067695236</v>
      </c>
      <c r="G56" s="1">
        <f>[1]Results!J1789</f>
        <v>1.089934897</v>
      </c>
      <c r="H56" s="1">
        <f>[1]Results!K1789</f>
        <v>1.1125823610000001</v>
      </c>
      <c r="I56" s="1">
        <f>[1]Results!L1789</f>
        <v>1.135887868</v>
      </c>
      <c r="J56" s="1">
        <f>[1]Results!M1789</f>
        <v>1.159955555</v>
      </c>
      <c r="K56" s="1">
        <f>[1]Results!N1789</f>
        <v>1.184788634</v>
      </c>
      <c r="L56" s="1">
        <f>[1]Results!O1789</f>
        <v>1.2103594660000001</v>
      </c>
      <c r="M56" s="1">
        <f>[1]Results!P1789</f>
        <v>1.2363986680000001</v>
      </c>
      <c r="N56" s="1">
        <f>[1]Results!Q1789</f>
        <v>1.262143547</v>
      </c>
      <c r="O56" s="1">
        <f>[1]Results!R1789</f>
        <v>1.2868736249999999</v>
      </c>
      <c r="P56" s="1">
        <f>[1]Results!S1789</f>
        <v>1.310043734</v>
      </c>
      <c r="Q56" s="1">
        <f>[1]Results!T1789</f>
        <v>1.3313778570000001</v>
      </c>
      <c r="R56" s="1">
        <f>[1]Results!U1789</f>
        <v>1.350776355</v>
      </c>
      <c r="S56" s="1">
        <f>[1]Results!V1789</f>
        <v>1.3681958789999999</v>
      </c>
      <c r="T56" s="1">
        <f>[1]Results!W1789</f>
        <v>1.383708889</v>
      </c>
      <c r="U56" s="1">
        <f>[1]Results!X1789</f>
        <v>1.397575094</v>
      </c>
      <c r="V56" s="1">
        <f>[1]Results!Y1789</f>
        <v>1.4101613340000001</v>
      </c>
      <c r="W56" s="1">
        <f>[1]Results!Z1789</f>
        <v>1.421978819</v>
      </c>
      <c r="X56" s="1">
        <f>[1]Results!AA1789</f>
        <v>1.433435244</v>
      </c>
      <c r="Y56" s="1">
        <f>[1]Results!AB1789</f>
        <v>1.4450104969999999</v>
      </c>
      <c r="Z56" s="1">
        <f>[1]Results!AC1789</f>
        <v>1.4572240000000001</v>
      </c>
      <c r="AA56" s="1">
        <f>[1]Results!AD1789</f>
        <v>1.470648653</v>
      </c>
      <c r="AB56" s="1">
        <f>[1]Results!AE1789</f>
        <v>1.486024915</v>
      </c>
      <c r="AC56" s="1">
        <f>[1]Results!AF1789</f>
        <v>1.503509524</v>
      </c>
      <c r="AD56" s="1">
        <f>[1]Results!AG1789</f>
        <v>1.5233793499999999</v>
      </c>
      <c r="AE56" s="1">
        <f>[1]Results!AH1789</f>
        <v>1.5459126590000001</v>
      </c>
      <c r="AF56" s="1">
        <f>[1]Results!AI1789</f>
        <v>1.571233136</v>
      </c>
      <c r="AG56" s="1">
        <f>[1]Results!AJ1789</f>
        <v>1.599406076</v>
      </c>
      <c r="AH56" s="1">
        <f>[1]Results!AK1789</f>
        <v>1.630411644</v>
      </c>
      <c r="AI56" s="1">
        <f>[1]Results!AL1789</f>
        <v>1.6641567370000001</v>
      </c>
      <c r="AJ56" s="1">
        <f>[1]Results!AM1789</f>
        <v>1.700482584</v>
      </c>
      <c r="AK56" s="1">
        <f>[1]Results!AN1789</f>
        <v>1.739164945</v>
      </c>
      <c r="AL56" s="1">
        <f>[1]Results!AO1789</f>
        <v>1.779916958</v>
      </c>
    </row>
    <row r="57" spans="1:38" x14ac:dyDescent="0.35">
      <c r="A57" s="10"/>
      <c r="B57" t="s">
        <v>6</v>
      </c>
      <c r="C57" s="1">
        <f>[1]Results!F1760</f>
        <v>1.0026519949999999</v>
      </c>
      <c r="D57" s="1">
        <f>[1]Results!G1760</f>
        <v>1.023057036</v>
      </c>
      <c r="E57" s="1">
        <f>[1]Results!H1760</f>
        <v>1.0443057389999999</v>
      </c>
      <c r="F57" s="1">
        <f>[1]Results!I1760</f>
        <v>1.0676952369999999</v>
      </c>
      <c r="G57" s="1">
        <f>[1]Results!J1760</f>
        <v>1.0899348980000001</v>
      </c>
      <c r="H57" s="1">
        <f>[1]Results!K1760</f>
        <v>1.112582363</v>
      </c>
      <c r="I57" s="1">
        <f>[1]Results!L1760</f>
        <v>1.1358878699999999</v>
      </c>
      <c r="J57" s="1">
        <f>[1]Results!M1760</f>
        <v>1.1661700589999999</v>
      </c>
      <c r="K57" s="1">
        <f>[1]Results!N1760</f>
        <v>1.2013748609999999</v>
      </c>
      <c r="L57" s="1">
        <f>[1]Results!O1760</f>
        <v>1.243551552</v>
      </c>
      <c r="M57" s="1">
        <f>[1]Results!P1760</f>
        <v>1.29442485</v>
      </c>
      <c r="N57" s="1">
        <f>[1]Results!Q1760</f>
        <v>1.340113557</v>
      </c>
      <c r="O57" s="1">
        <f>[1]Results!R1760</f>
        <v>1.383904327</v>
      </c>
      <c r="P57" s="1">
        <f>[1]Results!S1760</f>
        <v>1.4254229220000001</v>
      </c>
      <c r="Q57" s="1">
        <f>[1]Results!T1760</f>
        <v>1.464487721</v>
      </c>
      <c r="R57" s="1">
        <f>[1]Results!U1760</f>
        <v>1.5009553579999999</v>
      </c>
      <c r="S57" s="1">
        <f>[1]Results!V1760</f>
        <v>1.535733963</v>
      </c>
      <c r="T57" s="1">
        <f>[1]Results!W1760</f>
        <v>1.5686619040000001</v>
      </c>
      <c r="U57" s="1">
        <f>[1]Results!X1760</f>
        <v>1.59945373</v>
      </c>
      <c r="V57" s="1">
        <f>[1]Results!Y1760</f>
        <v>1.627788577</v>
      </c>
      <c r="W57" s="1">
        <f>[1]Results!Z1760</f>
        <v>1.654167604</v>
      </c>
      <c r="X57" s="1">
        <f>[1]Results!AA1760</f>
        <v>1.6776501159999999</v>
      </c>
      <c r="Y57" s="1">
        <f>[1]Results!AB1760</f>
        <v>1.6993773759999999</v>
      </c>
      <c r="Z57" s="1">
        <f>[1]Results!AC1760</f>
        <v>1.719863658</v>
      </c>
      <c r="AA57" s="1">
        <f>[1]Results!AD1760</f>
        <v>1.7397504989999999</v>
      </c>
      <c r="AB57" s="1">
        <f>[1]Results!AE1760</f>
        <v>1.759956514</v>
      </c>
      <c r="AC57" s="1">
        <f>[1]Results!AF1760</f>
        <v>1.780331981</v>
      </c>
      <c r="AD57" s="1">
        <f>[1]Results!AG1760</f>
        <v>1.8022492429999999</v>
      </c>
      <c r="AE57" s="1">
        <f>[1]Results!AH1760</f>
        <v>1.8261677919999999</v>
      </c>
      <c r="AF57" s="1">
        <f>[1]Results!AI1760</f>
        <v>1.852435013</v>
      </c>
      <c r="AG57" s="1">
        <f>[1]Results!AJ1760</f>
        <v>1.881350072</v>
      </c>
      <c r="AH57" s="1">
        <f>[1]Results!AK1760</f>
        <v>1.9128627380000001</v>
      </c>
      <c r="AI57" s="1">
        <f>[1]Results!AL1760</f>
        <v>1.9475206060000001</v>
      </c>
      <c r="AJ57" s="1">
        <f>[1]Results!AM1760</f>
        <v>1.985343635</v>
      </c>
      <c r="AK57" s="1">
        <f>[1]Results!AN1760</f>
        <v>2.0262533249999999</v>
      </c>
      <c r="AL57" s="1">
        <f>[1]Results!AO1760</f>
        <v>2.0700823499999998</v>
      </c>
    </row>
    <row r="58" spans="1:38" x14ac:dyDescent="0.3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35">
      <c r="A59" s="10" t="s">
        <v>1</v>
      </c>
      <c r="B59" t="str">
        <f>B56</f>
        <v>Baseline</v>
      </c>
      <c r="D59" s="1">
        <f t="shared" ref="D59:AL59" si="0">(D56/C56-1)*100</f>
        <v>2.0351069066590677</v>
      </c>
      <c r="E59" s="1">
        <f t="shared" si="0"/>
        <v>2.0769812701596058</v>
      </c>
      <c r="F59" s="1">
        <f t="shared" si="0"/>
        <v>2.2397174648101092</v>
      </c>
      <c r="G59" s="1">
        <f t="shared" si="0"/>
        <v>2.082959654603167</v>
      </c>
      <c r="H59" s="1">
        <f t="shared" si="0"/>
        <v>2.0778730970387516</v>
      </c>
      <c r="I59" s="1">
        <f t="shared" si="0"/>
        <v>2.094721956498824</v>
      </c>
      <c r="J59" s="1">
        <f t="shared" si="0"/>
        <v>2.1188435652875537</v>
      </c>
      <c r="K59" s="1">
        <f t="shared" si="0"/>
        <v>2.1408646989065083</v>
      </c>
      <c r="L59" s="1">
        <f t="shared" si="0"/>
        <v>2.1582610827105553</v>
      </c>
      <c r="M59" s="1">
        <f t="shared" si="0"/>
        <v>2.1513610403737671</v>
      </c>
      <c r="N59" s="1">
        <f t="shared" si="0"/>
        <v>2.0822473904509087</v>
      </c>
      <c r="O59" s="1">
        <f t="shared" si="0"/>
        <v>1.9593712663493079</v>
      </c>
      <c r="P59" s="1">
        <f t="shared" si="0"/>
        <v>1.8004960665815251</v>
      </c>
      <c r="Q59" s="1">
        <f t="shared" si="0"/>
        <v>1.628504640441264</v>
      </c>
      <c r="R59" s="1">
        <f t="shared" si="0"/>
        <v>1.4570242323025173</v>
      </c>
      <c r="S59" s="1">
        <f t="shared" si="0"/>
        <v>1.2895934945500231</v>
      </c>
      <c r="T59" s="1">
        <f t="shared" si="0"/>
        <v>1.1338296100802614</v>
      </c>
      <c r="U59" s="1">
        <f t="shared" si="0"/>
        <v>1.0021042077731357</v>
      </c>
      <c r="V59" s="1">
        <f t="shared" si="0"/>
        <v>0.90057701042574045</v>
      </c>
      <c r="W59" s="1">
        <f t="shared" si="0"/>
        <v>0.83802361581415408</v>
      </c>
      <c r="X59" s="1">
        <f t="shared" si="0"/>
        <v>0.80566776712305277</v>
      </c>
      <c r="Y59" s="1">
        <f t="shared" si="0"/>
        <v>0.80751837576555907</v>
      </c>
      <c r="Z59" s="1">
        <f t="shared" si="0"/>
        <v>0.84521898113243399</v>
      </c>
      <c r="AA59" s="1">
        <f t="shared" si="0"/>
        <v>0.92124841479415132</v>
      </c>
      <c r="AB59" s="1">
        <f t="shared" si="0"/>
        <v>1.0455428608752815</v>
      </c>
      <c r="AC59" s="1">
        <f t="shared" si="0"/>
        <v>1.1766026816582675</v>
      </c>
      <c r="AD59" s="1">
        <f t="shared" si="0"/>
        <v>1.3215630285558388</v>
      </c>
      <c r="AE59" s="1">
        <f t="shared" si="0"/>
        <v>1.4791659739906704</v>
      </c>
      <c r="AF59" s="1">
        <f t="shared" si="0"/>
        <v>1.6378982895695282</v>
      </c>
      <c r="AG59" s="1">
        <f t="shared" si="0"/>
        <v>1.7930464521466183</v>
      </c>
      <c r="AH59" s="1">
        <f t="shared" si="0"/>
        <v>1.9385676011399733</v>
      </c>
      <c r="AI59" s="1">
        <f t="shared" si="0"/>
        <v>2.0697284102566327</v>
      </c>
      <c r="AJ59" s="1">
        <f t="shared" si="0"/>
        <v>2.1828380820357651</v>
      </c>
      <c r="AK59" s="1">
        <f t="shared" si="0"/>
        <v>2.2747872494529364</v>
      </c>
      <c r="AL59" s="1">
        <f t="shared" si="0"/>
        <v>2.3431942506177972</v>
      </c>
    </row>
    <row r="60" spans="1:38" x14ac:dyDescent="0.35">
      <c r="A60" s="10"/>
      <c r="B60" t="str">
        <f>B57</f>
        <v>NZ50</v>
      </c>
      <c r="D60" s="1">
        <f t="shared" ref="D60:AL60" si="1">(D57/C57-1)*100</f>
        <v>2.0351070063945764</v>
      </c>
      <c r="E60" s="1">
        <f t="shared" si="1"/>
        <v>2.0769812681294075</v>
      </c>
      <c r="F60" s="1">
        <f t="shared" si="1"/>
        <v>2.2397174626654026</v>
      </c>
      <c r="G60" s="1">
        <f t="shared" si="1"/>
        <v>2.0829596526522831</v>
      </c>
      <c r="H60" s="1">
        <f t="shared" si="1"/>
        <v>2.0778731868809297</v>
      </c>
      <c r="I60" s="1">
        <f t="shared" si="1"/>
        <v>2.0947219527333028</v>
      </c>
      <c r="J60" s="1">
        <f t="shared" si="1"/>
        <v>2.665948796512807</v>
      </c>
      <c r="K60" s="1">
        <f t="shared" si="1"/>
        <v>3.01883946756345</v>
      </c>
      <c r="L60" s="1">
        <f t="shared" si="1"/>
        <v>3.5107019773073178</v>
      </c>
      <c r="M60" s="1">
        <f t="shared" si="1"/>
        <v>4.0909681563406464</v>
      </c>
      <c r="N60" s="1">
        <f t="shared" si="1"/>
        <v>3.5296531119593411</v>
      </c>
      <c r="O60" s="1">
        <f t="shared" si="1"/>
        <v>3.2676909931447007</v>
      </c>
      <c r="P60" s="1">
        <f t="shared" si="1"/>
        <v>3.0001058736483177</v>
      </c>
      <c r="Q60" s="1">
        <f t="shared" si="1"/>
        <v>2.7405760351593367</v>
      </c>
      <c r="R60" s="1">
        <f t="shared" si="1"/>
        <v>2.4901292429477362</v>
      </c>
      <c r="S60" s="1">
        <f t="shared" si="1"/>
        <v>2.3170978946597032</v>
      </c>
      <c r="T60" s="1">
        <f t="shared" si="1"/>
        <v>2.1441175225217046</v>
      </c>
      <c r="U60" s="1">
        <f t="shared" si="1"/>
        <v>1.9629357939707992</v>
      </c>
      <c r="V60" s="1">
        <f t="shared" si="1"/>
        <v>1.7715327720045915</v>
      </c>
      <c r="W60" s="1">
        <f t="shared" si="1"/>
        <v>1.620543808497299</v>
      </c>
      <c r="X60" s="1">
        <f t="shared" si="1"/>
        <v>1.4195968983563789</v>
      </c>
      <c r="Y60" s="1">
        <f t="shared" si="1"/>
        <v>1.295100795617854</v>
      </c>
      <c r="Z60" s="1">
        <f t="shared" si="1"/>
        <v>1.2055169316318004</v>
      </c>
      <c r="AA60" s="1">
        <f t="shared" si="1"/>
        <v>1.1563033445991966</v>
      </c>
      <c r="AB60" s="1">
        <f t="shared" si="1"/>
        <v>1.1614317691884146</v>
      </c>
      <c r="AC60" s="1">
        <f t="shared" si="1"/>
        <v>1.1577255936677133</v>
      </c>
      <c r="AD60" s="1">
        <f t="shared" si="1"/>
        <v>1.2310772504176004</v>
      </c>
      <c r="AE60" s="1">
        <f t="shared" si="1"/>
        <v>1.3271498985448549</v>
      </c>
      <c r="AF60" s="1">
        <f t="shared" si="1"/>
        <v>1.4383793819533253</v>
      </c>
      <c r="AG60" s="1">
        <f t="shared" si="1"/>
        <v>1.5609216408176474</v>
      </c>
      <c r="AH60" s="1">
        <f t="shared" si="1"/>
        <v>1.6750027795996436</v>
      </c>
      <c r="AI60" s="1">
        <f t="shared" si="1"/>
        <v>1.8118324598782598</v>
      </c>
      <c r="AJ60" s="1">
        <f t="shared" si="1"/>
        <v>1.9421118771977719</v>
      </c>
      <c r="AK60" s="1">
        <f t="shared" si="1"/>
        <v>2.0605848417772687</v>
      </c>
      <c r="AL60" s="1">
        <f t="shared" si="1"/>
        <v>2.1630575239154792</v>
      </c>
    </row>
    <row r="61" spans="1:38" x14ac:dyDescent="0.35">
      <c r="A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38" x14ac:dyDescent="0.35">
      <c r="A62" s="10" t="s">
        <v>2</v>
      </c>
      <c r="B62" t="str">
        <f>B59</f>
        <v>Baseline</v>
      </c>
      <c r="C62" s="6">
        <f>[1]Emissions!B820</f>
        <v>348.06035179999998</v>
      </c>
      <c r="D62" s="6">
        <f>[1]Emissions!C820</f>
        <v>348.40595430000002</v>
      </c>
      <c r="E62" s="6">
        <f>[1]Emissions!D820</f>
        <v>348.84820539999998</v>
      </c>
      <c r="F62" s="6">
        <f>[1]Emissions!E820</f>
        <v>349.09550089999999</v>
      </c>
      <c r="G62" s="6">
        <f>[1]Emissions!F820</f>
        <v>351.27043859999998</v>
      </c>
      <c r="H62" s="6">
        <f>[1]Emissions!G820</f>
        <v>354.93011469999999</v>
      </c>
      <c r="I62" s="6">
        <f>[1]Emissions!H820</f>
        <v>359.91382590000001</v>
      </c>
      <c r="J62" s="6">
        <f>[1]Emissions!I820</f>
        <v>365.9466481</v>
      </c>
      <c r="K62" s="6">
        <f>[1]Emissions!J820</f>
        <v>372.73322569999999</v>
      </c>
      <c r="L62" s="6">
        <f>[1]Emissions!K820</f>
        <v>380.09761420000001</v>
      </c>
      <c r="M62" s="6">
        <f>[1]Emissions!L820</f>
        <v>387.77010899999999</v>
      </c>
      <c r="N62" s="6">
        <f>[1]Emissions!M820</f>
        <v>395.8555763</v>
      </c>
      <c r="O62" s="6">
        <f>[1]Emissions!N820</f>
        <v>403.35205459999997</v>
      </c>
      <c r="P62" s="6">
        <f>[1]Emissions!O820</f>
        <v>410.37041900000003</v>
      </c>
      <c r="Q62" s="6">
        <f>[1]Emissions!P820</f>
        <v>417.06547369999998</v>
      </c>
      <c r="R62" s="6">
        <f>[1]Emissions!Q820</f>
        <v>423.60929399999998</v>
      </c>
      <c r="S62" s="6">
        <f>[1]Emissions!R820</f>
        <v>430.21343059999998</v>
      </c>
      <c r="T62" s="6">
        <f>[1]Emissions!S820</f>
        <v>437.14605030000001</v>
      </c>
      <c r="U62" s="6">
        <f>[1]Emissions!T820</f>
        <v>444.54048949999998</v>
      </c>
      <c r="V62" s="6">
        <f>[1]Emissions!U820</f>
        <v>452.51809680000002</v>
      </c>
      <c r="W62" s="6">
        <f>[1]Emissions!V820</f>
        <v>461.16061530000002</v>
      </c>
      <c r="X62" s="6">
        <f>[1]Emissions!W820</f>
        <v>470.68547610000002</v>
      </c>
      <c r="Y62" s="6">
        <f>[1]Emissions!X820</f>
        <v>481.24626619999998</v>
      </c>
      <c r="Z62" s="6">
        <f>[1]Emissions!Y820</f>
        <v>492.98746449999999</v>
      </c>
      <c r="AA62" s="6">
        <f>[1]Emissions!Z820</f>
        <v>506.03204579999999</v>
      </c>
      <c r="AB62" s="6">
        <f>[1]Emissions!AA820</f>
        <v>520.35877289999996</v>
      </c>
      <c r="AC62" s="6">
        <f>[1]Emissions!AB820</f>
        <v>532.17556190000005</v>
      </c>
      <c r="AD62" s="6">
        <f>[1]Emissions!AC820</f>
        <v>543.73546690000001</v>
      </c>
      <c r="AE62" s="6">
        <f>[1]Emissions!AD820</f>
        <v>556.04277009999998</v>
      </c>
      <c r="AF62" s="6">
        <f>[1]Emissions!AE820</f>
        <v>569.30712689999996</v>
      </c>
      <c r="AG62" s="6">
        <f>[1]Emissions!AF820</f>
        <v>583.43526220000001</v>
      </c>
      <c r="AH62" s="6">
        <f>[1]Emissions!AG820</f>
        <v>598.26351490000002</v>
      </c>
      <c r="AI62" s="6">
        <f>[1]Emissions!AH820</f>
        <v>613.62866359999998</v>
      </c>
      <c r="AJ62" s="6">
        <f>[1]Emissions!AI820</f>
        <v>629.37060829999996</v>
      </c>
      <c r="AK62" s="6">
        <f>[1]Emissions!AJ820</f>
        <v>645.32935269999996</v>
      </c>
      <c r="AL62" s="6">
        <f>[1]Emissions!AK820</f>
        <v>661.34198279999998</v>
      </c>
    </row>
    <row r="63" spans="1:38" x14ac:dyDescent="0.35">
      <c r="A63" s="10"/>
      <c r="B63" t="str">
        <f>B60</f>
        <v>NZ50</v>
      </c>
      <c r="C63" s="6">
        <f>[1]Emissions!B825</f>
        <v>348.06037450000002</v>
      </c>
      <c r="D63" s="6">
        <f>[1]Emissions!C825</f>
        <v>348.40597639999999</v>
      </c>
      <c r="E63" s="6">
        <f>[1]Emissions!D825</f>
        <v>348.84822700000001</v>
      </c>
      <c r="F63" s="6">
        <f>[1]Emissions!E825</f>
        <v>349.09552189999999</v>
      </c>
      <c r="G63" s="6">
        <f>[1]Emissions!F825</f>
        <v>351.27045939999999</v>
      </c>
      <c r="H63" s="6">
        <f>[1]Emissions!G825</f>
        <v>354.93013550000001</v>
      </c>
      <c r="I63" s="6">
        <f>[1]Emissions!H825</f>
        <v>359.91384720000002</v>
      </c>
      <c r="J63" s="6">
        <f>[1]Emissions!I825</f>
        <v>362.81604290000001</v>
      </c>
      <c r="K63" s="6">
        <f>[1]Emissions!J825</f>
        <v>363.49235019999998</v>
      </c>
      <c r="L63" s="6">
        <f>[1]Emissions!K825</f>
        <v>363.3966734</v>
      </c>
      <c r="M63" s="6">
        <f>[1]Emissions!L825</f>
        <v>360.37722280000003</v>
      </c>
      <c r="N63" s="6">
        <f>[1]Emissions!M825</f>
        <v>360.00741579999999</v>
      </c>
      <c r="O63" s="6">
        <f>[1]Emissions!N825</f>
        <v>360.51318259999999</v>
      </c>
      <c r="P63" s="6">
        <f>[1]Emissions!O825</f>
        <v>361.60123920000001</v>
      </c>
      <c r="Q63" s="6">
        <f>[1]Emissions!P825</f>
        <v>363.16208230000001</v>
      </c>
      <c r="R63" s="6">
        <f>[1]Emissions!Q825</f>
        <v>365.09694459999997</v>
      </c>
      <c r="S63" s="6">
        <f>[1]Emissions!R825</f>
        <v>364.67873379999997</v>
      </c>
      <c r="T63" s="6">
        <f>[1]Emissions!S825</f>
        <v>364.0897099</v>
      </c>
      <c r="U63" s="6">
        <f>[1]Emissions!T825</f>
        <v>362.5062451</v>
      </c>
      <c r="V63" s="6">
        <f>[1]Emissions!U825</f>
        <v>358.15189729999997</v>
      </c>
      <c r="W63" s="6">
        <f>[1]Emissions!V825</f>
        <v>353.42323979999998</v>
      </c>
      <c r="X63" s="6">
        <f>[1]Emissions!W825</f>
        <v>348.71331140000001</v>
      </c>
      <c r="Y63" s="6">
        <f>[1]Emissions!X825</f>
        <v>344.14305280000002</v>
      </c>
      <c r="Z63" s="6">
        <f>[1]Emissions!Y825</f>
        <v>339.88966169999998</v>
      </c>
      <c r="AA63" s="6">
        <f>[1]Emissions!Z825</f>
        <v>336.16649519999999</v>
      </c>
      <c r="AB63" s="6">
        <f>[1]Emissions!AA825</f>
        <v>333.1173101</v>
      </c>
      <c r="AC63" s="6">
        <f>[1]Emissions!AB825</f>
        <v>328.47628350000002</v>
      </c>
      <c r="AD63" s="6">
        <f>[1]Emissions!AC825</f>
        <v>324.04043910000001</v>
      </c>
      <c r="AE63" s="6">
        <f>[1]Emissions!AD825</f>
        <v>320.498244</v>
      </c>
      <c r="AF63" s="6">
        <f>[1]Emissions!AE825</f>
        <v>317.96537940000002</v>
      </c>
      <c r="AG63" s="6">
        <f>[1]Emissions!AF825</f>
        <v>316.34579189999999</v>
      </c>
      <c r="AH63" s="6">
        <f>[1]Emissions!AG825</f>
        <v>315.58800789999998</v>
      </c>
      <c r="AI63" s="6">
        <f>[1]Emissions!AH825</f>
        <v>315.55430919999998</v>
      </c>
      <c r="AJ63" s="6">
        <f>[1]Emissions!AI825</f>
        <v>316.11614989999998</v>
      </c>
      <c r="AK63" s="6">
        <f>[1]Emissions!AJ825</f>
        <v>317.16266189999999</v>
      </c>
      <c r="AL63" s="6">
        <f>[1]Emissions!AK825</f>
        <v>318.60202529999998</v>
      </c>
    </row>
    <row r="64" spans="1:38" x14ac:dyDescent="0.35">
      <c r="A64" s="9"/>
      <c r="B64" t="s">
        <v>27</v>
      </c>
      <c r="C64" s="6">
        <f>[1]Emissions!B829</f>
        <v>119.49049309999999</v>
      </c>
      <c r="D64" s="6">
        <f>[1]Emissions!C829</f>
        <v>118.4245464</v>
      </c>
      <c r="E64" s="6">
        <f>[1]Emissions!D829</f>
        <v>117.25546319999999</v>
      </c>
      <c r="F64" s="6">
        <f>[1]Emissions!E829</f>
        <v>116.145245</v>
      </c>
      <c r="G64" s="6">
        <f>[1]Emissions!F829</f>
        <v>115.6746773</v>
      </c>
      <c r="H64" s="6">
        <f>[1]Emissions!G829</f>
        <v>115.5996868</v>
      </c>
      <c r="I64" s="6">
        <f>[1]Emissions!H829</f>
        <v>115.7459937</v>
      </c>
      <c r="J64" s="6">
        <f>[1]Emissions!I829</f>
        <v>115.48190219999999</v>
      </c>
      <c r="K64" s="6">
        <f>[1]Emissions!J829</f>
        <v>114.66442960000001</v>
      </c>
      <c r="L64" s="6">
        <f>[1]Emissions!K829</f>
        <v>113.5453419</v>
      </c>
      <c r="M64" s="6">
        <f>[1]Emissions!L829</f>
        <v>111.93847150000001</v>
      </c>
      <c r="N64" s="6">
        <f>[1]Emissions!M829</f>
        <v>111.3049656</v>
      </c>
      <c r="O64" s="6">
        <f>[1]Emissions!N829</f>
        <v>111.1171464</v>
      </c>
      <c r="P64" s="6">
        <f>[1]Emissions!O829</f>
        <v>111.1101513</v>
      </c>
      <c r="Q64" s="6">
        <f>[1]Emissions!P829</f>
        <v>111.1425844</v>
      </c>
      <c r="R64" s="6">
        <f>[1]Emissions!Q829</f>
        <v>111.1397625</v>
      </c>
      <c r="S64" s="6">
        <f>[1]Emissions!R829</f>
        <v>110.4817862</v>
      </c>
      <c r="T64" s="6">
        <f>[1]Emissions!S829</f>
        <v>109.64128890000001</v>
      </c>
      <c r="U64" s="6">
        <f>[1]Emissions!T829</f>
        <v>108.2093249</v>
      </c>
      <c r="V64" s="6">
        <f>[1]Emissions!U829</f>
        <v>105.2989697</v>
      </c>
      <c r="W64" s="6">
        <f>[1]Emissions!V829</f>
        <v>102.0282141</v>
      </c>
      <c r="X64" s="6">
        <f>[1]Emissions!W829</f>
        <v>98.518975310000002</v>
      </c>
      <c r="Y64" s="6">
        <f>[1]Emissions!X829</f>
        <v>94.783126240000001</v>
      </c>
      <c r="Z64" s="6">
        <f>[1]Emissions!Y829</f>
        <v>90.863175130000002</v>
      </c>
      <c r="AA64" s="6">
        <f>[1]Emissions!Z829</f>
        <v>86.819159929999998</v>
      </c>
      <c r="AB64" s="6">
        <f>[1]Emissions!AA829</f>
        <v>82.67012235</v>
      </c>
      <c r="AC64" s="6">
        <f>[1]Emissions!AB829</f>
        <v>78.552301349999993</v>
      </c>
      <c r="AD64" s="6">
        <f>[1]Emissions!AC829</f>
        <v>74.509999739999998</v>
      </c>
      <c r="AE64" s="6">
        <f>[1]Emissions!AD829</f>
        <v>70.56994847</v>
      </c>
      <c r="AF64" s="6">
        <f>[1]Emissions!AE829</f>
        <v>66.770444819999994</v>
      </c>
      <c r="AG64" s="6">
        <f>[1]Emissions!AF829</f>
        <v>63.147000519999999</v>
      </c>
      <c r="AH64" s="6">
        <f>[1]Emissions!AG829</f>
        <v>59.749114179999999</v>
      </c>
      <c r="AI64" s="6">
        <f>[1]Emissions!AH829</f>
        <v>56.585940209999997</v>
      </c>
      <c r="AJ64" s="6">
        <f>[1]Emissions!AI829</f>
        <v>53.667349440000002</v>
      </c>
      <c r="AK64" s="6">
        <f>[1]Emissions!AJ829</f>
        <v>51.000825759999998</v>
      </c>
      <c r="AL64" s="6">
        <f>[1]Emissions!AK829</f>
        <v>48.589150660000001</v>
      </c>
    </row>
    <row r="65" spans="1:38" x14ac:dyDescent="0.35">
      <c r="A65" s="9"/>
      <c r="B65" t="s">
        <v>28</v>
      </c>
      <c r="C65" s="6">
        <f>SUM(C66:C68)</f>
        <v>228.5698813482</v>
      </c>
      <c r="D65" s="6">
        <f t="shared" ref="D65:AL65" si="2">SUM(D66:D68)</f>
        <v>229.98143001240001</v>
      </c>
      <c r="E65" s="6">
        <f t="shared" si="2"/>
        <v>231.59276390230002</v>
      </c>
      <c r="F65" s="6">
        <f t="shared" si="2"/>
        <v>232.95027691949997</v>
      </c>
      <c r="G65" s="6">
        <f t="shared" si="2"/>
        <v>235.59578210820001</v>
      </c>
      <c r="H65" s="6">
        <f t="shared" si="2"/>
        <v>239.33044876349999</v>
      </c>
      <c r="I65" s="6">
        <f t="shared" si="2"/>
        <v>244.16785353099999</v>
      </c>
      <c r="J65" s="6">
        <f t="shared" si="2"/>
        <v>247.3341407126</v>
      </c>
      <c r="K65" s="6">
        <f t="shared" si="2"/>
        <v>248.82792060259999</v>
      </c>
      <c r="L65" s="6">
        <f t="shared" si="2"/>
        <v>249.8513315017</v>
      </c>
      <c r="M65" s="6">
        <f t="shared" si="2"/>
        <v>248.43875138210001</v>
      </c>
      <c r="N65" s="6">
        <f t="shared" si="2"/>
        <v>248.70245013740001</v>
      </c>
      <c r="O65" s="6">
        <f t="shared" si="2"/>
        <v>249.39603618000001</v>
      </c>
      <c r="P65" s="6">
        <f t="shared" si="2"/>
        <v>250.49108789550002</v>
      </c>
      <c r="Q65" s="6">
        <f t="shared" si="2"/>
        <v>252.01949785010001</v>
      </c>
      <c r="R65" s="6">
        <f t="shared" si="2"/>
        <v>253.95718215260001</v>
      </c>
      <c r="S65" s="6">
        <f t="shared" si="2"/>
        <v>254.19694752539999</v>
      </c>
      <c r="T65" s="6">
        <f t="shared" si="2"/>
        <v>254.44842102920001</v>
      </c>
      <c r="U65" s="6">
        <f t="shared" si="2"/>
        <v>254.29692016389998</v>
      </c>
      <c r="V65" s="6">
        <f t="shared" si="2"/>
        <v>252.8529277138</v>
      </c>
      <c r="W65" s="6">
        <f t="shared" si="2"/>
        <v>251.39502571470001</v>
      </c>
      <c r="X65" s="6">
        <f t="shared" si="2"/>
        <v>250.19433613520002</v>
      </c>
      <c r="Y65" s="6">
        <f t="shared" si="2"/>
        <v>249.35992652130003</v>
      </c>
      <c r="Z65" s="6">
        <f t="shared" si="2"/>
        <v>249.0264865911</v>
      </c>
      <c r="AA65" s="6">
        <f t="shared" si="2"/>
        <v>249.34733526050002</v>
      </c>
      <c r="AB65" s="6">
        <f t="shared" si="2"/>
        <v>250.44718776640002</v>
      </c>
      <c r="AC65" s="6">
        <f t="shared" si="2"/>
        <v>249.92398213480001</v>
      </c>
      <c r="AD65" s="6">
        <f t="shared" si="2"/>
        <v>249.53043933079999</v>
      </c>
      <c r="AE65" s="6">
        <f t="shared" si="2"/>
        <v>249.92829556660001</v>
      </c>
      <c r="AF65" s="6">
        <f t="shared" si="2"/>
        <v>251.1949345946</v>
      </c>
      <c r="AG65" s="6">
        <f t="shared" si="2"/>
        <v>253.19879137690003</v>
      </c>
      <c r="AH65" s="6">
        <f t="shared" si="2"/>
        <v>255.83889367630002</v>
      </c>
      <c r="AI65" s="6">
        <f t="shared" si="2"/>
        <v>258.96836901180001</v>
      </c>
      <c r="AJ65" s="6">
        <f t="shared" si="2"/>
        <v>262.44880044119998</v>
      </c>
      <c r="AK65" s="6">
        <f t="shared" si="2"/>
        <v>266.1618360667</v>
      </c>
      <c r="AL65" s="6">
        <f t="shared" si="2"/>
        <v>270.0128746318</v>
      </c>
    </row>
    <row r="66" spans="1:38" x14ac:dyDescent="0.35">
      <c r="A66" s="9"/>
      <c r="C66" s="5">
        <f>[1]Emissions!B826</f>
        <v>213.32079419999999</v>
      </c>
      <c r="D66" s="5">
        <f>[1]Emissions!C826</f>
        <v>214.48808220000001</v>
      </c>
      <c r="E66" s="5">
        <f>[1]Emissions!D826</f>
        <v>215.82419150000001</v>
      </c>
      <c r="F66" s="5">
        <f>[1]Emissions!E826</f>
        <v>216.88667659999999</v>
      </c>
      <c r="G66" s="5">
        <f>[1]Emissions!F826</f>
        <v>219.21695059999999</v>
      </c>
      <c r="H66" s="5">
        <f>[1]Emissions!G826</f>
        <v>222.61337940000001</v>
      </c>
      <c r="I66" s="5">
        <f>[1]Emissions!H826</f>
        <v>227.0861922</v>
      </c>
      <c r="J66" s="5">
        <f>[1]Emissions!I826</f>
        <v>229.9256546</v>
      </c>
      <c r="K66" s="5">
        <f>[1]Emissions!J826</f>
        <v>231.1012274</v>
      </c>
      <c r="L66" s="5">
        <f>[1]Emissions!K826</f>
        <v>231.76866480000001</v>
      </c>
      <c r="M66" s="5">
        <f>[1]Emissions!L826</f>
        <v>230.01484669999999</v>
      </c>
      <c r="N66" s="5">
        <f>[1]Emissions!M826</f>
        <v>229.98351890000001</v>
      </c>
      <c r="O66" s="5">
        <f>[1]Emissions!N826</f>
        <v>230.4091181</v>
      </c>
      <c r="P66" s="5">
        <f>[1]Emissions!O826</f>
        <v>231.24460999999999</v>
      </c>
      <c r="Q66" s="5">
        <f>[1]Emissions!P826</f>
        <v>232.507857</v>
      </c>
      <c r="R66" s="5">
        <f>[1]Emissions!Q826</f>
        <v>234.16817320000001</v>
      </c>
      <c r="S66" s="5">
        <f>[1]Emissions!R826</f>
        <v>234.11465229999999</v>
      </c>
      <c r="T66" s="5">
        <f>[1]Emissions!S826</f>
        <v>234.05832939999999</v>
      </c>
      <c r="U66" s="5">
        <f>[1]Emissions!T826</f>
        <v>233.58093779999999</v>
      </c>
      <c r="V66" s="5">
        <f>[1]Emissions!U826</f>
        <v>231.7886226</v>
      </c>
      <c r="W66" s="5">
        <f>[1]Emissions!V826</f>
        <v>229.9571492</v>
      </c>
      <c r="X66" s="5">
        <f>[1]Emissions!W826</f>
        <v>228.3494172</v>
      </c>
      <c r="Y66" s="5">
        <f>[1]Emissions!X826</f>
        <v>227.0672189</v>
      </c>
      <c r="Z66" s="5">
        <f>[1]Emissions!Y826</f>
        <v>226.24133710000001</v>
      </c>
      <c r="AA66" s="5">
        <f>[1]Emissions!Z826</f>
        <v>226.02394530000001</v>
      </c>
      <c r="AB66" s="5">
        <f>[1]Emissions!AA826</f>
        <v>226.54323400000001</v>
      </c>
      <c r="AC66" s="5">
        <f>[1]Emissions!AB826</f>
        <v>225.42013180000001</v>
      </c>
      <c r="AD66" s="5">
        <f>[1]Emissions!AC826</f>
        <v>224.4018763</v>
      </c>
      <c r="AE66" s="5">
        <f>[1]Emissions!AD826</f>
        <v>224.14522210000001</v>
      </c>
      <c r="AF66" s="5">
        <f>[1]Emissions!AE826</f>
        <v>224.72812909999999</v>
      </c>
      <c r="AG66" s="5">
        <f>[1]Emissions!AF826</f>
        <v>226.02365660000001</v>
      </c>
      <c r="AH66" s="5">
        <f>[1]Emissions!AG826</f>
        <v>227.9344342</v>
      </c>
      <c r="AI66" s="5">
        <f>[1]Emissions!AH826</f>
        <v>230.31704740000001</v>
      </c>
      <c r="AJ66" s="5">
        <f>[1]Emissions!AI826</f>
        <v>233.0377014</v>
      </c>
      <c r="AK66" s="5">
        <f>[1]Emissions!AJ826</f>
        <v>235.98312999999999</v>
      </c>
      <c r="AL66" s="5">
        <f>[1]Emissions!AK826</f>
        <v>239.06391730000001</v>
      </c>
    </row>
    <row r="67" spans="1:38" x14ac:dyDescent="0.35">
      <c r="A67" s="9"/>
      <c r="C67" s="5">
        <f>[1]Emissions!B827</f>
        <v>2.7544918200000001E-2</v>
      </c>
      <c r="D67" s="5">
        <f>[1]Emissions!C827</f>
        <v>2.8010612399999999E-2</v>
      </c>
      <c r="E67" s="5">
        <f>[1]Emissions!D827</f>
        <v>2.85534923E-2</v>
      </c>
      <c r="F67" s="5">
        <f>[1]Emissions!E827</f>
        <v>2.9175439500000001E-2</v>
      </c>
      <c r="G67" s="5">
        <f>[1]Emissions!F827</f>
        <v>2.9848708200000001E-2</v>
      </c>
      <c r="H67" s="5">
        <f>[1]Emissions!G827</f>
        <v>3.0576793500000001E-2</v>
      </c>
      <c r="I67" s="5">
        <f>[1]Emissions!H827</f>
        <v>3.1351321000000001E-2</v>
      </c>
      <c r="J67" s="5">
        <f>[1]Emissions!I827</f>
        <v>3.20453526E-2</v>
      </c>
      <c r="K67" s="5">
        <f>[1]Emissions!J827</f>
        <v>3.2764352599999998E-2</v>
      </c>
      <c r="L67" s="5">
        <f>[1]Emissions!K827</f>
        <v>3.36581517E-2</v>
      </c>
      <c r="M67" s="5">
        <f>[1]Emissions!L827</f>
        <v>3.4570802099999999E-2</v>
      </c>
      <c r="N67" s="5">
        <f>[1]Emissions!M827</f>
        <v>3.5302437399999997E-2</v>
      </c>
      <c r="O67" s="5">
        <f>[1]Emissions!N827</f>
        <v>3.5920069999999998E-2</v>
      </c>
      <c r="P67" s="5">
        <f>[1]Emissions!O827</f>
        <v>3.64678555E-2</v>
      </c>
      <c r="Q67" s="5">
        <f>[1]Emissions!P827</f>
        <v>3.6978580099999998E-2</v>
      </c>
      <c r="R67" s="5">
        <f>[1]Emissions!Q827</f>
        <v>3.7468462600000002E-2</v>
      </c>
      <c r="S67" s="5">
        <f>[1]Emissions!R827</f>
        <v>3.7951295400000001E-2</v>
      </c>
      <c r="T67" s="5">
        <f>[1]Emissions!S827</f>
        <v>3.8435209200000001E-2</v>
      </c>
      <c r="U67" s="5">
        <f>[1]Emissions!T827</f>
        <v>3.8936713900000003E-2</v>
      </c>
      <c r="V67" s="5">
        <f>[1]Emissions!U827</f>
        <v>3.9470423800000001E-2</v>
      </c>
      <c r="W67" s="5">
        <f>[1]Emissions!V827</f>
        <v>4.0046784699999997E-2</v>
      </c>
      <c r="X67" s="5">
        <f>[1]Emissions!W827</f>
        <v>4.0679705199999999E-2</v>
      </c>
      <c r="Y67" s="5">
        <f>[1]Emissions!X827</f>
        <v>4.1388671299999999E-2</v>
      </c>
      <c r="Z67" s="5">
        <f>[1]Emissions!Y827</f>
        <v>4.2184561099999997E-2</v>
      </c>
      <c r="AA67" s="5">
        <f>[1]Emissions!Z827</f>
        <v>4.3070910499999997E-2</v>
      </c>
      <c r="AB67" s="5">
        <f>[1]Emissions!AA827</f>
        <v>4.4032806399999999E-2</v>
      </c>
      <c r="AC67" s="5">
        <f>[1]Emissions!AB827</f>
        <v>4.5063794800000001E-2</v>
      </c>
      <c r="AD67" s="5">
        <f>[1]Emissions!AC827</f>
        <v>4.6183190800000003E-2</v>
      </c>
      <c r="AE67" s="5">
        <f>[1]Emissions!AD827</f>
        <v>4.7398696599999998E-2</v>
      </c>
      <c r="AF67" s="5">
        <f>[1]Emissions!AE827</f>
        <v>4.8705174599999998E-2</v>
      </c>
      <c r="AG67" s="5">
        <f>[1]Emissions!AF827</f>
        <v>5.0089546899999997E-2</v>
      </c>
      <c r="AH67" s="5">
        <f>[1]Emissions!AG827</f>
        <v>5.1534716299999998E-2</v>
      </c>
      <c r="AI67" s="5">
        <f>[1]Emissions!AH827</f>
        <v>5.3031701799999997E-2</v>
      </c>
      <c r="AJ67" s="5">
        <f>[1]Emissions!AI827</f>
        <v>5.4569061199999998E-2</v>
      </c>
      <c r="AK67" s="5">
        <f>[1]Emissions!AJ827</f>
        <v>5.6133896699999998E-2</v>
      </c>
      <c r="AL67" s="5">
        <f>[1]Emissions!AK827</f>
        <v>5.77124018E-2</v>
      </c>
    </row>
    <row r="68" spans="1:38" x14ac:dyDescent="0.35">
      <c r="C68" s="5">
        <f>[1]Emissions!B828</f>
        <v>15.221542230000001</v>
      </c>
      <c r="D68" s="5">
        <f>[1]Emissions!C828</f>
        <v>15.4653372</v>
      </c>
      <c r="E68" s="5">
        <f>[1]Emissions!D828</f>
        <v>15.74001891</v>
      </c>
      <c r="F68" s="5">
        <f>[1]Emissions!E828</f>
        <v>16.03442488</v>
      </c>
      <c r="G68" s="5">
        <f>[1]Emissions!F828</f>
        <v>16.348982800000002</v>
      </c>
      <c r="H68" s="5">
        <f>[1]Emissions!G828</f>
        <v>16.686492569999999</v>
      </c>
      <c r="I68" s="5">
        <f>[1]Emissions!H828</f>
        <v>17.05031001</v>
      </c>
      <c r="J68" s="5">
        <f>[1]Emissions!I828</f>
        <v>17.376440760000001</v>
      </c>
      <c r="K68" s="5">
        <f>[1]Emissions!J828</f>
        <v>17.693928849999999</v>
      </c>
      <c r="L68" s="5">
        <f>[1]Emissions!K828</f>
        <v>18.04900855</v>
      </c>
      <c r="M68" s="5">
        <f>[1]Emissions!L828</f>
        <v>18.389333879999999</v>
      </c>
      <c r="N68" s="5">
        <f>[1]Emissions!M828</f>
        <v>18.683628800000001</v>
      </c>
      <c r="O68" s="5">
        <f>[1]Emissions!N828</f>
        <v>18.950998009999999</v>
      </c>
      <c r="P68" s="5">
        <f>[1]Emissions!O828</f>
        <v>19.21001004</v>
      </c>
      <c r="Q68" s="5">
        <f>[1]Emissions!P828</f>
        <v>19.47466227</v>
      </c>
      <c r="R68" s="5">
        <f>[1]Emissions!Q828</f>
        <v>19.75154049</v>
      </c>
      <c r="S68" s="5">
        <f>[1]Emissions!R828</f>
        <v>20.04434393</v>
      </c>
      <c r="T68" s="5">
        <f>[1]Emissions!S828</f>
        <v>20.351656420000001</v>
      </c>
      <c r="U68" s="5">
        <f>[1]Emissions!T828</f>
        <v>20.67704565</v>
      </c>
      <c r="V68" s="5">
        <f>[1]Emissions!U828</f>
        <v>21.024834689999999</v>
      </c>
      <c r="W68" s="5">
        <f>[1]Emissions!V828</f>
        <v>21.397829730000002</v>
      </c>
      <c r="X68" s="5">
        <f>[1]Emissions!W828</f>
        <v>21.80423923</v>
      </c>
      <c r="Y68" s="5">
        <f>[1]Emissions!X828</f>
        <v>22.251318950000002</v>
      </c>
      <c r="Z68" s="5">
        <f>[1]Emissions!Y828</f>
        <v>22.742964929999999</v>
      </c>
      <c r="AA68" s="5">
        <f>[1]Emissions!Z828</f>
        <v>23.280319049999999</v>
      </c>
      <c r="AB68" s="5">
        <f>[1]Emissions!AA828</f>
        <v>23.85992096</v>
      </c>
      <c r="AC68" s="5">
        <f>[1]Emissions!AB828</f>
        <v>24.458786539999998</v>
      </c>
      <c r="AD68" s="5">
        <f>[1]Emissions!AC828</f>
        <v>25.082379840000002</v>
      </c>
      <c r="AE68" s="5">
        <f>[1]Emissions!AD828</f>
        <v>25.735674769999999</v>
      </c>
      <c r="AF68" s="5">
        <f>[1]Emissions!AE828</f>
        <v>26.418100320000001</v>
      </c>
      <c r="AG68" s="5">
        <f>[1]Emissions!AF828</f>
        <v>27.125045230000001</v>
      </c>
      <c r="AH68" s="5">
        <f>[1]Emissions!AG828</f>
        <v>27.852924760000001</v>
      </c>
      <c r="AI68" s="5">
        <f>[1]Emissions!AH828</f>
        <v>28.598289909999998</v>
      </c>
      <c r="AJ68" s="5">
        <f>[1]Emissions!AI828</f>
        <v>29.356529980000001</v>
      </c>
      <c r="AK68" s="5">
        <f>[1]Emissions!AJ828</f>
        <v>30.122572170000002</v>
      </c>
      <c r="AL68" s="5">
        <f>[1]Emissions!AK828</f>
        <v>30.891244929999999</v>
      </c>
    </row>
    <row r="69" spans="1:38" x14ac:dyDescent="0.35">
      <c r="B69" t="s">
        <v>15</v>
      </c>
      <c r="C69" s="6">
        <f>[1]Results!F1551</f>
        <v>1966664.7720000001</v>
      </c>
      <c r="D69" s="6">
        <f>[1]Results!G1551</f>
        <v>2002915.014</v>
      </c>
      <c r="E69" s="6">
        <f>[1]Results!H1551</f>
        <v>2042371.557</v>
      </c>
      <c r="F69" s="6">
        <f>[1]Results!I1551</f>
        <v>2085410.699</v>
      </c>
      <c r="G69" s="6">
        <f>[1]Results!J1551</f>
        <v>2130524.5359999998</v>
      </c>
      <c r="H69" s="6">
        <f>[1]Results!K1551</f>
        <v>2178018.5159999998</v>
      </c>
      <c r="I69" s="6">
        <f>[1]Results!L1551</f>
        <v>2227187.8829999999</v>
      </c>
      <c r="J69" s="6">
        <f>[1]Results!M1551</f>
        <v>2278088.844</v>
      </c>
      <c r="K69" s="6">
        <f>[1]Results!N1551</f>
        <v>2330572.2549999999</v>
      </c>
      <c r="L69" s="6">
        <f>[1]Results!O1551</f>
        <v>2384506.835</v>
      </c>
      <c r="M69" s="6">
        <f>[1]Results!P1551</f>
        <v>2438500.048</v>
      </c>
      <c r="N69" s="6">
        <f>[1]Results!Q1551</f>
        <v>2486852.9270000001</v>
      </c>
      <c r="O69" s="6">
        <f>[1]Results!R1551</f>
        <v>2531144.7200000002</v>
      </c>
      <c r="P69" s="6">
        <f>[1]Results!S1551</f>
        <v>2572180.4360000002</v>
      </c>
      <c r="Q69" s="6">
        <f>[1]Results!T1551</f>
        <v>2611074.1660000002</v>
      </c>
      <c r="R69" s="6">
        <f>[1]Results!U1551</f>
        <v>2648942.5440000002</v>
      </c>
      <c r="S69" s="6">
        <f>[1]Results!V1551</f>
        <v>2686893.7930000001</v>
      </c>
      <c r="T69" s="6">
        <f>[1]Results!W1551</f>
        <v>2726057.3089999999</v>
      </c>
      <c r="U69" s="6">
        <f>[1]Results!X1551</f>
        <v>2767386.639</v>
      </c>
      <c r="V69" s="6">
        <f>[1]Results!Y1551</f>
        <v>2811519.8259999999</v>
      </c>
      <c r="W69" s="6">
        <f>[1]Results!Z1551</f>
        <v>2858690.3640000001</v>
      </c>
      <c r="X69" s="6">
        <f>[1]Results!AA1551</f>
        <v>2909818.5040000002</v>
      </c>
      <c r="Y69" s="6">
        <f>[1]Results!AB1551</f>
        <v>2965369.395</v>
      </c>
      <c r="Z69" s="6">
        <f>[1]Results!AC1551</f>
        <v>3025633.5460000001</v>
      </c>
      <c r="AA69" s="6">
        <f>[1]Results!AD1551</f>
        <v>3090605.8450000002</v>
      </c>
      <c r="AB69" s="6">
        <f>[1]Results!AE1551</f>
        <v>3159309.1839999999</v>
      </c>
      <c r="AC69" s="6">
        <f>[1]Results!AF1551</f>
        <v>3233161.6140000001</v>
      </c>
      <c r="AD69" s="6">
        <f>[1]Results!AG1551</f>
        <v>3311684.1660000002</v>
      </c>
      <c r="AE69" s="6">
        <f>[1]Results!AH1551</f>
        <v>3394789.284</v>
      </c>
      <c r="AF69" s="6">
        <f>[1]Results!AI1551</f>
        <v>3481970.0639999998</v>
      </c>
      <c r="AG69" s="6">
        <f>[1]Results!AJ1551</f>
        <v>3572463.6370000001</v>
      </c>
      <c r="AH69" s="6">
        <f>[1]Results!AK1551</f>
        <v>3665585.3790000002</v>
      </c>
      <c r="AI69" s="6">
        <f>[1]Results!AL1551</f>
        <v>3760751.4619999998</v>
      </c>
      <c r="AJ69" s="6">
        <f>[1]Results!AM1551</f>
        <v>3857372.5189999999</v>
      </c>
      <c r="AK69" s="6">
        <f>[1]Results!AN1551</f>
        <v>3954836.2030000002</v>
      </c>
      <c r="AL69" s="6">
        <f>[1]Results!AO1551</f>
        <v>4052503.2289999998</v>
      </c>
    </row>
    <row r="70" spans="1:38" x14ac:dyDescent="0.35">
      <c r="A70" t="s">
        <v>13</v>
      </c>
      <c r="B70" t="s">
        <v>7</v>
      </c>
      <c r="C70" s="6">
        <f>[1]Results!F1552</f>
        <v>36109.890729999999</v>
      </c>
      <c r="D70" s="6">
        <f>[1]Results!G1552</f>
        <v>36627.220650000003</v>
      </c>
      <c r="E70" s="6">
        <f>[1]Results!H1552</f>
        <v>37226.910170000003</v>
      </c>
      <c r="F70" s="6">
        <f>[1]Results!I1552</f>
        <v>37916.346960000003</v>
      </c>
      <c r="G70" s="6">
        <f>[1]Results!J1552</f>
        <v>38677.675380000001</v>
      </c>
      <c r="H70" s="6">
        <f>[1]Results!K1552</f>
        <v>39508.816160000002</v>
      </c>
      <c r="I70" s="6">
        <f>[1]Results!L1552</f>
        <v>40420.376479999999</v>
      </c>
      <c r="J70" s="6">
        <f>[1]Results!M1552</f>
        <v>41383.20347</v>
      </c>
      <c r="K70" s="6">
        <f>[1]Results!N1552</f>
        <v>42386.636769999997</v>
      </c>
      <c r="L70" s="6">
        <f>[1]Results!O1552</f>
        <v>43424.763429999999</v>
      </c>
      <c r="M70" s="6">
        <f>[1]Results!P1552</f>
        <v>44464.342559999997</v>
      </c>
      <c r="N70" s="6">
        <f>[1]Results!Q1552</f>
        <v>45358.875050000002</v>
      </c>
      <c r="O70" s="6">
        <f>[1]Results!R1552</f>
        <v>46159.790489999999</v>
      </c>
      <c r="P70" s="6">
        <f>[1]Results!S1552</f>
        <v>46888.262490000001</v>
      </c>
      <c r="Q70" s="6">
        <f>[1]Results!T1552</f>
        <v>47569.816209999997</v>
      </c>
      <c r="R70" s="6">
        <f>[1]Results!U1552</f>
        <v>48229.634989999999</v>
      </c>
      <c r="S70" s="6">
        <f>[1]Results!V1552</f>
        <v>48910.377589999996</v>
      </c>
      <c r="T70" s="6">
        <f>[1]Results!W1552</f>
        <v>49623.308019999997</v>
      </c>
      <c r="U70" s="6">
        <f>[1]Results!X1552</f>
        <v>50387.931170000003</v>
      </c>
      <c r="V70" s="6">
        <f>[1]Results!Y1552</f>
        <v>51218.247170000002</v>
      </c>
      <c r="W70" s="6">
        <f>[1]Results!Z1552</f>
        <v>52118.31695</v>
      </c>
      <c r="X70" s="6">
        <f>[1]Results!AA1552</f>
        <v>53112.925560000003</v>
      </c>
      <c r="Y70" s="6">
        <f>[1]Results!AB1552</f>
        <v>54212.83698</v>
      </c>
      <c r="Z70" s="6">
        <f>[1]Results!AC1552</f>
        <v>55425.549290000003</v>
      </c>
      <c r="AA70" s="6">
        <f>[1]Results!AD1552</f>
        <v>56752.344299999997</v>
      </c>
      <c r="AB70" s="6">
        <f>[1]Results!AE1552</f>
        <v>58169.032619999998</v>
      </c>
      <c r="AC70" s="6">
        <f>[1]Results!AF1552</f>
        <v>59563.223579999998</v>
      </c>
      <c r="AD70" s="6">
        <f>[1]Results!AG1552</f>
        <v>61026.925380000001</v>
      </c>
      <c r="AE70" s="6">
        <f>[1]Results!AH1552</f>
        <v>62589.783629999998</v>
      </c>
      <c r="AF70" s="6">
        <f>[1]Results!AI1552</f>
        <v>64245.960760000002</v>
      </c>
      <c r="AG70" s="6">
        <f>[1]Results!AJ1552</f>
        <v>65977.030759999994</v>
      </c>
      <c r="AH70" s="6">
        <f>[1]Results!AK1552</f>
        <v>67765.583459999994</v>
      </c>
      <c r="AI70" s="6">
        <f>[1]Results!AL1552</f>
        <v>69596.735180000003</v>
      </c>
      <c r="AJ70" s="6">
        <f>[1]Results!AM1552</f>
        <v>71455.697660000005</v>
      </c>
      <c r="AK70" s="6">
        <f>[1]Results!AN1552</f>
        <v>73327.493719999999</v>
      </c>
      <c r="AL70" s="6">
        <f>[1]Results!AO1552</f>
        <v>75196.886450000005</v>
      </c>
    </row>
    <row r="71" spans="1:38" x14ac:dyDescent="0.35">
      <c r="B71" t="s">
        <v>8</v>
      </c>
      <c r="C71" s="6">
        <f>[1]Results!F1555</f>
        <v>331661.67540000001</v>
      </c>
      <c r="D71" s="6">
        <f>[1]Results!G1555</f>
        <v>339598.63290000003</v>
      </c>
      <c r="E71" s="6">
        <f>[1]Results!H1555</f>
        <v>347763.66960000002</v>
      </c>
      <c r="F71" s="6">
        <f>[1]Results!I1555</f>
        <v>356445.8737</v>
      </c>
      <c r="G71" s="6">
        <f>[1]Results!J1555</f>
        <v>365545.24939999997</v>
      </c>
      <c r="H71" s="6">
        <f>[1]Results!K1555</f>
        <v>375119.84230000002</v>
      </c>
      <c r="I71" s="6">
        <f>[1]Results!L1555</f>
        <v>385206.96889999998</v>
      </c>
      <c r="J71" s="6">
        <f>[1]Results!M1555</f>
        <v>395771.46220000001</v>
      </c>
      <c r="K71" s="6">
        <f>[1]Results!N1555</f>
        <v>406787.24349999998</v>
      </c>
      <c r="L71" s="6">
        <f>[1]Results!O1555</f>
        <v>418245.48969999998</v>
      </c>
      <c r="M71" s="6">
        <f>[1]Results!P1555</f>
        <v>429706.37160000001</v>
      </c>
      <c r="N71" s="6">
        <f>[1]Results!Q1555</f>
        <v>439654.26270000002</v>
      </c>
      <c r="O71" s="6">
        <f>[1]Results!R1555</f>
        <v>448880.4522</v>
      </c>
      <c r="P71" s="6">
        <f>[1]Results!S1555</f>
        <v>457658.64990000002</v>
      </c>
      <c r="Q71" s="6">
        <f>[1]Results!T1555</f>
        <v>466296.08299999998</v>
      </c>
      <c r="R71" s="6">
        <f>[1]Results!U1555</f>
        <v>475050.92790000001</v>
      </c>
      <c r="S71" s="6">
        <f>[1]Results!V1555</f>
        <v>484161.17070000002</v>
      </c>
      <c r="T71" s="6">
        <f>[1]Results!W1555</f>
        <v>493845.24080000003</v>
      </c>
      <c r="U71" s="6">
        <f>[1]Results!X1555</f>
        <v>504271.94870000001</v>
      </c>
      <c r="V71" s="6">
        <f>[1]Results!Y1555</f>
        <v>515534.0931</v>
      </c>
      <c r="W71" s="6">
        <f>[1]Results!Z1555</f>
        <v>527680.96180000005</v>
      </c>
      <c r="X71" s="6">
        <f>[1]Results!AA1555</f>
        <v>540850.19929999998</v>
      </c>
      <c r="Y71" s="6">
        <f>[1]Results!AB1555</f>
        <v>555149.55570000003</v>
      </c>
      <c r="Z71" s="6">
        <f>[1]Results!AC1555</f>
        <v>570634.62109999999</v>
      </c>
      <c r="AA71" s="6">
        <f>[1]Results!AD1555</f>
        <v>587290.76870000002</v>
      </c>
      <c r="AB71" s="6">
        <f>[1]Results!AE1555</f>
        <v>604982.576</v>
      </c>
      <c r="AC71" s="6">
        <f>[1]Results!AF1555</f>
        <v>623282.57389999996</v>
      </c>
      <c r="AD71" s="6">
        <f>[1]Results!AG1555</f>
        <v>642351.24710000004</v>
      </c>
      <c r="AE71" s="6">
        <f>[1]Results!AH1555</f>
        <v>662296.6949</v>
      </c>
      <c r="AF71" s="6">
        <f>[1]Results!AI1555</f>
        <v>683010.50490000006</v>
      </c>
      <c r="AG71" s="6">
        <f>[1]Results!AJ1555</f>
        <v>704312.71990000003</v>
      </c>
      <c r="AH71" s="6">
        <f>[1]Results!AK1555</f>
        <v>726066.4915</v>
      </c>
      <c r="AI71" s="6">
        <f>[1]Results!AL1555</f>
        <v>748171.97199999995</v>
      </c>
      <c r="AJ71" s="6">
        <f>[1]Results!AM1555</f>
        <v>770528.74179999996</v>
      </c>
      <c r="AK71" s="6">
        <f>[1]Results!AN1555</f>
        <v>793031.7402</v>
      </c>
      <c r="AL71" s="6">
        <f>[1]Results!AO1555</f>
        <v>815569.3763</v>
      </c>
    </row>
    <row r="72" spans="1:38" x14ac:dyDescent="0.35">
      <c r="B72" t="s">
        <v>9</v>
      </c>
      <c r="C72" s="6">
        <f>[1]Results!F1567</f>
        <v>48469.954230000003</v>
      </c>
      <c r="D72" s="6">
        <f>[1]Results!G1567</f>
        <v>49477.770960000002</v>
      </c>
      <c r="E72" s="6">
        <f>[1]Results!H1567</f>
        <v>50489.629639999999</v>
      </c>
      <c r="F72" s="6">
        <f>[1]Results!I1567</f>
        <v>51552.663710000001</v>
      </c>
      <c r="G72" s="6">
        <f>[1]Results!J1567</f>
        <v>52671.70983</v>
      </c>
      <c r="H72" s="6">
        <f>[1]Results!K1567</f>
        <v>53860.529459999998</v>
      </c>
      <c r="I72" s="6">
        <f>[1]Results!L1567</f>
        <v>55112.8799</v>
      </c>
      <c r="J72" s="6">
        <f>[1]Results!M1567</f>
        <v>56418.250139999996</v>
      </c>
      <c r="K72" s="6">
        <f>[1]Results!N1567</f>
        <v>57768.304120000001</v>
      </c>
      <c r="L72" s="6">
        <f>[1]Results!O1567</f>
        <v>59157.382850000002</v>
      </c>
      <c r="M72" s="6">
        <f>[1]Results!P1567</f>
        <v>60525.600339999997</v>
      </c>
      <c r="N72" s="6">
        <f>[1]Results!Q1567</f>
        <v>61666.119789999997</v>
      </c>
      <c r="O72" s="6">
        <f>[1]Results!R1567</f>
        <v>62677.015570000003</v>
      </c>
      <c r="P72" s="6">
        <f>[1]Results!S1567</f>
        <v>63591.312850000002</v>
      </c>
      <c r="Q72" s="6">
        <f>[1]Results!T1567</f>
        <v>64449.184650000003</v>
      </c>
      <c r="R72" s="6">
        <f>[1]Results!U1567</f>
        <v>65287.261299999998</v>
      </c>
      <c r="S72" s="6">
        <f>[1]Results!V1567</f>
        <v>66140.440990000003</v>
      </c>
      <c r="T72" s="6">
        <f>[1]Results!W1567</f>
        <v>67042.13076</v>
      </c>
      <c r="U72" s="6">
        <f>[1]Results!X1567</f>
        <v>68019.285340000002</v>
      </c>
      <c r="V72" s="6">
        <f>[1]Results!Y1567</f>
        <v>69088.403529999996</v>
      </c>
      <c r="W72" s="6">
        <f>[1]Results!Z1567</f>
        <v>70257.830100000006</v>
      </c>
      <c r="X72" s="6">
        <f>[1]Results!AA1567</f>
        <v>71551.594729999997</v>
      </c>
      <c r="Y72" s="6">
        <f>[1]Results!AB1567</f>
        <v>72984.298150000002</v>
      </c>
      <c r="Z72" s="6">
        <f>[1]Results!AC1567</f>
        <v>74563.164680000002</v>
      </c>
      <c r="AA72" s="6">
        <f>[1]Results!AD1567</f>
        <v>76285.701610000004</v>
      </c>
      <c r="AB72" s="6">
        <f>[1]Results!AE1567</f>
        <v>78128.136140000002</v>
      </c>
      <c r="AC72" s="6">
        <f>[1]Results!AF1567</f>
        <v>80085.012050000005</v>
      </c>
      <c r="AD72" s="6">
        <f>[1]Results!AG1567</f>
        <v>82175.745930000005</v>
      </c>
      <c r="AE72" s="6">
        <f>[1]Results!AH1567</f>
        <v>84405.686189999993</v>
      </c>
      <c r="AF72" s="6">
        <f>[1]Results!AI1567</f>
        <v>86753.046109999996</v>
      </c>
      <c r="AG72" s="6">
        <f>[1]Results!AJ1567</f>
        <v>89187.787450000003</v>
      </c>
      <c r="AH72" s="6">
        <f>[1]Results!AK1567</f>
        <v>91686.122820000004</v>
      </c>
      <c r="AI72" s="6">
        <f>[1]Results!AL1567</f>
        <v>94229.559569999998</v>
      </c>
      <c r="AJ72" s="6">
        <f>[1]Results!AM1567</f>
        <v>96799.985799999995</v>
      </c>
      <c r="AK72" s="6">
        <f>[1]Results!AN1567</f>
        <v>99379.178069999994</v>
      </c>
      <c r="AL72" s="6">
        <f>[1]Results!AO1567</f>
        <v>101948.68640000001</v>
      </c>
    </row>
    <row r="73" spans="1:38" x14ac:dyDescent="0.35">
      <c r="B73" t="s">
        <v>10</v>
      </c>
      <c r="C73" s="6">
        <f>[1]Results!F1572</f>
        <v>1511803.8160000001</v>
      </c>
      <c r="D73" s="6">
        <f>[1]Results!G1572</f>
        <v>1538010.648</v>
      </c>
      <c r="E73" s="6">
        <f>[1]Results!H1572</f>
        <v>1567152.371</v>
      </c>
      <c r="F73" s="6">
        <f>[1]Results!I1572</f>
        <v>1599174.8970000001</v>
      </c>
      <c r="G73" s="6">
        <f>[1]Results!J1572</f>
        <v>1632793.736</v>
      </c>
      <c r="H73" s="6">
        <f>[1]Results!K1572</f>
        <v>1668176.6869999999</v>
      </c>
      <c r="I73" s="6">
        <f>[1]Results!L1572</f>
        <v>1705178.0830000001</v>
      </c>
      <c r="J73" s="6">
        <f>[1]Results!M1572</f>
        <v>1743525.656</v>
      </c>
      <c r="K73" s="6">
        <f>[1]Results!N1572</f>
        <v>1783013.3529999999</v>
      </c>
      <c r="L73" s="6">
        <f>[1]Results!O1572</f>
        <v>1823510.6910000001</v>
      </c>
      <c r="M73" s="6">
        <f>[1]Results!P1572</f>
        <v>1864181.754</v>
      </c>
      <c r="N73" s="6">
        <f>[1]Results!Q1572</f>
        <v>1901023.24</v>
      </c>
      <c r="O73" s="6">
        <f>[1]Results!R1572</f>
        <v>1934815.4950000001</v>
      </c>
      <c r="P73" s="6">
        <f>[1]Results!S1572</f>
        <v>1966092.612</v>
      </c>
      <c r="Q73" s="6">
        <f>[1]Results!T1572</f>
        <v>1995595.1470000001</v>
      </c>
      <c r="R73" s="6">
        <f>[1]Results!U1572</f>
        <v>2024108.0560000001</v>
      </c>
      <c r="S73" s="6">
        <f>[1]Results!V1572</f>
        <v>2052467.352</v>
      </c>
      <c r="T73" s="6">
        <f>[1]Results!W1572</f>
        <v>2081500.72</v>
      </c>
      <c r="U73" s="6">
        <f>[1]Results!X1572</f>
        <v>2111925.7050000001</v>
      </c>
      <c r="V73" s="6">
        <f>[1]Results!Y1572</f>
        <v>2144254.5580000002</v>
      </c>
      <c r="W73" s="6">
        <f>[1]Results!Z1572</f>
        <v>2178673.4169999999</v>
      </c>
      <c r="X73" s="6">
        <f>[1]Results!AA1572</f>
        <v>2215922.0019999999</v>
      </c>
      <c r="Y73" s="6">
        <f>[1]Results!AB1572</f>
        <v>2256361.1719999998</v>
      </c>
      <c r="Z73" s="6">
        <f>[1]Results!AC1572</f>
        <v>2300249.5559999999</v>
      </c>
      <c r="AA73" s="6">
        <f>[1]Results!AD1572</f>
        <v>2347647.5619999999</v>
      </c>
      <c r="AB73" s="6">
        <f>[1]Results!AE1572</f>
        <v>2397836.3390000002</v>
      </c>
      <c r="AC73" s="6">
        <f>[1]Results!AF1572</f>
        <v>2450405.1290000002</v>
      </c>
      <c r="AD73" s="6">
        <f>[1]Results!AG1572</f>
        <v>2505883.0490000001</v>
      </c>
      <c r="AE73" s="6">
        <f>[1]Results!AH1572</f>
        <v>2564615.4679999999</v>
      </c>
      <c r="AF73" s="6">
        <f>[1]Results!AI1572</f>
        <v>2626417.301</v>
      </c>
      <c r="AG73" s="6">
        <f>[1]Results!AJ1572</f>
        <v>2690803.341</v>
      </c>
      <c r="AH73" s="6">
        <f>[1]Results!AK1572</f>
        <v>2757273.818</v>
      </c>
      <c r="AI73" s="6">
        <f>[1]Results!AL1572</f>
        <v>2825374.6940000001</v>
      </c>
      <c r="AJ73" s="6">
        <f>[1]Results!AM1572</f>
        <v>2894646.4139999999</v>
      </c>
      <c r="AK73" s="6">
        <f>[1]Results!AN1572</f>
        <v>2964613.0389999999</v>
      </c>
      <c r="AL73" s="6">
        <f>[1]Results!AO1572</f>
        <v>3034780.551</v>
      </c>
    </row>
    <row r="74" spans="1:38" x14ac:dyDescent="0.35">
      <c r="B74" t="s">
        <v>12</v>
      </c>
      <c r="C74" s="6">
        <f>[1]Results!F1575</f>
        <v>-2035.3530370000001</v>
      </c>
      <c r="D74" s="6">
        <f>[1]Results!G1575</f>
        <v>-2053.7817530000002</v>
      </c>
      <c r="E74" s="6">
        <f>[1]Results!H1575</f>
        <v>-2068.0253739999998</v>
      </c>
      <c r="F74" s="6">
        <f>[1]Results!I1575</f>
        <v>-2083.1929460000001</v>
      </c>
      <c r="G74" s="6">
        <f>[1]Results!J1575</f>
        <v>-2096.9415949999998</v>
      </c>
      <c r="H74" s="6">
        <f>[1]Results!K1575</f>
        <v>-2119.3789860000002</v>
      </c>
      <c r="I74" s="6">
        <f>[1]Results!L1575</f>
        <v>-2133.8534049999998</v>
      </c>
      <c r="J74" s="6">
        <f>[1]Results!M1575</f>
        <v>-2153.750618</v>
      </c>
      <c r="K74" s="6">
        <f>[1]Results!N1575</f>
        <v>-2177.0017969999999</v>
      </c>
      <c r="L74" s="6">
        <f>[1]Results!O1575</f>
        <v>-2201.537284</v>
      </c>
      <c r="M74" s="6">
        <f>[1]Results!P1575</f>
        <v>-2227.0259999999998</v>
      </c>
      <c r="N74" s="6">
        <f>[1]Results!Q1575</f>
        <v>-2269.775983</v>
      </c>
      <c r="O74" s="6">
        <f>[1]Results!R1575</f>
        <v>-2306.246181</v>
      </c>
      <c r="P74" s="6">
        <f>[1]Results!S1575</f>
        <v>-2335.1017299999999</v>
      </c>
      <c r="Q74" s="6">
        <f>[1]Results!T1575</f>
        <v>-2357.9729400000001</v>
      </c>
      <c r="R74" s="6">
        <f>[1]Results!U1575</f>
        <v>-2376.7213769999998</v>
      </c>
      <c r="S74" s="6">
        <f>[1]Results!V1575</f>
        <v>-2393.2134890000002</v>
      </c>
      <c r="T74" s="6">
        <f>[1]Results!W1575</f>
        <v>-2407.3094970000002</v>
      </c>
      <c r="U74" s="6">
        <f>[1]Results!X1575</f>
        <v>-2421.8316150000001</v>
      </c>
      <c r="V74" s="6">
        <f>[1]Results!Y1575</f>
        <v>-2437.8805459999999</v>
      </c>
      <c r="W74" s="6">
        <f>[1]Results!Z1575</f>
        <v>-2455.9417389999999</v>
      </c>
      <c r="X74" s="6">
        <f>[1]Results!AA1575</f>
        <v>-2475.709625</v>
      </c>
      <c r="Y74" s="6">
        <f>[1]Results!AB1575</f>
        <v>-2497.6987770000001</v>
      </c>
      <c r="Z74" s="6">
        <f>[1]Results!AC1575</f>
        <v>-2522.373329</v>
      </c>
      <c r="AA74" s="6">
        <f>[1]Results!AD1575</f>
        <v>-2550.0060410000001</v>
      </c>
      <c r="AB74" s="6">
        <f>[1]Results!AE1575</f>
        <v>-2580.8870489999999</v>
      </c>
      <c r="AC74" s="6">
        <f>[1]Results!AF1575</f>
        <v>-2635.0015739999999</v>
      </c>
      <c r="AD74" s="6">
        <f>[1]Results!AG1575</f>
        <v>-2689.7698099999998</v>
      </c>
      <c r="AE74" s="6">
        <f>[1]Results!AH1575</f>
        <v>-2745.3846920000001</v>
      </c>
      <c r="AF74" s="6">
        <f>[1]Results!AI1575</f>
        <v>-2804.7492929999999</v>
      </c>
      <c r="AG74" s="6">
        <f>[1]Results!AJ1575</f>
        <v>-2868.5962279999999</v>
      </c>
      <c r="AH74" s="6">
        <f>[1]Results!AK1575</f>
        <v>-2936.1546819999999</v>
      </c>
      <c r="AI74" s="6">
        <f>[1]Results!AL1575</f>
        <v>-3006.4366989999999</v>
      </c>
      <c r="AJ74" s="6">
        <f>[1]Results!AM1575</f>
        <v>-3078.7029349999998</v>
      </c>
      <c r="AK74" s="6">
        <f>[1]Results!AN1575</f>
        <v>-3152.3215540000001</v>
      </c>
      <c r="AL74" s="6">
        <f>[1]Results!AO1575</f>
        <v>-3226.6775520000001</v>
      </c>
    </row>
    <row r="75" spans="1:38" x14ac:dyDescent="0.35">
      <c r="B75" t="s">
        <v>11</v>
      </c>
      <c r="C75" s="6">
        <f>[1]Results!F1580</f>
        <v>40654.788639999999</v>
      </c>
      <c r="D75" s="6">
        <f>[1]Results!G1580</f>
        <v>41254.523200000003</v>
      </c>
      <c r="E75" s="6">
        <f>[1]Results!H1580</f>
        <v>41807.002030000003</v>
      </c>
      <c r="F75" s="6">
        <f>[1]Results!I1580</f>
        <v>42404.110410000001</v>
      </c>
      <c r="G75" s="6">
        <f>[1]Results!J1580</f>
        <v>42933.1077</v>
      </c>
      <c r="H75" s="6">
        <f>[1]Results!K1580</f>
        <v>43472.020320000003</v>
      </c>
      <c r="I75" s="6">
        <f>[1]Results!L1580</f>
        <v>43403.42813</v>
      </c>
      <c r="J75" s="6">
        <f>[1]Results!M1580</f>
        <v>43144.02246</v>
      </c>
      <c r="K75" s="6">
        <f>[1]Results!N1580</f>
        <v>42793.718789999999</v>
      </c>
      <c r="L75" s="6">
        <f>[1]Results!O1580</f>
        <v>42370.045270000002</v>
      </c>
      <c r="M75" s="6">
        <f>[1]Results!P1580</f>
        <v>41849.00578</v>
      </c>
      <c r="N75" s="6">
        <f>[1]Results!Q1580</f>
        <v>41420.205710000002</v>
      </c>
      <c r="O75" s="6">
        <f>[1]Results!R1580</f>
        <v>40918.212480000002</v>
      </c>
      <c r="P75" s="6">
        <f>[1]Results!S1580</f>
        <v>40284.700539999998</v>
      </c>
      <c r="Q75" s="6">
        <f>[1]Results!T1580</f>
        <v>39521.908439999999</v>
      </c>
      <c r="R75" s="6">
        <f>[1]Results!U1580</f>
        <v>38643.385600000001</v>
      </c>
      <c r="S75" s="6">
        <f>[1]Results!V1580</f>
        <v>37607.664960000002</v>
      </c>
      <c r="T75" s="6">
        <f>[1]Results!W1580</f>
        <v>36453.219729999997</v>
      </c>
      <c r="U75" s="6">
        <f>[1]Results!X1580</f>
        <v>35203.600460000001</v>
      </c>
      <c r="V75" s="6">
        <f>[1]Results!Y1580</f>
        <v>33862.404999999999</v>
      </c>
      <c r="W75" s="6">
        <f>[1]Results!Z1580</f>
        <v>32415.7798</v>
      </c>
      <c r="X75" s="6">
        <f>[1]Results!AA1580</f>
        <v>30857.49195</v>
      </c>
      <c r="Y75" s="6">
        <f>[1]Results!AB1580</f>
        <v>29159.231299999999</v>
      </c>
      <c r="Z75" s="6">
        <f>[1]Results!AC1580</f>
        <v>27283.02823</v>
      </c>
      <c r="AA75" s="6">
        <f>[1]Results!AD1580</f>
        <v>25179.473999999998</v>
      </c>
      <c r="AB75" s="6">
        <f>[1]Results!AE1580</f>
        <v>22773.98705</v>
      </c>
      <c r="AC75" s="6">
        <f>[1]Results!AF1580</f>
        <v>22460.677049999998</v>
      </c>
      <c r="AD75" s="6">
        <f>[1]Results!AG1580</f>
        <v>22936.968079999999</v>
      </c>
      <c r="AE75" s="6">
        <f>[1]Results!AH1580</f>
        <v>23627.036110000001</v>
      </c>
      <c r="AF75" s="6">
        <f>[1]Results!AI1580</f>
        <v>24348.00016</v>
      </c>
      <c r="AG75" s="6">
        <f>[1]Results!AJ1580</f>
        <v>25051.353419999999</v>
      </c>
      <c r="AH75" s="6">
        <f>[1]Results!AK1580</f>
        <v>25729.517899999999</v>
      </c>
      <c r="AI75" s="6">
        <f>[1]Results!AL1580</f>
        <v>26384.938539999999</v>
      </c>
      <c r="AJ75" s="6">
        <f>[1]Results!AM1580</f>
        <v>27020.38335</v>
      </c>
      <c r="AK75" s="6">
        <f>[1]Results!AN1580</f>
        <v>27637.073199999999</v>
      </c>
      <c r="AL75" s="6">
        <f>[1]Results!AO1580</f>
        <v>28234.40683</v>
      </c>
    </row>
    <row r="77" spans="1:38" x14ac:dyDescent="0.35">
      <c r="B77" t="s">
        <v>15</v>
      </c>
      <c r="C77" s="6">
        <f>[1]Results!F1512</f>
        <v>1966664.7720000001</v>
      </c>
      <c r="D77" s="6">
        <f>[1]Results!G1512</f>
        <v>2002915.014</v>
      </c>
      <c r="E77" s="6">
        <f>[1]Results!H1512</f>
        <v>2042371.557</v>
      </c>
      <c r="F77" s="6">
        <f>[1]Results!I1512</f>
        <v>2085410.699</v>
      </c>
      <c r="G77" s="6">
        <f>[1]Results!J1512</f>
        <v>2130524.5359999998</v>
      </c>
      <c r="H77" s="6">
        <f>[1]Results!K1512</f>
        <v>2178018.5159999998</v>
      </c>
      <c r="I77" s="6">
        <f>[1]Results!L1512</f>
        <v>2227187.8829999999</v>
      </c>
      <c r="J77" s="6">
        <f>[1]Results!M1512</f>
        <v>2272290.69</v>
      </c>
      <c r="K77" s="6">
        <f>[1]Results!N1512</f>
        <v>2319503.8149999999</v>
      </c>
      <c r="L77" s="6">
        <f>[1]Results!O1512</f>
        <v>2377645.1510000001</v>
      </c>
      <c r="M77" s="6">
        <f>[1]Results!P1512</f>
        <v>2437035.0410000002</v>
      </c>
      <c r="N77" s="6">
        <f>[1]Results!Q1512</f>
        <v>2487212.156</v>
      </c>
      <c r="O77" s="6">
        <f>[1]Results!R1512</f>
        <v>2532116.1370000001</v>
      </c>
      <c r="P77" s="6">
        <f>[1]Results!S1512</f>
        <v>2573605.554</v>
      </c>
      <c r="Q77" s="6">
        <f>[1]Results!T1512</f>
        <v>2613285.855</v>
      </c>
      <c r="R77" s="6">
        <f>[1]Results!U1512</f>
        <v>2651983.6839999999</v>
      </c>
      <c r="S77" s="6">
        <f>[1]Results!V1512</f>
        <v>2689904.2850000001</v>
      </c>
      <c r="T77" s="6">
        <f>[1]Results!W1512</f>
        <v>2728175.5010000002</v>
      </c>
      <c r="U77" s="6">
        <f>[1]Results!X1512</f>
        <v>2767778.65</v>
      </c>
      <c r="V77" s="6">
        <f>[1]Results!Y1512</f>
        <v>2809479.8450000002</v>
      </c>
      <c r="W77" s="6">
        <f>[1]Results!Z1512</f>
        <v>2853746.3790000002</v>
      </c>
      <c r="X77" s="6">
        <f>[1]Results!AA1512</f>
        <v>2901340.2379999999</v>
      </c>
      <c r="Y77" s="6">
        <f>[1]Results!AB1512</f>
        <v>2953190.3730000001</v>
      </c>
      <c r="Z77" s="6">
        <f>[1]Results!AC1512</f>
        <v>3009775.179</v>
      </c>
      <c r="AA77" s="6">
        <f>[1]Results!AD1512</f>
        <v>3071224.875</v>
      </c>
      <c r="AB77" s="6">
        <f>[1]Results!AE1512</f>
        <v>3136647.628</v>
      </c>
      <c r="AC77" s="6">
        <f>[1]Results!AF1512</f>
        <v>3207150.338</v>
      </c>
      <c r="AD77" s="6">
        <f>[1]Results!AG1512</f>
        <v>3282460.0729999999</v>
      </c>
      <c r="AE77" s="6">
        <f>[1]Results!AH1512</f>
        <v>3362653.2889999999</v>
      </c>
      <c r="AF77" s="6">
        <f>[1]Results!AI1512</f>
        <v>3447364.5830000001</v>
      </c>
      <c r="AG77" s="6">
        <f>[1]Results!AJ1512</f>
        <v>3535916.03</v>
      </c>
      <c r="AH77" s="6">
        <f>[1]Results!AK1512</f>
        <v>3627467.6510000001</v>
      </c>
      <c r="AI77" s="6">
        <f>[1]Results!AL1512</f>
        <v>3721602.41</v>
      </c>
      <c r="AJ77" s="6">
        <f>[1]Results!AM1512</f>
        <v>3817745.6490000002</v>
      </c>
      <c r="AK77" s="6">
        <f>[1]Results!AN1512</f>
        <v>3915269.2289999998</v>
      </c>
      <c r="AL77" s="6">
        <f>[1]Results!AO1512</f>
        <v>4013506.4440000001</v>
      </c>
    </row>
    <row r="78" spans="1:38" x14ac:dyDescent="0.35">
      <c r="A78" t="s">
        <v>14</v>
      </c>
      <c r="B78" t="s">
        <v>7</v>
      </c>
      <c r="C78" s="6">
        <f>[1]Results!F1513</f>
        <v>36109.890729999999</v>
      </c>
      <c r="D78" s="6">
        <f>[1]Results!G1513</f>
        <v>36627.220650000003</v>
      </c>
      <c r="E78" s="6">
        <f>[1]Results!H1513</f>
        <v>37226.910170000003</v>
      </c>
      <c r="F78" s="6">
        <f>[1]Results!I1513</f>
        <v>37916.346969999999</v>
      </c>
      <c r="G78" s="6">
        <f>[1]Results!J1513</f>
        <v>38677.675380000001</v>
      </c>
      <c r="H78" s="6">
        <f>[1]Results!K1513</f>
        <v>39508.816160000002</v>
      </c>
      <c r="I78" s="6">
        <f>[1]Results!L1513</f>
        <v>40420.376490000002</v>
      </c>
      <c r="J78" s="6">
        <f>[1]Results!M1513</f>
        <v>41179.172279999999</v>
      </c>
      <c r="K78" s="6">
        <f>[1]Results!N1513</f>
        <v>41985.978049999998</v>
      </c>
      <c r="L78" s="6">
        <f>[1]Results!O1513</f>
        <v>43018.938320000001</v>
      </c>
      <c r="M78" s="6">
        <f>[1]Results!P1513</f>
        <v>44057.139990000003</v>
      </c>
      <c r="N78" s="6">
        <f>[1]Results!Q1513</f>
        <v>44899.816700000003</v>
      </c>
      <c r="O78" s="6">
        <f>[1]Results!R1513</f>
        <v>45644.366280000002</v>
      </c>
      <c r="P78" s="6">
        <f>[1]Results!S1513</f>
        <v>46329.501020000003</v>
      </c>
      <c r="Q78" s="6">
        <f>[1]Results!T1513</f>
        <v>46984.316019999998</v>
      </c>
      <c r="R78" s="6">
        <f>[1]Results!U1513</f>
        <v>47622.249320000003</v>
      </c>
      <c r="S78" s="6">
        <f>[1]Results!V1513</f>
        <v>48297.379379999998</v>
      </c>
      <c r="T78" s="6">
        <f>[1]Results!W1513</f>
        <v>48983.434159999997</v>
      </c>
      <c r="U78" s="6">
        <f>[1]Results!X1513</f>
        <v>49700.501830000001</v>
      </c>
      <c r="V78" s="6">
        <f>[1]Results!Y1513</f>
        <v>50464.18288</v>
      </c>
      <c r="W78" s="6">
        <f>[1]Results!Z1513</f>
        <v>51284.479919999998</v>
      </c>
      <c r="X78" s="6">
        <f>[1]Results!AA1513</f>
        <v>52181.642099999997</v>
      </c>
      <c r="Y78" s="6">
        <f>[1]Results!AB1513</f>
        <v>53177.624020000003</v>
      </c>
      <c r="Z78" s="6">
        <f>[1]Results!AC1513</f>
        <v>54284.44397</v>
      </c>
      <c r="AA78" s="6">
        <f>[1]Results!AD1513</f>
        <v>55506.664299999997</v>
      </c>
      <c r="AB78" s="6">
        <f>[1]Results!AE1513</f>
        <v>56822.93015</v>
      </c>
      <c r="AC78" s="6">
        <f>[1]Results!AF1513</f>
        <v>58085.668010000001</v>
      </c>
      <c r="AD78" s="6">
        <f>[1]Results!AG1513</f>
        <v>59419.755550000002</v>
      </c>
      <c r="AE78" s="6">
        <f>[1]Results!AH1513</f>
        <v>60860.795709999999</v>
      </c>
      <c r="AF78" s="6">
        <f>[1]Results!AI1513</f>
        <v>62406.962310000003</v>
      </c>
      <c r="AG78" s="6">
        <f>[1]Results!AJ1513</f>
        <v>64041.69182</v>
      </c>
      <c r="AH78" s="6">
        <f>[1]Results!AK1513</f>
        <v>65742.721789999996</v>
      </c>
      <c r="AI78" s="6">
        <f>[1]Results!AL1513</f>
        <v>67498.746880000006</v>
      </c>
      <c r="AJ78" s="6">
        <f>[1]Results!AM1513</f>
        <v>69294.701060000007</v>
      </c>
      <c r="AK78" s="6">
        <f>[1]Results!AN1513</f>
        <v>71114.349390000003</v>
      </c>
      <c r="AL78" s="6">
        <f>[1]Results!AO1513</f>
        <v>72940.988400000002</v>
      </c>
    </row>
    <row r="79" spans="1:38" x14ac:dyDescent="0.35">
      <c r="B79" t="s">
        <v>8</v>
      </c>
      <c r="C79" s="6">
        <f>[1]Results!F1516</f>
        <v>331661.67540000001</v>
      </c>
      <c r="D79" s="6">
        <f>[1]Results!G1516</f>
        <v>339598.63290000003</v>
      </c>
      <c r="E79" s="6">
        <f>[1]Results!H1516</f>
        <v>347763.66960000002</v>
      </c>
      <c r="F79" s="6">
        <f>[1]Results!I1516</f>
        <v>356445.8737</v>
      </c>
      <c r="G79" s="6">
        <f>[1]Results!J1516</f>
        <v>365545.24939999997</v>
      </c>
      <c r="H79" s="6">
        <f>[1]Results!K1516</f>
        <v>375119.84230000002</v>
      </c>
      <c r="I79" s="6">
        <f>[1]Results!L1516</f>
        <v>385206.96889999998</v>
      </c>
      <c r="J79" s="6">
        <f>[1]Results!M1516</f>
        <v>393803.65740000003</v>
      </c>
      <c r="K79" s="6">
        <f>[1]Results!N1516</f>
        <v>403088.0306</v>
      </c>
      <c r="L79" s="6">
        <f>[1]Results!O1516</f>
        <v>415265.63709999999</v>
      </c>
      <c r="M79" s="6">
        <f>[1]Results!P1516</f>
        <v>426915.48139999999</v>
      </c>
      <c r="N79" s="6">
        <f>[1]Results!Q1516</f>
        <v>436408.02899999998</v>
      </c>
      <c r="O79" s="6">
        <f>[1]Results!R1516</f>
        <v>444866.0882</v>
      </c>
      <c r="P79" s="6">
        <f>[1]Results!S1516</f>
        <v>452847.13929999998</v>
      </c>
      <c r="Q79" s="6">
        <f>[1]Results!T1516</f>
        <v>460845.67070000002</v>
      </c>
      <c r="R79" s="6">
        <f>[1]Results!U1516</f>
        <v>469061.76429999998</v>
      </c>
      <c r="S79" s="6">
        <f>[1]Results!V1516</f>
        <v>477449.4425</v>
      </c>
      <c r="T79" s="6">
        <f>[1]Results!W1516</f>
        <v>486294.10369999998</v>
      </c>
      <c r="U79" s="6">
        <f>[1]Results!X1516</f>
        <v>495765.3983</v>
      </c>
      <c r="V79" s="6">
        <f>[1]Results!Y1516</f>
        <v>505993.3357</v>
      </c>
      <c r="W79" s="6">
        <f>[1]Results!Z1516</f>
        <v>517065.97810000001</v>
      </c>
      <c r="X79" s="6">
        <f>[1]Results!AA1516</f>
        <v>529168.06129999994</v>
      </c>
      <c r="Y79" s="6">
        <f>[1]Results!AB1516</f>
        <v>542477.1666</v>
      </c>
      <c r="Z79" s="6">
        <f>[1]Results!AC1516</f>
        <v>557079.25769999996</v>
      </c>
      <c r="AA79" s="6">
        <f>[1]Results!AD1516</f>
        <v>572987.32120000001</v>
      </c>
      <c r="AB79" s="6">
        <f>[1]Results!AE1516</f>
        <v>590084.57189999998</v>
      </c>
      <c r="AC79" s="6">
        <f>[1]Results!AF1516</f>
        <v>607958.9044</v>
      </c>
      <c r="AD79" s="6">
        <f>[1]Results!AG1516</f>
        <v>626786.54379999998</v>
      </c>
      <c r="AE79" s="6">
        <f>[1]Results!AH1516</f>
        <v>646665.38710000005</v>
      </c>
      <c r="AF79" s="6">
        <f>[1]Results!AI1516</f>
        <v>667484.42700000003</v>
      </c>
      <c r="AG79" s="6">
        <f>[1]Results!AJ1516</f>
        <v>689054.56599999999</v>
      </c>
      <c r="AH79" s="6">
        <f>[1]Results!AK1516</f>
        <v>711219.00379999995</v>
      </c>
      <c r="AI79" s="6">
        <f>[1]Results!AL1516</f>
        <v>733874.26229999994</v>
      </c>
      <c r="AJ79" s="6">
        <f>[1]Results!AM1516</f>
        <v>756881.9706</v>
      </c>
      <c r="AK79" s="6">
        <f>[1]Results!AN1516</f>
        <v>780098.73789999995</v>
      </c>
      <c r="AL79" s="6">
        <f>[1]Results!AO1516</f>
        <v>803377.60320000001</v>
      </c>
    </row>
    <row r="80" spans="1:38" x14ac:dyDescent="0.35">
      <c r="B80" t="s">
        <v>9</v>
      </c>
      <c r="C80" s="6">
        <f>[1]Results!F1528</f>
        <v>48469.954230000003</v>
      </c>
      <c r="D80" s="6">
        <f>[1]Results!G1528</f>
        <v>49477.770960000002</v>
      </c>
      <c r="E80" s="6">
        <f>[1]Results!H1528</f>
        <v>50489.629639999999</v>
      </c>
      <c r="F80" s="6">
        <f>[1]Results!I1528</f>
        <v>51552.663710000001</v>
      </c>
      <c r="G80" s="6">
        <f>[1]Results!J1528</f>
        <v>52671.70983</v>
      </c>
      <c r="H80" s="6">
        <f>[1]Results!K1528</f>
        <v>53860.529450000002</v>
      </c>
      <c r="I80" s="6">
        <f>[1]Results!L1528</f>
        <v>55112.8799</v>
      </c>
      <c r="J80" s="6">
        <f>[1]Results!M1528</f>
        <v>56127.685899999997</v>
      </c>
      <c r="K80" s="6">
        <f>[1]Results!N1528</f>
        <v>57176.035649999998</v>
      </c>
      <c r="L80" s="6">
        <f>[1]Results!O1528</f>
        <v>58523.620450000002</v>
      </c>
      <c r="M80" s="6">
        <f>[1]Results!P1528</f>
        <v>59711.737229999999</v>
      </c>
      <c r="N80" s="6">
        <f>[1]Results!Q1528</f>
        <v>60591.222750000001</v>
      </c>
      <c r="O80" s="6">
        <f>[1]Results!R1528</f>
        <v>61337.208070000001</v>
      </c>
      <c r="P80" s="6">
        <f>[1]Results!S1528</f>
        <v>62013.222829999999</v>
      </c>
      <c r="Q80" s="6">
        <f>[1]Results!T1528</f>
        <v>62668.302530000001</v>
      </c>
      <c r="R80" s="6">
        <f>[1]Results!U1528</f>
        <v>63318.637280000003</v>
      </c>
      <c r="S80" s="6">
        <f>[1]Results!V1528</f>
        <v>63959.59218</v>
      </c>
      <c r="T80" s="6">
        <f>[1]Results!W1528</f>
        <v>64612.176169999999</v>
      </c>
      <c r="U80" s="6">
        <f>[1]Results!X1528</f>
        <v>65307.922440000002</v>
      </c>
      <c r="V80" s="6">
        <f>[1]Results!Y1528</f>
        <v>66077.760550000006</v>
      </c>
      <c r="W80" s="6">
        <f>[1]Results!Z1528</f>
        <v>66935.712849999996</v>
      </c>
      <c r="X80" s="6">
        <f>[1]Results!AA1528</f>
        <v>67917.882310000001</v>
      </c>
      <c r="Y80" s="6">
        <f>[1]Results!AB1528</f>
        <v>69050.491940000007</v>
      </c>
      <c r="Z80" s="6">
        <f>[1]Results!AC1528</f>
        <v>70343.387449999995</v>
      </c>
      <c r="AA80" s="6">
        <f>[1]Results!AD1528</f>
        <v>71796.652830000006</v>
      </c>
      <c r="AB80" s="6">
        <f>[1]Results!AE1528</f>
        <v>73389.779299999995</v>
      </c>
      <c r="AC80" s="6">
        <f>[1]Results!AF1528</f>
        <v>75123.231390000001</v>
      </c>
      <c r="AD80" s="6">
        <f>[1]Results!AG1528</f>
        <v>77025.568190000005</v>
      </c>
      <c r="AE80" s="6">
        <f>[1]Results!AH1528</f>
        <v>79104.837480000002</v>
      </c>
      <c r="AF80" s="6">
        <f>[1]Results!AI1528</f>
        <v>81342.604210000005</v>
      </c>
      <c r="AG80" s="6">
        <f>[1]Results!AJ1528</f>
        <v>83710.568679999997</v>
      </c>
      <c r="AH80" s="6">
        <f>[1]Results!AK1528</f>
        <v>86186.510890000005</v>
      </c>
      <c r="AI80" s="6">
        <f>[1]Results!AL1528</f>
        <v>88754.650819999995</v>
      </c>
      <c r="AJ80" s="6">
        <f>[1]Results!AM1528</f>
        <v>91392.080619999993</v>
      </c>
      <c r="AK80" s="6">
        <f>[1]Results!AN1528</f>
        <v>94074.039059999996</v>
      </c>
      <c r="AL80" s="6">
        <f>[1]Results!AO1528</f>
        <v>96774.959369999997</v>
      </c>
    </row>
    <row r="81" spans="2:38" x14ac:dyDescent="0.35">
      <c r="B81" t="s">
        <v>10</v>
      </c>
      <c r="C81" s="6">
        <f>[1]Results!F1533</f>
        <v>1511803.8160000001</v>
      </c>
      <c r="D81" s="6">
        <f>[1]Results!G1533</f>
        <v>1538010.648</v>
      </c>
      <c r="E81" s="6">
        <f>[1]Results!H1533</f>
        <v>1567152.371</v>
      </c>
      <c r="F81" s="6">
        <f>[1]Results!I1533</f>
        <v>1599174.8970000001</v>
      </c>
      <c r="G81" s="6">
        <f>[1]Results!J1533</f>
        <v>1632793.736</v>
      </c>
      <c r="H81" s="6">
        <f>[1]Results!K1533</f>
        <v>1668176.6869999999</v>
      </c>
      <c r="I81" s="6">
        <f>[1]Results!L1533</f>
        <v>1705178.0830000001</v>
      </c>
      <c r="J81" s="6">
        <f>[1]Results!M1533</f>
        <v>1740108.4080000001</v>
      </c>
      <c r="K81" s="6">
        <f>[1]Results!N1533</f>
        <v>1776377.4509999999</v>
      </c>
      <c r="L81" s="6">
        <f>[1]Results!O1533</f>
        <v>1819988.1980000001</v>
      </c>
      <c r="M81" s="6">
        <f>[1]Results!P1533</f>
        <v>1865571.3330000001</v>
      </c>
      <c r="N81" s="6">
        <f>[1]Results!Q1533</f>
        <v>1904888.862</v>
      </c>
      <c r="O81" s="6">
        <f>[1]Results!R1533</f>
        <v>1940416.095</v>
      </c>
      <c r="P81" s="6">
        <f>[1]Results!S1533</f>
        <v>1973304.808</v>
      </c>
      <c r="Q81" s="6">
        <f>[1]Results!T1533</f>
        <v>2004536.993</v>
      </c>
      <c r="R81" s="6">
        <f>[1]Results!U1533</f>
        <v>2034687.108</v>
      </c>
      <c r="S81" s="6">
        <f>[1]Results!V1533</f>
        <v>2063948.4280000001</v>
      </c>
      <c r="T81" s="6">
        <f>[1]Results!W1533</f>
        <v>2093153.801</v>
      </c>
      <c r="U81" s="6">
        <f>[1]Results!X1533</f>
        <v>2123081.6030000001</v>
      </c>
      <c r="V81" s="6">
        <f>[1]Results!Y1533</f>
        <v>2154370.4449999998</v>
      </c>
      <c r="W81" s="6">
        <f>[1]Results!Z1533</f>
        <v>2187389.253</v>
      </c>
      <c r="X81" s="6">
        <f>[1]Results!AA1533</f>
        <v>2222656.9029999999</v>
      </c>
      <c r="Y81" s="6">
        <f>[1]Results!AB1533</f>
        <v>2260879.716</v>
      </c>
      <c r="Z81" s="6">
        <f>[1]Results!AC1533</f>
        <v>2302469.2880000002</v>
      </c>
      <c r="AA81" s="6">
        <f>[1]Results!AD1533</f>
        <v>2347596.7710000002</v>
      </c>
      <c r="AB81" s="6">
        <f>[1]Results!AE1533</f>
        <v>2395614.301</v>
      </c>
      <c r="AC81" s="6">
        <f>[1]Results!AF1533</f>
        <v>2445819.8689999999</v>
      </c>
      <c r="AD81" s="6">
        <f>[1]Results!AG1533</f>
        <v>2498914.19</v>
      </c>
      <c r="AE81" s="6">
        <f>[1]Results!AH1533</f>
        <v>2555410.87</v>
      </c>
      <c r="AF81" s="6">
        <f>[1]Results!AI1533</f>
        <v>2615265.355</v>
      </c>
      <c r="AG81" s="6">
        <f>[1]Results!AJ1533</f>
        <v>2678081.2050000001</v>
      </c>
      <c r="AH81" s="6">
        <f>[1]Results!AK1533</f>
        <v>2743222.2510000002</v>
      </c>
      <c r="AI81" s="6">
        <f>[1]Results!AL1533</f>
        <v>2810378.193</v>
      </c>
      <c r="AJ81" s="6">
        <f>[1]Results!AM1533</f>
        <v>2879136.3829999999</v>
      </c>
      <c r="AK81" s="6">
        <f>[1]Results!AN1533</f>
        <v>2949041.3629999999</v>
      </c>
      <c r="AL81" s="6">
        <f>[1]Results!AO1533</f>
        <v>3019605.202</v>
      </c>
    </row>
    <row r="82" spans="2:38" x14ac:dyDescent="0.35">
      <c r="B82" t="s">
        <v>12</v>
      </c>
      <c r="C82" s="6">
        <f>[1]Results!F1537</f>
        <v>-2125.090991</v>
      </c>
      <c r="D82" s="6">
        <f>[1]Results!G1537</f>
        <v>-2143.8752530000002</v>
      </c>
      <c r="E82" s="6">
        <f>[1]Results!H1537</f>
        <v>-2161.6439519999999</v>
      </c>
      <c r="F82" s="6">
        <f>[1]Results!I1537</f>
        <v>-2179.7148950000001</v>
      </c>
      <c r="G82" s="6">
        <f>[1]Results!J1537</f>
        <v>-2198.0483880000002</v>
      </c>
      <c r="H82" s="6">
        <f>[1]Results!K1537</f>
        <v>-2224.954315</v>
      </c>
      <c r="I82" s="6">
        <f>[1]Results!L1537</f>
        <v>-2259.2361900000001</v>
      </c>
      <c r="J82" s="6">
        <f>[1]Results!M1537</f>
        <v>-2306.6030679999999</v>
      </c>
      <c r="K82" s="6">
        <f>[1]Results!N1537</f>
        <v>-2345.1960749999998</v>
      </c>
      <c r="L82" s="6">
        <f>[1]Results!O1537</f>
        <v>-2374.3108309999998</v>
      </c>
      <c r="M82" s="6">
        <f>[1]Results!P1537</f>
        <v>-2415.0923389999998</v>
      </c>
      <c r="N82" s="6">
        <f>[1]Results!Q1537</f>
        <v>-2443.1837890000002</v>
      </c>
      <c r="O82" s="6">
        <f>[1]Results!R1537</f>
        <v>-2466.34503</v>
      </c>
      <c r="P82" s="6">
        <f>[1]Results!S1537</f>
        <v>-2486.3369210000001</v>
      </c>
      <c r="Q82" s="6">
        <f>[1]Results!T1537</f>
        <v>-2505.2368799999999</v>
      </c>
      <c r="R82" s="6">
        <f>[1]Results!U1537</f>
        <v>-2525.390461</v>
      </c>
      <c r="S82" s="6">
        <f>[1]Results!V1537</f>
        <v>-2550.9575920000002</v>
      </c>
      <c r="T82" s="6">
        <f>[1]Results!W1537</f>
        <v>-2564.984997</v>
      </c>
      <c r="U82" s="6">
        <f>[1]Results!X1537</f>
        <v>-2581.3301160000001</v>
      </c>
      <c r="V82" s="6">
        <f>[1]Results!Y1537</f>
        <v>-2594.5562009999999</v>
      </c>
      <c r="W82" s="6">
        <f>[1]Results!Z1537</f>
        <v>-2576.4307749999998</v>
      </c>
      <c r="X82" s="6">
        <f>[1]Results!AA1537</f>
        <v>-2557.1608470000001</v>
      </c>
      <c r="Y82" s="6">
        <f>[1]Results!AB1537</f>
        <v>-2539.0069389999999</v>
      </c>
      <c r="Z82" s="6">
        <f>[1]Results!AC1537</f>
        <v>-2521.7733579999999</v>
      </c>
      <c r="AA82" s="6">
        <f>[1]Results!AD1537</f>
        <v>-2505.210325</v>
      </c>
      <c r="AB82" s="6">
        <f>[1]Results!AE1537</f>
        <v>-2489.100261</v>
      </c>
      <c r="AC82" s="6">
        <f>[1]Results!AF1537</f>
        <v>-2473.971043</v>
      </c>
      <c r="AD82" s="6">
        <f>[1]Results!AG1537</f>
        <v>-2453.4811930000001</v>
      </c>
      <c r="AE82" s="6">
        <f>[1]Results!AH1537</f>
        <v>-2431.0832679999999</v>
      </c>
      <c r="AF82" s="6">
        <f>[1]Results!AI1537</f>
        <v>-2409.6632330000002</v>
      </c>
      <c r="AG82" s="6">
        <f>[1]Results!AJ1537</f>
        <v>-2389.855708</v>
      </c>
      <c r="AH82" s="6">
        <f>[1]Results!AK1537</f>
        <v>-2371.2562779999998</v>
      </c>
      <c r="AI82" s="6">
        <f>[1]Results!AL1537</f>
        <v>-2353.9402869999999</v>
      </c>
      <c r="AJ82" s="6">
        <f>[1]Results!AM1537</f>
        <v>-2338.329831</v>
      </c>
      <c r="AK82" s="6">
        <f>[1]Results!AN1537</f>
        <v>-2324.9879350000001</v>
      </c>
      <c r="AL82" s="6">
        <f>[1]Results!AO1537</f>
        <v>-2314.5027719999998</v>
      </c>
    </row>
    <row r="83" spans="2:38" x14ac:dyDescent="0.35">
      <c r="B83" t="s">
        <v>11</v>
      </c>
      <c r="C83" s="6">
        <f>[1]Results!F1541</f>
        <v>40654.788650000002</v>
      </c>
      <c r="D83" s="6">
        <f>[1]Results!G1541</f>
        <v>41254.523200000003</v>
      </c>
      <c r="E83" s="6">
        <f>[1]Results!H1541</f>
        <v>41807.002030000003</v>
      </c>
      <c r="F83" s="6">
        <f>[1]Results!I1541</f>
        <v>42404.110410000001</v>
      </c>
      <c r="G83" s="6">
        <f>[1]Results!J1541</f>
        <v>42933.1077</v>
      </c>
      <c r="H83" s="6">
        <f>[1]Results!K1541</f>
        <v>43472.020320000003</v>
      </c>
      <c r="I83" s="6">
        <f>[1]Results!L1541</f>
        <v>43403.428110000001</v>
      </c>
      <c r="J83" s="6">
        <f>[1]Results!M1541</f>
        <v>43234.444159999999</v>
      </c>
      <c r="K83" s="6">
        <f>[1]Results!N1541</f>
        <v>43058.023009999997</v>
      </c>
      <c r="L83" s="6">
        <f>[1]Results!O1541</f>
        <v>43036.024129999998</v>
      </c>
      <c r="M83" s="6">
        <f>[1]Results!P1541</f>
        <v>42952.31983</v>
      </c>
      <c r="N83" s="6">
        <f>[1]Results!Q1541</f>
        <v>42578.04997</v>
      </c>
      <c r="O83" s="6">
        <f>[1]Results!R1541</f>
        <v>41981.458250000003</v>
      </c>
      <c r="P83" s="6">
        <f>[1]Results!S1541</f>
        <v>41209.46974</v>
      </c>
      <c r="Q83" s="6">
        <f>[1]Results!T1541</f>
        <v>40314.241840000002</v>
      </c>
      <c r="R83" s="6">
        <f>[1]Results!U1541</f>
        <v>39320.293060000004</v>
      </c>
      <c r="S83" s="6">
        <f>[1]Results!V1541</f>
        <v>38167.5095</v>
      </c>
      <c r="T83" s="6">
        <f>[1]Results!W1541</f>
        <v>36913.98515</v>
      </c>
      <c r="U83" s="6">
        <f>[1]Results!X1541</f>
        <v>35569.253349999999</v>
      </c>
      <c r="V83" s="6">
        <f>[1]Results!Y1541</f>
        <v>34126.750189999999</v>
      </c>
      <c r="W83" s="6">
        <f>[1]Results!Z1541</f>
        <v>32575.11406</v>
      </c>
      <c r="X83" s="6">
        <f>[1]Results!AA1541</f>
        <v>30892.59217</v>
      </c>
      <c r="Y83" s="6">
        <f>[1]Results!AB1541</f>
        <v>29077.141940000001</v>
      </c>
      <c r="Z83" s="6">
        <f>[1]Results!AC1541</f>
        <v>27094.040280000001</v>
      </c>
      <c r="AA83" s="6">
        <f>[1]Results!AD1541</f>
        <v>24892.06755</v>
      </c>
      <c r="AB83" s="6">
        <f>[1]Results!AE1541</f>
        <v>22393.776290000002</v>
      </c>
      <c r="AC83" s="6">
        <f>[1]Results!AF1541</f>
        <v>22016.494009999999</v>
      </c>
      <c r="AD83" s="6">
        <f>[1]Results!AG1541</f>
        <v>22434.420569999998</v>
      </c>
      <c r="AE83" s="6">
        <f>[1]Results!AH1541</f>
        <v>23063.099849999999</v>
      </c>
      <c r="AF83" s="6">
        <f>[1]Results!AI1541</f>
        <v>23712.139029999998</v>
      </c>
      <c r="AG83" s="6">
        <f>[1]Results!AJ1541</f>
        <v>24330.67815</v>
      </c>
      <c r="AH83" s="6">
        <f>[1]Results!AK1541</f>
        <v>24908.581419999999</v>
      </c>
      <c r="AI83" s="6">
        <f>[1]Results!AL1541</f>
        <v>25461.190559999999</v>
      </c>
      <c r="AJ83" s="6">
        <f>[1]Results!AM1541</f>
        <v>25993.021929999999</v>
      </c>
      <c r="AK83" s="6">
        <f>[1]Results!AN1541</f>
        <v>26505.357479999999</v>
      </c>
      <c r="AL83" s="6">
        <f>[1]Results!AO1541</f>
        <v>26998.307809999998</v>
      </c>
    </row>
    <row r="85" spans="2:38" x14ac:dyDescent="0.35">
      <c r="B85" t="s">
        <v>16</v>
      </c>
      <c r="C85" s="8" t="s">
        <v>17</v>
      </c>
      <c r="D85" s="8" t="s">
        <v>18</v>
      </c>
      <c r="E85" s="8" t="s">
        <v>19</v>
      </c>
    </row>
    <row r="86" spans="2:38" x14ac:dyDescent="0.35">
      <c r="B86" t="s">
        <v>7</v>
      </c>
      <c r="C86" s="6">
        <f t="shared" ref="C86:C91" si="3">(R78-R70)/R77*100</f>
        <v>-2.2903069640453945E-2</v>
      </c>
      <c r="D86" s="6">
        <f t="shared" ref="D86:D91" si="4">(AB78-AB70)/AB77*100</f>
        <v>-4.2915323289224691E-2</v>
      </c>
      <c r="E86" s="6">
        <f t="shared" ref="E86:E91" si="5">(AL78-AL70)/AL77*100</f>
        <v>-5.620765984747484E-2</v>
      </c>
      <c r="Q86" s="5"/>
      <c r="U86" s="5"/>
      <c r="V86" s="5"/>
      <c r="Y86" s="5"/>
      <c r="Z86" s="5"/>
      <c r="AA86" s="5"/>
    </row>
    <row r="87" spans="2:38" x14ac:dyDescent="0.35">
      <c r="B87" t="s">
        <v>8</v>
      </c>
      <c r="C87" s="6">
        <f t="shared" si="3"/>
        <v>-12.576397976827081</v>
      </c>
      <c r="D87" s="6">
        <f t="shared" si="4"/>
        <v>-26.218296136212221</v>
      </c>
      <c r="E87" s="6">
        <f t="shared" si="5"/>
        <v>-16.71457073373027</v>
      </c>
      <c r="Q87" s="5"/>
      <c r="U87" s="5"/>
      <c r="V87" s="5"/>
      <c r="Y87" s="5"/>
      <c r="Z87" s="5"/>
      <c r="AA87" s="5"/>
    </row>
    <row r="88" spans="2:38" x14ac:dyDescent="0.35">
      <c r="B88" t="s">
        <v>9</v>
      </c>
      <c r="C88" s="6">
        <f t="shared" si="3"/>
        <v>-0.41969398698225885</v>
      </c>
      <c r="D88" s="6">
        <f t="shared" si="4"/>
        <v>-0.80299622556527439</v>
      </c>
      <c r="E88" s="6">
        <f t="shared" si="5"/>
        <v>-0.64399692117282181</v>
      </c>
      <c r="Q88" s="5"/>
      <c r="U88" s="5"/>
      <c r="V88" s="5"/>
      <c r="Y88" s="5"/>
      <c r="Z88" s="5"/>
      <c r="AA88" s="5"/>
    </row>
    <row r="89" spans="2:38" x14ac:dyDescent="0.35">
      <c r="B89" t="s">
        <v>10</v>
      </c>
      <c r="C89" s="6">
        <f t="shared" si="3"/>
        <v>16.707643206562558</v>
      </c>
      <c r="D89" s="6">
        <f t="shared" si="4"/>
        <v>-3.0277213274031132</v>
      </c>
      <c r="E89" s="6">
        <f t="shared" si="5"/>
        <v>-15.68106987467695</v>
      </c>
      <c r="Q89" s="5"/>
      <c r="U89" s="5"/>
      <c r="V89" s="5"/>
      <c r="Y89" s="5"/>
      <c r="Z89" s="5"/>
      <c r="AA89" s="5"/>
    </row>
    <row r="90" spans="2:38" x14ac:dyDescent="0.35">
      <c r="B90" t="s">
        <v>12</v>
      </c>
      <c r="C90" s="6">
        <f t="shared" si="3"/>
        <v>-7.306729541631328E-3</v>
      </c>
      <c r="D90" s="6">
        <f t="shared" si="4"/>
        <v>3.8314509961676797E-3</v>
      </c>
      <c r="E90" s="6">
        <f t="shared" si="5"/>
        <v>3.020841199358883E-2</v>
      </c>
      <c r="Q90" s="5"/>
      <c r="U90" s="5"/>
      <c r="V90" s="5"/>
      <c r="Y90" s="5"/>
      <c r="Z90" s="5"/>
      <c r="AA90" s="5"/>
    </row>
    <row r="91" spans="2:38" x14ac:dyDescent="0.35">
      <c r="B91" t="s">
        <v>11</v>
      </c>
      <c r="C91" s="6">
        <f t="shared" si="3"/>
        <v>-26.804071309113976</v>
      </c>
      <c r="D91" s="6">
        <f t="shared" si="4"/>
        <v>15.275027927048942</v>
      </c>
      <c r="E91" s="6">
        <f t="shared" si="5"/>
        <v>53.406677017365077</v>
      </c>
      <c r="Q91" s="5"/>
      <c r="U91" s="5"/>
      <c r="V91" s="5"/>
      <c r="Y91" s="5"/>
      <c r="Z91" s="5"/>
      <c r="AA91" s="5"/>
    </row>
    <row r="92" spans="2:38" x14ac:dyDescent="0.35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</row>
    <row r="93" spans="2:38" x14ac:dyDescent="0.35">
      <c r="B93" t="s">
        <v>16</v>
      </c>
      <c r="C93" s="8" t="s">
        <v>17</v>
      </c>
      <c r="D93" s="8" t="s">
        <v>18</v>
      </c>
      <c r="E93" s="8" t="s">
        <v>19</v>
      </c>
    </row>
    <row r="94" spans="2:38" x14ac:dyDescent="0.35">
      <c r="B94" t="s">
        <v>7</v>
      </c>
      <c r="C94" s="4">
        <f t="shared" ref="C94:C99" si="6">R78/R70-1</f>
        <v>-1.2593619465001815E-2</v>
      </c>
      <c r="D94" s="4">
        <f t="shared" ref="D94:D99" si="7">AB78/AB70-1</f>
        <v>-2.31412215292226E-2</v>
      </c>
      <c r="E94" s="4">
        <f t="shared" ref="E94:E99" si="8">AL78/AL70-1</f>
        <v>-2.999988638492368E-2</v>
      </c>
    </row>
    <row r="95" spans="2:38" x14ac:dyDescent="0.35">
      <c r="B95" t="s">
        <v>8</v>
      </c>
      <c r="C95" s="4">
        <f t="shared" si="6"/>
        <v>-1.2607413749249119E-2</v>
      </c>
      <c r="D95" s="4">
        <f t="shared" si="7"/>
        <v>-2.4625509379959443E-2</v>
      </c>
      <c r="E95" s="4">
        <f t="shared" si="8"/>
        <v>-1.494878725745008E-2</v>
      </c>
    </row>
    <row r="96" spans="2:38" x14ac:dyDescent="0.35">
      <c r="B96" t="s">
        <v>9</v>
      </c>
      <c r="C96" s="4">
        <f t="shared" si="6"/>
        <v>-3.0153263910918549E-2</v>
      </c>
      <c r="D96" s="4">
        <f t="shared" si="7"/>
        <v>-6.0648532962686019E-2</v>
      </c>
      <c r="E96" s="4">
        <f t="shared" si="8"/>
        <v>-5.0748344217998786E-2</v>
      </c>
    </row>
    <row r="97" spans="2:38" x14ac:dyDescent="0.35">
      <c r="B97" t="s">
        <v>10</v>
      </c>
      <c r="C97" s="4">
        <f t="shared" si="6"/>
        <v>5.2265253174803572E-3</v>
      </c>
      <c r="D97" s="4">
        <f t="shared" si="7"/>
        <v>-9.266845963835646E-4</v>
      </c>
      <c r="E97" s="4">
        <f t="shared" si="8"/>
        <v>-5.000476556698441E-3</v>
      </c>
    </row>
    <row r="98" spans="2:38" x14ac:dyDescent="0.35">
      <c r="B98" t="s">
        <v>12</v>
      </c>
      <c r="C98" s="4">
        <f t="shared" si="6"/>
        <v>6.2552171844247217E-2</v>
      </c>
      <c r="D98" s="4">
        <f t="shared" si="7"/>
        <v>-3.5564046878984512E-2</v>
      </c>
      <c r="E98" s="4">
        <f t="shared" si="8"/>
        <v>-0.28269784175819013</v>
      </c>
    </row>
    <row r="99" spans="2:38" x14ac:dyDescent="0.35">
      <c r="B99" t="s">
        <v>11</v>
      </c>
      <c r="C99" s="4">
        <f t="shared" si="6"/>
        <v>1.751677420313813E-2</v>
      </c>
      <c r="D99" s="4">
        <f t="shared" si="7"/>
        <v>-1.6694958118894654E-2</v>
      </c>
      <c r="E99" s="4">
        <f t="shared" si="8"/>
        <v>-4.3779882731115327E-2</v>
      </c>
    </row>
    <row r="101" spans="2:38" x14ac:dyDescent="0.35">
      <c r="B101" t="s">
        <v>26</v>
      </c>
      <c r="C101" s="2">
        <v>42005</v>
      </c>
      <c r="D101" s="2">
        <v>42370</v>
      </c>
      <c r="E101" s="2">
        <v>42736</v>
      </c>
      <c r="F101" s="2">
        <v>43101</v>
      </c>
      <c r="G101" s="2">
        <v>43466</v>
      </c>
      <c r="H101" s="2">
        <v>43831</v>
      </c>
      <c r="I101" s="2">
        <v>44197</v>
      </c>
      <c r="J101" s="2">
        <v>44562</v>
      </c>
      <c r="K101" s="2">
        <v>44927</v>
      </c>
      <c r="L101" s="2">
        <v>45292</v>
      </c>
      <c r="M101" s="2">
        <v>45658</v>
      </c>
      <c r="N101" s="2">
        <v>46023</v>
      </c>
      <c r="O101" s="2">
        <v>46388</v>
      </c>
      <c r="P101" s="2">
        <v>46753</v>
      </c>
      <c r="Q101" s="2">
        <v>47119</v>
      </c>
      <c r="R101" s="2">
        <v>47484</v>
      </c>
      <c r="S101" s="2">
        <v>47849</v>
      </c>
      <c r="T101" s="2">
        <v>48214</v>
      </c>
      <c r="U101" s="2">
        <v>48580</v>
      </c>
      <c r="V101" s="2">
        <v>48945</v>
      </c>
      <c r="W101" s="2">
        <v>49310</v>
      </c>
      <c r="X101" s="2">
        <v>49675</v>
      </c>
      <c r="Y101" s="2">
        <v>50041</v>
      </c>
      <c r="Z101" s="2">
        <v>50406</v>
      </c>
      <c r="AA101" s="2">
        <v>50771</v>
      </c>
      <c r="AB101" s="2">
        <v>51136</v>
      </c>
      <c r="AC101" s="2">
        <v>51502</v>
      </c>
      <c r="AD101" s="2">
        <v>51867</v>
      </c>
      <c r="AE101" s="2">
        <v>52232</v>
      </c>
      <c r="AF101" s="2">
        <v>52597</v>
      </c>
      <c r="AG101" s="2">
        <v>52963</v>
      </c>
      <c r="AH101" s="2">
        <v>53328</v>
      </c>
      <c r="AI101" s="2">
        <v>53693</v>
      </c>
      <c r="AJ101" s="2">
        <v>54058</v>
      </c>
      <c r="AK101" s="2">
        <v>54424</v>
      </c>
      <c r="AL101" s="2">
        <v>54789</v>
      </c>
    </row>
    <row r="102" spans="2:38" x14ac:dyDescent="0.35">
      <c r="B102" t="s">
        <v>7</v>
      </c>
      <c r="C102" s="6">
        <f>[1]Production!B5+[1]Production!B7</f>
        <v>88314.149964000011</v>
      </c>
      <c r="D102" s="6">
        <f>[1]Production!C5+[1]Production!C7</f>
        <v>89647.9902</v>
      </c>
      <c r="E102" s="6">
        <f>[1]Production!D5+[1]Production!D7</f>
        <v>91215.228891000006</v>
      </c>
      <c r="F102" s="6">
        <f>[1]Production!E5+[1]Production!E7</f>
        <v>93016.742291000002</v>
      </c>
      <c r="G102" s="6">
        <f>[1]Production!F5+[1]Production!F7</f>
        <v>95002.292948000002</v>
      </c>
      <c r="H102" s="6">
        <f>[1]Production!G5+[1]Production!G7</f>
        <v>97168.808822999999</v>
      </c>
      <c r="I102" s="6">
        <f>[1]Production!H5+[1]Production!H7</f>
        <v>99516.074609000003</v>
      </c>
      <c r="J102" s="6">
        <f>[1]Production!I5+[1]Production!I7</f>
        <v>101996.47797199999</v>
      </c>
      <c r="K102" s="6">
        <f>[1]Production!J5+[1]Production!J7</f>
        <v>104583.93339399999</v>
      </c>
      <c r="L102" s="6">
        <f>[1]Production!K5+[1]Production!K7</f>
        <v>107260.737821</v>
      </c>
      <c r="M102" s="6">
        <f>[1]Production!L5+[1]Production!L7</f>
        <v>109945.057483</v>
      </c>
      <c r="N102" s="6">
        <f>[1]Production!M5+[1]Production!M7</f>
        <v>112296.582167</v>
      </c>
      <c r="O102" s="6">
        <f>[1]Production!N5+[1]Production!N7</f>
        <v>114378.995528</v>
      </c>
      <c r="P102" s="6">
        <f>[1]Production!O5+[1]Production!O7</f>
        <v>116241.97712</v>
      </c>
      <c r="Q102" s="6">
        <f>[1]Production!P5+[1]Production!P7</f>
        <v>117951.07643700001</v>
      </c>
      <c r="R102" s="6">
        <f>[1]Production!Q5+[1]Production!Q7</f>
        <v>119574.372715</v>
      </c>
      <c r="S102" s="6">
        <f>[1]Production!R5+[1]Production!R7</f>
        <v>121202.08567499999</v>
      </c>
      <c r="T102" s="6">
        <f>[1]Production!S5+[1]Production!S7</f>
        <v>122886.76781399999</v>
      </c>
      <c r="U102" s="6">
        <f>[1]Production!T5+[1]Production!T7</f>
        <v>124685.67570399999</v>
      </c>
      <c r="V102" s="6">
        <f>[1]Production!U5+[1]Production!U7</f>
        <v>126640.61214300001</v>
      </c>
      <c r="W102" s="6">
        <f>[1]Production!V5+[1]Production!V7</f>
        <v>128769.28618</v>
      </c>
      <c r="X102" s="6">
        <f>[1]Production!W5+[1]Production!W7</f>
        <v>131128.96152499999</v>
      </c>
      <c r="Y102" s="6">
        <f>[1]Production!X5+[1]Production!X7</f>
        <v>133751.43193300001</v>
      </c>
      <c r="Z102" s="6">
        <f>[1]Production!Y5+[1]Production!Y7</f>
        <v>136657.58251100002</v>
      </c>
      <c r="AA102" s="6">
        <f>[1]Production!Z5+[1]Production!Z7</f>
        <v>139851.94403700001</v>
      </c>
      <c r="AB102" s="6">
        <f>[1]Production!AA5+[1]Production!AA7</f>
        <v>143282.42514500002</v>
      </c>
      <c r="AC102" s="6">
        <f>[1]Production!AB5+[1]Production!AB7</f>
        <v>146823.49686500002</v>
      </c>
      <c r="AD102" s="6">
        <f>[1]Production!AC5+[1]Production!AC7</f>
        <v>150592.89305800002</v>
      </c>
      <c r="AE102" s="6">
        <f>[1]Production!AD5+[1]Production!AD7</f>
        <v>154633.589652</v>
      </c>
      <c r="AF102" s="6">
        <f>[1]Production!AE5+[1]Production!AE7</f>
        <v>158926.56118799999</v>
      </c>
      <c r="AG102" s="6">
        <f>[1]Production!AF5+[1]Production!AF7</f>
        <v>163424.415695</v>
      </c>
      <c r="AH102" s="6">
        <f>[1]Production!AG5+[1]Production!AG7</f>
        <v>168079.92811500002</v>
      </c>
      <c r="AI102" s="6">
        <f>[1]Production!AH5+[1]Production!AH7</f>
        <v>172851.76695000002</v>
      </c>
      <c r="AJ102" s="6">
        <f>[1]Production!AI5+[1]Production!AI7</f>
        <v>177699.64572999999</v>
      </c>
      <c r="AK102" s="6">
        <f>[1]Production!AJ5+[1]Production!AJ7</f>
        <v>182582.96767000001</v>
      </c>
      <c r="AL102" s="6">
        <f>[1]Production!AK5+[1]Production!AK7</f>
        <v>187460.44193</v>
      </c>
    </row>
    <row r="103" spans="2:38" x14ac:dyDescent="0.35">
      <c r="B103" t="s">
        <v>8</v>
      </c>
      <c r="C103" s="6">
        <f>[1]Production!B9+[1]Production!B11+[1]Production!B13+[1]Production!B15+[1]Production!B17+[1]Production!B19+[1]Production!B21+[1]Production!B23+[1]Production!B25+[1]Production!B27+[1]Production!B41</f>
        <v>978915.15899600007</v>
      </c>
      <c r="D103" s="6">
        <f>[1]Production!C9+[1]Production!C11+[1]Production!C13+[1]Production!C15+[1]Production!C17+[1]Production!C19+[1]Production!C21+[1]Production!C23+[1]Production!C25+[1]Production!C27+[1]Production!C41</f>
        <v>1000834.9836620002</v>
      </c>
      <c r="E103" s="6">
        <f>[1]Production!D9+[1]Production!D11+[1]Production!D13+[1]Production!D15+[1]Production!D17+[1]Production!D19+[1]Production!D21+[1]Production!D23+[1]Production!D25+[1]Production!D27+[1]Production!D41</f>
        <v>1025055.0336699999</v>
      </c>
      <c r="F103" s="6">
        <f>[1]Production!E9+[1]Production!E11+[1]Production!E13+[1]Production!E15+[1]Production!E17+[1]Production!E19+[1]Production!E21+[1]Production!E23+[1]Production!E25+[1]Production!E27+[1]Production!E41</f>
        <v>1050859.452153</v>
      </c>
      <c r="G103" s="6">
        <f>[1]Production!F9+[1]Production!F11+[1]Production!F13+[1]Production!F15+[1]Production!F17+[1]Production!F19+[1]Production!F21+[1]Production!F23+[1]Production!F25+[1]Production!F27+[1]Production!F41</f>
        <v>1077933.045617</v>
      </c>
      <c r="H103" s="6">
        <f>[1]Production!G9+[1]Production!G11+[1]Production!G13+[1]Production!G15+[1]Production!G17+[1]Production!G19+[1]Production!G21+[1]Production!G23+[1]Production!G25+[1]Production!G27+[1]Production!G41</f>
        <v>1106373.2655079998</v>
      </c>
      <c r="I103" s="6">
        <f>[1]Production!H9+[1]Production!H11+[1]Production!H13+[1]Production!H15+[1]Production!H17+[1]Production!H19+[1]Production!H21+[1]Production!H23+[1]Production!H25+[1]Production!H27+[1]Production!H41</f>
        <v>1136268.1151490002</v>
      </c>
      <c r="J103" s="6">
        <f>[1]Production!I9+[1]Production!I11+[1]Production!I13+[1]Production!I15+[1]Production!I17+[1]Production!I19+[1]Production!I21+[1]Production!I23+[1]Production!I25+[1]Production!I27+[1]Production!I41</f>
        <v>1167547.323482</v>
      </c>
      <c r="K103" s="6">
        <f>[1]Production!J9+[1]Production!J11+[1]Production!J13+[1]Production!J15+[1]Production!J17+[1]Production!J19+[1]Production!J21+[1]Production!J23+[1]Production!J25+[1]Production!J27+[1]Production!J41</f>
        <v>1200137.1927189999</v>
      </c>
      <c r="L103" s="6">
        <f>[1]Production!K9+[1]Production!K11+[1]Production!K13+[1]Production!K15+[1]Production!K17+[1]Production!K19+[1]Production!K21+[1]Production!K23+[1]Production!K25+[1]Production!K27+[1]Production!K41</f>
        <v>1234001.2564650001</v>
      </c>
      <c r="M103" s="6">
        <f>[1]Production!L9+[1]Production!L11+[1]Production!L13+[1]Production!L15+[1]Production!L17+[1]Production!L19+[1]Production!L21+[1]Production!L23+[1]Production!L25+[1]Production!L27+[1]Production!L41</f>
        <v>1267935.251928</v>
      </c>
      <c r="N103" s="6">
        <f>[1]Production!M9+[1]Production!M11+[1]Production!M13+[1]Production!M15+[1]Production!M17+[1]Production!M19+[1]Production!M21+[1]Production!M23+[1]Production!M25+[1]Production!M27+[1]Production!M41</f>
        <v>1297662.0494099997</v>
      </c>
      <c r="O103" s="6">
        <f>[1]Production!N9+[1]Production!N11+[1]Production!N13+[1]Production!N15+[1]Production!N17+[1]Production!N19+[1]Production!N21+[1]Production!N23+[1]Production!N25+[1]Production!N27+[1]Production!N41</f>
        <v>1324564.799075</v>
      </c>
      <c r="P103" s="6">
        <f>[1]Production!O9+[1]Production!O11+[1]Production!O13+[1]Production!O15+[1]Production!O17+[1]Production!O19+[1]Production!O21+[1]Production!O23+[1]Production!O25+[1]Production!O27+[1]Production!O41</f>
        <v>1349606.4224439999</v>
      </c>
      <c r="Q103" s="6">
        <f>[1]Production!P9+[1]Production!P11+[1]Production!P13+[1]Production!P15+[1]Production!P17+[1]Production!P19+[1]Production!P21+[1]Production!P23+[1]Production!P25+[1]Production!P27+[1]Production!P41</f>
        <v>1373836.8840610001</v>
      </c>
      <c r="R103" s="6">
        <f>[1]Production!Q9+[1]Production!Q11+[1]Production!Q13+[1]Production!Q15+[1]Production!Q17+[1]Production!Q19+[1]Production!Q21+[1]Production!Q23+[1]Production!Q25+[1]Production!Q27+[1]Production!Q41</f>
        <v>1398167.3634260001</v>
      </c>
      <c r="S103" s="6">
        <f>[1]Production!R9+[1]Production!R11+[1]Production!R13+[1]Production!R15+[1]Production!R17+[1]Production!R19+[1]Production!R21+[1]Production!R23+[1]Production!R25+[1]Production!R27+[1]Production!R41</f>
        <v>1423403.8579460001</v>
      </c>
      <c r="T103" s="6">
        <f>[1]Production!S9+[1]Production!S11+[1]Production!S13+[1]Production!S15+[1]Production!S17+[1]Production!S19+[1]Production!S21+[1]Production!S23+[1]Production!S25+[1]Production!S27+[1]Production!S41</f>
        <v>1450269.2593229997</v>
      </c>
      <c r="U103" s="6">
        <f>[1]Production!T9+[1]Production!T11+[1]Production!T13+[1]Production!T15+[1]Production!T17+[1]Production!T19+[1]Production!T21+[1]Production!T23+[1]Production!T25+[1]Production!T27+[1]Production!T41</f>
        <v>1479332.8925129999</v>
      </c>
      <c r="V103" s="6">
        <f>[1]Production!U9+[1]Production!U11+[1]Production!U13+[1]Production!U15+[1]Production!U17+[1]Production!U19+[1]Production!U21+[1]Production!U23+[1]Production!U25+[1]Production!U27+[1]Production!U41</f>
        <v>1510930.604293</v>
      </c>
      <c r="W103" s="6">
        <f>[1]Production!V9+[1]Production!V11+[1]Production!V13+[1]Production!V15+[1]Production!V17+[1]Production!V19+[1]Production!V21+[1]Production!V23+[1]Production!V25+[1]Production!V27+[1]Production!V41</f>
        <v>1545247.9092039999</v>
      </c>
      <c r="X103" s="6">
        <f>[1]Production!W9+[1]Production!W11+[1]Production!W13+[1]Production!W15+[1]Production!W17+[1]Production!W19+[1]Production!W21+[1]Production!W23+[1]Production!W25+[1]Production!W27+[1]Production!W41</f>
        <v>1582667.475297</v>
      </c>
      <c r="Y103" s="6">
        <f>[1]Production!X9+[1]Production!X11+[1]Production!X13+[1]Production!X15+[1]Production!X17+[1]Production!X19+[1]Production!X21+[1]Production!X23+[1]Production!X25+[1]Production!X27+[1]Production!X41</f>
        <v>1623523.3061489998</v>
      </c>
      <c r="Z103" s="6">
        <f>[1]Production!Y9+[1]Production!Y11+[1]Production!Y13+[1]Production!Y15+[1]Production!Y17+[1]Production!Y19+[1]Production!Y21+[1]Production!Y23+[1]Production!Y25+[1]Production!Y27+[1]Production!Y41</f>
        <v>1668005.4971650001</v>
      </c>
      <c r="AA103" s="6">
        <f>[1]Production!Z9+[1]Production!Z11+[1]Production!Z13+[1]Production!Z15+[1]Production!Z17+[1]Production!Z19+[1]Production!Z21+[1]Production!Z23+[1]Production!Z25+[1]Production!Z27+[1]Production!Z41</f>
        <v>1716094.1775210002</v>
      </c>
      <c r="AB103" s="6">
        <f>[1]Production!AA9+[1]Production!AA11+[1]Production!AA13+[1]Production!AA15+[1]Production!AA17+[1]Production!AA19+[1]Production!AA21+[1]Production!AA23+[1]Production!AA25+[1]Production!AA27+[1]Production!AA41</f>
        <v>1767434.0670430001</v>
      </c>
      <c r="AC103" s="6">
        <f>[1]Production!AB9+[1]Production!AB11+[1]Production!AB13+[1]Production!AB15+[1]Production!AB17+[1]Production!AB19+[1]Production!AB21+[1]Production!AB23+[1]Production!AB25+[1]Production!AB27+[1]Production!AB41</f>
        <v>1821046.1294409998</v>
      </c>
      <c r="AD103" s="6">
        <f>[1]Production!AC9+[1]Production!AC11+[1]Production!AC13+[1]Production!AC15+[1]Production!AC17+[1]Production!AC19+[1]Production!AC21+[1]Production!AC23+[1]Production!AC25+[1]Production!AC27+[1]Production!AC41</f>
        <v>1877192.7147970002</v>
      </c>
      <c r="AE103" s="6">
        <f>[1]Production!AD9+[1]Production!AD11+[1]Production!AD13+[1]Production!AD15+[1]Production!AD17+[1]Production!AD19+[1]Production!AD21+[1]Production!AD23+[1]Production!AD25+[1]Production!AD27+[1]Production!AD41</f>
        <v>1936148.5553449998</v>
      </c>
      <c r="AF103" s="6">
        <f>[1]Production!AE9+[1]Production!AE11+[1]Production!AE13+[1]Production!AE15+[1]Production!AE17+[1]Production!AE19+[1]Production!AE21+[1]Production!AE23+[1]Production!AE25+[1]Production!AE27+[1]Production!AE41</f>
        <v>1997620.6454559998</v>
      </c>
      <c r="AG103" s="6">
        <f>[1]Production!AF9+[1]Production!AF11+[1]Production!AF13+[1]Production!AF15+[1]Production!AF17+[1]Production!AF19+[1]Production!AF21+[1]Production!AF23+[1]Production!AF25+[1]Production!AF27+[1]Production!AF41</f>
        <v>2061034.465566</v>
      </c>
      <c r="AH103" s="6">
        <f>[1]Production!AG9+[1]Production!AG11+[1]Production!AG13+[1]Production!AG15+[1]Production!AG17+[1]Production!AG19+[1]Production!AG21+[1]Production!AG23+[1]Production!AG25+[1]Production!AG27+[1]Production!AG41</f>
        <v>2125888.2264009998</v>
      </c>
      <c r="AI103" s="6">
        <f>[1]Production!AH9+[1]Production!AH11+[1]Production!AH13+[1]Production!AH15+[1]Production!AH17+[1]Production!AH19+[1]Production!AH21+[1]Production!AH23+[1]Production!AH25+[1]Production!AH27+[1]Production!AH41</f>
        <v>2191802.8211069996</v>
      </c>
      <c r="AJ103" s="6">
        <f>[1]Production!AI9+[1]Production!AI11+[1]Production!AI13+[1]Production!AI15+[1]Production!AI17+[1]Production!AI19+[1]Production!AI21+[1]Production!AI23+[1]Production!AI25+[1]Production!AI27+[1]Production!AI41</f>
        <v>2258430.9672590005</v>
      </c>
      <c r="AK103" s="6">
        <f>[1]Production!AJ9+[1]Production!AJ11+[1]Production!AJ13+[1]Production!AJ15+[1]Production!AJ17+[1]Production!AJ19+[1]Production!AJ21+[1]Production!AJ23+[1]Production!AJ25+[1]Production!AJ27+[1]Production!AJ41</f>
        <v>2325426.5434610001</v>
      </c>
      <c r="AL103" s="6">
        <f>[1]Production!AK9+[1]Production!AK11+[1]Production!AK13+[1]Production!AK15+[1]Production!AK17+[1]Production!AK19+[1]Production!AK21+[1]Production!AK23+[1]Production!AK25+[1]Production!AK27+[1]Production!AK41</f>
        <v>2392430.2691900004</v>
      </c>
    </row>
    <row r="104" spans="2:38" x14ac:dyDescent="0.35">
      <c r="B104" t="s">
        <v>9</v>
      </c>
      <c r="C104" s="6">
        <f>[1]Production!B29+[1]Production!B31+[1]Production!B33+[1]Production!B35</f>
        <v>120911.564724</v>
      </c>
      <c r="D104" s="6">
        <f>[1]Production!C29+[1]Production!C31+[1]Production!C33+[1]Production!C35</f>
        <v>123422.14417500001</v>
      </c>
      <c r="E104" s="6">
        <f>[1]Production!D29+[1]Production!D31+[1]Production!D33+[1]Production!D35</f>
        <v>126085.57634000003</v>
      </c>
      <c r="F104" s="6">
        <f>[1]Production!E29+[1]Production!E31+[1]Production!E33+[1]Production!E35</f>
        <v>128867.17415799999</v>
      </c>
      <c r="G104" s="6">
        <f>[1]Production!F29+[1]Production!F31+[1]Production!F33+[1]Production!F35</f>
        <v>131778.746178</v>
      </c>
      <c r="H104" s="6">
        <f>[1]Production!G29+[1]Production!G31+[1]Production!G33+[1]Production!G35</f>
        <v>134855.39891699998</v>
      </c>
      <c r="I104" s="6">
        <f>[1]Production!H29+[1]Production!H31+[1]Production!H33+[1]Production!H35</f>
        <v>138091.74052399999</v>
      </c>
      <c r="J104" s="6">
        <f>[1]Production!I29+[1]Production!I31+[1]Production!I33+[1]Production!I35</f>
        <v>141466.89694900002</v>
      </c>
      <c r="K104" s="6">
        <f>[1]Production!J29+[1]Production!J31+[1]Production!J33+[1]Production!J35</f>
        <v>144961.344044</v>
      </c>
      <c r="L104" s="6">
        <f>[1]Production!K29+[1]Production!K31+[1]Production!K33+[1]Production!K35</f>
        <v>148560.84708400001</v>
      </c>
      <c r="M104" s="6">
        <f>[1]Production!L29+[1]Production!L31+[1]Production!L33+[1]Production!L35</f>
        <v>152112.09311099999</v>
      </c>
      <c r="N104" s="6">
        <f>[1]Production!M29+[1]Production!M31+[1]Production!M33+[1]Production!M35</f>
        <v>155090.9302</v>
      </c>
      <c r="O104" s="6">
        <f>[1]Production!N29+[1]Production!N31+[1]Production!N33+[1]Production!N35</f>
        <v>157671.96706900001</v>
      </c>
      <c r="P104" s="6">
        <f>[1]Production!O29+[1]Production!O31+[1]Production!O33+[1]Production!O35</f>
        <v>159967.49960400001</v>
      </c>
      <c r="Q104" s="6">
        <f>[1]Production!P29+[1]Production!P31+[1]Production!P33+[1]Production!P35</f>
        <v>162101.598535</v>
      </c>
      <c r="R104" s="6">
        <f>[1]Production!Q29+[1]Production!Q31+[1]Production!Q33+[1]Production!Q35</f>
        <v>164185.018706</v>
      </c>
      <c r="S104" s="6">
        <f>[1]Production!R29+[1]Production!R31+[1]Production!R33+[1]Production!R35</f>
        <v>166316.982005</v>
      </c>
      <c r="T104" s="6">
        <f>[1]Production!S29+[1]Production!S31+[1]Production!S33+[1]Production!S35</f>
        <v>168588.42806899999</v>
      </c>
      <c r="U104" s="6">
        <f>[1]Production!T29+[1]Production!T31+[1]Production!T33+[1]Production!T35</f>
        <v>171072.06936099997</v>
      </c>
      <c r="V104" s="6">
        <f>[1]Production!U29+[1]Production!U31+[1]Production!U33+[1]Production!U35</f>
        <v>173812.17373499999</v>
      </c>
      <c r="W104" s="6">
        <f>[1]Production!V29+[1]Production!V31+[1]Production!V33+[1]Production!V35</f>
        <v>176833.177516</v>
      </c>
      <c r="X104" s="6">
        <f>[1]Production!W29+[1]Production!W31+[1]Production!W33+[1]Production!W35</f>
        <v>180187.689965</v>
      </c>
      <c r="Y104" s="6">
        <f>[1]Production!X29+[1]Production!X31+[1]Production!X33+[1]Production!X35</f>
        <v>183914.79429400002</v>
      </c>
      <c r="Z104" s="6">
        <f>[1]Production!Y29+[1]Production!Y31+[1]Production!Y33+[1]Production!Y35</f>
        <v>188034.46420399999</v>
      </c>
      <c r="AA104" s="6">
        <f>[1]Production!Z29+[1]Production!Z31+[1]Production!Z33+[1]Production!Z35</f>
        <v>192540.62616000001</v>
      </c>
      <c r="AB104" s="6">
        <f>[1]Production!AA29+[1]Production!AA31+[1]Production!AA33+[1]Production!AA35</f>
        <v>197382.19979000001</v>
      </c>
      <c r="AC104" s="6">
        <f>[1]Production!AB29+[1]Production!AB31+[1]Production!AB33+[1]Production!AB35</f>
        <v>202540.23672999998</v>
      </c>
      <c r="AD104" s="6">
        <f>[1]Production!AC29+[1]Production!AC31+[1]Production!AC33+[1]Production!AC35</f>
        <v>208055.43448</v>
      </c>
      <c r="AE104" s="6">
        <f>[1]Production!AD29+[1]Production!AD31+[1]Production!AD33+[1]Production!AD35</f>
        <v>213942.28680999999</v>
      </c>
      <c r="AF104" s="6">
        <f>[1]Production!AE29+[1]Production!AE31+[1]Production!AE33+[1]Production!AE35</f>
        <v>220145.64643000002</v>
      </c>
      <c r="AG104" s="6">
        <f>[1]Production!AF29+[1]Production!AF31+[1]Production!AF33+[1]Production!AF35</f>
        <v>226581.63068</v>
      </c>
      <c r="AH104" s="6">
        <f>[1]Production!AG29+[1]Production!AG31+[1]Production!AG33+[1]Production!AG35</f>
        <v>233179.66352</v>
      </c>
      <c r="AI104" s="6">
        <f>[1]Production!AH29+[1]Production!AH31+[1]Production!AH33+[1]Production!AH35</f>
        <v>239886.35208000001</v>
      </c>
      <c r="AJ104" s="6">
        <f>[1]Production!AI29+[1]Production!AI31+[1]Production!AI33+[1]Production!AI35</f>
        <v>246653.45652999997</v>
      </c>
      <c r="AK104" s="6">
        <f>[1]Production!AJ29+[1]Production!AJ31+[1]Production!AJ33+[1]Production!AJ35</f>
        <v>253434.16557000001</v>
      </c>
      <c r="AL104" s="6">
        <f>[1]Production!AK29+[1]Production!AK31+[1]Production!AK33+[1]Production!AK35</f>
        <v>260181.666</v>
      </c>
    </row>
    <row r="105" spans="2:38" x14ac:dyDescent="0.35">
      <c r="B105" t="s">
        <v>10</v>
      </c>
      <c r="C105" s="6">
        <f>[1]Production!B37+[1]Production!B39</f>
        <v>2557557.4537</v>
      </c>
      <c r="D105" s="6">
        <f>[1]Production!C37+[1]Production!C39</f>
        <v>2601610.0898000002</v>
      </c>
      <c r="E105" s="6">
        <f>[1]Production!D37+[1]Production!D39</f>
        <v>2651473.4240999999</v>
      </c>
      <c r="F105" s="6">
        <f>[1]Production!E37+[1]Production!E39</f>
        <v>2706527.0619000001</v>
      </c>
      <c r="G105" s="6">
        <f>[1]Production!F37+[1]Production!F39</f>
        <v>2764600.3136999998</v>
      </c>
      <c r="H105" s="6">
        <f>[1]Production!G37+[1]Production!G39</f>
        <v>2825812.8391</v>
      </c>
      <c r="I105" s="6">
        <f>[1]Production!H37+[1]Production!H39</f>
        <v>2889913.2614000002</v>
      </c>
      <c r="J105" s="6">
        <f>[1]Production!I37+[1]Production!I39</f>
        <v>2956427.5120000001</v>
      </c>
      <c r="K105" s="6">
        <f>[1]Production!J37+[1]Production!J39</f>
        <v>3024975.5770999999</v>
      </c>
      <c r="L105" s="6">
        <f>[1]Production!K37+[1]Production!K39</f>
        <v>3095310.5156999999</v>
      </c>
      <c r="M105" s="6">
        <f>[1]Production!L37+[1]Production!L39</f>
        <v>3166008.7720000003</v>
      </c>
      <c r="N105" s="6">
        <f>[1]Production!M37+[1]Production!M39</f>
        <v>3230269.8525999999</v>
      </c>
      <c r="O105" s="6">
        <f>[1]Production!N37+[1]Production!N39</f>
        <v>3288905.4517999999</v>
      </c>
      <c r="P105" s="6">
        <f>[1]Production!O37+[1]Production!O39</f>
        <v>3342849.6858999999</v>
      </c>
      <c r="Q105" s="6">
        <f>[1]Production!P37+[1]Production!P39</f>
        <v>3393440.3187000002</v>
      </c>
      <c r="R105" s="6">
        <f>[1]Production!Q37+[1]Production!Q39</f>
        <v>3442113.8957000002</v>
      </c>
      <c r="S105" s="6">
        <f>[1]Production!R37+[1]Production!R39</f>
        <v>3490388.3210000005</v>
      </c>
      <c r="T105" s="6">
        <f>[1]Production!S37+[1]Production!S39</f>
        <v>3539766.1601999998</v>
      </c>
      <c r="U105" s="6">
        <f>[1]Production!T37+[1]Production!T39</f>
        <v>3591560.1967000002</v>
      </c>
      <c r="V105" s="6">
        <f>[1]Production!U37+[1]Production!U39</f>
        <v>3646722.5016999999</v>
      </c>
      <c r="W105" s="6">
        <f>[1]Production!V37+[1]Production!V39</f>
        <v>3705634.6283999998</v>
      </c>
      <c r="X105" s="6">
        <f>[1]Production!W37+[1]Production!W39</f>
        <v>3769551.9380000001</v>
      </c>
      <c r="Y105" s="6">
        <f>[1]Production!X37+[1]Production!X39</f>
        <v>3839158.9194999998</v>
      </c>
      <c r="Z105" s="6">
        <f>[1]Production!Y37+[1]Production!Y39</f>
        <v>3914933.1685000001</v>
      </c>
      <c r="AA105" s="6">
        <f>[1]Production!Z37+[1]Production!Z39</f>
        <v>3997004.0183999999</v>
      </c>
      <c r="AB105" s="6">
        <f>[1]Production!AA37+[1]Production!AA39</f>
        <v>4084183.9683999997</v>
      </c>
      <c r="AC105" s="6">
        <f>[1]Production!AB37+[1]Production!AB39</f>
        <v>4175718.6261</v>
      </c>
      <c r="AD105" s="6">
        <f>[1]Production!AC37+[1]Production!AC39</f>
        <v>4272421.1228999998</v>
      </c>
      <c r="AE105" s="6">
        <f>[1]Production!AD37+[1]Production!AD39</f>
        <v>4374908.9169999994</v>
      </c>
      <c r="AF105" s="6">
        <f>[1]Production!AE37+[1]Production!AE39</f>
        <v>4482902.9639999997</v>
      </c>
      <c r="AG105" s="6">
        <f>[1]Production!AF37+[1]Production!AF39</f>
        <v>4595555.2291000001</v>
      </c>
      <c r="AH105" s="6">
        <f>[1]Production!AG37+[1]Production!AG39</f>
        <v>4711949.8477999996</v>
      </c>
      <c r="AI105" s="6">
        <f>[1]Production!AH37+[1]Production!AH39</f>
        <v>4831245.2597000003</v>
      </c>
      <c r="AJ105" s="6">
        <f>[1]Production!AI37+[1]Production!AI39</f>
        <v>4952602.1524</v>
      </c>
      <c r="AK105" s="6">
        <f>[1]Production!AJ37+[1]Production!AJ39</f>
        <v>5075159.6305999998</v>
      </c>
      <c r="AL105" s="6">
        <f>[1]Production!AK37+[1]Production!AK39</f>
        <v>5198028.7896999996</v>
      </c>
    </row>
    <row r="106" spans="2:38" x14ac:dyDescent="0.35">
      <c r="B106" t="s">
        <v>12</v>
      </c>
      <c r="C106" s="6">
        <f>[1]Production!B43+[1]Production!B47+[1]Production!B45+[1]Production!B49</f>
        <v>40229.920589600006</v>
      </c>
      <c r="D106" s="6">
        <f>[1]Production!C43+[1]Production!C47+[1]Production!C45+[1]Production!C49</f>
        <v>40575.308306699997</v>
      </c>
      <c r="E106" s="6">
        <f>[1]Production!D43+[1]Production!D47+[1]Production!D45+[1]Production!D49</f>
        <v>40926.383240299998</v>
      </c>
      <c r="F106" s="6">
        <f>[1]Production!E43+[1]Production!E47+[1]Production!E45+[1]Production!E49</f>
        <v>41306.659400700002</v>
      </c>
      <c r="G106" s="6">
        <f>[1]Production!F43+[1]Production!F47+[1]Production!F45+[1]Production!F49</f>
        <v>41807.991041900001</v>
      </c>
      <c r="H106" s="6">
        <f>[1]Production!G43+[1]Production!G47+[1]Production!G45+[1]Production!G49</f>
        <v>42417.736388600002</v>
      </c>
      <c r="I106" s="6">
        <f>[1]Production!H43+[1]Production!H47+[1]Production!H45+[1]Production!H49</f>
        <v>43161.689443499999</v>
      </c>
      <c r="J106" s="6">
        <f>[1]Production!I43+[1]Production!I47+[1]Production!I45+[1]Production!I49</f>
        <v>43991.2393582</v>
      </c>
      <c r="K106" s="6">
        <f>[1]Production!J43+[1]Production!J47+[1]Production!J45+[1]Production!J49</f>
        <v>44885.776764199996</v>
      </c>
      <c r="L106" s="6">
        <f>[1]Production!K43+[1]Production!K47+[1]Production!K45+[1]Production!K49</f>
        <v>45833.563366199996</v>
      </c>
      <c r="M106" s="6">
        <f>[1]Production!L43+[1]Production!L47+[1]Production!L45+[1]Production!L49</f>
        <v>46800.045263799999</v>
      </c>
      <c r="N106" s="6">
        <f>[1]Production!M43+[1]Production!M47+[1]Production!M45+[1]Production!M49</f>
        <v>47657.770941200004</v>
      </c>
      <c r="O106" s="6">
        <f>[1]Production!N43+[1]Production!N47+[1]Production!N45+[1]Production!N49</f>
        <v>48432.427654800005</v>
      </c>
      <c r="P106" s="6">
        <f>[1]Production!O43+[1]Production!O47+[1]Production!O45+[1]Production!O49</f>
        <v>49145.305647000001</v>
      </c>
      <c r="Q106" s="6">
        <f>[1]Production!P43+[1]Production!P47+[1]Production!P45+[1]Production!P49</f>
        <v>49817.948850399996</v>
      </c>
      <c r="R106" s="6">
        <f>[1]Production!Q43+[1]Production!Q47+[1]Production!Q45+[1]Production!Q49</f>
        <v>50470.730939899993</v>
      </c>
      <c r="S106" s="6">
        <f>[1]Production!R43+[1]Production!R47+[1]Production!R45+[1]Production!R49</f>
        <v>51112.155059300007</v>
      </c>
      <c r="T106" s="6">
        <f>[1]Production!S43+[1]Production!S47+[1]Production!S45+[1]Production!S49</f>
        <v>51776.810438599998</v>
      </c>
      <c r="U106" s="6">
        <f>[1]Production!T43+[1]Production!T47+[1]Production!T45+[1]Production!T49</f>
        <v>52480.8422584</v>
      </c>
      <c r="V106" s="6">
        <f>[1]Production!U43+[1]Production!U47+[1]Production!U45+[1]Production!U49</f>
        <v>53235.284019800005</v>
      </c>
      <c r="W106" s="6">
        <f>[1]Production!V43+[1]Production!V47+[1]Production!V45+[1]Production!V49</f>
        <v>54048.584553100001</v>
      </c>
      <c r="X106" s="6">
        <f>[1]Production!W43+[1]Production!W47+[1]Production!W45+[1]Production!W49</f>
        <v>54935.832983300003</v>
      </c>
      <c r="Y106" s="6">
        <f>[1]Production!X43+[1]Production!X47+[1]Production!X45+[1]Production!X49</f>
        <v>55910.207381</v>
      </c>
      <c r="Z106" s="6">
        <f>[1]Production!Y43+[1]Production!Y47+[1]Production!Y45+[1]Production!Y49</f>
        <v>56981.879974799995</v>
      </c>
      <c r="AA106" s="6">
        <f>[1]Production!Z43+[1]Production!Z47+[1]Production!Z45+[1]Production!Z49</f>
        <v>58156.526915499999</v>
      </c>
      <c r="AB106" s="6">
        <f>[1]Production!AA43+[1]Production!AA47+[1]Production!AA45+[1]Production!AA49</f>
        <v>59431.613884899998</v>
      </c>
      <c r="AC106" s="6">
        <f>[1]Production!AB43+[1]Production!AB47+[1]Production!AB45+[1]Production!AB49</f>
        <v>60677.497171099989</v>
      </c>
      <c r="AD106" s="6">
        <f>[1]Production!AC43+[1]Production!AC47+[1]Production!AC45+[1]Production!AC49</f>
        <v>61971.197182400007</v>
      </c>
      <c r="AE106" s="6">
        <f>[1]Production!AD43+[1]Production!AD47+[1]Production!AD45+[1]Production!AD49</f>
        <v>63352.148737299998</v>
      </c>
      <c r="AF106" s="6">
        <f>[1]Production!AE43+[1]Production!AE47+[1]Production!AE45+[1]Production!AE49</f>
        <v>64821.761065099992</v>
      </c>
      <c r="AG106" s="6">
        <f>[1]Production!AF43+[1]Production!AF47+[1]Production!AF45+[1]Production!AF49</f>
        <v>66365.658758300007</v>
      </c>
      <c r="AH106" s="6">
        <f>[1]Production!AG43+[1]Production!AG47+[1]Production!AG45+[1]Production!AG49</f>
        <v>67968.169800499993</v>
      </c>
      <c r="AI106" s="6">
        <f>[1]Production!AH43+[1]Production!AH47+[1]Production!AH45+[1]Production!AH49</f>
        <v>69615.685466800001</v>
      </c>
      <c r="AJ106" s="6">
        <f>[1]Production!AI43+[1]Production!AI47+[1]Production!AI45+[1]Production!AI49</f>
        <v>71295.065842199998</v>
      </c>
      <c r="AK106" s="6">
        <f>[1]Production!AJ43+[1]Production!AJ47+[1]Production!AJ45+[1]Production!AJ49</f>
        <v>72992.915660700004</v>
      </c>
      <c r="AL106" s="6">
        <f>[1]Production!AK43+[1]Production!AK47+[1]Production!AK45+[1]Production!AK49</f>
        <v>74695.279135499994</v>
      </c>
    </row>
    <row r="107" spans="2:38" x14ac:dyDescent="0.35">
      <c r="B107" t="s">
        <v>11</v>
      </c>
      <c r="C107" s="6">
        <f>[1]Production!B51+[1]Production!B53+[1]Production!B55+[1]Production!B57+[1]Production!B59+[1]Production!B61+[1]Production!B63+[1]Production!B65+[1]Production!B67</f>
        <v>67916.925626199998</v>
      </c>
      <c r="D107" s="6">
        <f>[1]Production!C51+[1]Production!C53+[1]Production!C55+[1]Production!C57+[1]Production!C59+[1]Production!C61+[1]Production!C63+[1]Production!C65+[1]Production!C67</f>
        <v>68918.221128400008</v>
      </c>
      <c r="E107" s="6">
        <f>[1]Production!D51+[1]Production!D53+[1]Production!D55+[1]Production!D57+[1]Production!D59+[1]Production!D61+[1]Production!D63+[1]Production!D65+[1]Production!D67</f>
        <v>69853.170089000007</v>
      </c>
      <c r="F107" s="6">
        <f>[1]Production!E51+[1]Production!E53+[1]Production!E55+[1]Production!E57+[1]Production!E59+[1]Production!E61+[1]Production!E63+[1]Production!E65+[1]Production!E67</f>
        <v>70856.294952299999</v>
      </c>
      <c r="G107" s="6">
        <f>[1]Production!F51+[1]Production!F53+[1]Production!F55+[1]Production!F57+[1]Production!F59+[1]Production!F61+[1]Production!F63+[1]Production!F65+[1]Production!F67</f>
        <v>71752.62075219999</v>
      </c>
      <c r="H107" s="6">
        <f>[1]Production!G51+[1]Production!G53+[1]Production!G55+[1]Production!G57+[1]Production!G59+[1]Production!G61+[1]Production!G63+[1]Production!G65+[1]Production!G67</f>
        <v>72656.373365800013</v>
      </c>
      <c r="I107" s="6">
        <f>[1]Production!H51+[1]Production!H53+[1]Production!H55+[1]Production!H57+[1]Production!H59+[1]Production!H61+[1]Production!H63+[1]Production!H65+[1]Production!H67</f>
        <v>75707.423487199994</v>
      </c>
      <c r="J107" s="6">
        <f>[1]Production!I51+[1]Production!I53+[1]Production!I55+[1]Production!I57+[1]Production!I59+[1]Production!I61+[1]Production!I63+[1]Production!I65+[1]Production!I67</f>
        <v>79379.567358400003</v>
      </c>
      <c r="K107" s="6">
        <f>[1]Production!J51+[1]Production!J53+[1]Production!J55+[1]Production!J57+[1]Production!J59+[1]Production!J61+[1]Production!J63+[1]Production!J65+[1]Production!J67</f>
        <v>83411.142886099988</v>
      </c>
      <c r="L107" s="6">
        <f>[1]Production!K51+[1]Production!K53+[1]Production!K55+[1]Production!K57+[1]Production!K59+[1]Production!K61+[1]Production!K63+[1]Production!K65+[1]Production!K67</f>
        <v>87775.947900400002</v>
      </c>
      <c r="M107" s="6">
        <f>[1]Production!L51+[1]Production!L53+[1]Production!L55+[1]Production!L57+[1]Production!L59+[1]Production!L61+[1]Production!L63+[1]Production!L65+[1]Production!L67</f>
        <v>92467.696627600002</v>
      </c>
      <c r="N107" s="6">
        <f>[1]Production!M51+[1]Production!M53+[1]Production!M55+[1]Production!M57+[1]Production!M59+[1]Production!M61+[1]Production!M63+[1]Production!M65+[1]Production!M67</f>
        <v>96222.52516390002</v>
      </c>
      <c r="O107" s="6">
        <f>[1]Production!N51+[1]Production!N53+[1]Production!N55+[1]Production!N57+[1]Production!N59+[1]Production!N61+[1]Production!N63+[1]Production!N65+[1]Production!N67</f>
        <v>99868.037744100002</v>
      </c>
      <c r="P107" s="6">
        <f>[1]Production!O51+[1]Production!O53+[1]Production!O55+[1]Production!O57+[1]Production!O59+[1]Production!O61+[1]Production!O63+[1]Production!O65+[1]Production!O67</f>
        <v>103617.18707679999</v>
      </c>
      <c r="Q107" s="6">
        <f>[1]Production!P51+[1]Production!P53+[1]Production!P55+[1]Production!P57+[1]Production!P59+[1]Production!P61+[1]Production!P63+[1]Production!P65+[1]Production!P67</f>
        <v>107561.63737229999</v>
      </c>
      <c r="R107" s="6">
        <f>[1]Production!Q51+[1]Production!Q53+[1]Production!Q55+[1]Production!Q57+[1]Production!Q59+[1]Production!Q61+[1]Production!Q63+[1]Production!Q65+[1]Production!Q67</f>
        <v>111774.60802130002</v>
      </c>
      <c r="S107" s="6">
        <f>[1]Production!R51+[1]Production!R53+[1]Production!R55+[1]Production!R57+[1]Production!R59+[1]Production!R61+[1]Production!R63+[1]Production!R65+[1]Production!R67</f>
        <v>116538.2351973</v>
      </c>
      <c r="T107" s="6">
        <f>[1]Production!S51+[1]Production!S53+[1]Production!S55+[1]Production!S57+[1]Production!S59+[1]Production!S61+[1]Production!S63+[1]Production!S65+[1]Production!S67</f>
        <v>121744.13474980001</v>
      </c>
      <c r="U107" s="6">
        <f>[1]Production!T51+[1]Production!T53+[1]Production!T55+[1]Production!T57+[1]Production!T59+[1]Production!T61+[1]Production!T63+[1]Production!T65+[1]Production!T67</f>
        <v>127459.02370406</v>
      </c>
      <c r="V107" s="6">
        <f>[1]Production!U51+[1]Production!U53+[1]Production!U55+[1]Production!U57+[1]Production!U59+[1]Production!U61+[1]Production!U63+[1]Production!U65+[1]Production!U67</f>
        <v>133789.26047678999</v>
      </c>
      <c r="W107" s="6">
        <f>[1]Production!V51+[1]Production!V53+[1]Production!V55+[1]Production!V57+[1]Production!V59+[1]Production!V61+[1]Production!V63+[1]Production!V65+[1]Production!V67</f>
        <v>140845.34847078001</v>
      </c>
      <c r="X107" s="6">
        <f>[1]Production!W51+[1]Production!W53+[1]Production!W55+[1]Production!W57+[1]Production!W59+[1]Production!W61+[1]Production!W63+[1]Production!W65+[1]Production!W67</f>
        <v>148800.12896316001</v>
      </c>
      <c r="Y107" s="6">
        <f>[1]Production!X51+[1]Production!X53+[1]Production!X55+[1]Production!X57+[1]Production!X59+[1]Production!X61+[1]Production!X63+[1]Production!X65+[1]Production!X67</f>
        <v>157825.03222087998</v>
      </c>
      <c r="Z107" s="6">
        <f>[1]Production!Y51+[1]Production!Y53+[1]Production!Y55+[1]Production!Y57+[1]Production!Y59+[1]Production!Y61+[1]Production!Y63+[1]Production!Y65+[1]Production!Y67</f>
        <v>168111.39866210899</v>
      </c>
      <c r="AA107" s="6">
        <f>[1]Production!Z51+[1]Production!Z53+[1]Production!Z55+[1]Production!Z57+[1]Production!Z59+[1]Production!Z61+[1]Production!Z63+[1]Production!Z65+[1]Production!Z67</f>
        <v>179870.60611563199</v>
      </c>
      <c r="AB107" s="6">
        <f>[1]Production!AA51+[1]Production!AA53+[1]Production!AA55+[1]Production!AA57+[1]Production!AA59+[1]Production!AA61+[1]Production!AA63+[1]Production!AA65+[1]Production!AA67</f>
        <v>193286.87443337898</v>
      </c>
      <c r="AC107" s="6">
        <f>[1]Production!AB51+[1]Production!AB53+[1]Production!AB55+[1]Production!AB57+[1]Production!AB59+[1]Production!AB61+[1]Production!AB63+[1]Production!AB65+[1]Production!AB67</f>
        <v>199297.628972023</v>
      </c>
      <c r="AD107" s="6">
        <f>[1]Production!AC51+[1]Production!AC53+[1]Production!AC55+[1]Production!AC57+[1]Production!AC59+[1]Production!AC61+[1]Production!AC63+[1]Production!AC65+[1]Production!AC67</f>
        <v>203537.25446775401</v>
      </c>
      <c r="AE107" s="6">
        <f>[1]Production!AD51+[1]Production!AD53+[1]Production!AD55+[1]Production!AD57+[1]Production!AD59+[1]Production!AD61+[1]Production!AD63+[1]Production!AD65+[1]Production!AD67</f>
        <v>207763.86705064398</v>
      </c>
      <c r="AF107" s="6">
        <f>[1]Production!AE51+[1]Production!AE53+[1]Production!AE55+[1]Production!AE57+[1]Production!AE59+[1]Production!AE61+[1]Production!AE63+[1]Production!AE65+[1]Production!AE67</f>
        <v>212372.11376160401</v>
      </c>
      <c r="AG107" s="6">
        <f>[1]Production!AF51+[1]Production!AF53+[1]Production!AF55+[1]Production!AF57+[1]Production!AF59+[1]Production!AF61+[1]Production!AF63+[1]Production!AF65+[1]Production!AF67</f>
        <v>217342.38056940102</v>
      </c>
      <c r="AH107" s="6">
        <f>[1]Production!AG51+[1]Production!AG53+[1]Production!AG55+[1]Production!AG57+[1]Production!AG59+[1]Production!AG61+[1]Production!AG63+[1]Production!AG65+[1]Production!AG67</f>
        <v>222561.803069338</v>
      </c>
      <c r="AI107" s="6">
        <f>[1]Production!AH51+[1]Production!AH53+[1]Production!AH55+[1]Production!AH57+[1]Production!AH59+[1]Production!AH61+[1]Production!AH63+[1]Production!AH65+[1]Production!AH67</f>
        <v>227918.390868958</v>
      </c>
      <c r="AJ107" s="6">
        <f>[1]Production!AI51+[1]Production!AI53+[1]Production!AI55+[1]Production!AI57+[1]Production!AI59+[1]Production!AI61+[1]Production!AI63+[1]Production!AI65+[1]Production!AI67</f>
        <v>233318.95537518701</v>
      </c>
      <c r="AK107" s="6">
        <f>[1]Production!AJ51+[1]Production!AJ53+[1]Production!AJ55+[1]Production!AJ57+[1]Production!AJ59+[1]Production!AJ61+[1]Production!AJ63+[1]Production!AJ65+[1]Production!AJ67</f>
        <v>238689.028639128</v>
      </c>
      <c r="AL107" s="6">
        <f>[1]Production!AK51+[1]Production!AK53+[1]Production!AK55+[1]Production!AK57+[1]Production!AK59+[1]Production!AK61+[1]Production!AK63+[1]Production!AK65+[1]Production!AK67</f>
        <v>243967.054621991</v>
      </c>
    </row>
    <row r="109" spans="2:38" x14ac:dyDescent="0.35">
      <c r="B109" t="s">
        <v>26</v>
      </c>
      <c r="C109" s="2">
        <v>42005</v>
      </c>
      <c r="D109" s="2">
        <v>42370</v>
      </c>
      <c r="E109" s="2">
        <v>42736</v>
      </c>
      <c r="F109" s="2">
        <v>43101</v>
      </c>
      <c r="G109" s="2">
        <v>43466</v>
      </c>
      <c r="H109" s="2">
        <v>43831</v>
      </c>
      <c r="I109" s="2">
        <v>44197</v>
      </c>
      <c r="J109" s="2">
        <v>44562</v>
      </c>
      <c r="K109" s="2">
        <v>44927</v>
      </c>
      <c r="L109" s="2">
        <v>45292</v>
      </c>
      <c r="M109" s="2">
        <v>45658</v>
      </c>
      <c r="N109" s="2">
        <v>46023</v>
      </c>
      <c r="O109" s="2">
        <v>46388</v>
      </c>
      <c r="P109" s="2">
        <v>46753</v>
      </c>
      <c r="Q109" s="2">
        <v>47119</v>
      </c>
      <c r="R109" s="2">
        <v>47484</v>
      </c>
      <c r="S109" s="2">
        <v>47849</v>
      </c>
      <c r="T109" s="2">
        <v>48214</v>
      </c>
      <c r="U109" s="2">
        <v>48580</v>
      </c>
      <c r="V109" s="2">
        <v>48945</v>
      </c>
      <c r="W109" s="2">
        <v>49310</v>
      </c>
      <c r="X109" s="2">
        <v>49675</v>
      </c>
      <c r="Y109" s="2">
        <v>50041</v>
      </c>
      <c r="Z109" s="2">
        <v>50406</v>
      </c>
      <c r="AA109" s="2">
        <v>50771</v>
      </c>
      <c r="AB109" s="2">
        <v>51136</v>
      </c>
      <c r="AC109" s="2">
        <v>51502</v>
      </c>
      <c r="AD109" s="2">
        <v>51867</v>
      </c>
      <c r="AE109" s="2">
        <v>52232</v>
      </c>
      <c r="AF109" s="2">
        <v>52597</v>
      </c>
      <c r="AG109" s="2">
        <v>52963</v>
      </c>
      <c r="AH109" s="2">
        <v>53328</v>
      </c>
      <c r="AI109" s="2">
        <v>53693</v>
      </c>
      <c r="AJ109" s="2">
        <v>54058</v>
      </c>
      <c r="AK109" s="2">
        <v>54424</v>
      </c>
      <c r="AL109" s="2">
        <v>54789</v>
      </c>
    </row>
    <row r="110" spans="2:38" x14ac:dyDescent="0.35">
      <c r="B110" t="s">
        <v>7</v>
      </c>
      <c r="C110" s="6">
        <f>[1]Production!B4+[1]Production!B6</f>
        <v>88314.149964000011</v>
      </c>
      <c r="D110" s="6">
        <f>[1]Production!C4+[1]Production!C6</f>
        <v>89647.9902</v>
      </c>
      <c r="E110" s="6">
        <f>[1]Production!D4+[1]Production!D6</f>
        <v>91215.228891999999</v>
      </c>
      <c r="F110" s="6">
        <f>[1]Production!E4+[1]Production!E6</f>
        <v>93016.742291000002</v>
      </c>
      <c r="G110" s="6">
        <f>[1]Production!F4+[1]Production!F6</f>
        <v>95002.292957999991</v>
      </c>
      <c r="H110" s="6">
        <f>[1]Production!G4+[1]Production!G6</f>
        <v>97168.808822999999</v>
      </c>
      <c r="I110" s="6">
        <f>[1]Production!H4+[1]Production!H6</f>
        <v>99516.074599</v>
      </c>
      <c r="J110" s="6">
        <f>[1]Production!I4+[1]Production!I6</f>
        <v>101564.35286999999</v>
      </c>
      <c r="K110" s="6">
        <f>[1]Production!J4+[1]Production!J6</f>
        <v>103670.19529799999</v>
      </c>
      <c r="L110" s="6">
        <f>[1]Production!K4+[1]Production!K6</f>
        <v>106282.68827</v>
      </c>
      <c r="M110" s="6">
        <f>[1]Production!L4+[1]Production!L6</f>
        <v>108943.72744800001</v>
      </c>
      <c r="N110" s="6">
        <f>[1]Production!M4+[1]Production!M6</f>
        <v>111120.91924799999</v>
      </c>
      <c r="O110" s="6">
        <f>[1]Production!N4+[1]Production!N6</f>
        <v>112982.32045300001</v>
      </c>
      <c r="P110" s="6">
        <f>[1]Production!O4+[1]Production!O6</f>
        <v>114648.19678700001</v>
      </c>
      <c r="Q110" s="6">
        <f>[1]Production!P4+[1]Production!P6</f>
        <v>116211.715064</v>
      </c>
      <c r="R110" s="6">
        <f>[1]Production!Q4+[1]Production!Q6</f>
        <v>117720.209877</v>
      </c>
      <c r="S110" s="6">
        <f>[1]Production!R4+[1]Production!R6</f>
        <v>119260.914521</v>
      </c>
      <c r="T110" s="6">
        <f>[1]Production!S4+[1]Production!S6</f>
        <v>120817.522484</v>
      </c>
      <c r="U110" s="6">
        <f>[1]Production!T4+[1]Production!T6</f>
        <v>122438.71120200001</v>
      </c>
      <c r="V110" s="6">
        <f>[1]Production!U4+[1]Production!U6</f>
        <v>124168.62798400001</v>
      </c>
      <c r="W110" s="6">
        <f>[1]Production!V4+[1]Production!V6</f>
        <v>126038.01196800001</v>
      </c>
      <c r="X110" s="6">
        <f>[1]Production!W4+[1]Production!W6</f>
        <v>128096.05973200001</v>
      </c>
      <c r="Y110" s="6">
        <f>[1]Production!X4+[1]Production!X6</f>
        <v>130400.579966</v>
      </c>
      <c r="Z110" s="6">
        <f>[1]Production!Y4+[1]Production!Y6</f>
        <v>132985.579539</v>
      </c>
      <c r="AA110" s="6">
        <f>[1]Production!Z4+[1]Production!Z6</f>
        <v>135863.90166899998</v>
      </c>
      <c r="AB110" s="6">
        <f>[1]Production!AA4+[1]Production!AA6</f>
        <v>138989.63532500001</v>
      </c>
      <c r="AC110" s="6">
        <f>[1]Production!AB4+[1]Production!AB6</f>
        <v>142175.15422700002</v>
      </c>
      <c r="AD110" s="6">
        <f>[1]Production!AC4+[1]Production!AC6</f>
        <v>145593.206148</v>
      </c>
      <c r="AE110" s="6">
        <f>[1]Production!AD4+[1]Production!AD6</f>
        <v>149302.94166100002</v>
      </c>
      <c r="AF110" s="6">
        <f>[1]Production!AE4+[1]Production!AE6</f>
        <v>153296.495024</v>
      </c>
      <c r="AG110" s="6">
        <f>[1]Production!AF4+[1]Production!AF6</f>
        <v>157533.51424699998</v>
      </c>
      <c r="AH110" s="6">
        <f>[1]Production!AG4+[1]Production!AG6</f>
        <v>161961.159579</v>
      </c>
      <c r="AI110" s="6">
        <f>[1]Production!AH4+[1]Production!AH6</f>
        <v>166549.85657800001</v>
      </c>
      <c r="AJ110" s="6">
        <f>[1]Production!AI4+[1]Production!AI6</f>
        <v>171263.39668600002</v>
      </c>
      <c r="AK110" s="6">
        <f>[1]Production!AJ4+[1]Production!AJ6</f>
        <v>176061.49946399999</v>
      </c>
      <c r="AL110" s="6">
        <f>[1]Production!AK4+[1]Production!AK6</f>
        <v>180901.334153</v>
      </c>
    </row>
    <row r="111" spans="2:38" x14ac:dyDescent="0.35">
      <c r="B111" t="s">
        <v>8</v>
      </c>
      <c r="C111" s="6">
        <f>[1]Production!B8+[1]Production!B10+[1]Production!B12+[1]Production!B14+[1]Production!B16+[1]Production!B18+[1]Production!B20+[1]Production!B22+[1]Production!B24+[1]Production!B26+[1]Production!B40</f>
        <v>978915.15899700008</v>
      </c>
      <c r="D111" s="6">
        <f>[1]Production!C8+[1]Production!C10+[1]Production!C12+[1]Production!C14+[1]Production!C16+[1]Production!C18+[1]Production!C20+[1]Production!C22+[1]Production!C24+[1]Production!C26+[1]Production!C40</f>
        <v>1000834.9836339998</v>
      </c>
      <c r="E111" s="6">
        <f>[1]Production!D8+[1]Production!D10+[1]Production!D12+[1]Production!D14+[1]Production!D16+[1]Production!D18+[1]Production!D20+[1]Production!D22+[1]Production!D24+[1]Production!D26+[1]Production!D40</f>
        <v>1025055.033611</v>
      </c>
      <c r="F111" s="6">
        <f>[1]Production!E8+[1]Production!E10+[1]Production!E12+[1]Production!E14+[1]Production!E16+[1]Production!E18+[1]Production!E20+[1]Production!E22+[1]Production!E24+[1]Production!E26+[1]Production!E40</f>
        <v>1050859.4521540001</v>
      </c>
      <c r="G111" s="6">
        <f>[1]Production!F8+[1]Production!F10+[1]Production!F12+[1]Production!F14+[1]Production!F16+[1]Production!F18+[1]Production!F20+[1]Production!F22+[1]Production!F24+[1]Production!F26+[1]Production!F40</f>
        <v>1077933.045587</v>
      </c>
      <c r="H111" s="6">
        <f>[1]Production!G8+[1]Production!G10+[1]Production!G12+[1]Production!G14+[1]Production!G16+[1]Production!G18+[1]Production!G20+[1]Production!G22+[1]Production!G24+[1]Production!G26+[1]Production!G40</f>
        <v>1106373.2654279999</v>
      </c>
      <c r="I111" s="6">
        <f>[1]Production!H8+[1]Production!H10+[1]Production!H12+[1]Production!H14+[1]Production!H16+[1]Production!H18+[1]Production!H20+[1]Production!H22+[1]Production!H24+[1]Production!H26+[1]Production!H40</f>
        <v>1136268.114788</v>
      </c>
      <c r="J111" s="6">
        <f>[1]Production!I8+[1]Production!I10+[1]Production!I12+[1]Production!I14+[1]Production!I16+[1]Production!I18+[1]Production!I20+[1]Production!I22+[1]Production!I24+[1]Production!I26+[1]Production!I40</f>
        <v>1162120.3951690001</v>
      </c>
      <c r="K111" s="6">
        <f>[1]Production!J8+[1]Production!J10+[1]Production!J12+[1]Production!J14+[1]Production!J16+[1]Production!J18+[1]Production!J20+[1]Production!J22+[1]Production!J24+[1]Production!J26+[1]Production!J40</f>
        <v>1188730.7425990002</v>
      </c>
      <c r="L111" s="6">
        <f>[1]Production!K8+[1]Production!K10+[1]Production!K12+[1]Production!K14+[1]Production!K16+[1]Production!K18+[1]Production!K20+[1]Production!K22+[1]Production!K24+[1]Production!K26+[1]Production!K40</f>
        <v>1222773.960343</v>
      </c>
      <c r="M111" s="6">
        <f>[1]Production!L8+[1]Production!L10+[1]Production!L12+[1]Production!L14+[1]Production!L16+[1]Production!L18+[1]Production!L20+[1]Production!L22+[1]Production!L24+[1]Production!L26+[1]Production!L40</f>
        <v>1256186.97581</v>
      </c>
      <c r="N111" s="6">
        <f>[1]Production!M8+[1]Production!M10+[1]Production!M12+[1]Production!M14+[1]Production!M16+[1]Production!M18+[1]Production!M20+[1]Production!M22+[1]Production!M24+[1]Production!M26+[1]Production!M40</f>
        <v>1283721.615943</v>
      </c>
      <c r="O111" s="6">
        <f>[1]Production!N8+[1]Production!N10+[1]Production!N12+[1]Production!N14+[1]Production!N16+[1]Production!N18+[1]Production!N20+[1]Production!N22+[1]Production!N24+[1]Production!N26+[1]Production!N40</f>
        <v>1307376.203245</v>
      </c>
      <c r="P111" s="6">
        <f>[1]Production!O8+[1]Production!O10+[1]Production!O12+[1]Production!O14+[1]Production!O16+[1]Production!O18+[1]Production!O20+[1]Production!O22+[1]Production!O24+[1]Production!O26+[1]Production!O40</f>
        <v>1328965.7950990002</v>
      </c>
      <c r="Q111" s="6">
        <f>[1]Production!P8+[1]Production!P10+[1]Production!P12+[1]Production!P14+[1]Production!P16+[1]Production!P18+[1]Production!P20+[1]Production!P22+[1]Production!P24+[1]Production!P26+[1]Production!P40</f>
        <v>1350211.4587319999</v>
      </c>
      <c r="R111" s="6">
        <f>[1]Production!Q8+[1]Production!Q10+[1]Production!Q12+[1]Production!Q14+[1]Production!Q16+[1]Production!Q18+[1]Production!Q20+[1]Production!Q22+[1]Production!Q24+[1]Production!Q26+[1]Production!Q40</f>
        <v>1371989.441806</v>
      </c>
      <c r="S111" s="6">
        <f>[1]Production!R8+[1]Production!R10+[1]Production!R12+[1]Production!R14+[1]Production!R16+[1]Production!R18+[1]Production!R20+[1]Production!R22+[1]Production!R24+[1]Production!R26+[1]Production!R40</f>
        <v>1394317.52538</v>
      </c>
      <c r="T111" s="6">
        <f>[1]Production!S8+[1]Production!S10+[1]Production!S12+[1]Production!S14+[1]Production!S16+[1]Production!S18+[1]Production!S20+[1]Production!S22+[1]Production!S24+[1]Production!S26+[1]Production!S40</f>
        <v>1417966.236544</v>
      </c>
      <c r="U111" s="6">
        <f>[1]Production!T8+[1]Production!T10+[1]Production!T12+[1]Production!T14+[1]Production!T16+[1]Production!T18+[1]Production!T20+[1]Production!T22+[1]Production!T24+[1]Production!T26+[1]Production!T40</f>
        <v>1443491.7651460001</v>
      </c>
      <c r="V111" s="6">
        <f>[1]Production!U8+[1]Production!U10+[1]Production!U12+[1]Production!U14+[1]Production!U16+[1]Production!U18+[1]Production!U20+[1]Production!U22+[1]Production!U24+[1]Production!U26+[1]Production!U40</f>
        <v>1471313.1142969998</v>
      </c>
      <c r="W111" s="6">
        <f>[1]Production!V8+[1]Production!V10+[1]Production!V12+[1]Production!V14+[1]Production!V16+[1]Production!V18+[1]Production!V20+[1]Production!V22+[1]Production!V24+[1]Production!V26+[1]Production!V40</f>
        <v>1501705.7842569998</v>
      </c>
      <c r="X111" s="6">
        <f>[1]Production!W8+[1]Production!W10+[1]Production!W12+[1]Production!W14+[1]Production!W16+[1]Production!W18+[1]Production!W20+[1]Production!W22+[1]Production!W24+[1]Production!W26+[1]Production!W40</f>
        <v>1535208.7078220001</v>
      </c>
      <c r="Y111" s="6">
        <f>[1]Production!X8+[1]Production!X10+[1]Production!X12+[1]Production!X14+[1]Production!X16+[1]Production!X18+[1]Production!X20+[1]Production!X22+[1]Production!X24+[1]Production!X26+[1]Production!X40</f>
        <v>1572344.682606</v>
      </c>
      <c r="Z111" s="6">
        <f>[1]Production!Y8+[1]Production!Y10+[1]Production!Y12+[1]Production!Y14+[1]Production!Y16+[1]Production!Y18+[1]Production!Y20+[1]Production!Y22+[1]Production!Y24+[1]Production!Y26+[1]Production!Y40</f>
        <v>1613384.5600459999</v>
      </c>
      <c r="AA111" s="6">
        <f>[1]Production!Z8+[1]Production!Z10+[1]Production!Z12+[1]Production!Z14+[1]Production!Z16+[1]Production!Z18+[1]Production!Z20+[1]Production!Z22+[1]Production!Z24+[1]Production!Z26+[1]Production!Z40</f>
        <v>1658364.6193290001</v>
      </c>
      <c r="AB111" s="6">
        <f>[1]Production!AA8+[1]Production!AA10+[1]Production!AA12+[1]Production!AA14+[1]Production!AA16+[1]Production!AA18+[1]Production!AA20+[1]Production!AA22+[1]Production!AA24+[1]Production!AA26+[1]Production!AA40</f>
        <v>1706955.715266</v>
      </c>
      <c r="AC111" s="6">
        <f>[1]Production!AB8+[1]Production!AB10+[1]Production!AB12+[1]Production!AB14+[1]Production!AB16+[1]Production!AB18+[1]Production!AB20+[1]Production!AB22+[1]Production!AB24+[1]Production!AB26+[1]Production!AB40</f>
        <v>1758270.0521070003</v>
      </c>
      <c r="AD111" s="6">
        <f>[1]Production!AC8+[1]Production!AC10+[1]Production!AC12+[1]Production!AC14+[1]Production!AC16+[1]Production!AC18+[1]Production!AC20+[1]Production!AC22+[1]Production!AC24+[1]Production!AC26+[1]Production!AC40</f>
        <v>1812600.5805609999</v>
      </c>
      <c r="AE111" s="6">
        <f>[1]Production!AD8+[1]Production!AD10+[1]Production!AD12+[1]Production!AD14+[1]Production!AD16+[1]Production!AD18+[1]Production!AD20+[1]Production!AD22+[1]Production!AD24+[1]Production!AD26+[1]Production!AD40</f>
        <v>1870172.0582579998</v>
      </c>
      <c r="AF111" s="6">
        <f>[1]Production!AE8+[1]Production!AE10+[1]Production!AE12+[1]Production!AE14+[1]Production!AE16+[1]Production!AE18+[1]Production!AE20+[1]Production!AE22+[1]Production!AE24+[1]Production!AE26+[1]Production!AE40</f>
        <v>1930657.3977340001</v>
      </c>
      <c r="AG111" s="6">
        <f>[1]Production!AF8+[1]Production!AF10+[1]Production!AF12+[1]Production!AF14+[1]Production!AF16+[1]Production!AF18+[1]Production!AF20+[1]Production!AF22+[1]Production!AF24+[1]Production!AF26+[1]Production!AF40</f>
        <v>1993445.9391839998</v>
      </c>
      <c r="AH111" s="6">
        <f>[1]Production!AG8+[1]Production!AG10+[1]Production!AG12+[1]Production!AG14+[1]Production!AG16+[1]Production!AG18+[1]Production!AG20+[1]Production!AG22+[1]Production!AG24+[1]Production!AG26+[1]Production!AG40</f>
        <v>2058013.117635</v>
      </c>
      <c r="AI111" s="6">
        <f>[1]Production!AH8+[1]Production!AH10+[1]Production!AH12+[1]Production!AH14+[1]Production!AH16+[1]Production!AH18+[1]Production!AH20+[1]Production!AH22+[1]Production!AH24+[1]Production!AH26+[1]Production!AH40</f>
        <v>2124000.2275720001</v>
      </c>
      <c r="AJ111" s="6">
        <f>[1]Production!AI8+[1]Production!AI10+[1]Production!AI12+[1]Production!AI14+[1]Production!AI16+[1]Production!AI18+[1]Production!AI20+[1]Production!AI22+[1]Production!AI24+[1]Production!AI26+[1]Production!AI40</f>
        <v>2190993.047696</v>
      </c>
      <c r="AK111" s="6">
        <f>[1]Production!AJ8+[1]Production!AJ10+[1]Production!AJ12+[1]Production!AJ14+[1]Production!AJ16+[1]Production!AJ18+[1]Production!AJ20+[1]Production!AJ22+[1]Production!AJ24+[1]Production!AJ26+[1]Production!AJ40</f>
        <v>2258563.4132959996</v>
      </c>
      <c r="AL111" s="6">
        <f>[1]Production!AK8+[1]Production!AK10+[1]Production!AK12+[1]Production!AK14+[1]Production!AK16+[1]Production!AK18+[1]Production!AK20+[1]Production!AK22+[1]Production!AK24+[1]Production!AK26+[1]Production!AK40</f>
        <v>2326274.9564139997</v>
      </c>
    </row>
    <row r="112" spans="2:38" x14ac:dyDescent="0.35">
      <c r="B112" t="s">
        <v>9</v>
      </c>
      <c r="C112" s="6">
        <f>[1]Production!B28+[1]Production!B30+[1]Production!B32+[1]Production!B34</f>
        <v>120911.564724</v>
      </c>
      <c r="D112" s="6">
        <f>[1]Production!C28+[1]Production!C30+[1]Production!C32+[1]Production!C34</f>
        <v>123422.144185</v>
      </c>
      <c r="E112" s="6">
        <f>[1]Production!D28+[1]Production!D30+[1]Production!D32+[1]Production!D34</f>
        <v>126085.57634100001</v>
      </c>
      <c r="F112" s="6">
        <f>[1]Production!E28+[1]Production!E30+[1]Production!E32+[1]Production!E34</f>
        <v>128867.17415799999</v>
      </c>
      <c r="G112" s="6">
        <f>[1]Production!F28+[1]Production!F30+[1]Production!F32+[1]Production!F34</f>
        <v>131778.74616899999</v>
      </c>
      <c r="H112" s="6">
        <f>[1]Production!G28+[1]Production!G30+[1]Production!G32+[1]Production!G34</f>
        <v>134855.398907</v>
      </c>
      <c r="I112" s="6">
        <f>[1]Production!H28+[1]Production!H30+[1]Production!H32+[1]Production!H34</f>
        <v>138091.740513</v>
      </c>
      <c r="J112" s="6">
        <f>[1]Production!I28+[1]Production!I30+[1]Production!I32+[1]Production!I34</f>
        <v>140727.48366600001</v>
      </c>
      <c r="K112" s="6">
        <f>[1]Production!J28+[1]Production!J30+[1]Production!J32+[1]Production!J34</f>
        <v>143344.03120600001</v>
      </c>
      <c r="L112" s="6">
        <f>[1]Production!K28+[1]Production!K30+[1]Production!K32+[1]Production!K34</f>
        <v>146671.24277099999</v>
      </c>
      <c r="M112" s="6">
        <f>[1]Production!L28+[1]Production!L30+[1]Production!L32+[1]Production!L34</f>
        <v>149677.08388999998</v>
      </c>
      <c r="N112" s="6">
        <f>[1]Production!M28+[1]Production!M30+[1]Production!M32+[1]Production!M34</f>
        <v>151889.63576100001</v>
      </c>
      <c r="O112" s="6">
        <f>[1]Production!N28+[1]Production!N30+[1]Production!N32+[1]Production!N34</f>
        <v>153647.74508700002</v>
      </c>
      <c r="P112" s="6">
        <f>[1]Production!O28+[1]Production!O30+[1]Production!O32+[1]Production!O34</f>
        <v>155166.37862</v>
      </c>
      <c r="Q112" s="6">
        <f>[1]Production!P28+[1]Production!P30+[1]Production!P32+[1]Production!P34</f>
        <v>156618.606134</v>
      </c>
      <c r="R112" s="6">
        <f>[1]Production!Q28+[1]Production!Q30+[1]Production!Q32+[1]Production!Q34</f>
        <v>158079.778135</v>
      </c>
      <c r="S112" s="6">
        <f>[1]Production!R28+[1]Production!R30+[1]Production!R32+[1]Production!R34</f>
        <v>159561.32334399997</v>
      </c>
      <c r="T112" s="6">
        <f>[1]Production!S28+[1]Production!S30+[1]Production!S32+[1]Production!S34</f>
        <v>161105.10413600001</v>
      </c>
      <c r="U112" s="6">
        <f>[1]Production!T28+[1]Production!T30+[1]Production!T32+[1]Production!T34</f>
        <v>162782.93126400001</v>
      </c>
      <c r="V112" s="6">
        <f>[1]Production!U28+[1]Production!U30+[1]Production!U32+[1]Production!U34</f>
        <v>164667.86566700001</v>
      </c>
      <c r="W112" s="6">
        <f>[1]Production!V28+[1]Production!V30+[1]Production!V32+[1]Production!V34</f>
        <v>166798.32825799999</v>
      </c>
      <c r="X112" s="6">
        <f>[1]Production!W28+[1]Production!W30+[1]Production!W32+[1]Production!W34</f>
        <v>169259.204971</v>
      </c>
      <c r="Y112" s="6">
        <f>[1]Production!X28+[1]Production!X30+[1]Production!X32+[1]Production!X34</f>
        <v>172119.70685999998</v>
      </c>
      <c r="Z112" s="6">
        <f>[1]Production!Y28+[1]Production!Y30+[1]Production!Y32+[1]Production!Y34</f>
        <v>175409.32930300001</v>
      </c>
      <c r="AA112" s="6">
        <f>[1]Production!Z28+[1]Production!Z30+[1]Production!Z32+[1]Production!Z34</f>
        <v>179128.84450499999</v>
      </c>
      <c r="AB112" s="6">
        <f>[1]Production!AA28+[1]Production!AA30+[1]Production!AA32+[1]Production!AA34</f>
        <v>183234.85871999999</v>
      </c>
      <c r="AC112" s="6">
        <f>[1]Production!AB28+[1]Production!AB30+[1]Production!AB32+[1]Production!AB34</f>
        <v>187728.75404999999</v>
      </c>
      <c r="AD112" s="6">
        <f>[1]Production!AC28+[1]Production!AC30+[1]Production!AC32+[1]Production!AC34</f>
        <v>192677.62435</v>
      </c>
      <c r="AE112" s="6">
        <f>[1]Production!AD28+[1]Production!AD30+[1]Production!AD32+[1]Production!AD34</f>
        <v>198104.70689</v>
      </c>
      <c r="AF112" s="6">
        <f>[1]Production!AE28+[1]Production!AE30+[1]Production!AE32+[1]Production!AE34</f>
        <v>203963.38449</v>
      </c>
      <c r="AG112" s="6">
        <f>[1]Production!AF28+[1]Production!AF30+[1]Production!AF32+[1]Production!AF34</f>
        <v>210175.63177000001</v>
      </c>
      <c r="AH112" s="6">
        <f>[1]Production!AG28+[1]Production!AG30+[1]Production!AG32+[1]Production!AG34</f>
        <v>216679.99079000001</v>
      </c>
      <c r="AI112" s="6">
        <f>[1]Production!AH28+[1]Production!AH30+[1]Production!AH32+[1]Production!AH34</f>
        <v>223433.16638999997</v>
      </c>
      <c r="AJ112" s="6">
        <f>[1]Production!AI28+[1]Production!AI30+[1]Production!AI32+[1]Production!AI34</f>
        <v>230378.38536999997</v>
      </c>
      <c r="AK112" s="6">
        <f>[1]Production!AJ28+[1]Production!AJ30+[1]Production!AJ32+[1]Production!AJ34</f>
        <v>237452.89633000002</v>
      </c>
      <c r="AL112" s="6">
        <f>[1]Production!AK28+[1]Production!AK30+[1]Production!AK32+[1]Production!AK34</f>
        <v>244590.86622000003</v>
      </c>
    </row>
    <row r="113" spans="2:38" x14ac:dyDescent="0.35">
      <c r="B113" t="s">
        <v>10</v>
      </c>
      <c r="C113" s="6">
        <f>[1]Production!B36+[1]Production!B38</f>
        <v>2557557.4537</v>
      </c>
      <c r="D113" s="6">
        <f>[1]Production!C36+[1]Production!C38</f>
        <v>2601610.0898000002</v>
      </c>
      <c r="E113" s="6">
        <f>[1]Production!D36+[1]Production!D38</f>
        <v>2651473.4240999999</v>
      </c>
      <c r="F113" s="6">
        <f>[1]Production!E36+[1]Production!E38</f>
        <v>2706527.0619999999</v>
      </c>
      <c r="G113" s="6">
        <f>[1]Production!F36+[1]Production!F38</f>
        <v>2764600.3136999998</v>
      </c>
      <c r="H113" s="6">
        <f>[1]Production!G36+[1]Production!G38</f>
        <v>2825812.8391</v>
      </c>
      <c r="I113" s="6">
        <f>[1]Production!H36+[1]Production!H38</f>
        <v>2889913.2614000002</v>
      </c>
      <c r="J113" s="6">
        <f>[1]Production!I36+[1]Production!I38</f>
        <v>2950651.1770000001</v>
      </c>
      <c r="K113" s="6">
        <f>[1]Production!J36+[1]Production!J38</f>
        <v>3013236.5454000002</v>
      </c>
      <c r="L113" s="6">
        <f>[1]Production!K36+[1]Production!K38</f>
        <v>3088047.2391000004</v>
      </c>
      <c r="M113" s="6">
        <f>[1]Production!L36+[1]Production!L38</f>
        <v>3166849.5346999997</v>
      </c>
      <c r="N113" s="6">
        <f>[1]Production!M36+[1]Production!M38</f>
        <v>3235416.9646000001</v>
      </c>
      <c r="O113" s="6">
        <f>[1]Production!N36+[1]Production!N38</f>
        <v>3296827.2176999999</v>
      </c>
      <c r="P113" s="6">
        <f>[1]Production!O36+[1]Production!O38</f>
        <v>3353198.4281000001</v>
      </c>
      <c r="Q113" s="6">
        <f>[1]Production!P36+[1]Production!P38</f>
        <v>3406403.6573000001</v>
      </c>
      <c r="R113" s="6">
        <f>[1]Production!Q36+[1]Production!Q38</f>
        <v>3457587.3209000002</v>
      </c>
      <c r="S113" s="6">
        <f>[1]Production!R36+[1]Production!R38</f>
        <v>3507177.9202999999</v>
      </c>
      <c r="T113" s="6">
        <f>[1]Production!S36+[1]Production!S38</f>
        <v>3556606.1973999999</v>
      </c>
      <c r="U113" s="6">
        <f>[1]Production!T36+[1]Production!T38</f>
        <v>3607265.6527</v>
      </c>
      <c r="V113" s="6">
        <f>[1]Production!U36+[1]Production!U38</f>
        <v>3660315.7534000003</v>
      </c>
      <c r="W113" s="6">
        <f>[1]Production!V36+[1]Production!V38</f>
        <v>3716453.0693999999</v>
      </c>
      <c r="X113" s="6">
        <f>[1]Production!W36+[1]Production!W38</f>
        <v>3776594.4659000002</v>
      </c>
      <c r="Y113" s="6">
        <f>[1]Production!X36+[1]Production!X38</f>
        <v>3841980.9660999998</v>
      </c>
      <c r="Z113" s="6">
        <f>[1]Production!Y36+[1]Production!Y38</f>
        <v>3913376.7477000002</v>
      </c>
      <c r="AA113" s="6">
        <f>[1]Production!Z36+[1]Production!Z38</f>
        <v>3991109.0845999997</v>
      </c>
      <c r="AB113" s="6">
        <f>[1]Production!AA36+[1]Production!AA38</f>
        <v>4074112.6694</v>
      </c>
      <c r="AC113" s="6">
        <f>[1]Production!AB36+[1]Production!AB38</f>
        <v>4161173.0337000005</v>
      </c>
      <c r="AD113" s="6">
        <f>[1]Production!AC36+[1]Production!AC38</f>
        <v>4253352.6364000002</v>
      </c>
      <c r="AE113" s="6">
        <f>[1]Production!AD36+[1]Production!AD38</f>
        <v>4351548.5710000005</v>
      </c>
      <c r="AF113" s="6">
        <f>[1]Production!AE36+[1]Production!AE38</f>
        <v>4455723.7953000003</v>
      </c>
      <c r="AG113" s="6">
        <f>[1]Production!AF36+[1]Production!AF38</f>
        <v>4565189.2350000003</v>
      </c>
      <c r="AH113" s="6">
        <f>[1]Production!AG36+[1]Production!AG38</f>
        <v>4678822.9650999997</v>
      </c>
      <c r="AI113" s="6">
        <f>[1]Production!AH36+[1]Production!AH38</f>
        <v>4796019.3850999996</v>
      </c>
      <c r="AJ113" s="6">
        <f>[1]Production!AI36+[1]Production!AI38</f>
        <v>4916039.5883999998</v>
      </c>
      <c r="AK113" s="6">
        <f>[1]Production!AJ36+[1]Production!AJ38</f>
        <v>5038069.9961999999</v>
      </c>
      <c r="AL113" s="6">
        <f>[1]Production!AK36+[1]Production!AK38</f>
        <v>5161239.4153000005</v>
      </c>
    </row>
    <row r="114" spans="2:38" x14ac:dyDescent="0.35">
      <c r="B114" t="s">
        <v>12</v>
      </c>
      <c r="C114" s="6">
        <f>[1]Production!B42+[1]Production!B46+[1]Production!B44+[1]Production!B48</f>
        <v>40229.920598600002</v>
      </c>
      <c r="D114" s="6">
        <f>[1]Production!C42+[1]Production!C46+[1]Production!C44+[1]Production!C48</f>
        <v>40575.308312599998</v>
      </c>
      <c r="E114" s="6">
        <f>[1]Production!D42+[1]Production!D46+[1]Production!D44+[1]Production!D48</f>
        <v>40926.383233</v>
      </c>
      <c r="F114" s="6">
        <f>[1]Production!E42+[1]Production!E46+[1]Production!E44+[1]Production!E48</f>
        <v>41306.659390100001</v>
      </c>
      <c r="G114" s="6">
        <f>[1]Production!F42+[1]Production!F46+[1]Production!F44+[1]Production!F48</f>
        <v>41807.991029500001</v>
      </c>
      <c r="H114" s="6">
        <f>[1]Production!G42+[1]Production!G46+[1]Production!G44+[1]Production!G48</f>
        <v>42417.736372600004</v>
      </c>
      <c r="I114" s="6">
        <f>[1]Production!H42+[1]Production!H46+[1]Production!H44+[1]Production!H48</f>
        <v>43161.689424000004</v>
      </c>
      <c r="J114" s="6">
        <f>[1]Production!I42+[1]Production!I46+[1]Production!I44+[1]Production!I48</f>
        <v>43803.098766900002</v>
      </c>
      <c r="K114" s="6">
        <f>[1]Production!J42+[1]Production!J46+[1]Production!J44+[1]Production!J48</f>
        <v>44380.614604499999</v>
      </c>
      <c r="L114" s="6">
        <f>[1]Production!K42+[1]Production!K46+[1]Production!K44+[1]Production!K48</f>
        <v>45045.384310199996</v>
      </c>
      <c r="M114" s="6">
        <f>[1]Production!L42+[1]Production!L46+[1]Production!L44+[1]Production!L48</f>
        <v>45592.511121900003</v>
      </c>
      <c r="N114" s="6">
        <f>[1]Production!M42+[1]Production!M46+[1]Production!M44+[1]Production!M48</f>
        <v>46084.153672699998</v>
      </c>
      <c r="O114" s="6">
        <f>[1]Production!N42+[1]Production!N46+[1]Production!N44+[1]Production!N48</f>
        <v>46540.119272600008</v>
      </c>
      <c r="P114" s="6">
        <f>[1]Production!O42+[1]Production!O46+[1]Production!O44+[1]Production!O48</f>
        <v>46985.399141999995</v>
      </c>
      <c r="Q114" s="6">
        <f>[1]Production!P42+[1]Production!P46+[1]Production!P44+[1]Production!P48</f>
        <v>47444.2458472</v>
      </c>
      <c r="R114" s="6">
        <f>[1]Production!Q42+[1]Production!Q46+[1]Production!Q44+[1]Production!Q48</f>
        <v>47923.940613400002</v>
      </c>
      <c r="S114" s="6">
        <f>[1]Production!R42+[1]Production!R46+[1]Production!R44+[1]Production!R48</f>
        <v>48357.748239</v>
      </c>
      <c r="T114" s="6">
        <f>[1]Production!S42+[1]Production!S46+[1]Production!S44+[1]Production!S48</f>
        <v>48803.042091100004</v>
      </c>
      <c r="U114" s="6">
        <f>[1]Production!T42+[1]Production!T46+[1]Production!T44+[1]Production!T48</f>
        <v>49365.412466999995</v>
      </c>
      <c r="V114" s="6">
        <f>[1]Production!U42+[1]Production!U46+[1]Production!U44+[1]Production!U48</f>
        <v>50248.813970700001</v>
      </c>
      <c r="W114" s="6">
        <f>[1]Production!V42+[1]Production!V46+[1]Production!V44+[1]Production!V48</f>
        <v>51277.5088703</v>
      </c>
      <c r="X114" s="6">
        <f>[1]Production!W42+[1]Production!W46+[1]Production!W44+[1]Production!W48</f>
        <v>52462.572470000006</v>
      </c>
      <c r="Y114" s="6">
        <f>[1]Production!X42+[1]Production!X46+[1]Production!X44+[1]Production!X48</f>
        <v>53819.696413700003</v>
      </c>
      <c r="Z114" s="6">
        <f>[1]Production!Y42+[1]Production!Y46+[1]Production!Y44+[1]Production!Y48</f>
        <v>55363.878635300003</v>
      </c>
      <c r="AA114" s="6">
        <f>[1]Production!Z42+[1]Production!Z46+[1]Production!Z44+[1]Production!Z48</f>
        <v>57105.788542500006</v>
      </c>
      <c r="AB114" s="6">
        <f>[1]Production!AA42+[1]Production!AA46+[1]Production!AA44+[1]Production!AA48</f>
        <v>59046.335399500007</v>
      </c>
      <c r="AC114" s="6">
        <f>[1]Production!AB42+[1]Production!AB46+[1]Production!AB44+[1]Production!AB48</f>
        <v>61085.953085599998</v>
      </c>
      <c r="AD114" s="6">
        <f>[1]Production!AC42+[1]Production!AC46+[1]Production!AC44+[1]Production!AC48</f>
        <v>63290.462257800005</v>
      </c>
      <c r="AE114" s="6">
        <f>[1]Production!AD42+[1]Production!AD46+[1]Production!AD44+[1]Production!AD48</f>
        <v>65693.020113399994</v>
      </c>
      <c r="AF114" s="6">
        <f>[1]Production!AE42+[1]Production!AE46+[1]Production!AE44+[1]Production!AE48</f>
        <v>68287.683858599994</v>
      </c>
      <c r="AG114" s="6">
        <f>[1]Production!AF42+[1]Production!AF46+[1]Production!AF44+[1]Production!AF48</f>
        <v>71050.926190900005</v>
      </c>
      <c r="AH114" s="6">
        <f>[1]Production!AG42+[1]Production!AG46+[1]Production!AG44+[1]Production!AG48</f>
        <v>73963.127374600008</v>
      </c>
      <c r="AI114" s="6">
        <f>[1]Production!AH42+[1]Production!AH46+[1]Production!AH44+[1]Production!AH48</f>
        <v>76998.944548799991</v>
      </c>
      <c r="AJ114" s="6">
        <f>[1]Production!AI42+[1]Production!AI46+[1]Production!AI44+[1]Production!AI48</f>
        <v>80128.574566200012</v>
      </c>
      <c r="AK114" s="6">
        <f>[1]Production!AJ42+[1]Production!AJ46+[1]Production!AJ44+[1]Production!AJ48</f>
        <v>83319.408531300011</v>
      </c>
      <c r="AL114" s="6">
        <f>[1]Production!AK42+[1]Production!AK46+[1]Production!AK44+[1]Production!AK48</f>
        <v>86537.353640799993</v>
      </c>
    </row>
    <row r="115" spans="2:38" x14ac:dyDescent="0.35">
      <c r="B115" t="s">
        <v>11</v>
      </c>
      <c r="C115" s="6">
        <f>[1]Production!B50+[1]Production!B52+[1]Production!B54+[1]Production!B56+[1]Production!B58+[1]Production!B60+[1]Production!B62+[1]Production!B64+[1]Production!B66</f>
        <v>67916.9256284</v>
      </c>
      <c r="D115" s="6">
        <f>[1]Production!C50+[1]Production!C52+[1]Production!C54+[1]Production!C56+[1]Production!C58+[1]Production!C60+[1]Production!C62+[1]Production!C64+[1]Production!C66</f>
        <v>68918.221136799999</v>
      </c>
      <c r="E115" s="6">
        <f>[1]Production!D50+[1]Production!D52+[1]Production!D54+[1]Production!D56+[1]Production!D58+[1]Production!D60+[1]Production!D62+[1]Production!D64+[1]Production!D66</f>
        <v>69853.170094400004</v>
      </c>
      <c r="F115" s="6">
        <f>[1]Production!E50+[1]Production!E52+[1]Production!E54+[1]Production!E56+[1]Production!E58+[1]Production!E60+[1]Production!E62+[1]Production!E64+[1]Production!E66</f>
        <v>70856.294964900007</v>
      </c>
      <c r="G115" s="6">
        <f>[1]Production!F50+[1]Production!F52+[1]Production!F54+[1]Production!F56+[1]Production!F58+[1]Production!F60+[1]Production!F62+[1]Production!F64+[1]Production!F66</f>
        <v>71752.620750599992</v>
      </c>
      <c r="H115" s="6">
        <f>[1]Production!G50+[1]Production!G52+[1]Production!G54+[1]Production!G56+[1]Production!G58+[1]Production!G60+[1]Production!G62+[1]Production!G64+[1]Production!G66</f>
        <v>72656.373362300015</v>
      </c>
      <c r="I115" s="6">
        <f>[1]Production!H50+[1]Production!H52+[1]Production!H54+[1]Production!H56+[1]Production!H58+[1]Production!H60+[1]Production!H62+[1]Production!H64+[1]Production!H66</f>
        <v>75707.423468199995</v>
      </c>
      <c r="J115" s="6">
        <f>[1]Production!I50+[1]Production!I52+[1]Production!I54+[1]Production!I56+[1]Production!I58+[1]Production!I60+[1]Production!I62+[1]Production!I64+[1]Production!I66</f>
        <v>79541.099422700005</v>
      </c>
      <c r="K115" s="6">
        <f>[1]Production!J50+[1]Production!J52+[1]Production!J54+[1]Production!J56+[1]Production!J58+[1]Production!J60+[1]Production!J62+[1]Production!J64+[1]Production!J66</f>
        <v>83926.227201499991</v>
      </c>
      <c r="L115" s="6">
        <f>[1]Production!K50+[1]Production!K52+[1]Production!K54+[1]Production!K56+[1]Production!K58+[1]Production!K60+[1]Production!K62+[1]Production!K64+[1]Production!K66</f>
        <v>89157.646510699997</v>
      </c>
      <c r="M115" s="6">
        <f>[1]Production!L50+[1]Production!L52+[1]Production!L54+[1]Production!L56+[1]Production!L58+[1]Production!L60+[1]Production!L62+[1]Production!L64+[1]Production!L66</f>
        <v>94973.783335899992</v>
      </c>
      <c r="N115" s="6">
        <f>[1]Production!M50+[1]Production!M52+[1]Production!M54+[1]Production!M56+[1]Production!M58+[1]Production!M60+[1]Production!M62+[1]Production!M64+[1]Production!M66</f>
        <v>99151.688374399979</v>
      </c>
      <c r="O115" s="6">
        <f>[1]Production!N50+[1]Production!N52+[1]Production!N54+[1]Production!N56+[1]Production!N58+[1]Production!N60+[1]Production!N62+[1]Production!N64+[1]Production!N66</f>
        <v>102825.6088956</v>
      </c>
      <c r="P115" s="6">
        <f>[1]Production!O50+[1]Production!O52+[1]Production!O54+[1]Production!O56+[1]Production!O58+[1]Production!O60+[1]Production!O62+[1]Production!O64+[1]Production!O66</f>
        <v>106434.33711970001</v>
      </c>
      <c r="Q115" s="6">
        <f>[1]Production!P50+[1]Production!P52+[1]Production!P54+[1]Production!P56+[1]Production!P58+[1]Production!P60+[1]Production!P62+[1]Production!P64+[1]Production!P66</f>
        <v>110206.959601</v>
      </c>
      <c r="R115" s="6">
        <f>[1]Production!Q50+[1]Production!Q52+[1]Production!Q54+[1]Production!Q56+[1]Production!Q58+[1]Production!Q60+[1]Production!Q62+[1]Production!Q64+[1]Production!Q66</f>
        <v>114267.5886996</v>
      </c>
      <c r="S115" s="6">
        <f>[1]Production!R50+[1]Production!R52+[1]Production!R54+[1]Production!R56+[1]Production!R58+[1]Production!R60+[1]Production!R62+[1]Production!R64+[1]Production!R66</f>
        <v>118874.9185019</v>
      </c>
      <c r="T115" s="6">
        <f>[1]Production!S50+[1]Production!S52+[1]Production!S54+[1]Production!S56+[1]Production!S58+[1]Production!S60+[1]Production!S62+[1]Production!S64+[1]Production!S66</f>
        <v>123960.19424139999</v>
      </c>
      <c r="U115" s="6">
        <f>[1]Production!T50+[1]Production!T52+[1]Production!T54+[1]Production!T56+[1]Production!T58+[1]Production!T60+[1]Production!T62+[1]Production!T64+[1]Production!T66</f>
        <v>129561.42189474999</v>
      </c>
      <c r="V115" s="6">
        <f>[1]Production!U50+[1]Production!U52+[1]Production!U54+[1]Production!U56+[1]Production!U58+[1]Production!U60+[1]Production!U62+[1]Production!U64+[1]Production!U66</f>
        <v>135747.32657216</v>
      </c>
      <c r="W115" s="6">
        <f>[1]Production!V50+[1]Production!V52+[1]Production!V54+[1]Production!V56+[1]Production!V58+[1]Production!V60+[1]Production!V62+[1]Production!V64+[1]Production!V66</f>
        <v>142620.11802180999</v>
      </c>
      <c r="X115" s="6">
        <f>[1]Production!W50+[1]Production!W52+[1]Production!W54+[1]Production!W56+[1]Production!W58+[1]Production!W60+[1]Production!W62+[1]Production!W64+[1]Production!W66</f>
        <v>150274.43487612999</v>
      </c>
      <c r="Y115" s="6">
        <f>[1]Production!X50+[1]Production!X52+[1]Production!X54+[1]Production!X56+[1]Production!X58+[1]Production!X60+[1]Production!X62+[1]Production!X64+[1]Production!X66</f>
        <v>158936.08906841002</v>
      </c>
      <c r="Z115" s="6">
        <f>[1]Production!Y50+[1]Production!Y52+[1]Production!Y54+[1]Production!Y56+[1]Production!Y58+[1]Production!Y60+[1]Production!Y62+[1]Production!Y64+[1]Production!Y66</f>
        <v>168815.70927346102</v>
      </c>
      <c r="AA115" s="6">
        <f>[1]Production!Z50+[1]Production!Z52+[1]Production!Z54+[1]Production!Z56+[1]Production!Z58+[1]Production!Z60+[1]Production!Z62+[1]Production!Z64+[1]Production!Z66</f>
        <v>180118.79870702999</v>
      </c>
      <c r="AB115" s="6">
        <f>[1]Production!AA50+[1]Production!AA52+[1]Production!AA54+[1]Production!AA56+[1]Production!AA58+[1]Production!AA60+[1]Production!AA62+[1]Production!AA64+[1]Production!AA66</f>
        <v>193003.24569336002</v>
      </c>
      <c r="AC115" s="6">
        <f>[1]Production!AB50+[1]Production!AB52+[1]Production!AB54+[1]Production!AB56+[1]Production!AB58+[1]Production!AB60+[1]Production!AB62+[1]Production!AB64+[1]Production!AB66</f>
        <v>198495.41285695098</v>
      </c>
      <c r="AD115" s="6">
        <f>[1]Production!AC50+[1]Production!AC52+[1]Production!AC54+[1]Production!AC56+[1]Production!AC58+[1]Production!AC60+[1]Production!AC62+[1]Production!AC64+[1]Production!AC66</f>
        <v>202269.122815501</v>
      </c>
      <c r="AE115" s="6">
        <f>[1]Production!AD50+[1]Production!AD52+[1]Production!AD54+[1]Production!AD56+[1]Production!AD58+[1]Production!AD60+[1]Production!AD62+[1]Production!AD64+[1]Production!AD66</f>
        <v>206068.88967974501</v>
      </c>
      <c r="AF115" s="6">
        <f>[1]Production!AE50+[1]Production!AE52+[1]Production!AE54+[1]Production!AE56+[1]Production!AE58+[1]Production!AE60+[1]Production!AE62+[1]Production!AE64+[1]Production!AE66</f>
        <v>210242.31294017402</v>
      </c>
      <c r="AG115" s="6">
        <f>[1]Production!AF50+[1]Production!AF52+[1]Production!AF54+[1]Production!AF56+[1]Production!AF58+[1]Production!AF60+[1]Production!AF62+[1]Production!AF64+[1]Production!AF66</f>
        <v>214730.96065975301</v>
      </c>
      <c r="AH115" s="6">
        <f>[1]Production!AG50+[1]Production!AG52+[1]Production!AG54+[1]Production!AG56+[1]Production!AG58+[1]Production!AG60+[1]Production!AG62+[1]Production!AG64+[1]Production!AG66</f>
        <v>219375.31951242097</v>
      </c>
      <c r="AI115" s="6">
        <f>[1]Production!AH50+[1]Production!AH52+[1]Production!AH54+[1]Production!AH56+[1]Production!AH58+[1]Production!AH60+[1]Production!AH62+[1]Production!AH64+[1]Production!AH66</f>
        <v>224109.44861884898</v>
      </c>
      <c r="AJ115" s="6">
        <f>[1]Production!AI50+[1]Production!AI52+[1]Production!AI54+[1]Production!AI56+[1]Production!AI58+[1]Production!AI60+[1]Production!AI62+[1]Production!AI64+[1]Production!AI66</f>
        <v>228871.09682039201</v>
      </c>
      <c r="AK115" s="6">
        <f>[1]Production!AJ50+[1]Production!AJ52+[1]Production!AJ54+[1]Production!AJ56+[1]Production!AJ58+[1]Production!AJ60+[1]Production!AJ62+[1]Production!AJ64+[1]Production!AJ66</f>
        <v>233602.73761090302</v>
      </c>
      <c r="AL115" s="6">
        <f>[1]Production!AK50+[1]Production!AK52+[1]Production!AK54+[1]Production!AK56+[1]Production!AK58+[1]Production!AK60+[1]Production!AK62+[1]Production!AK64+[1]Production!AK66</f>
        <v>238254.45750556499</v>
      </c>
    </row>
    <row r="117" spans="2:38" x14ac:dyDescent="0.35">
      <c r="B117" t="s">
        <v>16</v>
      </c>
      <c r="C117" s="8" t="s">
        <v>17</v>
      </c>
      <c r="D117" s="8" t="s">
        <v>18</v>
      </c>
      <c r="E117" s="8" t="s">
        <v>19</v>
      </c>
    </row>
    <row r="118" spans="2:38" x14ac:dyDescent="0.35">
      <c r="B118" t="s">
        <v>7</v>
      </c>
      <c r="C118" s="6">
        <f t="shared" ref="C118:C123" si="9">(R110-R102)/R109*100</f>
        <v>-3.904816018027133</v>
      </c>
      <c r="D118" s="6">
        <f t="shared" ref="D118:D123" si="10">(AB110-AB102)/AB109*100</f>
        <v>-8.3948486780350553</v>
      </c>
      <c r="E118" s="6">
        <f t="shared" ref="E118:E123" si="11">(AL110-AL102)/AL109*100</f>
        <v>-11.971577829491316</v>
      </c>
    </row>
    <row r="119" spans="2:38" x14ac:dyDescent="0.35">
      <c r="B119" t="s">
        <v>8</v>
      </c>
      <c r="C119" s="6">
        <f t="shared" si="9"/>
        <v>-22.237406514439758</v>
      </c>
      <c r="D119" s="6">
        <f t="shared" si="10"/>
        <v>-43.51285017446326</v>
      </c>
      <c r="E119" s="6">
        <f t="shared" si="11"/>
        <v>-36.569831331397957</v>
      </c>
    </row>
    <row r="120" spans="2:38" x14ac:dyDescent="0.35">
      <c r="B120" t="s">
        <v>9</v>
      </c>
      <c r="C120" s="6">
        <f t="shared" si="9"/>
        <v>-0.44499180423454643</v>
      </c>
      <c r="D120" s="6">
        <f t="shared" si="10"/>
        <v>-0.82880539568042644</v>
      </c>
      <c r="E120" s="6">
        <f t="shared" si="11"/>
        <v>-0.67020451460447772</v>
      </c>
    </row>
    <row r="121" spans="2:38" x14ac:dyDescent="0.35">
      <c r="B121" t="s">
        <v>10</v>
      </c>
      <c r="C121" s="6">
        <f t="shared" si="9"/>
        <v>9.7883646994909412</v>
      </c>
      <c r="D121" s="6">
        <f t="shared" si="10"/>
        <v>-5.4963881165152841</v>
      </c>
      <c r="E121" s="6">
        <f t="shared" si="11"/>
        <v>-15.041188973470717</v>
      </c>
    </row>
    <row r="122" spans="2:38" x14ac:dyDescent="0.35">
      <c r="B122" t="s">
        <v>12</v>
      </c>
      <c r="C122" s="6">
        <f t="shared" si="9"/>
        <v>-7.3658019021109467E-2</v>
      </c>
      <c r="D122" s="6">
        <f t="shared" si="10"/>
        <v>-9.4567459632070392E-3</v>
      </c>
      <c r="E122" s="6">
        <f t="shared" si="11"/>
        <v>0.22944245659667137</v>
      </c>
    </row>
    <row r="123" spans="2:38" x14ac:dyDescent="0.35">
      <c r="B123" t="s">
        <v>11</v>
      </c>
      <c r="C123" s="6">
        <f t="shared" si="9"/>
        <v>5.2019526073841238</v>
      </c>
      <c r="D123" s="6">
        <f t="shared" si="10"/>
        <v>-0.48034943760686449</v>
      </c>
      <c r="E123" s="6">
        <f t="shared" si="11"/>
        <v>-6.6013078469419231</v>
      </c>
    </row>
    <row r="124" spans="2:38" x14ac:dyDescent="0.35">
      <c r="C124" s="5"/>
      <c r="D124" s="5"/>
      <c r="E124" s="5"/>
    </row>
    <row r="125" spans="2:38" x14ac:dyDescent="0.35">
      <c r="B125" t="s">
        <v>16</v>
      </c>
      <c r="C125" s="8" t="s">
        <v>17</v>
      </c>
      <c r="D125" s="8" t="s">
        <v>18</v>
      </c>
      <c r="E125" s="8" t="s">
        <v>19</v>
      </c>
    </row>
    <row r="126" spans="2:38" x14ac:dyDescent="0.35">
      <c r="B126" t="s">
        <v>7</v>
      </c>
      <c r="C126" s="4">
        <f t="shared" ref="C126:C131" si="12">R110/R102-1</f>
        <v>-1.5506356386408293E-2</v>
      </c>
      <c r="D126" s="4">
        <f t="shared" ref="D126:D131" si="13">AB110/AB102-1</f>
        <v>-2.9960337533760706E-2</v>
      </c>
      <c r="E126" s="4">
        <f t="shared" ref="E126:E131" si="14">AL110/AL102-1</f>
        <v>-3.4989290057521827E-2</v>
      </c>
    </row>
    <row r="127" spans="2:38" x14ac:dyDescent="0.35">
      <c r="B127" t="s">
        <v>8</v>
      </c>
      <c r="C127" s="4">
        <f t="shared" si="12"/>
        <v>-1.8723024370884356E-2</v>
      </c>
      <c r="D127" s="4">
        <f t="shared" si="13"/>
        <v>-3.4218165704015924E-2</v>
      </c>
      <c r="E127" s="4">
        <f t="shared" si="14"/>
        <v>-2.7651929348978976E-2</v>
      </c>
    </row>
    <row r="128" spans="2:38" x14ac:dyDescent="0.35">
      <c r="B128" t="s">
        <v>9</v>
      </c>
      <c r="C128" s="4">
        <f t="shared" si="12"/>
        <v>-3.7185125775284211E-2</v>
      </c>
      <c r="D128" s="4">
        <f t="shared" si="13"/>
        <v>-7.167485763686765E-2</v>
      </c>
      <c r="E128" s="4">
        <f t="shared" si="14"/>
        <v>-5.992274559422639E-2</v>
      </c>
    </row>
    <row r="129" spans="2:5" x14ac:dyDescent="0.35">
      <c r="B129" t="s">
        <v>10</v>
      </c>
      <c r="C129" s="4">
        <f t="shared" si="12"/>
        <v>4.495326322388582E-3</v>
      </c>
      <c r="D129" s="4">
        <f t="shared" si="13"/>
        <v>-2.4659268725216732E-3</v>
      </c>
      <c r="E129" s="4">
        <f t="shared" si="14"/>
        <v>-7.0775626469976594E-3</v>
      </c>
    </row>
    <row r="130" spans="2:5" x14ac:dyDescent="0.35">
      <c r="B130" t="s">
        <v>12</v>
      </c>
      <c r="C130" s="4">
        <f t="shared" si="12"/>
        <v>-5.0460737918233911E-2</v>
      </c>
      <c r="D130" s="4">
        <f t="shared" si="13"/>
        <v>-6.4827195530337001E-3</v>
      </c>
      <c r="E130" s="4">
        <f t="shared" si="14"/>
        <v>0.15853845975751746</v>
      </c>
    </row>
    <row r="131" spans="2:5" x14ac:dyDescent="0.35">
      <c r="B131" t="s">
        <v>11</v>
      </c>
      <c r="C131" s="4">
        <f t="shared" si="12"/>
        <v>2.2303640535468627E-2</v>
      </c>
      <c r="D131" s="4">
        <f t="shared" si="13"/>
        <v>-1.4673978295236534E-3</v>
      </c>
      <c r="E131" s="4">
        <f t="shared" si="14"/>
        <v>-2.3415444865198087E-2</v>
      </c>
    </row>
  </sheetData>
  <mergeCells count="3">
    <mergeCell ref="A56:A57"/>
    <mergeCell ref="A62:A63"/>
    <mergeCell ref="A59:A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7</vt:i4>
      </vt:variant>
    </vt:vector>
  </HeadingPairs>
  <TitlesOfParts>
    <vt:vector size="8" baseType="lpstr">
      <vt:lpstr>Données</vt:lpstr>
      <vt:lpstr>Gr Macro</vt:lpstr>
      <vt:lpstr>Gr inflation</vt:lpstr>
      <vt:lpstr>Gr émissions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2021-12-05T14:38:19Z</dcterms:modified>
</cp:coreProperties>
</file>